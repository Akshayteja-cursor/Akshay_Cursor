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uma.sharepoint.com/sites/201208/Shared Documents/Programs/01_UDP Transformation/03_EBP/06_Inventory Project/05_Testing Documents/"/>
    </mc:Choice>
  </mc:AlternateContent>
  <xr:revisionPtr revIDLastSave="246" documentId="11_1ED3408CC512FDFFB193B0B7A27DD1C69A84759A" xr6:coauthVersionLast="47" xr6:coauthVersionMax="47" xr10:uidLastSave="{73CD0E02-B8A9-4569-9452-4A0F2E8F8C18}"/>
  <bookViews>
    <workbookView xWindow="-120" yWindow="-120" windowWidth="29040" windowHeight="17520" xr2:uid="{00000000-000D-0000-FFFF-FFFF00000000}"/>
  </bookViews>
  <sheets>
    <sheet name="KPIs List" sheetId="2" r:id="rId1"/>
    <sheet name="Issues Found" sheetId="1" r:id="rId2"/>
  </sheets>
  <definedNames>
    <definedName name="_xlnm._FilterDatabase" localSheetId="1" hidden="1">'Issues Found'!$A$1:$K$1</definedName>
    <definedName name="_xlnm._FilterDatabase" localSheetId="0" hidden="1">'KPIs List'!$A$1:$F$1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7" i="2" l="1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2" i="2"/>
</calcChain>
</file>

<file path=xl/sharedStrings.xml><?xml version="1.0" encoding="utf-8"?>
<sst xmlns="http://schemas.openxmlformats.org/spreadsheetml/2006/main" count="156" uniqueCount="84">
  <si>
    <t>No</t>
  </si>
  <si>
    <t>Status</t>
  </si>
  <si>
    <t>Inventory Units</t>
  </si>
  <si>
    <t>In-Progress</t>
  </si>
  <si>
    <t>Total Free Inventory</t>
  </si>
  <si>
    <t>Inventory Units Actual</t>
  </si>
  <si>
    <t>Inventory Units Old</t>
  </si>
  <si>
    <t>Inventory Units Next</t>
  </si>
  <si>
    <t>inventory Units Discontinued</t>
  </si>
  <si>
    <t>inventory units LY</t>
  </si>
  <si>
    <t>inventory units vs LY</t>
  </si>
  <si>
    <t>inventory units vs LY%</t>
  </si>
  <si>
    <t>Inventory Gross</t>
  </si>
  <si>
    <t>Inventory Gross LY</t>
  </si>
  <si>
    <t>Inventory Gross Vs LY</t>
  </si>
  <si>
    <t>Inventory Gross Vs LY%</t>
  </si>
  <si>
    <t>Inventory Units Delivery Date</t>
  </si>
  <si>
    <t>Inventory Units Delivery Date LW</t>
  </si>
  <si>
    <t>Cube Name</t>
  </si>
  <si>
    <t>KPI</t>
  </si>
  <si>
    <t xml:space="preserve">Problem </t>
  </si>
  <si>
    <t xml:space="preserve">Tester </t>
  </si>
  <si>
    <t xml:space="preserve">Responsible </t>
  </si>
  <si>
    <t>Priority</t>
  </si>
  <si>
    <t xml:space="preserve">Status </t>
  </si>
  <si>
    <t>Comment</t>
  </si>
  <si>
    <t xml:space="preserve">Link </t>
  </si>
  <si>
    <t>Validated &amp; Closed (Yes/No)</t>
  </si>
  <si>
    <t>France</t>
  </si>
  <si>
    <t>Inventory Units', 'Total Free Inventory', 'Inventory Units Actual'</t>
  </si>
  <si>
    <t>Total Free Inventory', 'Units Actual' KPI mismatches from the Synapse to Databricks</t>
  </si>
  <si>
    <t>Rajani</t>
  </si>
  <si>
    <t>German</t>
  </si>
  <si>
    <t>Medium</t>
  </si>
  <si>
    <t>To-Do</t>
  </si>
  <si>
    <t>https://puma-all.atlassian.net/browse/UDPEBP-323</t>
  </si>
  <si>
    <t>Inventory Units Actual', 'Inventory Units Old', 'Inventory Units  Next' ,'inventory Units Discontinued'</t>
  </si>
  <si>
    <t>Values are different from syn to dbx, but we when we summed up ,value equal to 'Inventory Units' total in their respective cubes.</t>
  </si>
  <si>
    <t>[UDPEBP-324] UDP-France-'Inventory Units Actual', 'Inventory Units Old', 'Inventory Units Next' ,'inventory Units Discontinued' - Jira ALL</t>
  </si>
  <si>
    <t>inventory units LY,'inventory units  vs LY, inventory units  vs LY%</t>
  </si>
  <si>
    <t xml:space="preserve">Values are as expected </t>
  </si>
  <si>
    <t>Aggregated value is not showing up in dbx cube ,but it is there in synapse cube .</t>
  </si>
  <si>
    <t>Akshay</t>
  </si>
  <si>
    <t>High</t>
  </si>
  <si>
    <t>[UDPEBP-325] UDP-Inventory-France-Inventory Gross-KPI Total not displaying in DBX cube. - Jira ALL</t>
  </si>
  <si>
    <t>Inventory Units Delivery Date', 'Inventory Units Delivery Date LW', ,Inventory Units'</t>
  </si>
  <si>
    <t xml:space="preserve">When we tested 'Inventory units' along with the 'Delivery Date' column , the values are different in DBX cube. </t>
  </si>
  <si>
    <t>medium</t>
  </si>
  <si>
    <t>[UDPEBP-326] UDP-France-'Delivery Date Units ' KPI Discrepencies between SYN and DBX Cubes.een - Jira ALL</t>
  </si>
  <si>
    <t>Cube side Logic</t>
  </si>
  <si>
    <t>VAR LastCubeProcDate = [Last Cube Processing Date]
VAR OOH =
    CALCULATE (
        [Inventory Units Bookings] ,
        ALL ( 'tool_Period' ),
        'dim_Calendar'[Date] &lt;= MAX ( 'dim_Calendar'[Date] )
    ) + [Inventory Units Databricks]
RETURN
    IF ( MIN ( 'dim_Calendar'[Date] ) &lt;= LastCubeProcDate, IF ( OOH &lt;&gt; 0, OOH ) )</t>
  </si>
  <si>
    <t xml:space="preserve">VAR SelectedSemester =
    MAX ( 'dim_Calendar'[SemesterNumber] )
VAR TodaySemester =
    CALCULATE (
        MAX ( 'dim_Calendar'[SemesterNumber] ),
        FILTER (
            ALL ( 'dim_Calendar' ),
            'dim_Calendar'[Date] = TODAY()
        )
    )
VAR EffectiveSemester =
    IF (
        ISFILTERED ( 'dim_Calendar'),
        SelectedSemester,
        TodaySemester
    )
RETURN
    CALCULATE (
        [Inventory Units],
        'fact_InventoryHistory'[LatestAssortmentSemester] &gt;= EffectiveSemester &amp;&amp;
        'fact_InventoryHistory'[FirstAssortmentSemester] &lt;=EffectiveSemester,
        'fact_InventoryHistory'[SourceSystem] ="EBP"
    )
    + 
        CALCULATE (
        [Inventory Units],
        'fact_InventoryHistory'[SourceSystem] ="OnPrem",
        'fact_InventoryHistory'[IntAgeingCode] = 20
    )
</t>
  </si>
  <si>
    <t>VAR SelectedSemesterNumber =
    MAX ( 'dim_Calendar'[SemesterNumber] )
VAR SelectedSemesterNo =
    MAX ( 'dim_Calendar'[SemesterNo] )
VAR TodaySemesterNumber =
    CALCULATE (
        MAX ( 'dim_Calendar'[SemesterNumber] ),
        FILTER (
            ALL ( 'dim_Calendar' ),
            'dim_Calendar'[Date] = TODAY()
        )
    )
VAR TodaySemesterNo =
    CALCULATE (
        MAX ( 'dim_Calendar'[SemesterNo] ),
        FILTER (
            ALL ( 'dim_Calendar' ),
            'dim_Calendar'[Date] = TODAY()
        )
    )
VAR EffectiveSemesterNumber =
    IF (
        ISFILTERED ( 'dim_Calendar' ),
        SelectedSemesterNumber,
        TodaySemesterNumber
    )
VAR EffectiveSemesterNo =
    IF (
        ISFILTERED ( 'dim_Calendar' ),
        SelectedSemesterNo,
        TodaySemesterNo
    )
RETURN
    CALCULATE (
        [Inventory Units],
        (
            'fact_InventoryHistory'[LatestAssortmentSemester] + 1 &lt; EffectiveSemesterNumber
                &amp;&amp; EffectiveSemesterNo = 2
        )
            || (
                'fact_InventoryHistory'[LatestAssortmentSemester] + 9 &lt; EffectiveSemesterNumber
                &amp;&amp; EffectiveSemesterNo = 1
            ),
        'fact_InventoryHistory'[SourceSystem] ="EBP"
    )
    + 
        CALCULATE (
        [Inventory Units],
        'fact_InventoryHistory'[SourceSystem] ="OnPrem",
        'fact_InventoryHistory'[IntAgeingCode] = 40
    )</t>
  </si>
  <si>
    <t>VAR SelectedSemester =
    MAX ( 'dim_Calendar'[SemesterNumber] )
VAR TodaySemester =
    CALCULATE (
        MAX ( 'dim_Calendar'[SemesterNumber] ),
        FILTER (
            ALL ( 'dim_Calendar' ),
            'dim_Calendar'[Date] = TODAY()
        )
    )
VAR EffectiveSemester =
    IF (
        ISFILTERED ( 'dim_Calendar' ),
        SelectedSemester,
        TodaySemester
    )
RETURN
    CALCULATE (
        [Inventory Units],
        'fact_InventoryHistory'[FirstAssortmentSemester] &gt; EffectiveSemester,
        'fact_InventoryHistory'[SourceSystem] ="EBP"
    )
    + 
        CALCULATE (
        [Inventory Units],
        'fact_InventoryHistory'[SourceSystem] ="OnPrem",
        'fact_InventoryHistory'[IntAgeingCode] = 10
    )</t>
  </si>
  <si>
    <t xml:space="preserve">VAR SelectedSemesterNumber =
    MAX ( 'dim_Calendar'[SemesterNumber] )
VAR SelectedSemesterNo =
    MAX ( 'dim_Calendar'[SemesterNo] )
VAR TodaySemesterNumber =
    CALCULATE (
        MAX ( 'dim_Calendar'[SemesterNumber] ),
        FILTER (
            ALL ( 'dim_Calendar' ),
            'dim_Calendar'[Date] = TODAY()
        )
    )
VAR TodaySemesterNo =
    CALCULATE (
        MAX ( 'dim_Calendar'[SemesterNo] ),
        FILTER (
            ALL ( 'dim_Calendar' ),
            'dim_Calendar'[Date] = TODAY()
        )
    )
VAR EffectiveSemesterNumber =
    IF (
        ISFILTERED ( 'dim_Calendar'),
        SelectedSemesterNumber,
        TodaySemesterNumber
    )
VAR EffectiveSemesterNo =
    IF (
        ISFILTERED ( 'dim_Calendar' ),
        SelectedSemesterNo,
        TodaySemesterNo
    )
RETURN
    CALCULATE (
        [Inventory Units],
        (
            'fact_InventoryHistory'[LatestAssortmentSemester] + 1 = EffectiveSemesterNumber
                &amp;&amp; EffectiveSemesterNo = 2
        )
            || (
                'fact_InventoryHistory'[LatestAssortmentSemester] + 9 = EffectiveSemesterNumber
                &amp;&amp; EffectiveSemesterNo = 1
            ),
        'fact_InventoryHistory'[SourceSystem] ="EBP"
    )
    + 
        CALCULATE (
        [Inventory Units],
        'fact_InventoryHistory'[SourceSystem] ="OnPrem",
        'fact_InventoryHistory'[IntAgeingCode] = 30
    )
    </t>
  </si>
  <si>
    <t>///* ToDo: DAX Optimizing */
//VAR LastCubeProcDate = [Last Cube Processing Date]
//VAR LastCubeProcDateLY = [Last Cube Processing Date LY]
//VAR MaxDate = MIN( MAX('dim_Calendar'[DateLY]), LastCubeProcDateLY)
//VAR OOH = CALCULATE( [Inventory Units Bookings], ALL('tool_Period'),  FILTER( ALL('dim_Calendar'[Date]),'dim_Calendar'[Date] &lt;= MaxDate), SAMEPERIODLASTYEAR( 'dim_DeliveryDate'[Date]))
//RETURN
//    IF (
//        MIN ( 'dim_Calendar'[Date] ) &lt;= LastCubeProcDate
//        ,IF( OOH &lt;&gt; 0, OOH)
//    )
VAR OOH =
    CALCULATE (
        [Inventory Units],
        SAMEPERIODLASTYEAR ( 'dim_Calendar'[Date] )
    ) + [Inventory Units Databricks LY] 
RETURN
    IF ( OOH &lt;&gt; 0, OOH )</t>
  </si>
  <si>
    <t>[Inventory Units Comp] - [Inventory Units LY]</t>
  </si>
  <si>
    <t>DIVIDE ( [Inventory Units vs LY], abs([Inventory Units LY]) )</t>
  </si>
  <si>
    <t>VAR IsEURSel = [FXSelect] = "EUR"
RETURN
    IF (
        IsEURSel,
        /* EUR Calculation */
        SUMX (
            VALUES ( 'dim_CurrencyFXRate'[LastHFMClosingRate] ),
           ( [Inventory Gross LC] + [Inventory Gross LC Databricks]) * 'dim_CurrencyFXRate'[LastHFMClosingRate]
        ),
        /* Local Currency Calculation */
        [Inventory Gross LC] + [Inventory Gross LC Databricks]
    )</t>
  </si>
  <si>
    <t>VAR IsEURSel = [FXSelect] = "EUR"
RETURN
    IF (
        IsEURSel,
        /* EUR Calculation */
        SUMX (
            VALUES ( 'dim_CurrencyFXRate'[LastHFMClosingRate] ),
            [Inventory Gross LC LY] + [Inventory Gross LC LY Databricks]  * 'dim_CurrencyFXRate'[LastHFMClosingRate]
        ),
        /* Local Currency Calculation */
        [Inventory Gross LC LY] + [Inventory Gross LC LY Databricks]
    )</t>
  </si>
  <si>
    <t>--[Inventory Gross Comp] 
[Inventory Gross]- [Inventory Gross LY]</t>
  </si>
  <si>
    <t>DIVIDE ( [Inventory Gross vs LY], abs([Inventory Gross LY]) )</t>
  </si>
  <si>
    <t>/* ToDo: DAX Optimizing */
VAR LastCubeProcDate = [Last Cube Processing Date]
VAR OOH = CALCULATE( [Inventory Units Bookings], ALL('tool_Period'), FILTER( ALL('dim_DeliveryDate'[Date]),'dim_DeliveryDate'[Date] &lt;= MAX('dim_DeliveryDate'[Date])))+ [Inventory Units Bookings Databricks]         
RETURN
    IF (
        MIN ( 'dim_DeliveryDate'[Date] ) &lt;= LastCubeProcDate
        ,IF( OOH &lt;&gt; 0, OOH)
    )</t>
  </si>
  <si>
    <t>CALCULATE (
    [Inventory Units Delivery Date],
    USERELATIONSHIP ( 'fact_InventoryHistory'[BookingDateLW], 'dim_DeliveryDate'[Date] )
)</t>
  </si>
  <si>
    <t>PRICECURRENCY field is missing for a significant portion of records</t>
  </si>
  <si>
    <t>A significant portion of inventory records contain blank/null values in the PRICECURRENCY column, which may impact inventory valuation, reporting accuracy, and business validation activities.</t>
  </si>
  <si>
    <t>https://puma-all.atlassian.net/browse/UDPEBP-321</t>
  </si>
  <si>
    <r>
      <t xml:space="preserve">While testing the inventory dbx cube, we found that for the inventory type='ALLOCATEDONHOLD','ALLOCATEDTODELIVERY', ‘ALLOCATEDTO STOCK’ are having no </t>
    </r>
    <r>
      <rPr>
        <b/>
        <sz val="11"/>
        <color rgb="FF292A2E"/>
        <rFont val="Atlassian Sans"/>
        <charset val="1"/>
      </rPr>
      <t xml:space="preserve">GROSS </t>
    </r>
    <r>
      <rPr>
        <sz val="11"/>
        <color rgb="FF292A2E"/>
        <rFont val="Atlassian Sans"/>
        <charset val="1"/>
      </rPr>
      <t xml:space="preserve">values even they count of </t>
    </r>
    <r>
      <rPr>
        <b/>
        <sz val="11"/>
        <color rgb="FF292A2E"/>
        <rFont val="Atlassian Sans"/>
        <charset val="1"/>
      </rPr>
      <t xml:space="preserve">UNITS </t>
    </r>
    <r>
      <rPr>
        <sz val="11"/>
        <color rgb="FF292A2E"/>
        <rFont val="Atlassian Sans"/>
        <charset val="1"/>
      </rPr>
      <t>in dbx cube.</t>
    </r>
  </si>
  <si>
    <t>https://puma-all.atlassian.net/browse/UDPEBP-328</t>
  </si>
  <si>
    <t>Inventory Gross LY, Inventory Gross vs LY, Inventory Gross vs LY%</t>
  </si>
  <si>
    <t>UDP-France-'Inventory Gross LY' KPI is not picking actual values for Year '2026' in both SYN and DBX</t>
  </si>
  <si>
    <t>[UDPEBP-330] UDP-France-'Inventory Gross LY' KPI is not picking actual values for Year '2026' in both SYN and DBX - Jira ALL</t>
  </si>
  <si>
    <t>KPI/Dimension</t>
  </si>
  <si>
    <t>KPI Name</t>
  </si>
  <si>
    <t>Dimension</t>
  </si>
  <si>
    <t>Inventory Type</t>
  </si>
  <si>
    <t>Inventory Details</t>
  </si>
  <si>
    <t>Stock Segment</t>
  </si>
  <si>
    <t>Storage Location</t>
  </si>
  <si>
    <t>Special Stock Indicator</t>
  </si>
  <si>
    <t>Inventory Status</t>
  </si>
  <si>
    <t>Inventory Status Projected</t>
  </si>
  <si>
    <t>Inventory Units Projected</t>
  </si>
  <si>
    <t>Table / 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</si>
</sst>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sz val="9.75"/>
      <color rgb="FF000000"/>
      <name val="Consolas"/>
      <family val="3"/>
      <charset val="1"/>
    </font>
    <font>
      <sz val="9.75"/>
      <color rgb="FF0000FF"/>
      <name val="Consolas"/>
      <family val="3"/>
      <charset val="1"/>
    </font>
    <font>
      <b/>
      <sz val="11"/>
      <color rgb="FF292A2E"/>
      <name val="Atlassian Sans"/>
      <charset val="1"/>
    </font>
    <font>
      <sz val="11"/>
      <color rgb="FF292A2E"/>
      <name val="Atlassian Sans"/>
      <charset val="1"/>
    </font>
    <font>
      <sz val="18"/>
      <color rgb="FF292A2E"/>
      <name val="Atlassian Sans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1" xfId="0" applyBorder="1"/>
    <xf numFmtId="0" fontId="0" fillId="0" borderId="1" xfId="0" quotePrefix="1" applyBorder="1"/>
    <xf numFmtId="0" fontId="0" fillId="0" borderId="1" xfId="0" quotePrefix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/>
    <xf numFmtId="0" fontId="4" fillId="0" borderId="0" xfId="0" applyFont="1"/>
    <xf numFmtId="0" fontId="2" fillId="0" borderId="1" xfId="1" applyBorder="1"/>
    <xf numFmtId="0" fontId="6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/>
    <xf numFmtId="0" fontId="6" fillId="0" borderId="0" xfId="0" applyFont="1" applyAlignment="1"/>
    <xf numFmtId="0" fontId="5" fillId="0" borderId="0" xfId="0" applyFont="1" applyAlignment="1"/>
    <xf numFmtId="0" fontId="0" fillId="0" borderId="0" xfId="0" applyAlignme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uma-all.atlassian.net/browse/UDPEBP-325" TargetMode="External"/><Relationship Id="rId7" Type="http://schemas.openxmlformats.org/officeDocument/2006/relationships/hyperlink" Target="https://puma-all.atlassian.net/browse/UDPEBP-330" TargetMode="External"/><Relationship Id="rId2" Type="http://schemas.openxmlformats.org/officeDocument/2006/relationships/hyperlink" Target="https://puma-all.atlassian.net/browse/UDPEBP-323" TargetMode="External"/><Relationship Id="rId1" Type="http://schemas.openxmlformats.org/officeDocument/2006/relationships/hyperlink" Target="https://puma-all.atlassian.net/browse/UDPEBP-324" TargetMode="External"/><Relationship Id="rId6" Type="http://schemas.openxmlformats.org/officeDocument/2006/relationships/hyperlink" Target="https://puma-all.atlassian.net/browse/UDPEBP-328" TargetMode="External"/><Relationship Id="rId5" Type="http://schemas.openxmlformats.org/officeDocument/2006/relationships/hyperlink" Target="https://puma-all.atlassian.net/browse/UDPEBP-321" TargetMode="External"/><Relationship Id="rId4" Type="http://schemas.openxmlformats.org/officeDocument/2006/relationships/hyperlink" Target="https://puma-all.atlassian.net/browse/UDPEBP-3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9229E-9E02-4786-A1AA-C1B453A3BCD3}">
  <dimension ref="A1:F31"/>
  <sheetViews>
    <sheetView tabSelected="1" workbookViewId="0">
      <selection activeCell="C2" sqref="C2"/>
    </sheetView>
  </sheetViews>
  <sheetFormatPr defaultRowHeight="15"/>
  <cols>
    <col min="1" max="1" width="5.140625" bestFit="1" customWidth="1"/>
    <col min="2" max="2" width="14.42578125" bestFit="1" customWidth="1"/>
    <col min="3" max="3" width="30.5703125" customWidth="1"/>
    <col min="4" max="4" width="30.5703125" style="20" customWidth="1"/>
    <col min="5" max="5" width="16.85546875" customWidth="1"/>
    <col min="6" max="6" width="103.28515625" style="16" customWidth="1"/>
  </cols>
  <sheetData>
    <row r="1" spans="1:6" s="7" customFormat="1">
      <c r="A1" s="7" t="s">
        <v>0</v>
      </c>
      <c r="B1" s="7" t="s">
        <v>72</v>
      </c>
      <c r="C1" s="7" t="s">
        <v>83</v>
      </c>
      <c r="D1" s="17" t="s">
        <v>73</v>
      </c>
      <c r="E1" s="7" t="s">
        <v>1</v>
      </c>
      <c r="F1" s="13" t="s">
        <v>49</v>
      </c>
    </row>
    <row r="2" spans="1:6" ht="115.5">
      <c r="A2">
        <f>ROW()-1</f>
        <v>1</v>
      </c>
      <c r="B2" t="s">
        <v>19</v>
      </c>
      <c r="C2" t="s">
        <v>2</v>
      </c>
      <c r="D2" s="18" t="s">
        <v>2</v>
      </c>
      <c r="E2" t="s">
        <v>3</v>
      </c>
      <c r="F2" s="10" t="s">
        <v>50</v>
      </c>
    </row>
    <row r="3" spans="1:6">
      <c r="A3">
        <f t="shared" ref="A3:A31" si="0">ROW()-1</f>
        <v>2</v>
      </c>
      <c r="B3" t="s">
        <v>19</v>
      </c>
      <c r="C3" t="s">
        <v>82</v>
      </c>
      <c r="D3" s="18" t="s">
        <v>4</v>
      </c>
      <c r="E3" t="s">
        <v>3</v>
      </c>
      <c r="F3" s="14"/>
    </row>
    <row r="4" spans="1:6" ht="409.6">
      <c r="A4">
        <f t="shared" si="0"/>
        <v>3</v>
      </c>
      <c r="B4" t="s">
        <v>19</v>
      </c>
      <c r="D4" s="18" t="s">
        <v>5</v>
      </c>
      <c r="E4" t="s">
        <v>3</v>
      </c>
      <c r="F4" s="11" t="s">
        <v>51</v>
      </c>
    </row>
    <row r="5" spans="1:6" ht="409.6">
      <c r="A5">
        <f t="shared" si="0"/>
        <v>4</v>
      </c>
      <c r="B5" t="s">
        <v>19</v>
      </c>
      <c r="D5" s="18" t="s">
        <v>6</v>
      </c>
      <c r="E5" t="s">
        <v>3</v>
      </c>
      <c r="F5" s="11" t="s">
        <v>52</v>
      </c>
    </row>
    <row r="6" spans="1:6" ht="396">
      <c r="A6">
        <f t="shared" si="0"/>
        <v>5</v>
      </c>
      <c r="B6" t="s">
        <v>19</v>
      </c>
      <c r="D6" s="19" t="s">
        <v>7</v>
      </c>
      <c r="E6" t="s">
        <v>3</v>
      </c>
      <c r="F6" s="11" t="s">
        <v>53</v>
      </c>
    </row>
    <row r="7" spans="1:6" ht="409.6">
      <c r="A7">
        <f t="shared" si="0"/>
        <v>6</v>
      </c>
      <c r="B7" t="s">
        <v>19</v>
      </c>
      <c r="D7" s="18" t="s">
        <v>8</v>
      </c>
      <c r="E7" t="s">
        <v>3</v>
      </c>
      <c r="F7" s="11" t="s">
        <v>54</v>
      </c>
    </row>
    <row r="8" spans="1:6" ht="255.75">
      <c r="A8">
        <f t="shared" si="0"/>
        <v>7</v>
      </c>
      <c r="B8" t="s">
        <v>19</v>
      </c>
      <c r="D8" s="18" t="s">
        <v>9</v>
      </c>
      <c r="E8" t="s">
        <v>3</v>
      </c>
      <c r="F8" s="11" t="s">
        <v>55</v>
      </c>
    </row>
    <row r="9" spans="1:6">
      <c r="A9">
        <f t="shared" si="0"/>
        <v>8</v>
      </c>
      <c r="B9" t="s">
        <v>19</v>
      </c>
      <c r="D9" s="18" t="s">
        <v>10</v>
      </c>
      <c r="E9" t="s">
        <v>3</v>
      </c>
      <c r="F9" s="14" t="s">
        <v>56</v>
      </c>
    </row>
    <row r="10" spans="1:6">
      <c r="A10">
        <f t="shared" si="0"/>
        <v>9</v>
      </c>
      <c r="B10" t="s">
        <v>19</v>
      </c>
      <c r="D10" s="18" t="s">
        <v>11</v>
      </c>
      <c r="E10" t="s">
        <v>3</v>
      </c>
      <c r="F10" s="15" t="s">
        <v>57</v>
      </c>
    </row>
    <row r="11" spans="1:6" ht="180">
      <c r="A11">
        <f t="shared" si="0"/>
        <v>10</v>
      </c>
      <c r="B11" t="s">
        <v>19</v>
      </c>
      <c r="D11" s="18" t="s">
        <v>12</v>
      </c>
      <c r="E11" t="s">
        <v>3</v>
      </c>
      <c r="F11" s="12" t="s">
        <v>58</v>
      </c>
    </row>
    <row r="12" spans="1:6" ht="180">
      <c r="A12">
        <f t="shared" si="0"/>
        <v>11</v>
      </c>
      <c r="B12" t="s">
        <v>19</v>
      </c>
      <c r="D12" s="18" t="s">
        <v>13</v>
      </c>
      <c r="E12" t="s">
        <v>3</v>
      </c>
      <c r="F12" s="12" t="s">
        <v>59</v>
      </c>
    </row>
    <row r="13" spans="1:6" ht="30">
      <c r="A13">
        <f t="shared" si="0"/>
        <v>12</v>
      </c>
      <c r="B13" t="s">
        <v>19</v>
      </c>
      <c r="D13" s="18" t="s">
        <v>14</v>
      </c>
      <c r="E13" t="s">
        <v>3</v>
      </c>
      <c r="F13" s="12" t="s">
        <v>60</v>
      </c>
    </row>
    <row r="14" spans="1:6">
      <c r="A14">
        <f t="shared" si="0"/>
        <v>13</v>
      </c>
      <c r="B14" t="s">
        <v>19</v>
      </c>
      <c r="D14" s="18" t="s">
        <v>15</v>
      </c>
      <c r="E14" t="s">
        <v>3</v>
      </c>
      <c r="F14" s="16" t="s">
        <v>61</v>
      </c>
    </row>
    <row r="15" spans="1:6" ht="150">
      <c r="A15">
        <f t="shared" si="0"/>
        <v>14</v>
      </c>
      <c r="B15" t="s">
        <v>19</v>
      </c>
      <c r="D15" s="18" t="s">
        <v>16</v>
      </c>
      <c r="E15" t="s">
        <v>3</v>
      </c>
      <c r="F15" s="12" t="s">
        <v>62</v>
      </c>
    </row>
    <row r="16" spans="1:6" ht="60">
      <c r="A16">
        <f t="shared" si="0"/>
        <v>15</v>
      </c>
      <c r="B16" t="s">
        <v>19</v>
      </c>
      <c r="D16" s="18" t="s">
        <v>17</v>
      </c>
      <c r="E16" t="s">
        <v>3</v>
      </c>
      <c r="F16" s="12" t="s">
        <v>63</v>
      </c>
    </row>
    <row r="17" spans="1:4">
      <c r="A17">
        <f t="shared" si="0"/>
        <v>16</v>
      </c>
      <c r="B17" t="s">
        <v>74</v>
      </c>
      <c r="C17" t="s">
        <v>76</v>
      </c>
      <c r="D17" s="20" t="s">
        <v>75</v>
      </c>
    </row>
    <row r="18" spans="1:4">
      <c r="A18">
        <f t="shared" si="0"/>
        <v>17</v>
      </c>
      <c r="B18" t="s">
        <v>74</v>
      </c>
      <c r="C18" t="s">
        <v>76</v>
      </c>
      <c r="D18" s="20" t="s">
        <v>77</v>
      </c>
    </row>
    <row r="19" spans="1:4">
      <c r="A19">
        <f t="shared" si="0"/>
        <v>18</v>
      </c>
      <c r="B19" t="s">
        <v>74</v>
      </c>
      <c r="C19" t="s">
        <v>76</v>
      </c>
      <c r="D19" s="20" t="s">
        <v>78</v>
      </c>
    </row>
    <row r="20" spans="1:4">
      <c r="A20">
        <f t="shared" si="0"/>
        <v>19</v>
      </c>
      <c r="B20" t="s">
        <v>74</v>
      </c>
      <c r="C20" t="s">
        <v>76</v>
      </c>
      <c r="D20" s="20" t="s">
        <v>79</v>
      </c>
    </row>
    <row r="21" spans="1:4">
      <c r="A21">
        <f t="shared" si="0"/>
        <v>20</v>
      </c>
      <c r="B21" t="s">
        <v>74</v>
      </c>
      <c r="C21" t="s">
        <v>80</v>
      </c>
      <c r="D21" s="20" t="s">
        <v>80</v>
      </c>
    </row>
    <row r="22" spans="1:4">
      <c r="A22">
        <f t="shared" si="0"/>
        <v>21</v>
      </c>
      <c r="B22" t="s">
        <v>74</v>
      </c>
      <c r="C22" t="s">
        <v>80</v>
      </c>
      <c r="D22" s="20" t="s">
        <v>81</v>
      </c>
    </row>
    <row r="23" spans="1:4">
      <c r="A23">
        <f t="shared" si="0"/>
        <v>22</v>
      </c>
    </row>
    <row r="24" spans="1:4">
      <c r="A24">
        <f t="shared" si="0"/>
        <v>23</v>
      </c>
    </row>
    <row r="25" spans="1:4">
      <c r="A25">
        <f t="shared" si="0"/>
        <v>24</v>
      </c>
    </row>
    <row r="26" spans="1:4">
      <c r="A26">
        <f t="shared" si="0"/>
        <v>25</v>
      </c>
    </row>
    <row r="27" spans="1:4">
      <c r="A27">
        <f t="shared" si="0"/>
        <v>26</v>
      </c>
    </row>
    <row r="28" spans="1:4">
      <c r="A28">
        <f t="shared" si="0"/>
        <v>27</v>
      </c>
    </row>
    <row r="29" spans="1:4">
      <c r="A29">
        <f t="shared" si="0"/>
        <v>28</v>
      </c>
    </row>
    <row r="30" spans="1:4">
      <c r="A30">
        <f t="shared" si="0"/>
        <v>29</v>
      </c>
    </row>
    <row r="31" spans="1:4">
      <c r="A31">
        <f t="shared" si="0"/>
        <v>30</v>
      </c>
    </row>
  </sheetData>
  <autoFilter ref="A1:F1" xr:uid="{84E9229E-9E02-4786-A1AA-C1B453A3BCD3}"/>
  <dataValidations count="1">
    <dataValidation type="list" allowBlank="1" showInputMessage="1" showErrorMessage="1" sqref="E2:E16" xr:uid="{425EC856-D2A6-4D0A-8D82-71015FB3276E}">
      <formula1>"To-Do, In-Progress, Done"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workbookViewId="0">
      <pane ySplit="1" topLeftCell="A2" activePane="bottomLeft" state="frozen"/>
      <selection pane="bottomLeft" activeCell="E9" sqref="E9"/>
    </sheetView>
  </sheetViews>
  <sheetFormatPr defaultRowHeight="15"/>
  <cols>
    <col min="1" max="1" width="18.7109375" style="3" customWidth="1"/>
    <col min="2" max="2" width="61.140625" style="3" customWidth="1"/>
    <col min="3" max="3" width="42.7109375" style="6" customWidth="1"/>
    <col min="4" max="4" width="9.140625" style="3"/>
    <col min="5" max="5" width="21.7109375" style="3" customWidth="1"/>
    <col min="6" max="6" width="32" style="3" customWidth="1"/>
    <col min="7" max="7" width="19.42578125" style="3" customWidth="1"/>
    <col min="8" max="8" width="50.42578125" style="3" customWidth="1"/>
    <col min="9" max="9" width="116.28515625" style="3" customWidth="1"/>
    <col min="10" max="10" width="41.28515625" style="3" customWidth="1"/>
    <col min="11" max="16384" width="9.140625" style="3"/>
  </cols>
  <sheetData>
    <row r="1" spans="1:11" ht="18.75">
      <c r="A1" s="1" t="s">
        <v>18</v>
      </c>
      <c r="B1" s="2" t="s">
        <v>19</v>
      </c>
      <c r="C1" s="2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2" t="s">
        <v>25</v>
      </c>
      <c r="I1" s="2" t="s">
        <v>26</v>
      </c>
      <c r="J1" s="1" t="s">
        <v>27</v>
      </c>
      <c r="K1" s="1"/>
    </row>
    <row r="2" spans="1:11" ht="30">
      <c r="A2" s="3" t="s">
        <v>28</v>
      </c>
      <c r="B2" s="4" t="s">
        <v>29</v>
      </c>
      <c r="C2" s="5" t="s">
        <v>30</v>
      </c>
      <c r="D2" s="3" t="s">
        <v>31</v>
      </c>
      <c r="E2" s="3" t="s">
        <v>32</v>
      </c>
      <c r="F2" s="3" t="s">
        <v>33</v>
      </c>
      <c r="G2" s="3" t="s">
        <v>34</v>
      </c>
      <c r="I2" s="9" t="s">
        <v>35</v>
      </c>
    </row>
    <row r="3" spans="1:11" ht="60">
      <c r="A3" s="3" t="s">
        <v>28</v>
      </c>
      <c r="B3" s="5" t="s">
        <v>36</v>
      </c>
      <c r="C3" s="6" t="s">
        <v>37</v>
      </c>
      <c r="D3" s="3" t="s">
        <v>31</v>
      </c>
      <c r="E3" s="3" t="s">
        <v>32</v>
      </c>
      <c r="F3" s="3" t="s">
        <v>33</v>
      </c>
      <c r="G3" s="3" t="s">
        <v>34</v>
      </c>
      <c r="I3" s="9" t="s">
        <v>38</v>
      </c>
    </row>
    <row r="4" spans="1:11">
      <c r="A4" s="3" t="s">
        <v>28</v>
      </c>
      <c r="B4" s="3" t="s">
        <v>39</v>
      </c>
      <c r="C4" s="6" t="s">
        <v>40</v>
      </c>
      <c r="D4" s="3" t="s">
        <v>31</v>
      </c>
      <c r="G4" s="3" t="s">
        <v>34</v>
      </c>
    </row>
    <row r="5" spans="1:11" ht="30">
      <c r="A5" s="3" t="s">
        <v>28</v>
      </c>
      <c r="B5" s="3" t="s">
        <v>12</v>
      </c>
      <c r="C5" s="6" t="s">
        <v>41</v>
      </c>
      <c r="D5" s="3" t="s">
        <v>31</v>
      </c>
      <c r="E5" s="3" t="s">
        <v>42</v>
      </c>
      <c r="F5" s="3" t="s">
        <v>43</v>
      </c>
      <c r="G5" s="3" t="s">
        <v>34</v>
      </c>
      <c r="H5" s="6"/>
      <c r="I5" s="9" t="s">
        <v>44</v>
      </c>
    </row>
    <row r="6" spans="1:11" ht="45">
      <c r="A6" s="3" t="s">
        <v>28</v>
      </c>
      <c r="B6" s="4" t="s">
        <v>45</v>
      </c>
      <c r="C6" s="6" t="s">
        <v>46</v>
      </c>
      <c r="D6" s="3" t="s">
        <v>31</v>
      </c>
      <c r="E6" s="3" t="s">
        <v>32</v>
      </c>
      <c r="F6" s="3" t="s">
        <v>47</v>
      </c>
      <c r="G6" s="3" t="s">
        <v>34</v>
      </c>
      <c r="I6" s="9" t="s">
        <v>48</v>
      </c>
    </row>
    <row r="7" spans="1:11" ht="75">
      <c r="A7" s="3" t="s">
        <v>28</v>
      </c>
      <c r="B7" s="3" t="s">
        <v>64</v>
      </c>
      <c r="C7" s="6" t="s">
        <v>65</v>
      </c>
      <c r="D7" s="3" t="s">
        <v>31</v>
      </c>
      <c r="E7" s="3" t="s">
        <v>32</v>
      </c>
      <c r="F7" s="3" t="s">
        <v>33</v>
      </c>
      <c r="G7" s="3" t="s">
        <v>3</v>
      </c>
      <c r="I7" s="9" t="s">
        <v>66</v>
      </c>
    </row>
    <row r="8" spans="1:11" ht="87">
      <c r="A8" s="3" t="s">
        <v>28</v>
      </c>
      <c r="B8" s="8" t="s">
        <v>12</v>
      </c>
      <c r="C8" s="21" t="s">
        <v>67</v>
      </c>
      <c r="D8" s="3" t="s">
        <v>31</v>
      </c>
      <c r="E8" s="3" t="s">
        <v>32</v>
      </c>
      <c r="F8" s="3" t="s">
        <v>33</v>
      </c>
      <c r="G8" s="3" t="s">
        <v>34</v>
      </c>
      <c r="I8" s="9" t="s">
        <v>68</v>
      </c>
    </row>
    <row r="9" spans="1:11" ht="45">
      <c r="A9" s="3" t="s">
        <v>28</v>
      </c>
      <c r="B9" s="3" t="s">
        <v>69</v>
      </c>
      <c r="C9" s="6" t="s">
        <v>70</v>
      </c>
      <c r="D9" s="3" t="s">
        <v>31</v>
      </c>
      <c r="E9" s="3" t="s">
        <v>32</v>
      </c>
      <c r="F9" s="3" t="s">
        <v>33</v>
      </c>
      <c r="G9" s="3" t="s">
        <v>3</v>
      </c>
      <c r="I9" s="23" t="s">
        <v>71</v>
      </c>
    </row>
    <row r="10" spans="1:11" ht="23.25">
      <c r="B10" s="22"/>
    </row>
  </sheetData>
  <autoFilter ref="A1:K1" xr:uid="{00000000-0001-0000-0000-000000000000}"/>
  <dataValidations count="1">
    <dataValidation type="list" allowBlank="1" showInputMessage="1" showErrorMessage="1" sqref="G2:G15" xr:uid="{6D9CF228-60F0-4325-86C7-937236DE451A}">
      <formula1>"To-Do, In-Progress, Done"</formula1>
    </dataValidation>
  </dataValidations>
  <hyperlinks>
    <hyperlink ref="I3" r:id="rId1" xr:uid="{FC0873EE-6C7C-4DB9-AF5C-256D0395BD63}"/>
    <hyperlink ref="I2" r:id="rId2" xr:uid="{2565F66E-1BD9-4D79-9EAF-9D1C83DADD7E}"/>
    <hyperlink ref="I5" r:id="rId3" xr:uid="{40407772-72E1-471E-B4E6-ED4069AC0D56}"/>
    <hyperlink ref="I6" r:id="rId4" xr:uid="{0979BF5C-E3B0-4520-9411-4F391E336833}"/>
    <hyperlink ref="I7" r:id="rId5" xr:uid="{3448E916-32BA-42B0-A49A-8C8BEC78252C}"/>
    <hyperlink ref="I8" r:id="rId6" xr:uid="{759586B7-8ABA-4109-AE29-2FF77320A278}"/>
    <hyperlink ref="I9" r:id="rId7" xr:uid="{A8651A0A-B099-4B01-B437-3965F39DA7C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e9323c-636d-4eed-b55d-9aaf012de4aa">
      <Terms xmlns="http://schemas.microsoft.com/office/infopath/2007/PartnerControls"/>
    </lcf76f155ced4ddcb4097134ff3c332f>
    <TaxCatchAll xmlns="1fc7765c-d2a2-4732-9682-0044a0e502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E6CB52FC88A141895A8C9A8028E7DE" ma:contentTypeVersion="12" ma:contentTypeDescription="Create a new document." ma:contentTypeScope="" ma:versionID="597bcc79d9481d31ee7008a954b322ab">
  <xsd:schema xmlns:xsd="http://www.w3.org/2001/XMLSchema" xmlns:xs="http://www.w3.org/2001/XMLSchema" xmlns:p="http://schemas.microsoft.com/office/2006/metadata/properties" xmlns:ns2="eae9323c-636d-4eed-b55d-9aaf012de4aa" xmlns:ns3="1fc7765c-d2a2-4732-9682-0044a0e50221" targetNamespace="http://schemas.microsoft.com/office/2006/metadata/properties" ma:root="true" ma:fieldsID="5f35fe91785320f73b1b2a0f97e4a343" ns2:_="" ns3:_="">
    <xsd:import namespace="eae9323c-636d-4eed-b55d-9aaf012de4aa"/>
    <xsd:import namespace="1fc7765c-d2a2-4732-9682-0044a0e502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e9323c-636d-4eed-b55d-9aaf012de4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c9e91c5-9141-4d93-9e92-55c45ce90fd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c7765c-d2a2-4732-9682-0044a0e502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7115dd-6479-4c41-8934-f97feb4e0b54}" ma:internalName="TaxCatchAll" ma:showField="CatchAllData" ma:web="1fc7765c-d2a2-4732-9682-0044a0e502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37CF97-C76B-4745-B43C-42D9977FEE52}">
  <ds:schemaRefs>
    <ds:schemaRef ds:uri="http://www.w3.org/XML/1998/namespace"/>
    <ds:schemaRef ds:uri="http://purl.org/dc/dcmitype/"/>
    <ds:schemaRef ds:uri="http://purl.org/dc/elements/1.1/"/>
    <ds:schemaRef ds:uri="http://schemas.microsoft.com/office/infopath/2007/PartnerControls"/>
    <ds:schemaRef ds:uri="1fc7765c-d2a2-4732-9682-0044a0e50221"/>
    <ds:schemaRef ds:uri="http://schemas.microsoft.com/office/2006/documentManagement/types"/>
    <ds:schemaRef ds:uri="http://schemas.openxmlformats.org/package/2006/metadata/core-properties"/>
    <ds:schemaRef ds:uri="eae9323c-636d-4eed-b55d-9aaf012de4aa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EBCAC7E-0EE1-406B-BE92-5F3FB38B53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C9CFD6-CA96-4FAE-841F-810EDF39D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e9323c-636d-4eed-b55d-9aaf012de4aa"/>
    <ds:schemaRef ds:uri="1fc7765c-d2a2-4732-9682-0044a0e50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KPIs List</vt:lpstr>
      <vt:lpstr>Issues Found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Sina, Torsten</cp:lastModifiedBy>
  <cp:revision/>
  <dcterms:created xsi:type="dcterms:W3CDTF">2026-07-20T09:21:49Z</dcterms:created>
  <dcterms:modified xsi:type="dcterms:W3CDTF">2026-08-03T12:01:38Z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0x0101006CE6CB52FC88A141895A8C9A8028E7DE</vt:lpwstr>
  </property>
  <property fmtid="{D5CDD505-2E9C-101B-9397-08002B2CF9AE}" pid="3" name="MediaServiceImageTags">
    <vt:lpwstr/>
  </property>
</Properties>
</file>