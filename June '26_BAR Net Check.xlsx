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lisa.camacho/Desktop/Billing Docs/"/>
    </mc:Choice>
  </mc:AlternateContent>
  <xr:revisionPtr revIDLastSave="0" documentId="13_ncr:1_{4EC107D2-40DD-944A-B579-0B02E267C9FB}" xr6:coauthVersionLast="47" xr6:coauthVersionMax="47" xr10:uidLastSave="{00000000-0000-0000-0000-000000000000}"/>
  <bookViews>
    <workbookView xWindow="960" yWindow="780" windowWidth="28460" windowHeight="16940" xr2:uid="{00000000-000D-0000-FFFF-FFFF00000000}"/>
  </bookViews>
  <sheets>
    <sheet name="Comparison" sheetId="15" r:id="rId1"/>
    <sheet name="BAR Pivot" sheetId="13" r:id="rId2"/>
    <sheet name="Cash BAR" sheetId="1" r:id="rId3"/>
    <sheet name="AOS Pivot" sheetId="14" r:id="rId4"/>
    <sheet name="AOS Pre" sheetId="7" r:id="rId5"/>
  </sheets>
  <definedNames>
    <definedName name="_xlnm._FilterDatabase" localSheetId="4" hidden="1">'AOS Pre'!$A$1:$AJ$570</definedName>
    <definedName name="_xlnm._FilterDatabase" localSheetId="2" hidden="1">'Cash BAR'!$A$1:$AW$964</definedName>
    <definedName name="_xlnm._FilterDatabase" localSheetId="0" hidden="1">Comparison!$A$3:$D$215</definedName>
  </definedNames>
  <calcPr calcId="191029"/>
  <pivotCaches>
    <pivotCache cacheId="32" r:id="rId6"/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5" l="1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4" i="15"/>
  <c r="T3" i="1" l="1"/>
  <c r="T6" i="1"/>
  <c r="T8" i="1"/>
  <c r="T10" i="1"/>
  <c r="T13" i="1"/>
  <c r="T17" i="1"/>
  <c r="T19" i="1"/>
  <c r="T21" i="1"/>
  <c r="T23" i="1"/>
  <c r="T25" i="1"/>
  <c r="T27" i="1"/>
  <c r="T29" i="1"/>
  <c r="T30" i="1"/>
  <c r="T42" i="1"/>
  <c r="T43" i="1"/>
  <c r="T45" i="1"/>
  <c r="T48" i="1"/>
  <c r="T52" i="1"/>
  <c r="T53" i="1"/>
  <c r="T56" i="1"/>
  <c r="T59" i="1"/>
  <c r="T60" i="1"/>
  <c r="T61" i="1"/>
  <c r="T65" i="1"/>
  <c r="T67" i="1"/>
  <c r="T71" i="1"/>
  <c r="T74" i="1"/>
  <c r="T77" i="1"/>
  <c r="T82" i="1"/>
  <c r="T83" i="1"/>
  <c r="T85" i="1"/>
  <c r="T86" i="1"/>
  <c r="T87" i="1"/>
  <c r="T88" i="1"/>
  <c r="T89" i="1"/>
  <c r="T92" i="1"/>
  <c r="T95" i="1"/>
  <c r="T98" i="1"/>
  <c r="T101" i="1"/>
  <c r="T103" i="1"/>
  <c r="T105" i="1"/>
  <c r="T108" i="1"/>
  <c r="T110" i="1"/>
  <c r="T114" i="1"/>
  <c r="T115" i="1"/>
  <c r="T116" i="1"/>
  <c r="T118" i="1"/>
  <c r="T119" i="1"/>
  <c r="T120" i="1"/>
  <c r="T122" i="1"/>
  <c r="T125" i="1"/>
  <c r="T126" i="1"/>
  <c r="T128" i="1"/>
  <c r="T130" i="1"/>
  <c r="T132" i="1"/>
  <c r="T134" i="1"/>
  <c r="T135" i="1"/>
  <c r="T137" i="1"/>
  <c r="T138" i="1"/>
  <c r="T141" i="1"/>
  <c r="T143" i="1"/>
  <c r="T144" i="1"/>
  <c r="T147" i="1"/>
  <c r="T149" i="1"/>
  <c r="T152" i="1"/>
  <c r="T154" i="1"/>
  <c r="T155" i="1"/>
  <c r="T157" i="1"/>
  <c r="T158" i="1"/>
  <c r="T159" i="1"/>
  <c r="T160" i="1"/>
  <c r="T161" i="1"/>
  <c r="T163" i="1"/>
  <c r="T165" i="1"/>
  <c r="T167" i="1"/>
  <c r="T169" i="1"/>
  <c r="T172" i="1"/>
  <c r="T176" i="1"/>
  <c r="T177" i="1"/>
  <c r="T178" i="1"/>
  <c r="T179" i="1"/>
  <c r="T180" i="1"/>
  <c r="T182" i="1"/>
  <c r="T185" i="1"/>
  <c r="T187" i="1"/>
  <c r="T195" i="1"/>
  <c r="T197" i="1"/>
  <c r="T206" i="1"/>
  <c r="T210" i="1"/>
  <c r="T212" i="1"/>
  <c r="T213" i="1"/>
  <c r="T215" i="1"/>
  <c r="T216" i="1"/>
  <c r="T217" i="1"/>
  <c r="T219" i="1"/>
  <c r="T223" i="1"/>
  <c r="T224" i="1"/>
  <c r="T226" i="1"/>
  <c r="T231" i="1"/>
  <c r="T233" i="1"/>
  <c r="T234" i="1"/>
  <c r="T236" i="1"/>
  <c r="T238" i="1"/>
  <c r="T243" i="1"/>
  <c r="T245" i="1"/>
  <c r="T246" i="1"/>
  <c r="T250" i="1"/>
  <c r="T252" i="1"/>
  <c r="T255" i="1"/>
  <c r="T257" i="1"/>
  <c r="T259" i="1"/>
  <c r="T261" i="1"/>
  <c r="T263" i="1"/>
  <c r="T265" i="1"/>
  <c r="T266" i="1"/>
  <c r="T268" i="1"/>
  <c r="T269" i="1"/>
  <c r="T271" i="1"/>
  <c r="T272" i="1"/>
  <c r="T274" i="1"/>
  <c r="T275" i="1"/>
  <c r="T276" i="1"/>
  <c r="T278" i="1"/>
  <c r="T280" i="1"/>
  <c r="T282" i="1"/>
  <c r="T283" i="1"/>
  <c r="T284" i="1"/>
  <c r="T286" i="1"/>
  <c r="T288" i="1"/>
  <c r="T289" i="1"/>
  <c r="T290" i="1"/>
  <c r="T292" i="1"/>
  <c r="T294" i="1"/>
  <c r="T296" i="1"/>
  <c r="T298" i="1"/>
  <c r="T300" i="1"/>
  <c r="T302" i="1"/>
  <c r="T304" i="1"/>
  <c r="T306" i="1"/>
  <c r="T308" i="1"/>
  <c r="T310" i="1"/>
  <c r="T312" i="1"/>
  <c r="T314" i="1"/>
  <c r="T316" i="1"/>
  <c r="T318" i="1"/>
  <c r="T321" i="1"/>
  <c r="T323" i="1"/>
  <c r="T325" i="1"/>
  <c r="T326" i="1"/>
  <c r="T329" i="1"/>
  <c r="T331" i="1"/>
  <c r="T333" i="1"/>
  <c r="T335" i="1"/>
  <c r="T337" i="1"/>
  <c r="T338" i="1"/>
  <c r="T340" i="1"/>
  <c r="T341" i="1"/>
  <c r="T343" i="1"/>
  <c r="T345" i="1"/>
  <c r="T347" i="1"/>
  <c r="T349" i="1"/>
  <c r="T350" i="1"/>
  <c r="T352" i="1"/>
  <c r="T354" i="1"/>
  <c r="T355" i="1"/>
  <c r="T356" i="1"/>
  <c r="T357" i="1"/>
  <c r="T358" i="1"/>
  <c r="T360" i="1"/>
  <c r="T362" i="1"/>
  <c r="T363" i="1"/>
  <c r="T365" i="1"/>
  <c r="T367" i="1"/>
  <c r="T370" i="1"/>
  <c r="T372" i="1"/>
  <c r="T375" i="1"/>
  <c r="T378" i="1"/>
  <c r="T380" i="1"/>
  <c r="T381" i="1"/>
  <c r="T382" i="1"/>
  <c r="T384" i="1"/>
  <c r="T387" i="1"/>
  <c r="T389" i="1"/>
  <c r="T390" i="1"/>
  <c r="T392" i="1"/>
  <c r="T395" i="1"/>
  <c r="T397" i="1"/>
  <c r="T398" i="1"/>
  <c r="T401" i="1"/>
  <c r="T404" i="1"/>
  <c r="T406" i="1"/>
  <c r="T407" i="1"/>
  <c r="T410" i="1"/>
  <c r="T412" i="1"/>
  <c r="T414" i="1"/>
  <c r="T416" i="1"/>
  <c r="T418" i="1"/>
  <c r="T421" i="1"/>
  <c r="T423" i="1"/>
  <c r="T425" i="1"/>
  <c r="T431" i="1"/>
  <c r="T433" i="1"/>
  <c r="T435" i="1"/>
  <c r="T439" i="1"/>
  <c r="T441" i="1"/>
  <c r="T442" i="1"/>
  <c r="T445" i="1"/>
  <c r="T447" i="1"/>
  <c r="T449" i="1"/>
  <c r="T451" i="1"/>
  <c r="T453" i="1"/>
  <c r="T455" i="1"/>
  <c r="T458" i="1"/>
  <c r="T459" i="1"/>
  <c r="T461" i="1"/>
  <c r="T464" i="1"/>
  <c r="T465" i="1"/>
  <c r="T470" i="1"/>
  <c r="T472" i="1"/>
  <c r="T474" i="1"/>
  <c r="T475" i="1"/>
  <c r="T476" i="1"/>
  <c r="T477" i="1"/>
  <c r="T478" i="1"/>
  <c r="T480" i="1"/>
  <c r="T481" i="1"/>
  <c r="T483" i="1"/>
  <c r="T484" i="1"/>
  <c r="T485" i="1"/>
  <c r="T486" i="1"/>
  <c r="T487" i="1"/>
  <c r="T489" i="1"/>
  <c r="T493" i="1"/>
  <c r="T495" i="1"/>
  <c r="T499" i="1"/>
  <c r="T501" i="1"/>
  <c r="T502" i="1"/>
  <c r="T505" i="1"/>
  <c r="T507" i="1"/>
  <c r="T509" i="1"/>
  <c r="T510" i="1"/>
  <c r="T511" i="1"/>
  <c r="T512" i="1"/>
  <c r="T513" i="1"/>
  <c r="T515" i="1"/>
  <c r="T517" i="1"/>
  <c r="T519" i="1"/>
  <c r="T520" i="1"/>
  <c r="T522" i="1"/>
  <c r="T524" i="1"/>
  <c r="T526" i="1"/>
  <c r="T528" i="1"/>
  <c r="T532" i="1"/>
  <c r="T534" i="1"/>
  <c r="T535" i="1"/>
  <c r="T537" i="1"/>
  <c r="T539" i="1"/>
  <c r="T541" i="1"/>
  <c r="T543" i="1"/>
  <c r="T553" i="1"/>
  <c r="T555" i="1"/>
  <c r="T557" i="1"/>
  <c r="T559" i="1"/>
  <c r="T561" i="1"/>
  <c r="T562" i="1"/>
  <c r="T564" i="1"/>
  <c r="T565" i="1"/>
  <c r="T567" i="1"/>
  <c r="T568" i="1"/>
  <c r="T570" i="1"/>
  <c r="T571" i="1"/>
  <c r="T573" i="1"/>
  <c r="T574" i="1"/>
  <c r="T577" i="1"/>
  <c r="T579" i="1"/>
  <c r="T581" i="1"/>
  <c r="T584" i="1"/>
  <c r="T585" i="1"/>
  <c r="T586" i="1"/>
  <c r="T587" i="1"/>
  <c r="T588" i="1"/>
  <c r="T591" i="1"/>
  <c r="T593" i="1"/>
  <c r="T594" i="1"/>
  <c r="T596" i="1"/>
  <c r="T598" i="1"/>
  <c r="T600" i="1"/>
  <c r="T601" i="1"/>
  <c r="T603" i="1"/>
  <c r="T605" i="1"/>
  <c r="T606" i="1"/>
  <c r="T608" i="1"/>
  <c r="T609" i="1"/>
  <c r="T612" i="1"/>
  <c r="T615" i="1"/>
  <c r="T617" i="1"/>
  <c r="T626" i="1"/>
  <c r="T628" i="1"/>
  <c r="T630" i="1"/>
  <c r="T632" i="1"/>
  <c r="T637" i="1"/>
  <c r="T639" i="1"/>
  <c r="T640" i="1"/>
  <c r="T645" i="1"/>
  <c r="T647" i="1"/>
  <c r="T648" i="1"/>
  <c r="T649" i="1"/>
  <c r="T650" i="1"/>
  <c r="T651" i="1"/>
  <c r="T653" i="1"/>
  <c r="T655" i="1"/>
  <c r="T658" i="1"/>
  <c r="T660" i="1"/>
  <c r="T661" i="1"/>
  <c r="T663" i="1"/>
  <c r="T664" i="1"/>
  <c r="T665" i="1"/>
  <c r="T667" i="1"/>
  <c r="T669" i="1"/>
  <c r="T671" i="1"/>
  <c r="T673" i="1"/>
  <c r="T676" i="1"/>
  <c r="T678" i="1"/>
  <c r="T679" i="1"/>
  <c r="T682" i="1"/>
  <c r="T684" i="1"/>
  <c r="T686" i="1"/>
  <c r="T687" i="1"/>
  <c r="T690" i="1"/>
  <c r="T691" i="1"/>
  <c r="T693" i="1"/>
  <c r="T695" i="1"/>
  <c r="T697" i="1"/>
  <c r="T698" i="1"/>
  <c r="T700" i="1"/>
  <c r="T706" i="1"/>
  <c r="T708" i="1"/>
  <c r="T711" i="1"/>
  <c r="T712" i="1"/>
  <c r="T714" i="1"/>
  <c r="T718" i="1"/>
  <c r="T721" i="1"/>
  <c r="T725" i="1"/>
  <c r="T728" i="1"/>
  <c r="T729" i="1"/>
  <c r="T730" i="1"/>
  <c r="T732" i="1"/>
  <c r="T734" i="1"/>
  <c r="T735" i="1"/>
  <c r="T736" i="1"/>
  <c r="T738" i="1"/>
  <c r="T739" i="1"/>
  <c r="T742" i="1"/>
  <c r="T744" i="1"/>
  <c r="T747" i="1"/>
  <c r="T749" i="1"/>
  <c r="T751" i="1"/>
  <c r="T753" i="1"/>
  <c r="T755" i="1"/>
  <c r="T757" i="1"/>
  <c r="T758" i="1"/>
  <c r="T760" i="1"/>
  <c r="T762" i="1"/>
  <c r="T764" i="1"/>
  <c r="T765" i="1"/>
  <c r="T767" i="1"/>
  <c r="T769" i="1"/>
  <c r="T770" i="1"/>
  <c r="T771" i="1"/>
  <c r="T772" i="1"/>
  <c r="T774" i="1"/>
  <c r="T775" i="1"/>
  <c r="T777" i="1"/>
  <c r="T778" i="1"/>
  <c r="T779" i="1"/>
  <c r="T781" i="1"/>
  <c r="T782" i="1"/>
  <c r="T785" i="1"/>
  <c r="T786" i="1"/>
  <c r="T788" i="1"/>
  <c r="T789" i="1"/>
  <c r="T791" i="1"/>
  <c r="T792" i="1"/>
  <c r="T793" i="1"/>
  <c r="T794" i="1"/>
  <c r="T796" i="1"/>
  <c r="T799" i="1"/>
  <c r="T800" i="1"/>
  <c r="T802" i="1"/>
  <c r="T803" i="1"/>
  <c r="T805" i="1"/>
  <c r="T806" i="1"/>
  <c r="T807" i="1"/>
  <c r="T808" i="1"/>
  <c r="T809" i="1"/>
  <c r="T811" i="1"/>
  <c r="T814" i="1"/>
  <c r="T816" i="1"/>
  <c r="T818" i="1"/>
  <c r="T821" i="1"/>
  <c r="T823" i="1"/>
  <c r="T825" i="1"/>
  <c r="T827" i="1"/>
  <c r="T829" i="1"/>
  <c r="T831" i="1"/>
  <c r="T833" i="1"/>
  <c r="T838" i="1"/>
  <c r="T840" i="1"/>
  <c r="T842" i="1"/>
  <c r="T844" i="1"/>
  <c r="T845" i="1"/>
  <c r="T847" i="1"/>
  <c r="T849" i="1"/>
  <c r="T852" i="1"/>
  <c r="T854" i="1"/>
  <c r="T856" i="1"/>
  <c r="T858" i="1"/>
  <c r="T860" i="1"/>
  <c r="T862" i="1"/>
  <c r="T864" i="1"/>
  <c r="T867" i="1"/>
  <c r="T869" i="1"/>
  <c r="T871" i="1"/>
  <c r="T874" i="1"/>
  <c r="T876" i="1"/>
  <c r="T878" i="1"/>
  <c r="T882" i="1"/>
  <c r="T886" i="1"/>
  <c r="T889" i="1"/>
  <c r="T891" i="1"/>
  <c r="T894" i="1"/>
  <c r="T896" i="1"/>
  <c r="T899" i="1"/>
  <c r="T901" i="1"/>
  <c r="T904" i="1"/>
  <c r="T906" i="1"/>
  <c r="T908" i="1"/>
  <c r="T910" i="1"/>
  <c r="T912" i="1"/>
  <c r="T914" i="1"/>
  <c r="T916" i="1"/>
  <c r="T918" i="1"/>
  <c r="T920" i="1"/>
  <c r="T922" i="1"/>
  <c r="T924" i="1"/>
  <c r="T926" i="1"/>
  <c r="T928" i="1"/>
  <c r="T930" i="1"/>
  <c r="T932" i="1"/>
  <c r="T934" i="1"/>
  <c r="T937" i="1"/>
  <c r="T940" i="1"/>
  <c r="T942" i="1"/>
  <c r="T943" i="1"/>
  <c r="T945" i="1"/>
  <c r="T947" i="1"/>
  <c r="T949" i="1"/>
  <c r="T950" i="1"/>
  <c r="T952" i="1"/>
  <c r="T954" i="1"/>
  <c r="T956" i="1"/>
  <c r="T957" i="1"/>
  <c r="T959" i="1"/>
  <c r="S3" i="1"/>
  <c r="S4" i="1"/>
  <c r="T4" i="1" s="1"/>
  <c r="S5" i="1"/>
  <c r="S6" i="1"/>
  <c r="S7" i="1"/>
  <c r="S8" i="1"/>
  <c r="S9" i="1"/>
  <c r="S10" i="1"/>
  <c r="S11" i="1"/>
  <c r="T11" i="1" s="1"/>
  <c r="S12" i="1"/>
  <c r="S13" i="1"/>
  <c r="S14" i="1"/>
  <c r="T14" i="1" s="1"/>
  <c r="S15" i="1"/>
  <c r="T15" i="1" s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S42" i="1"/>
  <c r="S43" i="1"/>
  <c r="S44" i="1"/>
  <c r="S45" i="1"/>
  <c r="S46" i="1"/>
  <c r="T46" i="1" s="1"/>
  <c r="S47" i="1"/>
  <c r="S48" i="1"/>
  <c r="S49" i="1"/>
  <c r="T49" i="1" s="1"/>
  <c r="S50" i="1"/>
  <c r="T50" i="1" s="1"/>
  <c r="S51" i="1"/>
  <c r="S52" i="1"/>
  <c r="S53" i="1"/>
  <c r="S54" i="1"/>
  <c r="T54" i="1" s="1"/>
  <c r="S55" i="1"/>
  <c r="S56" i="1"/>
  <c r="S57" i="1"/>
  <c r="T57" i="1" s="1"/>
  <c r="S58" i="1"/>
  <c r="S59" i="1"/>
  <c r="S60" i="1"/>
  <c r="S61" i="1"/>
  <c r="S62" i="1"/>
  <c r="T62" i="1" s="1"/>
  <c r="S63" i="1"/>
  <c r="T63" i="1" s="1"/>
  <c r="S64" i="1"/>
  <c r="S65" i="1"/>
  <c r="S66" i="1"/>
  <c r="S67" i="1"/>
  <c r="S68" i="1"/>
  <c r="T68" i="1" s="1"/>
  <c r="S69" i="1"/>
  <c r="T69" i="1" s="1"/>
  <c r="S70" i="1"/>
  <c r="S71" i="1"/>
  <c r="S72" i="1"/>
  <c r="T72" i="1" s="1"/>
  <c r="S73" i="1"/>
  <c r="S74" i="1"/>
  <c r="S75" i="1"/>
  <c r="T75" i="1" s="1"/>
  <c r="S76" i="1"/>
  <c r="S77" i="1"/>
  <c r="S78" i="1"/>
  <c r="T78" i="1" s="1"/>
  <c r="S79" i="1"/>
  <c r="T79" i="1" s="1"/>
  <c r="S80" i="1"/>
  <c r="T80" i="1" s="1"/>
  <c r="S81" i="1"/>
  <c r="S82" i="1"/>
  <c r="S83" i="1"/>
  <c r="S84" i="1"/>
  <c r="S85" i="1"/>
  <c r="S86" i="1"/>
  <c r="S87" i="1"/>
  <c r="S88" i="1"/>
  <c r="S89" i="1"/>
  <c r="S90" i="1"/>
  <c r="T90" i="1" s="1"/>
  <c r="S91" i="1"/>
  <c r="S92" i="1"/>
  <c r="S93" i="1"/>
  <c r="T93" i="1" s="1"/>
  <c r="S94" i="1"/>
  <c r="S95" i="1"/>
  <c r="S96" i="1"/>
  <c r="T96" i="1" s="1"/>
  <c r="S97" i="1"/>
  <c r="S98" i="1"/>
  <c r="S99" i="1"/>
  <c r="T99" i="1" s="1"/>
  <c r="S100" i="1"/>
  <c r="S101" i="1"/>
  <c r="S102" i="1"/>
  <c r="S103" i="1"/>
  <c r="S104" i="1"/>
  <c r="S105" i="1"/>
  <c r="S106" i="1"/>
  <c r="T106" i="1" s="1"/>
  <c r="S107" i="1"/>
  <c r="S108" i="1"/>
  <c r="S109" i="1"/>
  <c r="S110" i="1"/>
  <c r="S111" i="1"/>
  <c r="T111" i="1" s="1"/>
  <c r="S112" i="1"/>
  <c r="T112" i="1" s="1"/>
  <c r="S113" i="1"/>
  <c r="S114" i="1"/>
  <c r="S115" i="1"/>
  <c r="S116" i="1"/>
  <c r="S117" i="1"/>
  <c r="S118" i="1"/>
  <c r="S119" i="1"/>
  <c r="S120" i="1"/>
  <c r="S121" i="1"/>
  <c r="S122" i="1"/>
  <c r="S123" i="1"/>
  <c r="T123" i="1" s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T139" i="1" s="1"/>
  <c r="S140" i="1"/>
  <c r="S141" i="1"/>
  <c r="S142" i="1"/>
  <c r="S143" i="1"/>
  <c r="S144" i="1"/>
  <c r="S145" i="1"/>
  <c r="T145" i="1" s="1"/>
  <c r="S146" i="1"/>
  <c r="S147" i="1"/>
  <c r="S148" i="1"/>
  <c r="S149" i="1"/>
  <c r="S150" i="1"/>
  <c r="T150" i="1" s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T170" i="1" s="1"/>
  <c r="S171" i="1"/>
  <c r="S172" i="1"/>
  <c r="S173" i="1"/>
  <c r="T173" i="1" s="1"/>
  <c r="S174" i="1"/>
  <c r="T174" i="1" s="1"/>
  <c r="S175" i="1"/>
  <c r="S176" i="1"/>
  <c r="S177" i="1"/>
  <c r="S178" i="1"/>
  <c r="S179" i="1"/>
  <c r="S180" i="1"/>
  <c r="S181" i="1"/>
  <c r="S182" i="1"/>
  <c r="S183" i="1"/>
  <c r="T183" i="1" s="1"/>
  <c r="S184" i="1"/>
  <c r="S185" i="1"/>
  <c r="S186" i="1"/>
  <c r="S187" i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S195" i="1"/>
  <c r="S196" i="1"/>
  <c r="S197" i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S206" i="1"/>
  <c r="S207" i="1"/>
  <c r="T207" i="1" s="1"/>
  <c r="S208" i="1"/>
  <c r="T208" i="1" s="1"/>
  <c r="S209" i="1"/>
  <c r="S210" i="1"/>
  <c r="S211" i="1"/>
  <c r="S212" i="1"/>
  <c r="S213" i="1"/>
  <c r="S214" i="1"/>
  <c r="S215" i="1"/>
  <c r="S216" i="1"/>
  <c r="S217" i="1"/>
  <c r="S218" i="1"/>
  <c r="S219" i="1"/>
  <c r="S220" i="1"/>
  <c r="T220" i="1" s="1"/>
  <c r="S221" i="1"/>
  <c r="T221" i="1" s="1"/>
  <c r="S222" i="1"/>
  <c r="S223" i="1"/>
  <c r="S224" i="1"/>
  <c r="S225" i="1"/>
  <c r="S226" i="1"/>
  <c r="S227" i="1"/>
  <c r="T227" i="1" s="1"/>
  <c r="S228" i="1"/>
  <c r="T228" i="1" s="1"/>
  <c r="S229" i="1"/>
  <c r="T229" i="1" s="1"/>
  <c r="S230" i="1"/>
  <c r="S231" i="1"/>
  <c r="S232" i="1"/>
  <c r="S233" i="1"/>
  <c r="S234" i="1"/>
  <c r="S235" i="1"/>
  <c r="S236" i="1"/>
  <c r="S237" i="1"/>
  <c r="S238" i="1"/>
  <c r="S239" i="1"/>
  <c r="T239" i="1" s="1"/>
  <c r="S240" i="1"/>
  <c r="T240" i="1" s="1"/>
  <c r="S241" i="1"/>
  <c r="T241" i="1" s="1"/>
  <c r="S242" i="1"/>
  <c r="S243" i="1"/>
  <c r="S244" i="1"/>
  <c r="S245" i="1"/>
  <c r="S246" i="1"/>
  <c r="S247" i="1"/>
  <c r="T247" i="1" s="1"/>
  <c r="S248" i="1"/>
  <c r="T248" i="1" s="1"/>
  <c r="S249" i="1"/>
  <c r="S250" i="1"/>
  <c r="S251" i="1"/>
  <c r="S252" i="1"/>
  <c r="S253" i="1"/>
  <c r="T253" i="1" s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T319" i="1" s="1"/>
  <c r="S320" i="1"/>
  <c r="S321" i="1"/>
  <c r="S322" i="1"/>
  <c r="S323" i="1"/>
  <c r="S324" i="1"/>
  <c r="S325" i="1"/>
  <c r="S326" i="1"/>
  <c r="S327" i="1"/>
  <c r="T327" i="1" s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T368" i="1" s="1"/>
  <c r="S369" i="1"/>
  <c r="S370" i="1"/>
  <c r="S371" i="1"/>
  <c r="S372" i="1"/>
  <c r="S373" i="1"/>
  <c r="T373" i="1" s="1"/>
  <c r="S374" i="1"/>
  <c r="S375" i="1"/>
  <c r="S376" i="1"/>
  <c r="T376" i="1" s="1"/>
  <c r="S377" i="1"/>
  <c r="S378" i="1"/>
  <c r="S379" i="1"/>
  <c r="S380" i="1"/>
  <c r="S381" i="1"/>
  <c r="S382" i="1"/>
  <c r="S383" i="1"/>
  <c r="S384" i="1"/>
  <c r="S385" i="1"/>
  <c r="T385" i="1" s="1"/>
  <c r="S386" i="1"/>
  <c r="S387" i="1"/>
  <c r="S388" i="1"/>
  <c r="S389" i="1"/>
  <c r="S390" i="1"/>
  <c r="S391" i="1"/>
  <c r="S392" i="1"/>
  <c r="S393" i="1"/>
  <c r="T393" i="1" s="1"/>
  <c r="S394" i="1"/>
  <c r="S395" i="1"/>
  <c r="S396" i="1"/>
  <c r="S397" i="1"/>
  <c r="S398" i="1"/>
  <c r="S399" i="1"/>
  <c r="T399" i="1" s="1"/>
  <c r="S400" i="1"/>
  <c r="S401" i="1"/>
  <c r="S402" i="1"/>
  <c r="T402" i="1" s="1"/>
  <c r="S403" i="1"/>
  <c r="S404" i="1"/>
  <c r="S405" i="1"/>
  <c r="S406" i="1"/>
  <c r="S407" i="1"/>
  <c r="S408" i="1"/>
  <c r="T408" i="1" s="1"/>
  <c r="S409" i="1"/>
  <c r="S410" i="1"/>
  <c r="S411" i="1"/>
  <c r="S412" i="1"/>
  <c r="S413" i="1"/>
  <c r="S414" i="1"/>
  <c r="S415" i="1"/>
  <c r="S416" i="1"/>
  <c r="S417" i="1"/>
  <c r="S418" i="1"/>
  <c r="S419" i="1"/>
  <c r="T419" i="1" s="1"/>
  <c r="S420" i="1"/>
  <c r="S421" i="1"/>
  <c r="S422" i="1"/>
  <c r="S423" i="1"/>
  <c r="S424" i="1"/>
  <c r="S425" i="1"/>
  <c r="S426" i="1"/>
  <c r="T426" i="1" s="1"/>
  <c r="S427" i="1"/>
  <c r="T427" i="1" s="1"/>
  <c r="S428" i="1"/>
  <c r="T428" i="1" s="1"/>
  <c r="S429" i="1"/>
  <c r="T429" i="1" s="1"/>
  <c r="S430" i="1"/>
  <c r="S431" i="1"/>
  <c r="S432" i="1"/>
  <c r="S433" i="1"/>
  <c r="S434" i="1"/>
  <c r="S435" i="1"/>
  <c r="S436" i="1"/>
  <c r="T436" i="1" s="1"/>
  <c r="S437" i="1"/>
  <c r="T437" i="1" s="1"/>
  <c r="S438" i="1"/>
  <c r="S439" i="1"/>
  <c r="S440" i="1"/>
  <c r="S441" i="1"/>
  <c r="S442" i="1"/>
  <c r="S443" i="1"/>
  <c r="T443" i="1" s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T456" i="1" s="1"/>
  <c r="S457" i="1"/>
  <c r="S458" i="1"/>
  <c r="S459" i="1"/>
  <c r="S460" i="1"/>
  <c r="S461" i="1"/>
  <c r="S462" i="1"/>
  <c r="T462" i="1" s="1"/>
  <c r="S463" i="1"/>
  <c r="S464" i="1"/>
  <c r="S465" i="1"/>
  <c r="S466" i="1"/>
  <c r="T466" i="1" s="1"/>
  <c r="S467" i="1"/>
  <c r="T467" i="1" s="1"/>
  <c r="S468" i="1"/>
  <c r="T468" i="1" s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T490" i="1" s="1"/>
  <c r="S491" i="1"/>
  <c r="T491" i="1" s="1"/>
  <c r="S492" i="1"/>
  <c r="S493" i="1"/>
  <c r="S494" i="1"/>
  <c r="S495" i="1"/>
  <c r="S496" i="1"/>
  <c r="T496" i="1" s="1"/>
  <c r="S497" i="1"/>
  <c r="T497" i="1" s="1"/>
  <c r="S498" i="1"/>
  <c r="S499" i="1"/>
  <c r="S500" i="1"/>
  <c r="S501" i="1"/>
  <c r="S502" i="1"/>
  <c r="S503" i="1"/>
  <c r="T503" i="1" s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T529" i="1" s="1"/>
  <c r="S530" i="1"/>
  <c r="T530" i="1" s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T575" i="1" s="1"/>
  <c r="S576" i="1"/>
  <c r="S577" i="1"/>
  <c r="S578" i="1"/>
  <c r="S579" i="1"/>
  <c r="S580" i="1"/>
  <c r="S581" i="1"/>
  <c r="S582" i="1"/>
  <c r="T582" i="1" s="1"/>
  <c r="S583" i="1"/>
  <c r="S584" i="1"/>
  <c r="S585" i="1"/>
  <c r="S586" i="1"/>
  <c r="S587" i="1"/>
  <c r="S588" i="1"/>
  <c r="S589" i="1"/>
  <c r="T589" i="1" s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T610" i="1" s="1"/>
  <c r="S611" i="1"/>
  <c r="S612" i="1"/>
  <c r="S613" i="1"/>
  <c r="T613" i="1" s="1"/>
  <c r="S614" i="1"/>
  <c r="S615" i="1"/>
  <c r="S616" i="1"/>
  <c r="S617" i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S626" i="1"/>
  <c r="S627" i="1"/>
  <c r="S628" i="1"/>
  <c r="S629" i="1"/>
  <c r="S630" i="1"/>
  <c r="S631" i="1"/>
  <c r="S632" i="1"/>
  <c r="S633" i="1"/>
  <c r="T633" i="1" s="1"/>
  <c r="S634" i="1"/>
  <c r="T634" i="1" s="1"/>
  <c r="S635" i="1"/>
  <c r="T635" i="1" s="1"/>
  <c r="S636" i="1"/>
  <c r="S637" i="1"/>
  <c r="S638" i="1"/>
  <c r="S639" i="1"/>
  <c r="S640" i="1"/>
  <c r="S641" i="1"/>
  <c r="T641" i="1" s="1"/>
  <c r="S642" i="1"/>
  <c r="T642" i="1" s="1"/>
  <c r="S643" i="1"/>
  <c r="T643" i="1" s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T656" i="1" s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T674" i="1" s="1"/>
  <c r="S675" i="1"/>
  <c r="S676" i="1"/>
  <c r="S677" i="1"/>
  <c r="S678" i="1"/>
  <c r="S679" i="1"/>
  <c r="S680" i="1"/>
  <c r="T680" i="1" s="1"/>
  <c r="S681" i="1"/>
  <c r="S682" i="1"/>
  <c r="S683" i="1"/>
  <c r="S684" i="1"/>
  <c r="S685" i="1"/>
  <c r="S686" i="1"/>
  <c r="S687" i="1"/>
  <c r="S688" i="1"/>
  <c r="T688" i="1" s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T701" i="1" s="1"/>
  <c r="S702" i="1"/>
  <c r="T702" i="1" s="1"/>
  <c r="S703" i="1"/>
  <c r="T703" i="1" s="1"/>
  <c r="S704" i="1"/>
  <c r="T704" i="1" s="1"/>
  <c r="S705" i="1"/>
  <c r="S706" i="1"/>
  <c r="S707" i="1"/>
  <c r="S708" i="1"/>
  <c r="S709" i="1"/>
  <c r="T709" i="1" s="1"/>
  <c r="S710" i="1"/>
  <c r="S711" i="1"/>
  <c r="S712" i="1"/>
  <c r="S713" i="1"/>
  <c r="S714" i="1"/>
  <c r="S715" i="1"/>
  <c r="T715" i="1" s="1"/>
  <c r="S716" i="1"/>
  <c r="T716" i="1" s="1"/>
  <c r="S717" i="1"/>
  <c r="S718" i="1"/>
  <c r="S719" i="1"/>
  <c r="T719" i="1" s="1"/>
  <c r="S720" i="1"/>
  <c r="S721" i="1"/>
  <c r="S722" i="1"/>
  <c r="T722" i="1" s="1"/>
  <c r="S723" i="1"/>
  <c r="T723" i="1" s="1"/>
  <c r="S724" i="1"/>
  <c r="S725" i="1"/>
  <c r="S726" i="1"/>
  <c r="T726" i="1" s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T740" i="1" s="1"/>
  <c r="S741" i="1"/>
  <c r="S742" i="1"/>
  <c r="S743" i="1"/>
  <c r="S744" i="1"/>
  <c r="S745" i="1"/>
  <c r="T745" i="1" s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T783" i="1" s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T797" i="1" s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T812" i="1" s="1"/>
  <c r="S813" i="1"/>
  <c r="S814" i="1"/>
  <c r="S815" i="1"/>
  <c r="S816" i="1"/>
  <c r="S817" i="1"/>
  <c r="S818" i="1"/>
  <c r="S819" i="1"/>
  <c r="T819" i="1" s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T834" i="1" s="1"/>
  <c r="S835" i="1"/>
  <c r="T835" i="1" s="1"/>
  <c r="S836" i="1"/>
  <c r="T836" i="1" s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T850" i="1" s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T865" i="1" s="1"/>
  <c r="S866" i="1"/>
  <c r="S867" i="1"/>
  <c r="S868" i="1"/>
  <c r="S869" i="1"/>
  <c r="S870" i="1"/>
  <c r="S871" i="1"/>
  <c r="S872" i="1"/>
  <c r="T872" i="1" s="1"/>
  <c r="S873" i="1"/>
  <c r="S874" i="1"/>
  <c r="S875" i="1"/>
  <c r="S876" i="1"/>
  <c r="S877" i="1"/>
  <c r="S878" i="1"/>
  <c r="S879" i="1"/>
  <c r="T879" i="1" s="1"/>
  <c r="S880" i="1"/>
  <c r="T880" i="1" s="1"/>
  <c r="S881" i="1"/>
  <c r="S882" i="1"/>
  <c r="S883" i="1"/>
  <c r="T883" i="1" s="1"/>
  <c r="S884" i="1"/>
  <c r="T884" i="1" s="1"/>
  <c r="S885" i="1"/>
  <c r="S886" i="1"/>
  <c r="S887" i="1"/>
  <c r="T887" i="1" s="1"/>
  <c r="S888" i="1"/>
  <c r="S889" i="1"/>
  <c r="S890" i="1"/>
  <c r="S891" i="1"/>
  <c r="S892" i="1"/>
  <c r="T892" i="1" s="1"/>
  <c r="S893" i="1"/>
  <c r="S894" i="1"/>
  <c r="S895" i="1"/>
  <c r="S896" i="1"/>
  <c r="S897" i="1"/>
  <c r="T897" i="1" s="1"/>
  <c r="S898" i="1"/>
  <c r="S899" i="1"/>
  <c r="S900" i="1"/>
  <c r="S901" i="1"/>
  <c r="S902" i="1"/>
  <c r="T902" i="1" s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T935" i="1" s="1"/>
  <c r="S936" i="1"/>
  <c r="S937" i="1"/>
  <c r="S938" i="1"/>
  <c r="T938" i="1" s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T960" i="1" s="1"/>
  <c r="S961" i="1"/>
  <c r="T961" i="1" s="1"/>
  <c r="S962" i="1"/>
  <c r="T962" i="1" s="1"/>
  <c r="S963" i="1"/>
  <c r="T963" i="1" s="1"/>
  <c r="S964" i="1"/>
  <c r="T964" i="1" s="1"/>
  <c r="S2" i="1"/>
  <c r="T953" i="1" l="1"/>
  <c r="T929" i="1"/>
  <c r="T921" i="1"/>
  <c r="T913" i="1"/>
  <c r="T450" i="1"/>
  <c r="T434" i="1"/>
  <c r="T394" i="1"/>
  <c r="T386" i="1"/>
  <c r="T346" i="1"/>
  <c r="T330" i="1"/>
  <c r="T322" i="1"/>
  <c r="T514" i="1"/>
  <c r="T506" i="1"/>
  <c r="T258" i="1"/>
  <c r="T218" i="1"/>
  <c r="T194" i="1"/>
  <c r="T186" i="1"/>
  <c r="T498" i="1"/>
  <c r="T242" i="1"/>
  <c r="T941" i="1"/>
  <c r="T917" i="1"/>
  <c r="T861" i="1"/>
  <c r="T741" i="1"/>
  <c r="T597" i="1"/>
  <c r="T525" i="1"/>
  <c r="T469" i="1"/>
  <c r="T413" i="1"/>
  <c r="T317" i="1"/>
  <c r="T309" i="1"/>
  <c r="T301" i="1"/>
  <c r="T293" i="1"/>
  <c r="T925" i="1"/>
  <c r="T877" i="1"/>
  <c r="T629" i="1"/>
  <c r="T933" i="1"/>
  <c r="T909" i="1"/>
  <c r="T853" i="1"/>
  <c r="T717" i="1"/>
  <c r="T905" i="1"/>
  <c r="T958" i="1"/>
  <c r="T870" i="1"/>
  <c r="T846" i="1"/>
  <c r="T162" i="1"/>
  <c r="T146" i="1"/>
  <c r="T66" i="1"/>
  <c r="T26" i="1"/>
  <c r="T18" i="1"/>
  <c r="T885" i="1"/>
  <c r="T900" i="1"/>
  <c r="T820" i="1"/>
  <c r="T285" i="1"/>
  <c r="T277" i="1"/>
  <c r="T237" i="1"/>
  <c r="T205" i="1"/>
  <c r="T181" i="1"/>
  <c r="T756" i="1"/>
  <c r="T668" i="1"/>
  <c r="T652" i="1"/>
  <c r="T644" i="1"/>
  <c r="T636" i="1"/>
  <c r="T604" i="1"/>
  <c r="T580" i="1"/>
  <c r="T572" i="1"/>
  <c r="T556" i="1"/>
  <c r="T540" i="1"/>
  <c r="T516" i="1"/>
  <c r="T500" i="1"/>
  <c r="T492" i="1"/>
  <c r="T460" i="1"/>
  <c r="T893" i="1"/>
  <c r="T868" i="1"/>
  <c r="T780" i="1"/>
  <c r="T724" i="1"/>
  <c r="T692" i="1"/>
  <c r="T804" i="1"/>
  <c r="T828" i="1"/>
  <c r="T748" i="1"/>
  <c r="T713" i="1"/>
  <c r="T888" i="1"/>
  <c r="T848" i="1"/>
  <c r="T752" i="1"/>
  <c r="T696" i="1"/>
  <c r="T672" i="1"/>
  <c r="T616" i="1"/>
  <c r="T824" i="1"/>
  <c r="T776" i="1"/>
  <c r="T830" i="1"/>
  <c r="T822" i="1"/>
  <c r="T798" i="1"/>
  <c r="T790" i="1"/>
  <c r="T766" i="1"/>
  <c r="T750" i="1"/>
  <c r="T133" i="1"/>
  <c r="T109" i="1"/>
  <c r="T5" i="1"/>
  <c r="T881" i="1"/>
  <c r="T817" i="1"/>
  <c r="T457" i="1"/>
  <c r="T417" i="1"/>
  <c r="T409" i="1"/>
  <c r="T377" i="1"/>
  <c r="T369" i="1"/>
  <c r="T361" i="1"/>
  <c r="T313" i="1"/>
  <c r="T305" i="1"/>
  <c r="T297" i="1"/>
  <c r="T249" i="1"/>
  <c r="T153" i="1"/>
  <c r="T129" i="1"/>
  <c r="T873" i="1"/>
  <c r="T521" i="1"/>
  <c r="T832" i="1"/>
  <c r="T784" i="1"/>
  <c r="T768" i="1"/>
  <c r="T720" i="1"/>
  <c r="T592" i="1"/>
  <c r="T576" i="1"/>
  <c r="T560" i="1"/>
  <c r="T552" i="1"/>
  <c r="T536" i="1"/>
  <c r="T504" i="1"/>
  <c r="T488" i="1"/>
  <c r="T448" i="1"/>
  <c r="T440" i="1"/>
  <c r="T432" i="1"/>
  <c r="T424" i="1"/>
  <c r="T400" i="1"/>
  <c r="T344" i="1"/>
  <c r="T336" i="1"/>
  <c r="T328" i="1"/>
  <c r="T320" i="1"/>
  <c r="T264" i="1"/>
  <c r="T256" i="1"/>
  <c r="T232" i="1"/>
  <c r="T184" i="1"/>
  <c r="T168" i="1"/>
  <c r="T136" i="1"/>
  <c r="T104" i="1"/>
  <c r="T64" i="1"/>
  <c r="T24" i="1"/>
  <c r="T16" i="1"/>
  <c r="T919" i="1"/>
  <c r="T839" i="1"/>
  <c r="T743" i="1"/>
  <c r="T837" i="1"/>
  <c r="T813" i="1"/>
  <c r="T710" i="1"/>
  <c r="T694" i="1"/>
  <c r="T670" i="1"/>
  <c r="T662" i="1"/>
  <c r="T654" i="1"/>
  <c r="T646" i="1"/>
  <c r="T638" i="1"/>
  <c r="T614" i="1"/>
  <c r="T590" i="1"/>
  <c r="T566" i="1"/>
  <c r="T558" i="1"/>
  <c r="T542" i="1"/>
  <c r="T518" i="1"/>
  <c r="T494" i="1"/>
  <c r="T454" i="1"/>
  <c r="T446" i="1"/>
  <c r="T438" i="1"/>
  <c r="T430" i="1"/>
  <c r="T422" i="1"/>
  <c r="T374" i="1"/>
  <c r="T366" i="1"/>
  <c r="T342" i="1"/>
  <c r="T334" i="1"/>
  <c r="T270" i="1"/>
  <c r="T262" i="1"/>
  <c r="T254" i="1"/>
  <c r="T230" i="1"/>
  <c r="T222" i="1"/>
  <c r="T214" i="1"/>
  <c r="T166" i="1"/>
  <c r="T142" i="1"/>
  <c r="T102" i="1"/>
  <c r="T94" i="1"/>
  <c r="T70" i="1"/>
  <c r="T22" i="1"/>
  <c r="T911" i="1"/>
  <c r="T895" i="1"/>
  <c r="T863" i="1"/>
  <c r="T948" i="1"/>
  <c r="T773" i="1"/>
  <c r="T733" i="1"/>
  <c r="T685" i="1"/>
  <c r="T677" i="1"/>
  <c r="T533" i="1"/>
  <c r="T405" i="1"/>
  <c r="T117" i="1"/>
  <c r="T508" i="1"/>
  <c r="T452" i="1"/>
  <c r="T444" i="1"/>
  <c r="T420" i="1"/>
  <c r="T396" i="1"/>
  <c r="T388" i="1"/>
  <c r="T364" i="1"/>
  <c r="T348" i="1"/>
  <c r="T332" i="1"/>
  <c r="T324" i="1"/>
  <c r="T260" i="1"/>
  <c r="T244" i="1"/>
  <c r="T196" i="1"/>
  <c r="T164" i="1"/>
  <c r="T156" i="1"/>
  <c r="T148" i="1"/>
  <c r="T140" i="1"/>
  <c r="T124" i="1"/>
  <c r="T100" i="1"/>
  <c r="T84" i="1"/>
  <c r="T76" i="1"/>
  <c r="T44" i="1"/>
  <c r="T28" i="1"/>
  <c r="T20" i="1"/>
  <c r="T12" i="1"/>
  <c r="T939" i="1"/>
  <c r="T923" i="1"/>
  <c r="T859" i="1"/>
  <c r="T795" i="1"/>
  <c r="T707" i="1"/>
  <c r="T699" i="1"/>
  <c r="T683" i="1"/>
  <c r="T675" i="1"/>
  <c r="T659" i="1"/>
  <c r="T627" i="1"/>
  <c r="T611" i="1"/>
  <c r="T595" i="1"/>
  <c r="T563" i="1"/>
  <c r="T531" i="1"/>
  <c r="T523" i="1"/>
  <c r="T411" i="1"/>
  <c r="T403" i="1"/>
  <c r="T379" i="1"/>
  <c r="T371" i="1"/>
  <c r="T339" i="1"/>
  <c r="T315" i="1"/>
  <c r="T307" i="1"/>
  <c r="T299" i="1"/>
  <c r="T291" i="1"/>
  <c r="T267" i="1"/>
  <c r="T251" i="1"/>
  <c r="T235" i="1"/>
  <c r="T211" i="1"/>
  <c r="T171" i="1"/>
  <c r="T131" i="1"/>
  <c r="T107" i="1"/>
  <c r="T91" i="1"/>
  <c r="T51" i="1"/>
  <c r="T2" i="1"/>
  <c r="T931" i="1"/>
  <c r="T907" i="1"/>
  <c r="T875" i="1"/>
  <c r="T843" i="1"/>
  <c r="T787" i="1"/>
  <c r="T763" i="1"/>
  <c r="T898" i="1"/>
  <c r="T890" i="1"/>
  <c r="T866" i="1"/>
  <c r="T826" i="1"/>
  <c r="T810" i="1"/>
  <c r="T754" i="1"/>
  <c r="T746" i="1"/>
  <c r="T666" i="1"/>
  <c r="T602" i="1"/>
  <c r="T578" i="1"/>
  <c r="T554" i="1"/>
  <c r="T538" i="1"/>
  <c r="T482" i="1"/>
  <c r="T58" i="1"/>
  <c r="T955" i="1"/>
  <c r="T915" i="1"/>
  <c r="T851" i="1"/>
  <c r="T731" i="1"/>
  <c r="T946" i="1"/>
  <c r="T944" i="1"/>
  <c r="T936" i="1"/>
  <c r="T857" i="1"/>
  <c r="T841" i="1"/>
  <c r="T801" i="1"/>
  <c r="T761" i="1"/>
  <c r="T737" i="1"/>
  <c r="T705" i="1"/>
  <c r="T689" i="1"/>
  <c r="T681" i="1"/>
  <c r="T657" i="1"/>
  <c r="T625" i="1"/>
  <c r="T569" i="1"/>
  <c r="T473" i="1"/>
  <c r="T353" i="1"/>
  <c r="T281" i="1"/>
  <c r="T273" i="1"/>
  <c r="T225" i="1"/>
  <c r="T209" i="1"/>
  <c r="T121" i="1"/>
  <c r="T113" i="1"/>
  <c r="T97" i="1"/>
  <c r="T81" i="1"/>
  <c r="T73" i="1"/>
  <c r="T41" i="1"/>
  <c r="T9" i="1"/>
  <c r="T951" i="1"/>
  <c r="T927" i="1"/>
  <c r="T903" i="1"/>
  <c r="T855" i="1"/>
  <c r="T815" i="1"/>
  <c r="T759" i="1"/>
  <c r="T727" i="1"/>
  <c r="T631" i="1"/>
  <c r="T607" i="1"/>
  <c r="T599" i="1"/>
  <c r="T583" i="1"/>
  <c r="T527" i="1"/>
  <c r="T479" i="1"/>
  <c r="T471" i="1"/>
  <c r="T463" i="1"/>
  <c r="T415" i="1"/>
  <c r="T391" i="1"/>
  <c r="T383" i="1"/>
  <c r="T359" i="1"/>
  <c r="T351" i="1"/>
  <c r="T311" i="1"/>
  <c r="T303" i="1"/>
  <c r="T295" i="1"/>
  <c r="T287" i="1"/>
  <c r="T279" i="1"/>
  <c r="T175" i="1"/>
  <c r="T151" i="1"/>
  <c r="T127" i="1"/>
  <c r="T55" i="1"/>
  <c r="T47" i="1"/>
  <c r="T7" i="1"/>
</calcChain>
</file>

<file path=xl/sharedStrings.xml><?xml version="1.0" encoding="utf-8"?>
<sst xmlns="http://schemas.openxmlformats.org/spreadsheetml/2006/main" count="24356" uniqueCount="2538">
  <si>
    <t>Agency</t>
  </si>
  <si>
    <t>Agency ID</t>
  </si>
  <si>
    <t>Advertiser ID</t>
  </si>
  <si>
    <t>Advertiser</t>
  </si>
  <si>
    <t>Sales Order</t>
  </si>
  <si>
    <t>Sales Order ID</t>
  </si>
  <si>
    <t>Parent Line Item</t>
  </si>
  <si>
    <t>Parent Line Item ID</t>
  </si>
  <si>
    <t>Sales Line Item</t>
  </si>
  <si>
    <t>PS Line Item ID</t>
  </si>
  <si>
    <t>Placement Property</t>
  </si>
  <si>
    <t>Cost Method</t>
  </si>
  <si>
    <t>Net Unit Cost</t>
  </si>
  <si>
    <t>Billable Metric</t>
  </si>
  <si>
    <t>Billable Impressions</t>
  </si>
  <si>
    <t>Billable Revenue</t>
  </si>
  <si>
    <t>Price</t>
  </si>
  <si>
    <t>Revised Billed Impressions</t>
  </si>
  <si>
    <t>Revised Billed Revenue</t>
  </si>
  <si>
    <t>Parent Line Item Revenue</t>
  </si>
  <si>
    <t>Reason for Revision</t>
  </si>
  <si>
    <t>Special Billing Instructions</t>
  </si>
  <si>
    <t>1P Imps</t>
  </si>
  <si>
    <t>3P Imps</t>
  </si>
  <si>
    <t>1P Demo Imps</t>
  </si>
  <si>
    <t>3P Demo Imps</t>
  </si>
  <si>
    <t>Viewability</t>
  </si>
  <si>
    <t>Demo Comp</t>
  </si>
  <si>
    <t>Equivalization Factor</t>
  </si>
  <si>
    <t>Equivalized Imps</t>
  </si>
  <si>
    <t>Billing Scenario</t>
  </si>
  <si>
    <t>Net Invoice Amount</t>
  </si>
  <si>
    <t>Quantity</t>
  </si>
  <si>
    <t>Net Cost</t>
  </si>
  <si>
    <t>Campaign</t>
  </si>
  <si>
    <t>Campaign ID</t>
  </si>
  <si>
    <t>Demo Band</t>
  </si>
  <si>
    <t>External PO Ref</t>
  </si>
  <si>
    <t>Sales Region</t>
  </si>
  <si>
    <t>Primary Salesperson</t>
  </si>
  <si>
    <t>Sales Line Item Type</t>
  </si>
  <si>
    <t>Product</t>
  </si>
  <si>
    <t>Invoice ID</t>
  </si>
  <si>
    <t>Billing Period End Date</t>
  </si>
  <si>
    <t>Parent Line Item Start Date</t>
  </si>
  <si>
    <t>Parent Line Item End Date</t>
  </si>
  <si>
    <t>Product Category</t>
  </si>
  <si>
    <t>Previously Billed</t>
  </si>
  <si>
    <t>Report Date</t>
  </si>
  <si>
    <t>SPARK FOUNDRY - NY</t>
  </si>
  <si>
    <t>STARCOM - CHI</t>
  </si>
  <si>
    <t>SPARK FOUNDRY - CHI</t>
  </si>
  <si>
    <t>WAYFAIR</t>
  </si>
  <si>
    <t>COMFLUENCE LLC</t>
  </si>
  <si>
    <t>CANVAS WORLDWIDE</t>
  </si>
  <si>
    <t>INITIATIVE MEDIA - NY</t>
  </si>
  <si>
    <t>BPN</t>
  </si>
  <si>
    <t>PHD USA - NY</t>
  </si>
  <si>
    <t>HORIZON MEDIA - NY</t>
  </si>
  <si>
    <t>TATARI</t>
  </si>
  <si>
    <t>PUBLICIS HEALTH MEDIA</t>
  </si>
  <si>
    <t>ADVERTISING COUNCIL</t>
  </si>
  <si>
    <t>MODCO MEDIA</t>
  </si>
  <si>
    <t>AEGIS INNOV8 LLC</t>
  </si>
  <si>
    <t>HORIZON NEXT</t>
  </si>
  <si>
    <t>CONNECT AT PUBLICIS MEDIA</t>
  </si>
  <si>
    <t>DIGITAS - NY</t>
  </si>
  <si>
    <t>INFINITE ROAR</t>
  </si>
  <si>
    <t>APEX EXCHANGE</t>
  </si>
  <si>
    <t>ZENITH MEDIA - NY</t>
  </si>
  <si>
    <t>HEARTS &amp; SCIENCE</t>
  </si>
  <si>
    <t>MINDSHARE - NY</t>
  </si>
  <si>
    <t>SARGENTO</t>
  </si>
  <si>
    <t>SOLVE(D)</t>
  </si>
  <si>
    <t>CARAT - NY</t>
  </si>
  <si>
    <t>TARGETCAST LLC</t>
  </si>
  <si>
    <t>STARCOM - NY</t>
  </si>
  <si>
    <t>DENTSU INC</t>
  </si>
  <si>
    <t>PRUDENTIAL</t>
  </si>
  <si>
    <t>WAVEMAKER GLOBAL, LLC</t>
  </si>
  <si>
    <t>HILL HOLLIDAY</t>
  </si>
  <si>
    <t>OMD - NY</t>
  </si>
  <si>
    <t>WERNER ENTERPRISES c/o NEWTON SIMONS</t>
  </si>
  <si>
    <t>ESSENCEMEDIACOM</t>
  </si>
  <si>
    <t>GROUPM HOLDINGS INC</t>
  </si>
  <si>
    <t>ESSENCE GLOBAL LLC</t>
  </si>
  <si>
    <t>ZENITH MEDIA - LA</t>
  </si>
  <si>
    <t>MEDIAHUB</t>
  </si>
  <si>
    <t>LERMA</t>
  </si>
  <si>
    <t>MEDIAMONKS</t>
  </si>
  <si>
    <t>IPROSPECT</t>
  </si>
  <si>
    <t>PLATFORM AT PUBLICIS MEDIA</t>
  </si>
  <si>
    <t>LIVING ESSENTIALS</t>
  </si>
  <si>
    <t>BLISS POINT MEDIA</t>
  </si>
  <si>
    <t>PUBLICIS COLLECTIVE</t>
  </si>
  <si>
    <t>PROOF ADVERTISING</t>
  </si>
  <si>
    <t>SCOPELY c/o MBMG</t>
  </si>
  <si>
    <t>UNIVERSAL MCCANN - NY</t>
  </si>
  <si>
    <t>RAZORFISH</t>
  </si>
  <si>
    <t>A24 FILMS</t>
  </si>
  <si>
    <t>INITIATIVE MEDIA - LA</t>
  </si>
  <si>
    <t>OMD - LA</t>
  </si>
  <si>
    <t>MEDIACOM</t>
  </si>
  <si>
    <t>MEDIA ASSOCIATES</t>
  </si>
  <si>
    <t>LENOVO</t>
  </si>
  <si>
    <t>PMG WORLDWIDE</t>
  </si>
  <si>
    <t>GALE PARTNERS LLC</t>
  </si>
  <si>
    <t>VM1</t>
  </si>
  <si>
    <t>INVOLVED MEDIA</t>
  </si>
  <si>
    <t>CRITICAL MASS</t>
  </si>
  <si>
    <t>JUNCTION 37</t>
  </si>
  <si>
    <t>META</t>
  </si>
  <si>
    <t>BANK OF AMERICA</t>
  </si>
  <si>
    <t>WENDY'S</t>
  </si>
  <si>
    <t>ABBVIE</t>
  </si>
  <si>
    <t>WAYFAIR.COM</t>
  </si>
  <si>
    <t>AMAZON XCM</t>
  </si>
  <si>
    <t>KIA</t>
  </si>
  <si>
    <t>EGGLANDS FOOD COMPANY</t>
  </si>
  <si>
    <t>BRISTOL MYERS SQUIBB</t>
  </si>
  <si>
    <t>AUDI</t>
  </si>
  <si>
    <t>CAPITAL ONE</t>
  </si>
  <si>
    <t>NUTRAFOL</t>
  </si>
  <si>
    <t>ALKERMES</t>
  </si>
  <si>
    <t>BRIGHTHOUSE FINANCIAL</t>
  </si>
  <si>
    <t>AFLAC</t>
  </si>
  <si>
    <t>HEINEKEN</t>
  </si>
  <si>
    <t>CHARTER SPECTRUM</t>
  </si>
  <si>
    <t>DISCOVER FINANCIAL SERVICES</t>
  </si>
  <si>
    <t>SIGNET</t>
  </si>
  <si>
    <t>EXACT SCIENCES</t>
  </si>
  <si>
    <t>NATIONAL VISION INC</t>
  </si>
  <si>
    <t>WALMART</t>
  </si>
  <si>
    <t>TACO BELL</t>
  </si>
  <si>
    <t>VERIZON</t>
  </si>
  <si>
    <t>AUTOTRADER</t>
  </si>
  <si>
    <t>UNILEVER</t>
  </si>
  <si>
    <t>EDWARDS LIFESCIENCES</t>
  </si>
  <si>
    <t>MICROSOFT</t>
  </si>
  <si>
    <t>CONSTELLATION BRANDS</t>
  </si>
  <si>
    <t>THRIVENT FINANCIAL FOR LUTHERANS FOUNDATION</t>
  </si>
  <si>
    <t>KEURIG DR PEPPER</t>
  </si>
  <si>
    <t>FCA NORTH AMERICA HOLDINGS</t>
  </si>
  <si>
    <t>HILTON HOTELS</t>
  </si>
  <si>
    <t>HYUNDAI</t>
  </si>
  <si>
    <t>AUDIBLE INC</t>
  </si>
  <si>
    <t>INSULET CORPORATION</t>
  </si>
  <si>
    <t>US ARMY</t>
  </si>
  <si>
    <t>CREDIT KARMA INC</t>
  </si>
  <si>
    <t>WERNER ENTERPRISES</t>
  </si>
  <si>
    <t>DURACELL</t>
  </si>
  <si>
    <t>DOORDASH</t>
  </si>
  <si>
    <t>ELI LILLY</t>
  </si>
  <si>
    <t>VISA</t>
  </si>
  <si>
    <t>AIRBNB</t>
  </si>
  <si>
    <t>CARNIVAL CRUISE LINES</t>
  </si>
  <si>
    <t>ROCKET MORTGAGE</t>
  </si>
  <si>
    <t>UNIVERSAL PICTURES</t>
  </si>
  <si>
    <t>ALLSTATE</t>
  </si>
  <si>
    <t>NEW BALANCE</t>
  </si>
  <si>
    <t>HE GETS US</t>
  </si>
  <si>
    <t>AT&amp;T ENTERTAINMENT GROUP</t>
  </si>
  <si>
    <t>TRIMBLE INC</t>
  </si>
  <si>
    <t>MICHELIN</t>
  </si>
  <si>
    <t>T-MOBILE</t>
  </si>
  <si>
    <t>EUROITALIA</t>
  </si>
  <si>
    <t>JOHNSON &amp; JOHNSON</t>
  </si>
  <si>
    <t>CHIPOTLE</t>
  </si>
  <si>
    <t>FERRARA CANDY COMPANY</t>
  </si>
  <si>
    <t>DICK'S SPORTING GOODS</t>
  </si>
  <si>
    <t>5 HOUR ENERGY</t>
  </si>
  <si>
    <t>PARAMOUNT PICTURES</t>
  </si>
  <si>
    <t>DAC GROUP / BRIDGESTONE</t>
  </si>
  <si>
    <t>DIAGEO</t>
  </si>
  <si>
    <t>BD TIKTOK USA LLC</t>
  </si>
  <si>
    <t>HALEON</t>
  </si>
  <si>
    <t>MARRIOTT</t>
  </si>
  <si>
    <t>PEPSICO</t>
  </si>
  <si>
    <t>HOME DEPOT</t>
  </si>
  <si>
    <t>KALSHI INC</t>
  </si>
  <si>
    <t>TURTLEBOX</t>
  </si>
  <si>
    <t>OURARING</t>
  </si>
  <si>
    <t>SAATVA</t>
  </si>
  <si>
    <t>MCDONALDS</t>
  </si>
  <si>
    <t>RAMP.COM</t>
  </si>
  <si>
    <t>INDEED.COM</t>
  </si>
  <si>
    <t>MILLERCOORS</t>
  </si>
  <si>
    <t>KENTUCKY FRIED CHICKEN</t>
  </si>
  <si>
    <t>COCA COLA</t>
  </si>
  <si>
    <t>STARBUCKS</t>
  </si>
  <si>
    <t>LOWE'S HOME CENTERS</t>
  </si>
  <si>
    <t>TRAVEL TEXAS</t>
  </si>
  <si>
    <t>ALBERT</t>
  </si>
  <si>
    <t>SCOPELY</t>
  </si>
  <si>
    <t>AMERICAN EXPRESS</t>
  </si>
  <si>
    <t>FERRERO</t>
  </si>
  <si>
    <t>FARMERS INSURANCE</t>
  </si>
  <si>
    <t>AMERICAN AIRLINES</t>
  </si>
  <si>
    <t>AMAZON ALEXA+</t>
  </si>
  <si>
    <t>APPLE INC</t>
  </si>
  <si>
    <t>FOCUS FEATURES</t>
  </si>
  <si>
    <t>CHIME</t>
  </si>
  <si>
    <t>ARENA CLUB</t>
  </si>
  <si>
    <t>ADIDAS</t>
  </si>
  <si>
    <t>UNIVERSITY OF PHOENIX</t>
  </si>
  <si>
    <t>POLYMARKET</t>
  </si>
  <si>
    <t>BEST BUY</t>
  </si>
  <si>
    <t>SHIPT</t>
  </si>
  <si>
    <t>GOOGLE</t>
  </si>
  <si>
    <t>THERABODY INC</t>
  </si>
  <si>
    <t>WAYMO</t>
  </si>
  <si>
    <t>NISSAN</t>
  </si>
  <si>
    <t>VOLKSWAGEN</t>
  </si>
  <si>
    <t>GENERAL MOTORS</t>
  </si>
  <si>
    <t>CLOROX</t>
  </si>
  <si>
    <t>MARS INC</t>
  </si>
  <si>
    <t>OMAHA STEAKS</t>
  </si>
  <si>
    <t>BMW</t>
  </si>
  <si>
    <t>ZILLOW.COM</t>
  </si>
  <si>
    <t>DIRECTV</t>
  </si>
  <si>
    <t>HEARTLAND FOOD PRODUCTS</t>
  </si>
  <si>
    <t>ANHEUSER BUSCH</t>
  </si>
  <si>
    <t>USAA INSURANCE</t>
  </si>
  <si>
    <t>META/DIGITAL/SCATTER/SPORTS/MWC/INSTAGRAM</t>
  </si>
  <si>
    <t>Bank of America/Digital/Scatter/Men's World Cup/Q2-Q3'26</t>
  </si>
  <si>
    <t>Wendy's/25-26/Upfront/Digital/Sports - UF 2025/26</t>
  </si>
  <si>
    <t>AbbVie Skyrizi CD/25-26/Digital/Upfront/Entertainment/UF 2025/26</t>
  </si>
  <si>
    <t>AbbVie Rinvoq AD/25-26/Digital/Upfront/Entertainment/UF 2025/26</t>
  </si>
  <si>
    <t>AbbVie Rinvoq UC/25-26/Digital/Upfront/Entertainment/UF 2025/26</t>
  </si>
  <si>
    <t>Wayfair/Digital/Upfront/ROS Video/25-26</t>
  </si>
  <si>
    <t>Amazon XCM/Digital/Direct/Upfront/Entertainment/25-26/UPFTRES</t>
  </si>
  <si>
    <t>Kia/Digital/Upfront/Entertainment/UF 2025/26 - 1-3Q26</t>
  </si>
  <si>
    <t>Eggland's Best/Digital/Scatter/Entertainment/2Q-3Q26</t>
  </si>
  <si>
    <t>BMS/25-26/Upfront/Digital/ENT/CAMZYOS</t>
  </si>
  <si>
    <t>BMS/25-26/Upfront/Digital/ENT/QVANTIG</t>
  </si>
  <si>
    <t>BMS/25-26/Upfront/Digital/ENT/COBENFY</t>
  </si>
  <si>
    <t>Amazon XCM/Digital/Direct/Upfront/Sports/25-26/UPFTRES</t>
  </si>
  <si>
    <t>Audi/Digital/Upfront/Sports/MLS/2026</t>
  </si>
  <si>
    <t>Capital One/Card/Digital/BYUF/Entertainment/UF2526_2Q'26</t>
  </si>
  <si>
    <t xml:space="preserve"> Capital One/Bank/Digital/BYUF/Entertainment/UF2526_2Q'26</t>
  </si>
  <si>
    <t xml:space="preserve">Nutrafol/2Q26/Digital/Entertainment/DR </t>
  </si>
  <si>
    <t xml:space="preserve">Nutrafol/25-26/2Q26/Digital/Sports/DR </t>
  </si>
  <si>
    <t>Alkermes:Lybalvi/25-26/Scatter/ Digital/2Q'26</t>
  </si>
  <si>
    <t xml:space="preserve">Ad Council/2025/Dig/Pro-bono/2Q26/OneFox </t>
  </si>
  <si>
    <t>Brighthouse Financial/AllFOX/2Q26/DIO</t>
  </si>
  <si>
    <t>Aflac/Digital/Upfront/Entertainment/UF2025/26/2Q'26</t>
  </si>
  <si>
    <t>HEINEKEN- Deportes - Digital - UF 2025/26- 2Q26</t>
  </si>
  <si>
    <t xml:space="preserve">Capital One/CARD/25-26/Upfront/Digital/MLB/WS -  UF 2025/26 </t>
  </si>
  <si>
    <t>Capital One/BANK/25-26/Upfront/Digital/MLB/WS -  UF 2025/26</t>
  </si>
  <si>
    <t>Charter/Spectrum Residential/Digital/NASCAR - 2Q'26</t>
  </si>
  <si>
    <t>DISCOVER CARD/Digital/Upfront/Entertainment/ADDRESSABLE/UF 2Q'26</t>
  </si>
  <si>
    <t>Signet Kay/25-26/Digital/Upfront/Entertainment/UF 2025/26/2Q</t>
  </si>
  <si>
    <t>Cologuard/Digital/Upfront/ONE FOX/UF 2025.26/Direct/2Q26</t>
  </si>
  <si>
    <t>National Vision/Digital/Upfront/ONEFOX/UF 2025/26/2Q'26</t>
  </si>
  <si>
    <t>AbbVie Skyrizi PS DSA1 /25-26/Digital/Scatter/Entertainment/</t>
  </si>
  <si>
    <t>Walmart/Digital/Upfront/Sports-Social/UF/2Q'26</t>
  </si>
  <si>
    <t>Wendy's/25-26/Upfront/Digital/Sports - 2025/26 - 2Q'26</t>
  </si>
  <si>
    <t>TACO BELL/DIGITAL/UPFRONT/FOXENTERTAINMENT/UF 2025/26/2Q'26</t>
  </si>
  <si>
    <t>Verizon/Dig/UF/25.26/Sports/2Q26/MG</t>
  </si>
  <si>
    <t>Autotrader/Digital/Direct/Upfront/Sports/25-26/2Q'26</t>
  </si>
  <si>
    <t>Unilever/MWC Digital/2026 - DM+C SLC</t>
  </si>
  <si>
    <t>Unilever/MWC Digital/2026 - DM+C Deo</t>
  </si>
  <si>
    <t>SARGENTO/DIGITAL/FOX/ENTERTAINMENT/2026/SC</t>
  </si>
  <si>
    <t>Unilever/MWC Digital/2026 - Degree</t>
  </si>
  <si>
    <t>Unilever/MWC Digital/2026 - Axe Deo</t>
  </si>
  <si>
    <t>Edwards Lifesciences/2026/Digital/Scatter/ROS</t>
  </si>
  <si>
    <t>Microsoft/Digital/Scatter/Sports/1QUD/2Q'26</t>
  </si>
  <si>
    <t>BMS/25-26/Upfront/Digital/Sports/COBENFY</t>
  </si>
  <si>
    <t>Constellation/Modelo/25-26/Upfront/Digital/Sports/Streaming</t>
  </si>
  <si>
    <t>Thrivent/Digital/Upfront/Sports - UF 2025/26 - 2Q'26</t>
  </si>
  <si>
    <t>KDP/DIGITAL/UPFRONT 2025/2026/SPORTS/FLEX FUND/1Q'26-2Q'26</t>
  </si>
  <si>
    <t>FCA(Stellantis)/DIGITAL/SCATTER/SPORTS/MWC</t>
  </si>
  <si>
    <t>Hilton/Digital/Upfront/Streaming/25-26/DIO/2Q'26</t>
  </si>
  <si>
    <t>Hyundai/Digital/Scatter/Sports/MWC/25-26</t>
  </si>
  <si>
    <t>Prudential/Digital/Scatter/MWC/2026</t>
  </si>
  <si>
    <t>Unilever/MWC Digital/2026 - Dove Deo Clinical</t>
  </si>
  <si>
    <t>Unilever/MWC Digital/2026 - Dove MB</t>
  </si>
  <si>
    <t>Unilever/MWC Digital/2026 - Dove Deo Core Deo</t>
  </si>
  <si>
    <t>Audible/MWC/scatter/25.26/ALLFOX</t>
  </si>
  <si>
    <t>Unilever/MWC Digital/2026 - Dove SCL Bar</t>
  </si>
  <si>
    <t>Unilever/MWC Digital/2026 - Dove SCL BW</t>
  </si>
  <si>
    <t>Insulet: Omnipod/AllFOX/Scatter/2Q26</t>
  </si>
  <si>
    <t>Army / UPFRONT / DIGITAL / SPORTS 2025/26</t>
  </si>
  <si>
    <t>Kia/Digital/Scatter/Sports/MWC/25-26</t>
  </si>
  <si>
    <t>Credit Karma/2Q'26/Digital/Scatter/Preempt/HorizonMX</t>
  </si>
  <si>
    <t>WERNER/25-26/SCATTER/NFL/DIGITAL</t>
  </si>
  <si>
    <t>Duracell/2026/Scatter/Digital/MWC</t>
  </si>
  <si>
    <t>Fuhrmann | Health Check - S&amp;E Direct- 2026.4</t>
  </si>
  <si>
    <t>BMS/25-26/Upfront/Digital/Sports/CAMZYOS</t>
  </si>
  <si>
    <t>Lilly/2026/MWC/Digital/Scatter/Tubi/Mounjaro</t>
  </si>
  <si>
    <t>VISA/DIGITAL/SCATTER/SPORTS/MWC/VISABrand</t>
  </si>
  <si>
    <t>Airbnb/MWC/Digital/SCT/25-26</t>
  </si>
  <si>
    <t>Carnival/2026/Scatter/Digital/MWC</t>
  </si>
  <si>
    <t>Redfin/MWC26/2Q3Q/Digital</t>
  </si>
  <si>
    <t>UNIVERSAL PICTURES/Digital/Upfront/Entertainment/UF 2025/26 - Minions 3</t>
  </si>
  <si>
    <t>Allstate/Digital/Scatter/MWC/Q2-Q3'26</t>
  </si>
  <si>
    <t>New Balance/Digital/Scatter/World Cup/25-26</t>
  </si>
  <si>
    <t>Capital One/Bank/Digital/BYUF/Entertainment/2Q'26/SCT</t>
  </si>
  <si>
    <t xml:space="preserve">He Gets Us/25-26/Digital/Scatter/Sports/Men's World Cup </t>
  </si>
  <si>
    <t>Rocket/MWC26/2Q3Q/Digital</t>
  </si>
  <si>
    <t>AT&amp;T/Digital/Direct/Scatter/Sports/MWC/2026</t>
  </si>
  <si>
    <t>CANCELLED - MWC Digital 2026/Trimble/Monks/26/Scatter</t>
  </si>
  <si>
    <t>MICHELIN / SCATTER / DIGITAL / FY 25-26 / World Cup digital</t>
  </si>
  <si>
    <t>Lilly/2026/MWC/Digital/Scatter/Tubi/OSADSE</t>
  </si>
  <si>
    <t>Constellation/2026/Scatter/Digital/MWC</t>
  </si>
  <si>
    <t>VISA/DIGITAL/SCATTER/SPORTS/MWC ROSTER REVEAL</t>
  </si>
  <si>
    <t>T-Mobile/2026/Scatter/Digital/MWC/2Q'26</t>
  </si>
  <si>
    <t>EUROITALIA / SCATTER / DIGITAL / FY 25-26 / World Cup digital</t>
  </si>
  <si>
    <t>J&amp;J MWC'26/scatter/digital - Tremfya PsO</t>
  </si>
  <si>
    <t>J&amp;J MWC'26/scatter/digital - Camlyta MDD</t>
  </si>
  <si>
    <t>J&amp;J MWC'26/scatter/digital - Tremfya GI</t>
  </si>
  <si>
    <t>Chipotle/Digital/Scatter/World Cup/25-26</t>
  </si>
  <si>
    <t>Ferrara/Digital/Scatter/World Cup/25-26</t>
  </si>
  <si>
    <t>Dick's/2026 MWC/Digital/Scatter/Adidas</t>
  </si>
  <si>
    <t>Dick's/2026 MWC/Digital/Scatter/DSGB</t>
  </si>
  <si>
    <t>Lilly/2026/MWC/Digital/Scatter/Tubi/ZepboundCWM</t>
  </si>
  <si>
    <t>5HR/Digital/Streaming/ENT/Scatter 2Q'26</t>
  </si>
  <si>
    <t>Scary Movie/Digital/Scatter/2Q26</t>
  </si>
  <si>
    <t>Bridgestone/25-26/Digital/Scatter/Entertainment/2Q</t>
  </si>
  <si>
    <t>UNIVERSAL PICTURES/Digital/Upfront/Entertainment/UF 2025/26 - Disclosure Day</t>
  </si>
  <si>
    <t>Diageo/KETEL/Digital/Direct/Scatter/Sports/MWC/2026/JUNE</t>
  </si>
  <si>
    <t>Diageo/THECOCKTAILCOLLECTION/Digital/Direct/Scatter/Sports/MWC/2026/JUNE</t>
  </si>
  <si>
    <t>Diageo/GUINNESS/Digital/Direct/Scatter/Sports/MWC/2026/JUNE</t>
  </si>
  <si>
    <t>BD TikTok USA LLC/Digital/Scatter/Sports/25.26/World Cup</t>
  </si>
  <si>
    <t>Michelin/Digital/Scatter/AllFOX/2Q-3Q26 Scatter</t>
  </si>
  <si>
    <t>Diageo/DONJULIO/Digital/Direct/Scatter/Sports/MWC/2026/JUNE</t>
  </si>
  <si>
    <t>Haleon/2026 MWC/Digital/Scatter</t>
  </si>
  <si>
    <t>MARRIOTT/DIGITAL/SCATTER/SPORTS/MWC ROSTER REVEAL</t>
  </si>
  <si>
    <t xml:space="preserve">PEPSICO- FRITO LAY /SCATTER / DIGITAL / FY 25-26 / Run of World Cup Digital Video </t>
  </si>
  <si>
    <t>HOME DEPOT / SCATTER / DIGITAL / FY 25-26 / World Cup digital</t>
  </si>
  <si>
    <t>Nutrafol/25-26/Digital/Scatter/Entertainment/2Q</t>
  </si>
  <si>
    <t>KALSHI INC / SCATTER / DIGITAL / FY 25-26 / World Cup digital</t>
  </si>
  <si>
    <t xml:space="preserve">PEPSICO- FRITO LAY /QUAKERS/ SCATTER / DIGITAL / FY 25-26 / World Cup digital </t>
  </si>
  <si>
    <t>Lilly/2026 MWC/Digital/Scatter/Mounjaro</t>
  </si>
  <si>
    <t>Diageo/CASAMIGOS/Digital/Direct/Scatter/Sports/MWC/2026/JUNE</t>
  </si>
  <si>
    <t>TurtleBox/Tatari/Digital/25-26/SCT</t>
  </si>
  <si>
    <t>Lilly/2026 MWC/Digital/Scatter/ZepboundCWM</t>
  </si>
  <si>
    <t>Oura Ring/Digital/Scatter/Sports/MWC/2Q-3Q26</t>
  </si>
  <si>
    <t>Saatva/25-26/Digital/Scatter/Entertainment/2Q</t>
  </si>
  <si>
    <t>Lilly/2026 MWC/Digital/Scatter/ZepboundOSADSE</t>
  </si>
  <si>
    <t>Lilly/2026 MWC/Digital/Scatter/Masterbrand</t>
  </si>
  <si>
    <t>TACO BELL/DIGITAL/UPFRONT/FOXSPORTS/UF 2025/26/MWC</t>
  </si>
  <si>
    <t>McDonalds/Digital/Scatter/Sports/World Cup '26</t>
  </si>
  <si>
    <t>RAMP.COM / SCATTER / DIGITAL / SPORTS / FY Q4 25-26 /</t>
  </si>
  <si>
    <t>Lilly/2026 MWC/Digital/Scatter/Ebglyss</t>
  </si>
  <si>
    <t>Lilly/2026 MWC/Digital/Scatter/ZepboundOSABranded</t>
  </si>
  <si>
    <t>Indeed/2026/Scatter/Digital/MWC</t>
  </si>
  <si>
    <t>Coors Light/Digital/Scatter/Men's World Cup/Q2-Q3'26</t>
  </si>
  <si>
    <t>KFC/25-26/Digital/Scatter/Sports/Men's World Cup</t>
  </si>
  <si>
    <t xml:space="preserve">Miller Coors/Digital/Scatter/Men's World Cup/Q2-Q3'26 </t>
  </si>
  <si>
    <t>MARRIOTT/DIGITAL/SCATTER/SPORTS/MWC</t>
  </si>
  <si>
    <t>POWERADE/DIGITAL/SCATTER/SPORTS/MWC</t>
  </si>
  <si>
    <t>THE STARBUCKS COMPANY/DIGITAL/SCATTER/SPORTS/MWC/2Q'26</t>
  </si>
  <si>
    <t>COCA-COLA/DIGITAL/SCATTER/SPORTS/MWC</t>
  </si>
  <si>
    <t>LOWE'S/DIGITAL/SCATTER/SPORTS/MWC/25-26</t>
  </si>
  <si>
    <t>Travel Texas/25-26/Digital/Scatter/Sports/MWC</t>
  </si>
  <si>
    <t>Walmart/25-26/Upfront/Digital/One Fox2Q'26IncrementalDIO-Summer Deals</t>
  </si>
  <si>
    <t>Albert/25-26/2Q'26/Digital/One Fox</t>
  </si>
  <si>
    <t>THE STARBUCKS COMPANY/DIGITAL/SCATTER/SPORTS/MWC/3Q'26</t>
  </si>
  <si>
    <t>FAIRLIFE/DIGITAL/SCATTER/SPORTS/MWC</t>
  </si>
  <si>
    <t>Lilly/2026/MWC/Digital/Scatter/Tubi/Ebglyss [CANCELLED]</t>
  </si>
  <si>
    <t>Scopely Monopoly Go!/Digital/Scatter/Entertainment/2025/26/2Q26</t>
  </si>
  <si>
    <t>Paramount Pictures - Jackass 5/Digital/Satter/2Q26</t>
  </si>
  <si>
    <t>2026 FIFA MWC/AMEX/Digital</t>
  </si>
  <si>
    <t>Eli Lilly/Dig/UF/25.26/Sports/Ebglyss/2Q'26</t>
  </si>
  <si>
    <t>Eli Lilly/Dig/UF/25.26/Sports/Zepbound CWM/2Q'26</t>
  </si>
  <si>
    <t>Ferrero/Digital/Scatter/World Cup/25-26/Social/Video</t>
  </si>
  <si>
    <t>Farmers Insurance/Digital/Scatter/Sports/MWC/2Q-3Q26</t>
  </si>
  <si>
    <t>American Airlines/25-26/Digital/Scatter/Sports/MWC</t>
  </si>
  <si>
    <t xml:space="preserve"> MWC Digital 2026/Trimble/Monks/26/Scatter</t>
  </si>
  <si>
    <t>A24 Death of Robin Hood/Digital/Scatter/AllFOX &amp; Abs A/25.26/2Q26</t>
  </si>
  <si>
    <t>Bank of America/Digital/Scatter/FOX Sports DAI/Q2-Q4'26</t>
  </si>
  <si>
    <t>Amazon Alexa+/Digital/Scatter/Sports/MWC/2Q-3Q26 (NEW)</t>
  </si>
  <si>
    <t>Apple/Digital/Upfront/Direct/Entertainment/25-26/2Q'26 - Privacy 7.0</t>
  </si>
  <si>
    <t xml:space="preserve">Universal Pictures/Digital/Scatter/Sports/MWC 2026/Disclosure Day </t>
  </si>
  <si>
    <t>Heineken/2Q-3Q'26 Scatter/Digital/MWC</t>
  </si>
  <si>
    <t>Lilly/2026/MWC/Digital/Scatter/Tubi/Ebglyss/NEW</t>
  </si>
  <si>
    <t>FocusFeatures/Digital/25-26/SCT</t>
  </si>
  <si>
    <t>Universal Pictures/Digital/Scatter/Sports/MWC 2026/The Odyssey</t>
  </si>
  <si>
    <t>Universal Pictures/Digital/Scatter/Sports/MWC 2026/One Night Only</t>
  </si>
  <si>
    <t>Universal Pictures/Digital/Scatter/Sports/MWC 2026/Forgotten Island</t>
  </si>
  <si>
    <t>Chime/25-26/Digital/Scatter/Entertainment/2Q</t>
  </si>
  <si>
    <t>Microsoft/Digital/Scatter/World Cup/25-26</t>
  </si>
  <si>
    <t>ArenaClub/Tatari/Digital/25-26/SCT</t>
  </si>
  <si>
    <t>adidas/2026/Scatter/Digital/MWC</t>
  </si>
  <si>
    <t>UOPX- MWC - Digital -25/26</t>
  </si>
  <si>
    <t>Universal Pictures/Digital/Scatter/Sports/MWC 2026/Monsters and Minions</t>
  </si>
  <si>
    <t>Lilly/2026 MWC/Digital/Scatter/Foundayo</t>
  </si>
  <si>
    <t>Infinite Roar/Polymarket/Digital/MWC/Scatter/2025/26</t>
  </si>
  <si>
    <t>Walmart/2026 MWC/Digital/Scatter</t>
  </si>
  <si>
    <t>BEST BUY/DIGITAL/TUBI/FOXSPORTS/MENSWORLDCUP/2Q-3Q'26/SC</t>
  </si>
  <si>
    <t>Shipt/MWC 2026/Digital/Scatter</t>
  </si>
  <si>
    <t>Google/2026/Scatter/Digital/MWC - Youtube</t>
  </si>
  <si>
    <t>Lenovo/OMP/Digital/Scatter/Sports/MWC</t>
  </si>
  <si>
    <t>THERABODY/PMG/25-26/Digital/Scatter/Sports/MWC</t>
  </si>
  <si>
    <t>Waymo/Digital/Scatter/Sports/MWC</t>
  </si>
  <si>
    <t>Apple/Digital/Scatter/Sports/2Q-3Q 2026/MWC Digital</t>
  </si>
  <si>
    <t>Verizon/2026 MWC/Digital/Scatter/VBG/Video</t>
  </si>
  <si>
    <t>Google/2026/Scatter/Digital/MWC - Search -NEW</t>
  </si>
  <si>
    <t>NISSAN / DIGITAL / SCATTER  / SPORTS / MWC 2026/27</t>
  </si>
  <si>
    <t>Volkswagen/Digital/Direct/Scatter/Sports/MWC/2026</t>
  </si>
  <si>
    <t>Google/2026/Scatter/Digital/MWC/Tubi &amp; FS</t>
  </si>
  <si>
    <t>GM/Digital/Upfront/MG/AllFox/2Q26/Makegood</t>
  </si>
  <si>
    <t>META/DIGITAL/SCATTER/SPORTS/MWC/WhatsApp</t>
  </si>
  <si>
    <t>Clorox / Scatter / Digital / 25-26 / World Cup</t>
  </si>
  <si>
    <t xml:space="preserve"> Capital One/Bank/Digital/BYUF/Entertainment/UF2526_3Q26</t>
  </si>
  <si>
    <t>Aflac/Digital/Upfront/Entertainment/UF2025-26/3Q'26</t>
  </si>
  <si>
    <t>META/DIGITAL/SCATTER/SPORTS/MWC/Wearables</t>
  </si>
  <si>
    <t xml:space="preserve">TACO BELL/DIGITAL/UPFRONT/FOXENTERTAINMENT/UF 2025/26/3Q'26 </t>
  </si>
  <si>
    <t>Capital One/Bank/Digital/BYUF/Entertainment/3Q'26/SCT</t>
  </si>
  <si>
    <t>Mars/AllFOX/3Q26/DIO/TwixCore</t>
  </si>
  <si>
    <t>Apple/Digital/Upfront/Direct/Entertainment/25-26/3Q'26 - Privacy 7.0</t>
  </si>
  <si>
    <t>Mars/AllFOX/3Q26/DIO/M&amp;MsPeanut</t>
  </si>
  <si>
    <t>Mars/AllFOX/3Q26/DIO/M&amp;MsCaramelPopd</t>
  </si>
  <si>
    <t>Hilton/Digital/Upfront/Streaming/25-26 -3Q26</t>
  </si>
  <si>
    <t>Capital One/Card/Digital/BYUF/Entertainment/UF2526_3Q'26</t>
  </si>
  <si>
    <t>OmahaSteaks/MWC/Digital/DR</t>
  </si>
  <si>
    <t>Mars/AllFOX/3Q26/DIO/Extra</t>
  </si>
  <si>
    <t>BMW / SCATTER / DIGITAL / SPORTS / FY Q4 25-26 / World Cup</t>
  </si>
  <si>
    <t>PEPSICO- FRITO LAY /SCATTER / DIGITAL / FY 25-26 / World Cup Display &amp; Social</t>
  </si>
  <si>
    <t>Verizon/2026 MWC/Digital/Scatter/VBG/Display</t>
  </si>
  <si>
    <t>Zillow 2026 MWC Digital Plan</t>
  </si>
  <si>
    <t>COCA-COLA/DIGITAL/SCATTER/SPORTS/MLS</t>
  </si>
  <si>
    <t>VISA/DIGITAL/SCATTER/SPORTS/MWC/WellsFargo</t>
  </si>
  <si>
    <t>DIRECTV/DIGITAL SCATTER/25 26/MWC/X AMPLIFY - WC PORTAL</t>
  </si>
  <si>
    <t>DTV/Digital/Deportes MLB/X Amplify/2526/Scatter</t>
  </si>
  <si>
    <t>JavaHouse/SCT/Indy/Social/25-26</t>
  </si>
  <si>
    <t>AB/DIGITAL/SCATTER/SPORTS/MWC</t>
  </si>
  <si>
    <t>Verizon/2026 MWC/Digital/Scatter/Mobility</t>
  </si>
  <si>
    <t>USAA/DIGITAL/UPFRONT/SOCIAL/UF 2025/26/3Q'26/MLB/NFL</t>
  </si>
  <si>
    <t>PEPSICO- FRITO LAY/ SCATTER / DIGITAL / FY 25-26 / World Cup Social X</t>
  </si>
  <si>
    <t>AB/DIGITAL/SCATTER/SPORTS/MWC/X AMPLIFY</t>
  </si>
  <si>
    <t>Unilever/MLS/Scatter/25.26/ X Amplify</t>
  </si>
  <si>
    <t>USAA/DIGITAL/UPFRONT/SOCIAL/UF 2025/26/2Q'26/MLB</t>
  </si>
  <si>
    <t>META - Instagram - Tubi Premium Video - DIO - Tubi Prime - Rotational Video 2026 MWC</t>
  </si>
  <si>
    <t>Bank of America - Premium Video Package: FOX Sports + Tubi - Package</t>
  </si>
  <si>
    <t>Wendy's - ROV - ROS - A18-49 - 25/26 UPFT RES - Q3'26 Package - UPFT RES</t>
  </si>
  <si>
    <t>Abbvie Skyrizi CD - LFV - RON Ent - ROS - Pre/Mid - DT/MB/CTV - P2+ :60 2Q'26</t>
  </si>
  <si>
    <t>Abbvie Rinvoq AD - LFV - RON Ent - ROS - Pre/Mid - DT/MB/CTV - 2Q'26 P2+ :60</t>
  </si>
  <si>
    <t>Abbvie Rinvoq UC - LFV - RON Ent - ROS - Pre/Mid - DT/MB/CTV - P2+ 2Q'26 - :60</t>
  </si>
  <si>
    <t>Wayfair - LFV - Sports ROV P2+ - Package - 3Q'26</t>
  </si>
  <si>
    <t>Amazon XCM - LFV - RON Entertainment - ROS - Pre/Mid - DT/MB/CTV/VOD - A1849 AAT - Package - 3Q'26 UPFTRES</t>
  </si>
  <si>
    <t>KIA - LFV - RON Ent - ROS - Pre/Mid - DT/MB/CTV/VOD - Package - 3Q'26</t>
  </si>
  <si>
    <t>EGGLAND'S BEST/LFV/Amplified Absolute A Show Mix /P2+/2-3Q'26</t>
  </si>
  <si>
    <t>EGGLAND'S BEST/D/ENT/SCATTER/RON/2-3Q'26</t>
  </si>
  <si>
    <t>BMS/UF/RON/25-26/AAT/2Q'26/CAMZYOS</t>
  </si>
  <si>
    <t>BMS/UF/RON/25-26/AAT/2Q'26/QVANTIG</t>
  </si>
  <si>
    <t>BMS/UF/RON/25-26/AAT/2Q'26/COBENFY</t>
  </si>
  <si>
    <t>Amazon XCM - LFV - FSLS - Pre/Mid - ROS - DT/MB/CTV - P2+ - 3Q'26 UPFTRES</t>
  </si>
  <si>
    <t>Audi - LFV - ROV - FS - Pre/Mid - MLS/Soccer - DT/MB/TB/CTV - CoV - P2+ - Package - 2026</t>
  </si>
  <si>
    <t>Audi - LFV - FSLS - Pre - MLS - DT/MB/CTV - 100% SOV Sponsorship - 2026</t>
  </si>
  <si>
    <t>Capital One - Consumer Card - LFV - RON Ent - ROS - Pre/Mid - DT/MB/CTV/VOD - 1Q'26</t>
  </si>
  <si>
    <t>CAPITAL ONE - BANK - LFV - RON Ent - ROS - Pre/Mid - DT/MB/CTV- A1849_2Q'26</t>
  </si>
  <si>
    <t>Nutrafol - LFV - RON Ent - Pre/Mid - ROS - DT/MB/CTV/STB - non-CoV Preemptible - 2Q26</t>
  </si>
  <si>
    <t>Tatari/Nutrafol/25-26/Digital/Sports/ROS/Preempt -3Q26</t>
  </si>
  <si>
    <t>Alkermes Lybalvi - DIO - LFV - Entertainment - Animation Only - AAT A18-54 - :60s - 2Q'26 Package</t>
  </si>
  <si>
    <t>Ad Council - LFV - 1F - Pre/Mid - ROS - FW - SXD - Package- 2Q'26 - Pro-Bono</t>
  </si>
  <si>
    <t>Aflac - Brightline - Fox on Hulu - P2+ - 2Q'26 Package</t>
  </si>
  <si>
    <t>Heineken - Deportes - ROS - A21-54 - Upfront 25/26 - 2Q'26</t>
  </si>
  <si>
    <t>Capital One - CARD - DIO - LFV - FSLS - Pre/Mid - ROS - DT/MB/CTV - Regular Season</t>
  </si>
  <si>
    <t>Capital One - BANK - DIO - LFV - FSLS - Pre/Mid - ROS - DT/MB/CTV - Regular Season</t>
  </si>
  <si>
    <t>Charter - Spectrum - DIO - ROV - FS - Pre/Mid - ROS - DT/MB/CTV - 2Q'26 NASCAR</t>
  </si>
  <si>
    <t>Discover Card - DIO - LFV - Entertainment ROS - 2Q26</t>
  </si>
  <si>
    <t>Signet Kay DIO - LFV - Entertainment ROS - Package Gifting 2Q</t>
  </si>
  <si>
    <t>Signet Kay DIO - LFV - Entertainment ROS - Package Bridal 2Q</t>
  </si>
  <si>
    <t>Cologuard - OneFox - 25/26 - Pre/Mid - ROS - AAT - SXD - A45+ - 2Q'26</t>
  </si>
  <si>
    <t>National Vision - OneFOX - A25-54 - 2Q'26 Package</t>
  </si>
  <si>
    <t>National Vision - Brightline - Overlay - FOX on Hulu - P2+ - 2Q'26 Package</t>
  </si>
  <si>
    <t>Abbvie Skyrizi PS DSA1 - DIO - LFV - Entertainment ROS</t>
  </si>
  <si>
    <t>Walmart - DIO - ROV - FS - Pre/Mid - ROS - DT/MB/CTV - A18-49 - 2Q'26 Package - FB2</t>
  </si>
  <si>
    <t>Walmart - DIO - ROV - FS - Pre/Mid - ROS - DT/MB/CTV - A18-49 - 2Q'26 Package - BTX2</t>
  </si>
  <si>
    <t>Walmart - DIO - ROV - FS - Pre/Mid - ROS - DT/MB/CTV - A18-49 - 2Q'26 Package - WAL2</t>
  </si>
  <si>
    <t>Walmart - DIO - ROV - FS - Pre/Mid - ROS - DT/MB/CTV - A18-49 - 2Q'26 Package - PO2</t>
  </si>
  <si>
    <t>Walmart - DIO - ROV - FS - Pre/Mid - ROS - DT/MB/CTV - A18-49 - 2Q'26 Package - EX2</t>
  </si>
  <si>
    <t>Wendy's - DIO - ROV - ALLFOX Sports Bundle - A18-49 - Pre/Mid - ROS - 2Q'26 Package - VAL1</t>
  </si>
  <si>
    <t>Wendy's - DIO - ROV - ALLFOX Sports Bundle - A18-49 - Pre/Mid - ROS - 2Q'26 Package - EQU1</t>
  </si>
  <si>
    <t>Taco Bell - LFV - RON Ent - Pre/Mid - ROS - DT/MB/CTV - A18+ 2Q'26 E7</t>
  </si>
  <si>
    <t>Taco Bell - LFV - RON Ent - Pre/Mid - ROS - DT/MB/CTV - A18+ 2Q'26 E6</t>
  </si>
  <si>
    <t>Verizon - DIO - ROV - FS - Pre/Mid - ROS - DT/MB/CTV - Package - 2Q'26 MG</t>
  </si>
  <si>
    <t>Autotrader - DIO - ROV - FS - Pre/Mid - SOCCER - DT/MB/CTV - 2Q'26</t>
  </si>
  <si>
    <t>OMP-Unilever DM+C SLC Run of AllFOX Video - Soccer Fans - AAT - Package</t>
  </si>
  <si>
    <t>OMP-Unilever DM+C SLC Run of FOX Sports Video</t>
  </si>
  <si>
    <t>OMP-Unilever DM+C SLC Run of World Cup Video</t>
  </si>
  <si>
    <t>OMP-Unilever - DM+C Deo -  Run of AllFOX Video - Soccer Fans- AAT - Package</t>
  </si>
  <si>
    <t>OMP-Unilever - DM+C Deo -  Run of FOX Sports Video - Package</t>
  </si>
  <si>
    <t>OMP-Unilever - DM+C Deo - Run of World Cup Video - Package</t>
  </si>
  <si>
    <t>SARGENTO DIO - LFV - FOX - Pre/Mid - FOX FOOD - DT/MB/CTV</t>
  </si>
  <si>
    <t>SARGENTO DIO - LFV - RON Ent - Absolute A - Show Mix - DT/MB/CTV/STB FLIGHT 2</t>
  </si>
  <si>
    <t>OMP-Unilever - Degree -Run of FOX Sports Video - Package</t>
  </si>
  <si>
    <t>OMP-Unilever - Degree -Run of AllFOX Video - Soccer Fan - Package</t>
  </si>
  <si>
    <t>OMP-Unilever - Degree -Run of World Cup Video - Package</t>
  </si>
  <si>
    <t>OMP-Unilever - Axe Deo - Run of AllFOX Video - Soccer Fans - AAT</t>
  </si>
  <si>
    <t>OMP-Unilever - Axe Deo - Run of World Cup Video</t>
  </si>
  <si>
    <t>OMP-Unilever - Axe Deo - Run of FOX Sports Video</t>
  </si>
  <si>
    <t>Edwards Lifesciences - DIO - ROV - FS - Pre/Mid - ROS - DT/MB/CTV - Package</t>
  </si>
  <si>
    <t>Microsoft - Run of FOX Sports Video - Package - 2Q26</t>
  </si>
  <si>
    <t>BMS/UF/SPORTS/D/25-26/LFV/AAT/2Q'26/COBENFY</t>
  </si>
  <si>
    <t>MODELO/UF/SPORTS/D/25-26/P2+/2Q'26</t>
  </si>
  <si>
    <t>Wendy's - ROV - ROS - A18-49 - 25/26 UPFT - Q2'26 Package - VAL1</t>
  </si>
  <si>
    <t>Thrivent - DIO - ROV - FS - Pre/Mid - ROS - DT/MB/CTV - P2+ - 2Q'26 Package</t>
  </si>
  <si>
    <t>KDP - FLEX FUND - ROV - FS - Pre/Mid - ROS - DT/MB/CTV - P2+ - 2Q'26 Package</t>
  </si>
  <si>
    <t>Stellantis - Run of AllFOX Video - Package -AAT- 2026</t>
  </si>
  <si>
    <t>Stellantis - Run of World Cup Video + Tubi - Package 2026</t>
  </si>
  <si>
    <t>Hilton - DIO - ROV - FS - Pre/Mid - ROS - DT/MB/CTV - Package</t>
  </si>
  <si>
    <t>Hyundai - Run of AllFOX Video - Package</t>
  </si>
  <si>
    <t>Hyundai - Run of World Cup Video - Package - OMP</t>
  </si>
  <si>
    <t>Prudential - Run of World Cup Video - Package</t>
  </si>
  <si>
    <t>Prudential - Run of AllFOX Video - Package</t>
  </si>
  <si>
    <t>Prudential - Run of FOX Sports Video - Package</t>
  </si>
  <si>
    <t>OMP - Unilever - Dove Deo Clinical - Run of World Cup Video - Package</t>
  </si>
  <si>
    <t>OMP - Unilever - Dove MB - Run of World Cup Video - Package</t>
  </si>
  <si>
    <t>OMP - Unilever - Dove Deo Core Deo - Run of World Cup Video - Package</t>
  </si>
  <si>
    <t>Audible - MWC - Run of AllFOX Video - Package</t>
  </si>
  <si>
    <t>OMP - Unilever - Dove SCL Bar - Run of World Cup Video - Package</t>
  </si>
  <si>
    <t>OMP- Unilever - Dove SCL BW - Run of World Cup Video - Package</t>
  </si>
  <si>
    <t>Insulet - Omnipod - Run of AllFOX Video - 2Q26 - Crossix</t>
  </si>
  <si>
    <t>Insulet - Omnipod - Run of AllFOX Video - 2Q26 - Swoop</t>
  </si>
  <si>
    <t>ARMY - DIO - ROV - FS - Pre/Mid - ROS - DT/MB/CTV - 2Q'26 AAT A1849</t>
  </si>
  <si>
    <t>KIA - Run of FOX Sports Video - Package</t>
  </si>
  <si>
    <t>KIA - Run of World Cup Video - Package - OMP</t>
  </si>
  <si>
    <t>KIA - Run of AllFOX Video - Package</t>
  </si>
  <si>
    <t>Credit Karma - DIO - LFV - Entertainment ROS Preemptible - 2Q'26 MX</t>
  </si>
  <si>
    <t>WERNER/NFL/DIGITAL/SCATTER/AAT-NFL Football Fans/ROV/25-26</t>
  </si>
  <si>
    <t>WERNER/NFL/DIGITAL/SCATTER/AAT-Custom Segment/ROV/25-26</t>
  </si>
  <si>
    <t>Duracell_Run of World Cup Video</t>
  </si>
  <si>
    <t>DIO - LFV - FSLS - Pre/Mid - CBB - DT/MB/CTV</t>
  </si>
  <si>
    <t>BMS/UF/SPORTS/D/25-26/LFV/AAT/2Q'26/CAMZYOS</t>
  </si>
  <si>
    <t>Eli Lilly - Mounjaro - Run of AllFOX Video - 2026 Package - Tubi - AAT- :75</t>
  </si>
  <si>
    <t>Eli Lilly - Mounjaro - Run of World Cup Video - 2026 Package - Tubi - :75</t>
  </si>
  <si>
    <t>Eli Lilly - Mounjaro - Run of AllFOX Video - 2026 Package - Tubi - AAT- :60</t>
  </si>
  <si>
    <t>Eli Lilly - Mounjaro - Run of World Cup Video - 2026 Package - Tubi - :60</t>
  </si>
  <si>
    <t>VISA - VISA Brand - OMP - Run of World Cup Video - Package - 2026</t>
  </si>
  <si>
    <t>OMP - Airbnb - Run of World Cup Video - Package</t>
  </si>
  <si>
    <t>OMP - Airbnb - Run of FOX Sports Video - Package</t>
  </si>
  <si>
    <t>CARNIVAL/S/SPORTS/25-26/MWC/Run of WC Video</t>
  </si>
  <si>
    <t>CARNIVAL/S/SPORTS/25-26/MWC/Run of FS Video</t>
  </si>
  <si>
    <t>CARNIVAL/S/SPORTS/25-26/ALLFOX/AAT</t>
  </si>
  <si>
    <t>Redfin - Run of AllFOX Video - Package (Targeting 'Soccer Fan') AAT</t>
  </si>
  <si>
    <t>Redfin - Run of World Cup Video - Package</t>
  </si>
  <si>
    <t>Minions &amp; Monsters_UP_DIO - LFV - Entertainment - Package - Animation + Families w/ Children Showmix</t>
  </si>
  <si>
    <t>Allstate - Run of World Cup Video - Package</t>
  </si>
  <si>
    <t>New Balance - Run of World Cup Video - Package</t>
  </si>
  <si>
    <t>Capital One - Bank - Incremental -  Destination - DIO - LFV - Entertainment ROS - 2Q'26</t>
  </si>
  <si>
    <t>HGU - Run of World Cup Video - Package</t>
  </si>
  <si>
    <t>HGU - Run of AllFOX Video - Package</t>
  </si>
  <si>
    <t>HGU - Run of FOX Sports Video - Package</t>
  </si>
  <si>
    <t>Rocket - Run of AllFOX Video - Package (Targeting 'Soccer Fan') AAT</t>
  </si>
  <si>
    <t>Rocket - Run of World Cup Video - Package</t>
  </si>
  <si>
    <t>Rocket - Run of FOX Sports Video - Package</t>
  </si>
  <si>
    <t>AT&amp;T - Run of World Cup Video - Package</t>
  </si>
  <si>
    <t>CANCELLED - Trimble - Run of World Cup Video - Package</t>
  </si>
  <si>
    <t>Michelin - Run of World Cup Video - 2Q3Q26</t>
  </si>
  <si>
    <t>Michelin - World Cup - Run of AllFOX Video - Package</t>
  </si>
  <si>
    <t>Eli Lilly - OSA DSE - Run of AllFOX Video - 2026 Package - Tubi -AAT- :45</t>
  </si>
  <si>
    <t>Eli Lilly - OSA DSE - Run of World Cup Video - 2026 Package - Tubi - :45</t>
  </si>
  <si>
    <t>CONSTELLATION BRANDS/S/SPORTS/25-26/ALLFOX/AAT</t>
  </si>
  <si>
    <t>CONSTELLATION BRANDS/S/SPORTS/25-26/MWC/Run of WC Video</t>
  </si>
  <si>
    <t>CONSTELLATION BRANDS/S/SPORTS/25-26/MWC/Run of FS Video</t>
  </si>
  <si>
    <t>Visa - Roster Reveal - Run of AllFOX Video -AAT- "Soccer Fan" - 2Q'26 Package</t>
  </si>
  <si>
    <t>T-MOBILE/S/SPORTS/25-26/MWC/Run of WC Video/2Q'26/Broadband</t>
  </si>
  <si>
    <t>T-MOBILE/S/SPORTS/25-26/MWC/Run of WC Video/2Q'26/PostPaid</t>
  </si>
  <si>
    <t>T-MOBILE/S/SPORTS/25-26/MWC/Run of WC Video/2Q'26/PrePaid</t>
  </si>
  <si>
    <t>T-MOBILE/S/SPORTS/25-26/MWC/YOUTUBE/2Q'26/Broadband</t>
  </si>
  <si>
    <t>T-MOBILE/S/SPORTS/25-26/MWC/YOUTUBE/2Q'26/PrePaid</t>
  </si>
  <si>
    <t>EuroItalia - Run of AllFOX Video - MWC2Q3Q26 - GTE on OTS: A18-54 - AAT</t>
  </si>
  <si>
    <t>EuroItalia - Run of World Cup Video - MWC 2Q3Q26</t>
  </si>
  <si>
    <t>J&amp;J - MWC - TREMFYA PsO - Run of World Cup Video - Package - :60s</t>
  </si>
  <si>
    <t>J&amp;J - MWC - Camlyta MDD - Run of World Cup Video - Package - :60s</t>
  </si>
  <si>
    <t>J&amp;J - MWC - Camlyta MDD - Run of AllFOX Video - Package - :60s</t>
  </si>
  <si>
    <t>J&amp;J - MWC - Camlyta MDD - Run of FOX Sports Video - Package - :60s</t>
  </si>
  <si>
    <t>J&amp;J - MWC - TREMFYA GI  - Run of AllFOX Video -:60s - Package</t>
  </si>
  <si>
    <t>J&amp;J - MWC - TREMFYA GI -Run of World Cup Video -:60s - Package</t>
  </si>
  <si>
    <t>J&amp;J - MWC - TREMFYA GI - Run of World Cup Video - :45s -Package</t>
  </si>
  <si>
    <t>J&amp;J - MWC - TREMFYA GI -Run of AllFOX Video - :45s - Package</t>
  </si>
  <si>
    <t>Chipotle - Run of AllFOX Video - Package</t>
  </si>
  <si>
    <t>Chipotle - Run of World Cup Video - Package</t>
  </si>
  <si>
    <t>Ferrara - Black Forest - Run of World Cup Video - Package</t>
  </si>
  <si>
    <t>Ferrara - Nerds - Run of AllFOX Video - Package</t>
  </si>
  <si>
    <t>Ferrara - Nerds - Run of World Cup Video - Package</t>
  </si>
  <si>
    <t>Ferrara - Black Forest - Run of AllFOX Video - Package</t>
  </si>
  <si>
    <t>DSG - Run of World Cup Video - Package - 2026</t>
  </si>
  <si>
    <t>DSG - Run of AllFOX Video - Package-AAT- 2026</t>
  </si>
  <si>
    <t>DSG - Run of FOX Sports Video - Package - 2026</t>
  </si>
  <si>
    <t>DSG - Run of AllFOX Video - Package -AAT-  2026</t>
  </si>
  <si>
    <t>Eli Lilly - Zepbound CWM - Run of World Cup Video - 2026 Package - Tubi - :75</t>
  </si>
  <si>
    <t>Eli Lilly - Zepbound CWM - Run of AllFOX Video - 2026 Package - Tubi -AAT-  :75</t>
  </si>
  <si>
    <t>Eli Lilly - Zepbound CWM - Run of World Cup Video - 2026 Package - Tubi - :60</t>
  </si>
  <si>
    <t>Eli Lilly - Zepbound CWM - Run of AllFOX Video - 2026 Package - Tubi -AAT- :60</t>
  </si>
  <si>
    <t>5 Hour DIO - LFV - Entertainment ROS - Package - 2Q'26 A25-54 AAT</t>
  </si>
  <si>
    <t>APEX - Paramount Pictures - Scary Movie - Entertainment ROS - AAT A18-34 - 2Q'26 Package</t>
  </si>
  <si>
    <t>Bridgestone - DIO - LFV - Entertainment ROS Preemptible - Package</t>
  </si>
  <si>
    <t>Disclosure Day- UP- DIO - LFV - Entertainment - Package - Sci-Fi/Thriller Fans or Moviegoers Showmix</t>
  </si>
  <si>
    <t>Diageo - Ketel - OMP -Run of World Cup Video - Package - FY26</t>
  </si>
  <si>
    <t>Diageo -The Cocktail Collection - OMP  -Run of World Cup Video - Package - FY26</t>
  </si>
  <si>
    <t>Diageo - Guinness - OMP - Run of World Cup Video - Package - FY26</t>
  </si>
  <si>
    <t>TikTok- Run of AllFOX Video - Package (Epsilon Segment: A18-64)</t>
  </si>
  <si>
    <t>TikTok- Run of World Cup Video - Package</t>
  </si>
  <si>
    <t>Michelin - 2Q/3Q26- Run of AllFOX Video - Package</t>
  </si>
  <si>
    <t>Diageo - Don Julio -OMP -Run of World Cup Video - Package - FY26</t>
  </si>
  <si>
    <t>Haleon - Centrum - Run of AllFOX Video - Package - AAT- 2026</t>
  </si>
  <si>
    <t>Haleon - Advil - Run of AllFOX Video - Package -AAT- 2026</t>
  </si>
  <si>
    <t>Haleon - Advil - Run of World Cup Video - Package - 2026</t>
  </si>
  <si>
    <t>Haleon - Sensodyne - Run of World Cup Video - Package - 2026</t>
  </si>
  <si>
    <t>Haleon - Pronamel - Run of World Cup Video - Package - 2026</t>
  </si>
  <si>
    <t>Haleon - Pronamel - Run of AllFOX Video - Package -AAT- 2026</t>
  </si>
  <si>
    <t>Haleon - Pronamel - Run of FOX Sports Video - Package - 2026</t>
  </si>
  <si>
    <t>Haleon - Centrum - Run of FOX Sports Video - Package - 2026</t>
  </si>
  <si>
    <t>Haleon - Advil - Run of FOX Sports Video - Package - 2026</t>
  </si>
  <si>
    <t>Haleon - Sensodyne - Run of FOX Sports Video - Package - 2026</t>
  </si>
  <si>
    <t>Haleon - Centrum - Run of World Cup Video - Package - 2026</t>
  </si>
  <si>
    <t>Haleon - Tums - Run of World Cup Video - Package - 2026</t>
  </si>
  <si>
    <t>Haleon - Tums - Run of AllFOX Video - Package -AAT- 2026</t>
  </si>
  <si>
    <t>Haleon - Sensodyne - Run of AllFOX Video - Package -AAT- 2026</t>
  </si>
  <si>
    <t>Haleon - Tums - Run of FOX Sports Video - Package - 2026</t>
  </si>
  <si>
    <t>Marriott - OMP - Run of AllFOX Video - Soccer Fans AAT - US Roster Reveal 2026 Package</t>
  </si>
  <si>
    <t>Pepsi - Frito Lays - Run of World Cup Video - OMP</t>
  </si>
  <si>
    <t>Home Depot - Run of World Cup Video - OMP</t>
  </si>
  <si>
    <t>Nutrafol - DIO - LFV - Entertainment ROS Preemptible - Package</t>
  </si>
  <si>
    <t>Kalshi - Run of AllFOX Video - Soccer Fans - MWC 2Q3Q26 - AAT</t>
  </si>
  <si>
    <t>Kalshi - Run of World Cup Video - MWC 2Q3Q26</t>
  </si>
  <si>
    <t>Pepsi - Frito Lays - QUAKERS - Run of World Cup Video - OMP</t>
  </si>
  <si>
    <t>Eli Lilly - Mounjaro 75 - Run of AllFOX Video - Package -AAT- 2026</t>
  </si>
  <si>
    <t>Eli Lilly - Mounjaro 60 - Run of AllFOX Video - Package - AAT- 2026</t>
  </si>
  <si>
    <t>Diageo - Casamigos  - OMP - Run of World Cup Video - Package - FY26</t>
  </si>
  <si>
    <t>Turtlebox - DIO - LFV - FSLS - Pre/Mid - ROS - DT/MB/CTV - Preemptible - Package</t>
  </si>
  <si>
    <t>Eli Lilly - Zepbound CWM 60 - Run of AllFOX Video - Package -AAT-  2026</t>
  </si>
  <si>
    <t>Eli Lilly - Zepbound CWM 75 - Run of AllFOX Video - Package -AAT-  2026</t>
  </si>
  <si>
    <t>Oura Ring- Run of World Cup Video - Package</t>
  </si>
  <si>
    <t>Oura Ring- Run of AllFOX Video - Package  - "Soccer fan and A25-54 and Health &amp; Fitness Enthusiasts" Audience Targeted</t>
  </si>
  <si>
    <t>Satva - DIO - LFV - Entertainment ROS Preemptible - Package</t>
  </si>
  <si>
    <t>Eli Lilly - Zepbound OSA DSE :45 - Run of World Cup Video - Package - 2026</t>
  </si>
  <si>
    <t>Eli Lilly - Masterbrand 30 - Run of World Cup Video - Package - 2026</t>
  </si>
  <si>
    <t>Eli Lilly - Masterbrand 15 - Run of FOX Sports Video - Package - 2026</t>
  </si>
  <si>
    <t>Eli Lilly - Masterbrand 60 - Run of FOX Sports Video - Package - 2026</t>
  </si>
  <si>
    <t>Eli Lilly - Masterbrand 30 - Run of FOX Sports Video - Package - 2026</t>
  </si>
  <si>
    <t>Eli Lilly - Masterbrand 60 -  Run of World Cup Video - Package - 2026</t>
  </si>
  <si>
    <t>Eli Lilly - Masterbrand 15 - Run of World Cup Video - Package - 2026</t>
  </si>
  <si>
    <t>Taco Bell - Run of World Cup Video - Package</t>
  </si>
  <si>
    <t>MCD - Run of World Cup Video - Package - OMP</t>
  </si>
  <si>
    <t>RAMP  - DIO - ROV - FS - Pre/Mid - ROS - DT/MB - 2Q'26</t>
  </si>
  <si>
    <t>Eli Lilly - Ebglyss :30 - Run of World Cup Video - Package - 2026</t>
  </si>
  <si>
    <t>Eli Lilly - Ebglyss :60 - Run of World Cup Video - Package - 2026</t>
  </si>
  <si>
    <t>Eli Lilly - Ebglyss :30 - Run of AllFOX Video - Package- AAT - 2026</t>
  </si>
  <si>
    <t>Eli Lilly - Ebglyss :60 - Run of AllFOX Video - Package -AAT- 2026</t>
  </si>
  <si>
    <t>Eli Lilly - Zepbound OSA Branded : 60 - Run of AllFOX Video - Package - AAT- 2026</t>
  </si>
  <si>
    <t>Eli Lilly - Zepbound OSA Branded : 75 - Run of AllFOX Video - Package -AAT- 2026</t>
  </si>
  <si>
    <t>Indeed - Run of World Cup Video</t>
  </si>
  <si>
    <t>Coors Light - Run of World Cup Video - Package</t>
  </si>
  <si>
    <t>KFC - Run of World Cup Video - Package</t>
  </si>
  <si>
    <t>Miller Lite - Run of World Cup Video - Package</t>
  </si>
  <si>
    <t>Marriott - Run of World Cup Video - OMP - 2026 MWC Package</t>
  </si>
  <si>
    <t>Powerade - OMP -  Run of World Cup Video - 2026 MWC Package</t>
  </si>
  <si>
    <t>Starbucks - Run of World Cup Video - 2026 MWC Package</t>
  </si>
  <si>
    <t>Starbucks - Run of FOX Sports Video - 2026 MWC Package</t>
  </si>
  <si>
    <t>Coca-Cola - Run of World Cup Video - 2026 MWC Package</t>
  </si>
  <si>
    <t>Lowe's - Run of FOX Sports Video - 2026 MWC Package</t>
  </si>
  <si>
    <t>Lowe's - Run of AllFOX Video - 2026 MWC Package</t>
  </si>
  <si>
    <t>Lowe's - Run of World Cup Video - 2026 MWC Package</t>
  </si>
  <si>
    <t>Travel Texas Run of World Cup Video - Package</t>
  </si>
  <si>
    <t>Travel Texas Run of AllFOX Video - Package</t>
  </si>
  <si>
    <t>Walmart - Run of AllFOX Video - 2Q'26 Package - AAT - A18-49 - Summer Deals</t>
  </si>
  <si>
    <t>Albert - DIO - ROV - 1F SEN - Pre/Mid - ROS - FW - SXD - 2Q'26</t>
  </si>
  <si>
    <t>Fairlife - Run of World Cup Video - P2+ - 2026 MWC Package</t>
  </si>
  <si>
    <t>CANCELLED_Eli Lilly - Ebglyss - Run of AllFOX Video - 2026 Package - Tubi - :75</t>
  </si>
  <si>
    <t>Scopely- DIO - LFV - Entertainment ROS - Package</t>
  </si>
  <si>
    <t>Scopely- DIO - LFV - RON Ent - Absolute A - Show Mix - DT/MB/CTV/STB  (Family Guy, Bob’s Burgers, American Dad, and Simpsons)</t>
  </si>
  <si>
    <t>APEX - Paramount Pictures - Jackass 5 - Entertainment ROS - AAT M18-34 - 2Q'26 Package</t>
  </si>
  <si>
    <t>AMEX - Run of World Cup Video - Package</t>
  </si>
  <si>
    <t>Wayfair - LFV - Sports ROV P2+ - Package - 2Q'26</t>
  </si>
  <si>
    <t>Eli Lilly - Ebglyss 30 - Run of AllFOX Sports Bundle Package - 2Q'26</t>
  </si>
  <si>
    <t>Eli Lilly - Ebglyss 60 - Run of AllFOX Sports Bundle Package - 2Q'26</t>
  </si>
  <si>
    <t>Eli Lilly - Zepbound CWM :60s Run of AllFOX Sports Bundle Package - 2Q'26</t>
  </si>
  <si>
    <t>Eli Lilly - Zepbound CWM :75s Run of AllFOX Sports Bundle Package - 2Q'26</t>
  </si>
  <si>
    <t>Ferrero - Halo Top - Run of World Cup Video - Package</t>
  </si>
  <si>
    <t>Ferrero - TicTac - Run of World Cup Video - Package</t>
  </si>
  <si>
    <t>Ferrero - Kinder Bueno Ice Cream - Run of World Cup Video - Package</t>
  </si>
  <si>
    <t>Ferrero - Butterfinger - Run of World Cup Video - Package</t>
  </si>
  <si>
    <t>Ferrero - Kinder Bueno - Run of World Cup Video - Package</t>
  </si>
  <si>
    <t>Ferrero - Crunch - Run of World Cup Video - Package</t>
  </si>
  <si>
    <t>Ferrero - Blue Bunny - Run of World Cup Video - Package</t>
  </si>
  <si>
    <t>Ferrero - Nutella - Run of World Cup Video - Package</t>
  </si>
  <si>
    <t>Ferrero - Keebler - Run of World Cup Video - Package</t>
  </si>
  <si>
    <t>Ferrero - Kinder Joy - Run of World Cup Video - Package</t>
  </si>
  <si>
    <t>Ferrero - Kinder Chocolate - Run of World Cup Video - Package</t>
  </si>
  <si>
    <t>Ferrero - Ferrero Rocher - Run of World Cup Video - Package</t>
  </si>
  <si>
    <t>Farmers Insurance- Run of World Cup Video - Package</t>
  </si>
  <si>
    <t>American Airlines - Run of AllFOX Video - Package OMP</t>
  </si>
  <si>
    <t>American Airlines - Run of World Cup Video - Package OMP</t>
  </si>
  <si>
    <t>Trimble - Run of World Cup Video - Package</t>
  </si>
  <si>
    <t>DIO - ROV - 1F SEN - Pre/Mid - ROS - FW - SXD - Package (AAT A25-54 and Fandango Fans)</t>
  </si>
  <si>
    <t>DIO - LFV - RON Ent - Absolute A - Show Mix - DT/MB/CTV/STB (Masked Singer and Fear Factor)</t>
  </si>
  <si>
    <t>Bank of America - DIO - ROV - FS - Pre/Mid - ROS - DT/MB/CTV - Package</t>
  </si>
  <si>
    <t>Amazon Alexa+ - Run of World Cup Video - Package</t>
  </si>
  <si>
    <t>Apple/Digital/Upfront/Direct/Entertainment/25-26- ROS - 2Q'26 - Privacy 7.0</t>
  </si>
  <si>
    <t>Apple/Digital/Upfront/Direct/Entertainment/25-26 -  A/Z - 2Q'26 - Privacy 7.0</t>
  </si>
  <si>
    <t>Universal- Run of World Cup Video - Package (Disclosure Day)</t>
  </si>
  <si>
    <t>Heineken - Run of World Cup Video - AAT 21+ - Package</t>
  </si>
  <si>
    <t>Eli Lilly - Ebglyss Run of World Cup Video - 2026 Package - Tubi - :30</t>
  </si>
  <si>
    <t>Eli Lilly - Ebglyss - Run of AllFox Video - 2026 Package - Tubi - :30</t>
  </si>
  <si>
    <t>Eli Lilly - Ebglyss - Run of AllFOX Video - 2026 Package - Tubi - :60</t>
  </si>
  <si>
    <t>Eli Lilly - Ebglyss Run of World Cup Video - 2026 Package - Tubi - :60</t>
  </si>
  <si>
    <t>FocusFeatures/Digital/Sports/Scatter/2Q'26/Pressure - EXTENDED</t>
  </si>
  <si>
    <t>Universal- Run of World Cup Video - Package (The Odyssey)</t>
  </si>
  <si>
    <t>Universal- Run of World Cup Video - Package (One Night Only)</t>
  </si>
  <si>
    <t>Universal- Run of World Cup Video - Package (Forgotten Island)</t>
  </si>
  <si>
    <t>Chime - DIO - LFV - Entertainment ROS Preemptible - Package</t>
  </si>
  <si>
    <t>Microsoft - Run of World Cup Video - Package</t>
  </si>
  <si>
    <t>Microsoft - Run of AllFOX Video - Package - AAT 'Soccer Fan'</t>
  </si>
  <si>
    <t>Arena Club - DIO - LFV - FSLS - Pre/Mid - ROS - DT/MB/CTV - Preemptible - Package</t>
  </si>
  <si>
    <t>Adidas - Run of World Cup Video - Package</t>
  </si>
  <si>
    <t>UOPX - Run of AllFOX Video - Package</t>
  </si>
  <si>
    <t>UOPX - Run of World Cup Video - Package</t>
  </si>
  <si>
    <t>Universal- Run of World Cup Video - Package (Monsters and Minions)</t>
  </si>
  <si>
    <t>Eli Lilly - Foundayo 75 - Run of AllFOX Video - Package -AAT-  2026</t>
  </si>
  <si>
    <t>Eli Lilly - Foundayo 60 - Run of AllFOX Video - Package -AAT-  2026</t>
  </si>
  <si>
    <t>Bank of America - Run of World Cup Video Hub Premium Video - WC Hub ROS</t>
  </si>
  <si>
    <t>Polymarket - Run of World Cup Video - Package</t>
  </si>
  <si>
    <t>Walmart - BTX2 - Run of World Cup Video - Package - 2026</t>
  </si>
  <si>
    <t>Walmart - WAL2 - Run of AllFOX Video - Package - 2026 - AAT</t>
  </si>
  <si>
    <t>Walmart - BTX2 - Run of AllFOX Video - Package - 2026 - AAT</t>
  </si>
  <si>
    <t>Walmart - EX2 - Run of AllFOX Video - Package - 2026 - AAT</t>
  </si>
  <si>
    <t>Walmart - WAL2 - Run of World Cup Video - Package - 2026</t>
  </si>
  <si>
    <t>Walmart - EX2 - Run of World Cup Video - Package - 2026</t>
  </si>
  <si>
    <t>Best Buy - Run of World Cup Video - Package</t>
  </si>
  <si>
    <t>Best Buy - DIO - LFV - Tubi - Pre/Mid - ROS - DT/MB/CTV - FW - AAT</t>
  </si>
  <si>
    <t>Shipt - Run of World Cup Video - Package</t>
  </si>
  <si>
    <t>Shipt - Run of FOX Sports Video - Package</t>
  </si>
  <si>
    <t>Google - YouTube_Run of World Cup Video - Package</t>
  </si>
  <si>
    <t>Lenovo - OMP - Run of World Cup Video - 2026 MWC Package</t>
  </si>
  <si>
    <t>Ferrero - FMC Ice Cream - Run of World Cup Video - Package</t>
  </si>
  <si>
    <t>Therabody - Run of World Cup Video - Package</t>
  </si>
  <si>
    <t>Waymo - Run of AllFOX Video - 2026 MWC Package</t>
  </si>
  <si>
    <t>Waymo - Run of World Cup Video - 2026 MWC Package</t>
  </si>
  <si>
    <t>Apple - Run of FOX Sports Video - Package - P1849 Target</t>
  </si>
  <si>
    <t>Apple - Run of AllFOX Video - Package - Soccer Fan Targeted</t>
  </si>
  <si>
    <t>Verizon - OMP - VBG - Run of World Cup Video - Package - 2026</t>
  </si>
  <si>
    <t>Google - Search - Run of World Cup Video - Package</t>
  </si>
  <si>
    <t>Google - Search -Run of AllFOX Sports Bundle Package</t>
  </si>
  <si>
    <t>Google - Search -Run of FOX Sports Video - Package</t>
  </si>
  <si>
    <t>Lenovo - OMP - Run of AllFOX Video - AAT Soccer Fans - MWC 2026 Package</t>
  </si>
  <si>
    <t>Apple - Run of World Cup Video - Package</t>
  </si>
  <si>
    <t>Nissan - Run of World Cup Video - MWC'26</t>
  </si>
  <si>
    <t>Volkswagen - Run of World Cup Video - Package</t>
  </si>
  <si>
    <t>Google Search (TUBI) Run of World Cup Video - Package - 2Q'26</t>
  </si>
  <si>
    <t>Google Search (TUBI) Run of AllFOX Video - Package  - 2Q'26</t>
  </si>
  <si>
    <t>GM- Cadillac - Run of AllFOX Video - AAT - 2Q26 Makegood</t>
  </si>
  <si>
    <t>Waymo - Run of AllFOX Video - 2026 MWC :60s Package</t>
  </si>
  <si>
    <t>Waymo - Run of World Cup Video - 2026 MWC :60s Package</t>
  </si>
  <si>
    <t>VISA - VISA Brand - OMP - Run of World Cup Video - Roster Reveal MG - Package - 2026</t>
  </si>
  <si>
    <t>META - Instagram - Run of AllFOX Video - AAT Soccer Fans - 2026 MWC Package</t>
  </si>
  <si>
    <t>META - Instagram - Run of World Cup Video - 2026 MWC Package</t>
  </si>
  <si>
    <t>META - Instagram - Run of FOX Sports Video - 2026 MWC Package</t>
  </si>
  <si>
    <t>MG -  AT&amp;T - Run of World Cup Video - Package</t>
  </si>
  <si>
    <t>Oura Ring- Run of World Cup Video - Package (Makegood)</t>
  </si>
  <si>
    <t>META - WhatsApp - Run of AllFOX Video - AAT Soccer Fan Audience - 2026 MWC Package</t>
  </si>
  <si>
    <t>META - WhatsApp - Run of World Cup Video - 2026 MWC Package</t>
  </si>
  <si>
    <t>Clorox - DIO - Run of World Cup Video - 2Q26</t>
  </si>
  <si>
    <t>CAPITAL ONE - BANK - LFV - RON Ent - ROS - Pre/Mid - DT/MB/CTV- A1849_3Q'26</t>
  </si>
  <si>
    <t>Aflac - Brightline - Fox on Hulu - P2+ - 3Q'26 Package</t>
  </si>
  <si>
    <t>Verizon - OMP - VBG - Run of World Cup Video - Makegood Package - 2026</t>
  </si>
  <si>
    <t>META - Wearables - Run of AllFOX Video - AAT Soccer Fan Audience - 2026 MWC Package</t>
  </si>
  <si>
    <t>Therabody - Run of FOX Sports Video - Package</t>
  </si>
  <si>
    <t>Taco Bell - LFV - RON Ent - Pre/Mid - ROS - DT/MB/CTV - A18+ 3Q'26 E7</t>
  </si>
  <si>
    <t>Capital One - Bank - Incremental - DIO - LFV - Entertainment ROS - 3Q'26</t>
  </si>
  <si>
    <t>Mars - Twix Core - Run of AllFOX Video - 3Q'26 Package</t>
  </si>
  <si>
    <t>Apple/Digital/Upfront/Direct/Entertainment/25-26 -  A/Z - 3Q'26 - Privacy 7.0</t>
  </si>
  <si>
    <t>Apple/Digital/Upfront/Direct/Entertainment/25-26- ROS - 3Q'26 - Privacy 7.0</t>
  </si>
  <si>
    <t>Mars - M&amp;Ms Peanut - Run of AllFOX Video - 3Q'26 Package</t>
  </si>
  <si>
    <t>Mars - M&amp;Ms Caramel Pop'd - Run of AllFOX Video - 3Q'26 Package</t>
  </si>
  <si>
    <t>Hilton - DIO - ROV - FS - Pre/Mid - ROS - DT/MB/CTV - Package - 3Q26</t>
  </si>
  <si>
    <t>Capital One - Consumer Card - LFV - RON Ent - ROS - Pre/Mid - DT/MB/CTV/VOD - 3Q'26</t>
  </si>
  <si>
    <t>Omaha Steaks - Run of World Cup Video - Package</t>
  </si>
  <si>
    <t>Mars - Extra - Run of AllFOX Video - 3Q'26 Package</t>
  </si>
  <si>
    <t>UOPX - Run of AllFOX Video - Package - MG</t>
  </si>
  <si>
    <t>Edwards Lifesciences - DIO - DIS - FS - Display - ROS - Package</t>
  </si>
  <si>
    <t>Prudential - Run of World Cup Display - Package</t>
  </si>
  <si>
    <t>Prudential - World Cup FOX Sports Site &amp; App Takeover - Package</t>
  </si>
  <si>
    <t>Hyundai - Run of World Cup Display - Package - 728x90, 300x250,320x50  - OMP</t>
  </si>
  <si>
    <t>Hyundai - Run of FOX Sports Display - Package - 728x90, 300x250,320x50, 300x600 - OMP</t>
  </si>
  <si>
    <t>CARNIVAL/S/SPORTS/25-26/MWC/Run of WC Display</t>
  </si>
  <si>
    <t>KIA - Run of World Cup Display - Package -320x50, 300x250, 728x90 - OMP</t>
  </si>
  <si>
    <t>Duracell_Run of World Cup Display</t>
  </si>
  <si>
    <t>Allstate - Run of World Cup Display - Package</t>
  </si>
  <si>
    <t>OMP - Airbnb - Run of World Cup Display - Package</t>
  </si>
  <si>
    <t>AT&amp;T - World Cup FOX Sports Site &amp; App Takeover - Package - 6/18</t>
  </si>
  <si>
    <t>HGU - Run of World Cup Display - Package</t>
  </si>
  <si>
    <t>AT&amp;T - Run of World Cup Display - Package</t>
  </si>
  <si>
    <t>DSG - World Cup FOX Sports Site &amp; App Takeover - Package - 2026</t>
  </si>
  <si>
    <t>BMW - World Cup FOX Sports Site &amp; App Takeover - Non - OMP 6/20/2026</t>
  </si>
  <si>
    <t>Diageo -The Cocktail Collection - OMP -  Run of World Cup Display - Package - FY26</t>
  </si>
  <si>
    <t>CARNIVAL/S/SPORTS/25-26/Run of FOX Sports Display</t>
  </si>
  <si>
    <t>CONSTELLATION BRANDS/S/SPORTS/25-26/MWC/Run of WC Display</t>
  </si>
  <si>
    <t>BMW - Run of World Cup Display - Men's World Cup 26' - 300x250, 320x50, 728x90</t>
  </si>
  <si>
    <t>Powerade - OMP - Run of World Cup Display - 2026 MWC Package</t>
  </si>
  <si>
    <t>Haleon - Tums - Run of World Cup Display - Package - 2026</t>
  </si>
  <si>
    <t>Diageo - Ketel - OMP -  Run of World Cup Display - Package - FY26</t>
  </si>
  <si>
    <t>Diageo - Guinness - OMP -  Run of World Cup Display - Package - FY26</t>
  </si>
  <si>
    <t>Diageo - Don Julio - OMP -  Run of World Cup Display - Package - FY26</t>
  </si>
  <si>
    <t>Diageo - Casamigos - OMP - World Cup FOX Sports Site &amp; App Takeover - Package - FY26</t>
  </si>
  <si>
    <t>Marriott - OMP - World Cup US Roster Reveal - FOX Sports Site &amp; App Takeover - 6/6 -  2Q'26 Package</t>
  </si>
  <si>
    <t>Haleon - Pronamel - Run of World Cup Display - Package - 2026</t>
  </si>
  <si>
    <t>Haleon - Advil - Run of World Cup Display - Package - 2026</t>
  </si>
  <si>
    <t>Haleon - Sensodyne - Run of World Cup Display - Package - 2026</t>
  </si>
  <si>
    <t>Haleon - Centrum - Run of World Cup Display - Package - 2026</t>
  </si>
  <si>
    <t>Pepsi - Frito Lays - QUAKERS - Run of FOX Sports Display - OMP</t>
  </si>
  <si>
    <t>Home Depot - Run of World Cup Display - Knockout Stage -  Q2Q326 - OMP - 320x50, 300x250, 728x90</t>
  </si>
  <si>
    <t>Eli Lilly - Masterbrand - Run of World Cup Display - Package - 2026</t>
  </si>
  <si>
    <t>Lowe's - World Cup FOX Sports Site &amp; App Takeover - 6/16 Argentina vs. Algeria - 2026 MWC Package</t>
  </si>
  <si>
    <t>Eli Lilly - Zepbound CWM - Run of World Cup Display - Package - 2026</t>
  </si>
  <si>
    <t>OMP- Oura Ring- World Cup FOX Sports Site &amp; App Takeover - Package (6/17)</t>
  </si>
  <si>
    <t>Eli Lilly - Mounjaro - Run of World Cup Display - Package - 2026</t>
  </si>
  <si>
    <t>Indeed - World Cup FOX Sports Site &amp; App Takeover- 6/27</t>
  </si>
  <si>
    <t>Indeed - Run of World Cup Display</t>
  </si>
  <si>
    <t>MCD - World Cup FOX Sports Site &amp; App Takeover - Package - 6/11 - OMP</t>
  </si>
  <si>
    <t>Eli Lilly - Zepbound OSA Branded - Run of World Cup Display - Package - 2026</t>
  </si>
  <si>
    <t>Lowe's - Run of World Cup Display - 2026 MWC Package</t>
  </si>
  <si>
    <t>Eli Lilly - Ebglyss-  Run of World Cup Display - Package - 2026</t>
  </si>
  <si>
    <t>Pepsico - Frito Lay - Run of FOX Sports Display -   320x50, 300x250, 728x90, OMP</t>
  </si>
  <si>
    <t>Eli Lilly - Zepbound OSA DSE - Run of World Cup Display - Package - 2026</t>
  </si>
  <si>
    <t>Verizon - OMP - World Cup FOX Sports Site &amp; App Takeover - Package - 6/19</t>
  </si>
  <si>
    <t>Eli Lilly - Foundayo - Run of World Cup Display - Package - 2026</t>
  </si>
  <si>
    <t>EuroItalia - Run of FOX Sports Display - MWC2Q3Q26</t>
  </si>
  <si>
    <t>Polymarket - Run of World Cup Display - Package - 320x50, 300x250, 728x90</t>
  </si>
  <si>
    <t>Walmart - EX2- Run of World Cup Display - Package - 2026</t>
  </si>
  <si>
    <t>Verizon - OMP - Run of World Cup Display - Package - 2026</t>
  </si>
  <si>
    <t>MG - Diageo - Casamigos - OMP - World Cup FOX Sports Site &amp; App Takeover - Package - FY26</t>
  </si>
  <si>
    <t>MCD - World Cup FOX Sports Site &amp; App Takeover - Package - 6/30 - OMP MG</t>
  </si>
  <si>
    <t>Zillow - DIO - SOC - FS - MWC - Social Package</t>
  </si>
  <si>
    <t>EGGLAND'S BEST/D/ENT/SCATTER/SOCIAL/@Foodclubfox</t>
  </si>
  <si>
    <t>Powerade - OMP - World Cup Social Sponsorship Content - 2026 MWC Package</t>
  </si>
  <si>
    <t>Polymarket - World Cup Social Sponsorship Content - Package</t>
  </si>
  <si>
    <t>Duracell_World Cup Social Sponsorship Content</t>
  </si>
  <si>
    <t>OMP-Unilever - DM+C Deo - World Cup Social Sponsorship Content - Package</t>
  </si>
  <si>
    <t>Starbucks - World Cup Social Sponsorship Content - 2026 MWC Package</t>
  </si>
  <si>
    <t>Haleon - Tums - World Cup Social Sponsorship Content - Package - 2026</t>
  </si>
  <si>
    <t>New Balance - World Cup Social Sponsorship Content - Package</t>
  </si>
  <si>
    <t>Home Depot - COSM - World Cup Social Sponsorship Content - OMP</t>
  </si>
  <si>
    <t>DSG - World Cup Social Sponsorship Content - Package - 2026</t>
  </si>
  <si>
    <t>BMW - World Cup Social Sponsorship Content - Men's World Cup</t>
  </si>
  <si>
    <t>Indeed - World Cup Social Sponsorship Content</t>
  </si>
  <si>
    <t>Ferrero - Crunch - World Cup Social Sponsorship Content - Package</t>
  </si>
  <si>
    <t>Coca-Cola - DIO - SOC - FS - MLS - 2026 Package</t>
  </si>
  <si>
    <t>Haleon - Pronamel - World Cup Social Sponsorship Content - Package - 2026</t>
  </si>
  <si>
    <t>Haleon - Centrum - World Cup Social Sponsorship Content - Package - 2026</t>
  </si>
  <si>
    <t>VISA - Wells Fargo - OMP - World Cup Social Sponsorship Content - Package - 2026</t>
  </si>
  <si>
    <t>DTV World Cup Social Sponsorship Content - Package - X JUNE</t>
  </si>
  <si>
    <t>Diageo - Casamigos - OMP - World Cup NOW Integrations &amp; Jersey Swap Coverage - Package - FY26</t>
  </si>
  <si>
    <t>Adidas - World Cup Social- Custom 8</t>
  </si>
  <si>
    <t>META - Wearables - World Cup Social Sponsorship Content - 2026 MWC Package</t>
  </si>
  <si>
    <t>Walmart - BTX2 - World Cup Social Sponsorship Content - Package - 2026</t>
  </si>
  <si>
    <t>Hyundai - World Cup Social Sponsorship Content - Package</t>
  </si>
  <si>
    <t>Google - Search -World Cup Social Sponsorship Content - Package</t>
  </si>
  <si>
    <t>DTV - DIO - SOC - FOX Sports - X - FOXD</t>
  </si>
  <si>
    <t>Volkswagen - World Cup on X - Package</t>
  </si>
  <si>
    <t>OMP-Unilever - Degree - World Cup Social Sponsorship Content - Package</t>
  </si>
  <si>
    <t>Prudential - World Cup Social Sponsorship Content - Package</t>
  </si>
  <si>
    <t>OMP-Unilever - Axe Deo - World Cup Social Sponsorship Content</t>
  </si>
  <si>
    <t>Coca-Cola - World Cup Social Sponsorship Content - 2026 MWC Package</t>
  </si>
  <si>
    <t>Walmart - WAL2 - World Cup Social Sponsorship Content - Package - 2026</t>
  </si>
  <si>
    <t>HGU - World Cup Social Sponsorship Content - Package</t>
  </si>
  <si>
    <t>CONSTELLATION BRANDS/S/SPORTS/25-26/MWC/SOCIAL</t>
  </si>
  <si>
    <t>AT&amp;T - World Cup Social Sponsorship Content - Package</t>
  </si>
  <si>
    <t>T-MOBILE/S/SPORTS/25-26/MWC/SOCIAL/2Q'26/PostPaid</t>
  </si>
  <si>
    <t>Home Depot - World Cup Social Sponsorship Content - COSM - OMP</t>
  </si>
  <si>
    <t>Pepsi - Frito Lays - QUAKERS - World Cup Social Sponsorship Content - OMP</t>
  </si>
  <si>
    <t>Haleon - Advil - World Cup Social Sponsorship Content - Package - 2026</t>
  </si>
  <si>
    <t>DTV World Cup Social Sponsorship Content - Package JUNE</t>
  </si>
  <si>
    <t>Farmers Insurance- World Cup Social Sponsorship Content - Package</t>
  </si>
  <si>
    <t>Java House - Indy - DIO - SOC - FOX Sports - Package - FB/IG/TT</t>
  </si>
  <si>
    <t>Home Depot - World Cup Social Sponsorship Content - OMP</t>
  </si>
  <si>
    <t>Ferrara - Sweetarts - World Cup Social Sponsorship Content - Package</t>
  </si>
  <si>
    <t>Anheuser-Busch - OMP - World Cup Social Sponsorship Content - Player of the Match - 2026 Package</t>
  </si>
  <si>
    <t>Kalshi - World Cup Social Sponsorship Content - TalkSports Sponsorship</t>
  </si>
  <si>
    <t>Taco Bell - World Cup Social Sponsorship Content - Package</t>
  </si>
  <si>
    <t>Ferrara - Trolli - World Cup Social Sponsorship Content - Package</t>
  </si>
  <si>
    <t>Verizon - OMP - Mobility - World Cup Social Sponsorship Content - Package - 2026</t>
  </si>
  <si>
    <t>Universal- DIO - SOC - FOX Sports - META VAP - MWC  (Monsters and Minions)</t>
  </si>
  <si>
    <t>OMP-Unilever DM+C SLC World Cup Social Sponsorship Content - X Amplify - Package</t>
  </si>
  <si>
    <t>Volkswagen - World Cup Social Sponsorship Content - Package - 20% SOV for 90 in 90 Full Match Recaps</t>
  </si>
  <si>
    <t>META - WhatsApp - World Cup Social Sponsorship Content - 2026 MWC Package</t>
  </si>
  <si>
    <t>Google - YouTube_World Cup Social Sponsorship Content - Package</t>
  </si>
  <si>
    <t>T-MOBILE/S/SPORTS/25-26/MWC ON X/2Q'26/PostPaid</t>
  </si>
  <si>
    <t>Oura Ring- World Cup Social Sponsorship Content - Package</t>
  </si>
  <si>
    <t>KIA - World Cup Social Sponsorship Content - Package</t>
  </si>
  <si>
    <t>USAA - FOX Sports - X MLB Social Sponsorship - 3Q'26 Package</t>
  </si>
  <si>
    <t>OMP-Unilever DM+C SLC World Cup Social Sponsorship Content - Package</t>
  </si>
  <si>
    <t>AMEX - World Cup Social Sponsorship Content - Package - X</t>
  </si>
  <si>
    <t>Google - Search -World Cup ROSTER REVEAL Social Sponsorship Content - Package</t>
  </si>
  <si>
    <t>CARNIVAL/S/SPORTS/25-26/MWC/SOCIAL</t>
  </si>
  <si>
    <t>AMEX - World Cup Social Sponsorship Content - Package - FB/IG/TT/YT</t>
  </si>
  <si>
    <t>Fairlife - World Cup Social Sponsorship Content - 2026 MWC Package</t>
  </si>
  <si>
    <t>Google - Search -World Cup Social Sponsorship Content - X Amplify - Package</t>
  </si>
  <si>
    <t>Marriott - OMP - World Cup US Roster Reveal Social Sponsorship Content - 2Q'26 Package</t>
  </si>
  <si>
    <t>Walmart - EX2 - World Cup Social Sponsorship Content - Package - 2026</t>
  </si>
  <si>
    <t>META - Wearables - World Cup Social Sponsorship Fee - 2026 MWC Package</t>
  </si>
  <si>
    <t>Heineken - World Cup Social Sponsorship Content - Package</t>
  </si>
  <si>
    <t>Ferrara - Nerds - World Cup Social Sponsorship Content - Package</t>
  </si>
  <si>
    <t>Ferrero - Butterfinger - World Cup Social Sponsorship Content - Package</t>
  </si>
  <si>
    <t>Allstate - World Cup Social Sponsorship Content - Package</t>
  </si>
  <si>
    <t>Coors Light - World Cup Social Sponsorship Content - Package - X</t>
  </si>
  <si>
    <t>Visa - Roster Reveal - World Cup Social Sponsorship Content - 2Q'26 Package</t>
  </si>
  <si>
    <t>Ferrero - Nutella - World Cup Social Sponsorship Content - Package</t>
  </si>
  <si>
    <t>Pepsico - Frito Lay - World Cup Social Sponsorship Content - OMP</t>
  </si>
  <si>
    <t>OMP-Unilever - DM+C Deo - World Cup Social Sponsorship Content - X Amplify - Package</t>
  </si>
  <si>
    <t>Adidas - World Cup Social- Highlights/WC Coverage</t>
  </si>
  <si>
    <t>Haleon - Sensodyne - World Cup Social Sponsorship Content - Package - 2026</t>
  </si>
  <si>
    <t>PEPSICO- FRITO LAY - World Cup Social Sponsorship Content - OMP</t>
  </si>
  <si>
    <t>META - WhatsApp - World Cup Social Sponsorship Fee - Package</t>
  </si>
  <si>
    <t>Anheuser Busch - OMP - World Cup Social Sponsorship Content - X Amplify - 2026 Package</t>
  </si>
  <si>
    <t>Universal-  DIO - SOC - FOX Sports - META VAP - MWC  (The Odyssey)</t>
  </si>
  <si>
    <t>Universal- DIO - SOC - FOX Sports - META VAP - MWC  (The Odyssey)</t>
  </si>
  <si>
    <t>USAA - Fox Sports - X Social Sponsorship - MLB Q2'26 Package</t>
  </si>
  <si>
    <t>Lowe's World Cup Social Sponsorship Content - X - 2026 MWC Package</t>
  </si>
  <si>
    <t>Miller Lite - World Cup Social Sponsorship Content - Package - X</t>
  </si>
  <si>
    <t>Google - YouTube_World Cup Social Sponsorship Content - X Amplify - Package</t>
  </si>
  <si>
    <t>American Airlines - DIO - Custom Sponsorship - FOX Sports - Placeholder</t>
  </si>
  <si>
    <t>Stellantis - World Cup Social Sponsorship Content - X Amplify - Package - 2026</t>
  </si>
  <si>
    <t>Bank of America - DIO - MWC - Fox.com + Tubi ROS - Rotational Video - Updated</t>
  </si>
  <si>
    <t>Wendy's - ROV - FS - Pre/Mid - ROS - DT/MB/CTV - UPFTRES - Q3'26 Package - UPFT RES</t>
  </si>
  <si>
    <t>Abbvie Skyrizi CD - LFV - RON Ent - Pre/Mid - ROS - CTV - P2+ :60 2Q'26</t>
  </si>
  <si>
    <t>Abbvie Skyrizi CD - LFV - RON Ent - Pre/Mid - ROS - DT/MB - P2+ :60 2Q'26</t>
  </si>
  <si>
    <t>Abbvie Rinvoq AD Vanity - LFV - RON Ent - Pre/Mid - ROS - DT/MOB - 2Q'26 P2+ :60</t>
  </si>
  <si>
    <t>Abbvie Rinvoq AD Vanity - LFV - RON Ent - Pre/Mid - ROS - CTV - 2Q'26 P2+ :60</t>
  </si>
  <si>
    <t>Abbvie Rinvoq UC - LFV - RON Ent - Pre/Mid - ROS - DT/MB - P2+ 2Q'26 - :60</t>
  </si>
  <si>
    <t>Abbvie Rinvoq UC - LFV - RON Ent - Pre/Mid - ROS - CTV - P2+ 2Q'26 - :60</t>
  </si>
  <si>
    <t>Wayfair - ROV - FS - Pre/Mid - ROS - DT/MB/CTV - 3Q26</t>
  </si>
  <si>
    <t>Amazon XCM - LFV - RON Entertainment - ROS -  Pre/Mid -  DT/MB/CTV/STB - A1849 AAT - 3Q'26 UPFTRES</t>
  </si>
  <si>
    <t>KIA - LFV - RON Ent - Pre/Mid - ROS - DT/MB/CTV/STB - A2554 - 3Q'26</t>
  </si>
  <si>
    <t>EGGLAND'S BEST/LFV/Amplified Absolute A Show Mix /RON/P2+/2-3Q'26</t>
  </si>
  <si>
    <t>EGGLAND'S BEST/D/ENT/SCATTER/RON/P2+/2-3Q'26</t>
  </si>
  <si>
    <t>BMS/UF/RON/25-26/AAT/P35-64/2Q'26/CAMZYOS</t>
  </si>
  <si>
    <t>BMS/UF/RON/25-26/AAT/P50+/2Q'26/QVANTIG</t>
  </si>
  <si>
    <t>BMS/UF/RON/25-26/AAT/P18-64/2Q'26/COBENFY</t>
  </si>
  <si>
    <t>Audi - DIO - ROV - FS - Pre/Mid - SOCCER - DT/MB/CTV - CoV - P2+ - 2026</t>
  </si>
  <si>
    <t>Audi - DIO - ROV - FS - Pre/Mid - MLS - DT/MB/CTV - CoV - P2+ - 2026</t>
  </si>
  <si>
    <t>Capital One - Consumer Card - LFV - FOX - Pre/Mid - STB VOD - ROS - A2554_2Q'26</t>
  </si>
  <si>
    <t>Capital One - Consumer  Card- LFV - RON Ent - Pre/Mid - ROS - DT/MB/CTV_A2554_2Q'26</t>
  </si>
  <si>
    <t>CAPITAL ONE - BANK - LFV - RON Ent - Pre/Mid - ROS - DT/MB/CTV_A1849_2Q'26</t>
  </si>
  <si>
    <t>Nutrafol - LFV - RON Ent - Pre/Mid - ROS - DT/MB/CTV/STB - non-CoV Preemptible - Flight 1</t>
  </si>
  <si>
    <t>Nutrafol - LFV - RON Ent - Pre/Mid - ROS - DT/MB/CTV/STB - non-CoV Preemptible - Flight 2</t>
  </si>
  <si>
    <t>Nutrafol - LFV - RON Ent - Pre/Mid - ROS - DT/MB/CTV/STB - non-CoV Preemptible - Flight 3</t>
  </si>
  <si>
    <t>Tatari - Nutrafol - LFV - FSLS - Pre/Mid - ROS - DT/MB/CTV - Preemptible- Flight 1</t>
  </si>
  <si>
    <t>Tatari - Nutrafol - LFV - FSLS - Pre/Mid - ROS - DT/MB/CTV - Preemptible- Flight 3</t>
  </si>
  <si>
    <t>Tatari - Nutrafol - LFV - FSLS - Pre/Mid - ROS - DT/MB/CTV - Preemptible- Flight 2</t>
  </si>
  <si>
    <t>Alkermes Lybalvi DIO - LFV - RON Ent - Pre/Mid - ROS - Animation Only - DT/MB/CTV/STB - A18-54 AAT - :60s - 2Q'26</t>
  </si>
  <si>
    <t>Ad Council - LFV - 1F - Tubi - Pre/Mid - ROS - DT/MB/CTV - FW - SXD - 2Q'26</t>
  </si>
  <si>
    <t>Ad Council - DIO - ROV - 1F - SEN - Pre/Mid - ROS - DT/MB/CTV - SXD - 2Q'26</t>
  </si>
  <si>
    <t>Brighthouse Financial/AllFOX/2Q26/DIO/SEN</t>
  </si>
  <si>
    <t>Heineken - Deportes - LFV - FSLS - Pre/Mid - A21-54 - ROS - DT/MB/CTV - 2Q'26</t>
  </si>
  <si>
    <t>Capital One - CARD - DIO - LFV - FSLS - Pre/Mid - MLB - DT/MB/CTV - Regular Season</t>
  </si>
  <si>
    <t>Capital One - BANK - DIO - LFV - FSLS - Pre/Mid - MLB - DT/MB/CTV - Regular Season</t>
  </si>
  <si>
    <t>Charter - DIO - ROV - FS - Pre/Mid - NASCAR - DT/MB/CTV - 2Q'26</t>
  </si>
  <si>
    <t>Discover Card - DIO - LFV - RON Ent - Pre/Mid - ROS - DT/MB/CTV/STB_2Q'26</t>
  </si>
  <si>
    <t>Signet Kay LFV - RON Ent - Pre/Mid - ROS - DT/MB/CTV/STB Gifting June 2Q</t>
  </si>
  <si>
    <t>Signet Kay LFV - RON Ent - Pre/Mid - ROS - DT/MB/CTV/STB Bridal June 2Q</t>
  </si>
  <si>
    <t>Cologuard - DIO - ROV - 1F - SEN - Pre/Mid - ROS - DT/MB/CTV - SXD - 2Q'26 - A45+</t>
  </si>
  <si>
    <t>National Vision - LFV - 1F - Tubi - Pre/Mid - ROS - DT/MB/CTV - FW - AAT A25-54 - SXD - 1Q'26</t>
  </si>
  <si>
    <t>National Vision - Brightline - DIO - LFV - FOH - Pre/Mid - INTERACTIVE - ROS - CTV - 1Q'26</t>
  </si>
  <si>
    <t>National Vision - DIO - ROV - 1F - SEN Soft News - Pre/Mid - ROS - DT/MB/CTV - SXD - A25-54 - 1Q'26</t>
  </si>
  <si>
    <t>Abbvie Skyrizi PS DSA1 - DIO - LFV - RON Ent - Pre/Mid - ROS - CTV June</t>
  </si>
  <si>
    <t>Abbvie Skyrizi PS DSA1 - DIO - LFV - RON Ent - Pre/Mid - ROS - DT/MB/TB June</t>
  </si>
  <si>
    <t>Walmart - ROV - FS - Pre/Mid - ROS - DT/MB/CTV - A18-49 - 2Q'26 - FB2</t>
  </si>
  <si>
    <t>Walmart - ROV - FS - Pre/Mid - ROS - DT/MB/CTV - A18-49 - 2Q'26 - BTX2</t>
  </si>
  <si>
    <t>Walmart - ROV - FS - Pre/Mid - ROS - DT/MB/CTV - A18-49 - 2Q'26 - WAL2</t>
  </si>
  <si>
    <t>Walmart - ROV - FS - Pre/Mid - ROS - DT/MB/CTV - A18-49 - 2Q'26 - PO2</t>
  </si>
  <si>
    <t>Walmart - ROV - FS - Pre/Mid - ROS - DT/MB/CTV - A18-49 - 2Q'26 - EX2</t>
  </si>
  <si>
    <t>Wendy's - DIO - LFV - 1F - Tubi Sports Bundle - Pre/Mid - ROS - DT/MB/CTV - FW - SXD - A18-49 - VAL1</t>
  </si>
  <si>
    <t>Wendy's - DIO - ROV - 1F - FS - Pre/Mid - ROS - DT/MB/CTV - FW - SXD - A18-49 - VAL1</t>
  </si>
  <si>
    <t>Wendy's - DIO - LFV - 1F - Tubi Sports Bundle - Pre/Mid - ROS - DT/MB/CTV - FW - SXD - A18-49 - EQU1</t>
  </si>
  <si>
    <t>Wendy's - DIO - ROV - 1F - FS - Pre/Mid - ROS - DT/MB/CTV - FW - SXD - A18-49 - EQU1</t>
  </si>
  <si>
    <t>Verizon - ROV - FS - Pre/Mid - ROS - DT/MB/CTV - 2Q'26 - P2+ - MG</t>
  </si>
  <si>
    <t>OMP-Unilever DM+C SLC  - DIO - ROV - 1F - SEN - Pre/Mid - ROS - DT/MB/CTV - SXD - Soccer Fans - AAT</t>
  </si>
  <si>
    <t>OMP-Unilever DM+C SLC - DIO - ROV - FS - Pre/Mid - ROS - DT/MB/CTV</t>
  </si>
  <si>
    <t>OMP-Unilever DM+C SLC - DIO - ROV - FS - Pre/Mid - MWC - DT/MB/CTV</t>
  </si>
  <si>
    <t>OMP-Unilever - DM+C Deo -  DIO - ROV - 1F - SEN - Pre/Mid - ROS - DT/MB/CTV - SXD - Soccer Fans - AAT</t>
  </si>
  <si>
    <t>OMP-Unilever - DM+C Deo -  DIO - ROV - FS - Pre/Mid - ROS - DT/MB/CTV</t>
  </si>
  <si>
    <t>OMP-Unilever - DM+C Deo - DIO - ROV - FS - Pre/Mid - MWC - DT/MB/CTV</t>
  </si>
  <si>
    <t>OMP-Unilever - DM+C Deo -  DIO - LFV - 1F - Tubi - Pre/Mid - ROS - DT/MB/CTV - FW - SXD - Soccer Fans - AAT</t>
  </si>
  <si>
    <t>OMP-Unilever DM+C SLC - DIO - LFV - 1F - Tubi - Pre/Mid - ROS - DT/MB/CTV - FW - SXD - Soccer Fans - AAT</t>
  </si>
  <si>
    <t>OMP-Unilever - DM+C Deo -DIO - LFV - TUB - Pre/Mid - MWC - DT/MB/CTV</t>
  </si>
  <si>
    <t>OMP-Unilever DM+C SLC - DIO - LFV - TUB - Pre/Mid - MWC - DT/MB/CTV</t>
  </si>
  <si>
    <t>OMP-Unilever - Degree -DIO - ROV - FS - Pre/Mid - ROS - DT/MB/CTV</t>
  </si>
  <si>
    <t>OMP-Unilever - Degree - DIO - ROV - 1F - SEN - Pre/Mid - ROS - DT/MB/CTV - SXD - Soccer Fan</t>
  </si>
  <si>
    <t>OMP-Unilever - Degree -DIO - ROV - FS - Pre/Mid - MWC - DT/MB/CTV</t>
  </si>
  <si>
    <t>OMP-Unilever - Degree - DIO - LFV - 1F - Tubi - Pre/Mid - ROS - DT/MB/CTV - FW - SXD - Soccer Fan</t>
  </si>
  <si>
    <t>OMP-Unilever - Axe Deo - DIO - ROV - 1F - SEN - Pre/Mid - ROS - DT/MB/CTV - SXD - Soccer Fans - AAT</t>
  </si>
  <si>
    <t>OMP-Unilever - Axe Deo - DIO - LFV - 1F - Tubi - Pre/Mid - ROS - DT/MB/CTV - FW - SXD - Soccer Fans - AAT</t>
  </si>
  <si>
    <t>OMP-Unilever - Axe Deo - DIO - ROV - FS - Pre/Mid - MWC - DT/MB/CTV</t>
  </si>
  <si>
    <t>OMP-Unilever - Axe Deo - DIO - ROV - FS - Pre/Mid - ROS - DT/MB/CTV</t>
  </si>
  <si>
    <t>OMP-Unilever - Degree -DIO - LFV - TUB - Pre/Mid - MWC - DT/MB/CTV</t>
  </si>
  <si>
    <t>OMP-Unilever - Axe Deo - DIO - LFV - TUB - Pre/Mid - MWC - DT/MB/CTV</t>
  </si>
  <si>
    <t>Edward Lifesciences - DIO - ROV - FS - Pre/Mid - ROS - DT/MB/CTV</t>
  </si>
  <si>
    <t>Microsoft - DIO - ROV - FS - Pre/Mid - ROS - DT/MB/CTV - 1Q PMP UD - 2Q26</t>
  </si>
  <si>
    <t>BMS/UF/SPORTS/D/25-26/LFV/AAT/P18-64/2Q'26/COBENFY/JUNE</t>
  </si>
  <si>
    <t>MODELO/UF/SPORTS/D/25-26/P2+/ROV/2Q'26/JUNE</t>
  </si>
  <si>
    <t>Wendy's - ROV - FS - Pre/Mid - ROS - A18-49 - DT/MB/CTV  - VAL1 - Q2'26 - JUNE</t>
  </si>
  <si>
    <t>Thrivent - ROV - FS - Pre/Mid - ROS - DT/MB/CTV - P2+ - 2Q'26 Package - June</t>
  </si>
  <si>
    <t>KDP - FLEX FUND - P2+ - ROV - FS - Pre/Mid - ROS - DT/MB/CTV - 2Q'26 - June</t>
  </si>
  <si>
    <t>Stellantis - DIO - ROV - 1F - SEN - Pre/Mid - ROS - DT/MB/CTV -AAT- SXD - 2026</t>
  </si>
  <si>
    <t>Stellantis - DIO - LFV - 1F - Tubi - Pre/Mid - ROS - DT/MB/CTV - AAT- FW - SXD - 2026</t>
  </si>
  <si>
    <t>Stellantis - DIO - LFV - TUB - Pre/Mid - MWC - DT/MB/CTV - 2026</t>
  </si>
  <si>
    <t>Stellantis - DIO - ROV - FS - Pre/Mid - MWC - DT/MB/CTV - 2026</t>
  </si>
  <si>
    <t>Hilton - DIO - ROV - FS - Pre/Mid - ROS - DT/MB/CTV - 2Q26 - June</t>
  </si>
  <si>
    <t>Hyundai - DIO - ROV - 1F - SEN - Pre/Mid - ROS - DT/MB/CTV - SXD - JUNE</t>
  </si>
  <si>
    <t>Hyundai - DIO - LFV - 1F - Tubi - Pre/Mid - ROS - DT/MB/CTV - FW - SXD - JUNE</t>
  </si>
  <si>
    <t>Hyundai - DIO - LFV - TUB - Pre/Mid - MWC - DT/MB/CTV - JUNE</t>
  </si>
  <si>
    <t>Hyundai - DIO - ROV - FS - Pre/Mid - MWC - DT/MB/CTV - JUNE</t>
  </si>
  <si>
    <t>Prudential - DIO - ROV - FS - Pre/Mid - MWC - DT/MB/CTV</t>
  </si>
  <si>
    <t>Prudential - DIO - ROV - 1F - SEN - Pre/Mid - ROS - DT/MB/CTV - SXD - AAT</t>
  </si>
  <si>
    <t>Prudential - DIO - ROV - FS - Pre/Mid - ROS - DT/MB/CTV</t>
  </si>
  <si>
    <t>Prudential - DIO - LFV - 1F - Tubi - Pre/Mid - ROS - DT/MB/CTV - FW - SXD - AAT</t>
  </si>
  <si>
    <t>OMP - Unilever - Dove Deo Clinical - DIO - ROV - FS - Pre/Mid - MWC - DT/MB/CTV</t>
  </si>
  <si>
    <t>OMP - Unilever - Dove MB - DIO - ROV - FS - Pre/Mid - MWC - DT/MB/CTV</t>
  </si>
  <si>
    <t>OMP - Unilever - Dove Deo Core Deo - DIO - ROV - FS - Pre/Mid - MWC - DT/MB/CTV</t>
  </si>
  <si>
    <t>Audible  - DIO - ROV - 1F - SEN - Pre/Mid - ROS - DT/MB/CTV - SXD</t>
  </si>
  <si>
    <t>Audible  - DIO - LFV - 1F - Tubi - Pre/Mid - ROS - DT/MB/CTV - FW - SXD</t>
  </si>
  <si>
    <t>OMP - Unilever - Dove SCL Bar - DIO - ROV - FS - Pre/Mid - MWC - DT/MB/CTV</t>
  </si>
  <si>
    <t>OMP- Unilever - Dove SCL BW - DIO - ROV - FS - Pre/Mid - MWC - DT/MB/CTV</t>
  </si>
  <si>
    <t>Insulet - Omnipod - DIO - ROV - 1F - SEN - Pre/Mid - ROS - DT/MB/CTV - SXD - Crossix</t>
  </si>
  <si>
    <t>Insulet - Omnipod - DIO - LFV - 1F - Tubi - Pre/Mid - ROS - DT/MB/CTV - FW - SXD - Crossix</t>
  </si>
  <si>
    <t>Insulet - Omnipod - DIO - ROV - 1F - SEN - Pre/Mid - ROS - DT/MB/CTV - SXD - Swoop</t>
  </si>
  <si>
    <t>Insulet - Omnipod - DIO - LFV - 1F - Tubi - Pre/Mid - ROS - DT/MB/CTV - FW - SXD - Swoop</t>
  </si>
  <si>
    <t>Prudential - DIO - LFV - TUB - Pre/Mid - MWC - DT/MB/CTV</t>
  </si>
  <si>
    <t>OMP - Unilever - Dove Deo Clinical - DIO - LFV - TUB - Pre/Mid - MWC - DT/MB/CTV</t>
  </si>
  <si>
    <t>OMP- Unilever - Dove SCL BW - DIO - LFV - TUB - Pre/Mid - MWC - DT/MB/CTV</t>
  </si>
  <si>
    <t>OMP - Unilever - Dove MB - DIO - ROV - TUB - Pre/Mid - MWC - DT/MB/CTV</t>
  </si>
  <si>
    <t>OMP - Unilever - Dove SCL Bar - DIO - LFV - TUB - Pre/Mid - MWC - DT/MB/CTV</t>
  </si>
  <si>
    <t>OMP - Unilever - Dove Deo Core Deo - DIO - LFV - TUB - Pre/Mid - MWC - DT/MB/CTV</t>
  </si>
  <si>
    <t>ARMY  - DIO - ROV - FS - Pre/Mid - ROS - DT/MB/CTV - 2Q'26 AAT A1849 June</t>
  </si>
  <si>
    <t>KIA - DIO - ROV - FS - Pre/Mid - ROS - DT/MB/CTV - JUNE</t>
  </si>
  <si>
    <t>KIA - DIO - ROV - FS - Pre/Mid - MWC - DT/MB/CTV - JUNE</t>
  </si>
  <si>
    <t>KIA - DIO - ROV - 1F - SEN - Pre/Mid - ROS - DT/MB/CTV - SXD - JUNE</t>
  </si>
  <si>
    <t>KIA - DIO - LFV - 1F - Tubi - Pre/Mid - ROS - DT/MB/CTV - FW - SXD -JUNE</t>
  </si>
  <si>
    <t>Credit Karma - DIO - LFV - RON Ent - Pre/Mid - ROS - DT/MB/CTV/STB - Preemptible - 2Q'26</t>
  </si>
  <si>
    <t>WERNER/NFL/AAT-NFL Football Fans/ROV -FS - Pre/Mid - ROS - DT/MB/CTV - 25-26</t>
  </si>
  <si>
    <t>WERNER/NFL/AAT/ROV -FS - Pre/Mid - ROS - DT/MB/CTV - 25-26</t>
  </si>
  <si>
    <t>Duracell - DIO - LFV - TUB - Pre/Mid - MWC - DT/MB/CTV</t>
  </si>
  <si>
    <t>Duracell - DIO - ROV - FS - Pre/Mid - MWC - DT/MB/CTV</t>
  </si>
  <si>
    <t>BMS/UF/SPORTS/D/25-26/LFV/AAT/P35-64/2Q'26/CAMZYOS/JUNE</t>
  </si>
  <si>
    <t>Eli Lilly - Mounjaro - DIO - ROV - 1F - SEN - Pre/Mid - ROS - DT/MB/CTV - AAT- SXD - Tubi - :75</t>
  </si>
  <si>
    <t>Eli Lilly - Mounjaro - DIO - ROV - FS - Pre/Mid - MWC - DT/MB/CTV - 2Q'26 - Tubi - :75</t>
  </si>
  <si>
    <t>Eli Lilly - Mounjaro - DIO - LFV - 1F - Tubi - Pre/Mid - ROS - DT/MB/CTV - AAT- FW - SXD - Tubi - :75</t>
  </si>
  <si>
    <t>Eli Lilly - Mounjaro - DIO - LFV - 1F - Tubi - Pre/Mid - ROS - DT/MB/CTV - AAT- FW - SXD - Tubi - :60</t>
  </si>
  <si>
    <t>Eli Lilly - Mounjaro - DIO - ROV - 1F - SEN - Pre/Mid - ROS - DT/MB/CTV - AAT- SXD - Tubi - :60</t>
  </si>
  <si>
    <t>Eli Lilly - Mounjaro - DIO - ROV - FS - Pre/Mid - MWC - DT/MB/CTV - 2Q'26 - Tubi - :60</t>
  </si>
  <si>
    <t>Eli Lilly - Mounjaro - DIO - LFV - TUB - Pre/Mid - MWC - DT/MB/CTV - 2Q'26 - Tubi - :60</t>
  </si>
  <si>
    <t>Eli Lilly - Mounjaro - DIO - LFV - TUB - Pre/Mid - MWC - DT/MB/CTV - 2Q'26 - Tubi - :75</t>
  </si>
  <si>
    <t>VISA - VISA Brand - OMP - DIO - ROV - FS - Pre/Mid - MWC - DT/MB/CTV - 2026</t>
  </si>
  <si>
    <t>VISA - VISA Brand - OMP - DIO - LFV - TUB - Pre/Mid - MWC - DT/MB/CTV - 2026</t>
  </si>
  <si>
    <t>OMP - Airbnb - DIO - ROV - FS - Pre/Mid - MWC - DT/MB/CTV</t>
  </si>
  <si>
    <t>OMP - Airbnb - DIO - LFV - TUB - Pre/Mid - MWC - DT/MB/CTV</t>
  </si>
  <si>
    <t>OMP - Airbnb - DIO - ROV - FS - Pre/Mid - ROS - DT/MB/CTV</t>
  </si>
  <si>
    <t>CARNIVAL/S/SPORTS/25-26/MWC/Run of WC Video/FS</t>
  </si>
  <si>
    <t>CARNIVAL/S/SPORTS/25-26/ROV</t>
  </si>
  <si>
    <t>CARNIVAL/S/SPORTS/25-26/ALLFOX/AAT/TUBI</t>
  </si>
  <si>
    <t>CARNIVAL/S/SPORTS/25-26/ALLFOX/AAT/SEN</t>
  </si>
  <si>
    <t>Redfin - DIO - LFV - 1F - Tubi - Pre/Mid - ROS - DT/MB/CTV - FW - SXD  (Targeting 'Soccer Fan') AAT</t>
  </si>
  <si>
    <t>Redfin - DIO - ROV - 1F - SEN - Pre/Mid - ROS - DT/MB/CTV - SXD  (Targeting 'Soccer Fan') AAT</t>
  </si>
  <si>
    <t>Redfin - DIO - ROV - FS - Pre/Mid - MWC - DT/MB/CTV</t>
  </si>
  <si>
    <t>Redfin - DIO - LFV - TUB - Pre/Mid - MWC - DT/MB/CTV</t>
  </si>
  <si>
    <t>Minions &amp; Monsters_UP_DIO - LFV - RON Ent - Pre/Mid - DT/MB/CTV/STB - FOT - Animation + Families w/ Children Showmix</t>
  </si>
  <si>
    <t>Minions &amp; Monsters_UP_DIO - LFV - RON Ent - Pre/Mid - DT/MB/CTV/STB - FOH - Animation + Families w/ Children Showmix</t>
  </si>
  <si>
    <t>Minions &amp; Monsters_UP_DIO - LFV - RON Ent - Pre/Mid - DT/MB/CTV/STB - FOX STB VOD - Animation + Families w/ Children Showmix</t>
  </si>
  <si>
    <t>Minions &amp; Monsters_UP_DIO - LFV - RON Ent - Pre/Mid - DT/MB/CTV/STB - FOX - Animation + Families w/ Children Showmix</t>
  </si>
  <si>
    <t>Allstate - DIO - LFV - TUB - Pre/Mid - MWC - DT/MB/CTV</t>
  </si>
  <si>
    <t>Allstate - DIO - ROV - FS - Pre/Mid - MWC - DT/MB/CTV</t>
  </si>
  <si>
    <t>New Balance - DIO - LFV - TUB - Pre/Mid - MWC - DT/MB/CTV</t>
  </si>
  <si>
    <t>New Balance - DIO - ROV - FS - Pre/Mid - MWC - DT/MB/CTV</t>
  </si>
  <si>
    <t>Capital One - Bank - Incremental -  Destination - DIO - LFV - RON Ent - Pre/Mid - ROS - DT/MB/CTV/STB_2Q</t>
  </si>
  <si>
    <t>HGU - DIO - ROV - FS - Pre/Mid - MWC - DT/MB/CTV</t>
  </si>
  <si>
    <t>HGU - DIO - LFV - TUB - Pre/Mid - MWC - DT/MB/CTV</t>
  </si>
  <si>
    <t>HGU - DIO - LFV - 1F - Tubi - Pre/Mid - ROS - DT/MB/CTV - FW - SXD</t>
  </si>
  <si>
    <t>HGU - DIO - ROV - 1F - SEN - Pre/Mid - ROS - DT/MB/CTV - SXD</t>
  </si>
  <si>
    <t>HGU - DIO - ROV - FS - Pre/Mid - ROS - DT/MB/CTV</t>
  </si>
  <si>
    <t>Thrivent - DIO - SFV - FSEN - Pre - ROS - DT/MB/CTV - non-CoV - STN - 2Q'26 Package</t>
  </si>
  <si>
    <t>Rocket - DIO - ROV - 1F - SEN - Pre/Mid - ROS - DT/MB/CTV - SXD (Targeting 'Soccer Fan') AAT</t>
  </si>
  <si>
    <t>Rocket - DIO - LFV - 1F - Tubi - Pre/Mid - ROS - DT/MB/CTV - FW - SXD (Targeting 'Soccer Fan') AAT</t>
  </si>
  <si>
    <t>Rocket - DIO - ROV - FS - Pre/Mid - MWC - DT/MB/CTV</t>
  </si>
  <si>
    <t>Rocket - DIO - LFV - TUB - Pre/Mid - MWC - DT/MB/CTV</t>
  </si>
  <si>
    <t>Rocket - DIO - ROV - FS - Pre/Mid - ROS - DT/MB/CTV</t>
  </si>
  <si>
    <t>AT&amp;T - DIO - ROV - FS - Pre/Mid - MWC - DT/MB/CTV</t>
  </si>
  <si>
    <t>AT&amp;T - DIO - LFV - TUB - Pre/Mid - MWC - DT/MB/CTV</t>
  </si>
  <si>
    <t>Trimble - DIO - ROV - FS - Pre/Mid - MWC - DT/MB/CTV</t>
  </si>
  <si>
    <t>Trimble - DIO - LFV - TUB - Pre/Mid - MWC - DT/MB/CTV</t>
  </si>
  <si>
    <t>Michelin - DIO - LFV - TUB - Pre/Mid - MWC - DT/MB/CTV</t>
  </si>
  <si>
    <t>Michelin - DIO - ROV - FS - Pre/Mid - MWC - DT/MB/CTV</t>
  </si>
  <si>
    <t>Michelin - World Cup - DIO - ROV - 1F - SEN - Pre/Mid - ROS - DT/MB/CTV - SXD</t>
  </si>
  <si>
    <t>Michelin - World Cup - DIO - LFV - 1F - Tubi - Pre/Mid - ROS - DT/MB/CTV - FW - SXD</t>
  </si>
  <si>
    <t>Eli Lilly - OSA DSE - DIO - ROV - 1F - SEN - Pre/Mid - ROS - DT/MB/CTV -AAT-  SXD - Tubi - :45</t>
  </si>
  <si>
    <t>Eli Lilly - OSA DSE - DIO - LFV - 1F - Tubi - Pre/Mid - ROS - DT/MB/CTV -AAT-  FW - SXD - Tubi - :45</t>
  </si>
  <si>
    <t>Eli Lilly - OSA DSE - DIO - ROV - FS - Pre/Mid - MWC - DT/MB/CTV - 2Q'26 - Tubi - :45</t>
  </si>
  <si>
    <t>Eli Lilly - OSA DSE - DIO - LFV - TUB - Pre/Mid - MWC - DT/MB/CTV - 2Q'26 - Tubi - :45</t>
  </si>
  <si>
    <t>CONSTELLATION BRANDS/S/SPORTS/25-26/ALLFOX/AAT/TUBI</t>
  </si>
  <si>
    <t>CONSTELLATION BRANDS/S/SPORTS/25-26/MWC/Run of WC Video/FS</t>
  </si>
  <si>
    <t>CONSTELLATION BRANDS/S/SPORTS/25-26/ROV</t>
  </si>
  <si>
    <t>CONSTELLATION BRANDS/S/SPORTS/25-26/ALLFOX/AAT/SEN</t>
  </si>
  <si>
    <t>CARNIVAL/S/SPORTS/25-26/MWC/Run of WC Video/Tubi</t>
  </si>
  <si>
    <t>CONSTELLATION BRANDS/S/SPORTS/25-26/MWC/Run of WC Video/TUBI</t>
  </si>
  <si>
    <t>Visa - DIO - LFV - 1F - Tubi - Pre/Mid - ROS - DT/MB/CTV - FW - SXD - AAT - "Soccer Fan" - 2Q'26</t>
  </si>
  <si>
    <t>Visa - DIO - ROV - 1F - SEN - Pre/Mid - ROS - DT/MB/CTV - SXD - AAT - "Soccer Fan" - 2Q'26</t>
  </si>
  <si>
    <t>T-MOBILE/S/SPORTS/25-26/MWC/Run of WC Video/FS/2Q'26/Broadband</t>
  </si>
  <si>
    <t>T-MOBILE/S/SPORTS/25-26/MWC/Run of WC Video/FS/2Q'26/PostPaid</t>
  </si>
  <si>
    <t>T-MOBILE/S/SPORTS/25-26/MWC/Run of WC Video/Tubi/2Q'26/PrePaid</t>
  </si>
  <si>
    <t>T-MOBILE/S/SPORTS/25-26/MWC/Run of WC Video/Tubi/2Q'26/Broadband</t>
  </si>
  <si>
    <t>T-MOBILE/S/SPORTS/25-26/MWC- Targeted YOUTUBE/2Q'26/Broadband</t>
  </si>
  <si>
    <t>T-MOBILE/S/SPORTS/25-26/MWC/Run of WC Video/FS/2Q'26/PrePaid</t>
  </si>
  <si>
    <t>T-MOBILE/S/SPORTS/25-26/MWC- Targeted YOUTUBE/2Q'26/PrePaid</t>
  </si>
  <si>
    <t>T-MOBILE/S/SPORTS/25-26/MWC/Run of WC Video/Tubi/2Q'26/PostPaid</t>
  </si>
  <si>
    <t>EuroItalia - DIO - LFV - 1F - Tubi - Pre/Mid - ROS - DT/MB/CTV - FW - SXD - GTE on OTS: A18-54 - AAT</t>
  </si>
  <si>
    <t>EuroItalia - DIO - ROV - 1F - SEN - Pre/Mid - ROS - DT/MB/CTV - SXD - GTE on OTS: A18-54 - AAT</t>
  </si>
  <si>
    <t>EuroItalia - DIO - LFV - TUB - Pre/Mid - MWC - DT/MB/CTV</t>
  </si>
  <si>
    <t>EuroItalia - DIO - ROV - FS - Pre/Mid - MWC - DT/MB/CTV</t>
  </si>
  <si>
    <t>J&amp;J - MWC - TREMFYA PsO - DIO - LFV - TUB - Pre/Mid - MWC - DT/MB/CTV - :60s</t>
  </si>
  <si>
    <t>J&amp;J - MWC - TREMFYA PsO - DIO - ROV - FS - Pre/Mid - MWC - DT/MB/CTV - :60s</t>
  </si>
  <si>
    <t>J&amp;J - MWC - Camlyta MDD - DIO - LFV - TUB - Pre/Mid - MWC - DT/MB/CTV - :60s</t>
  </si>
  <si>
    <t>J&amp;J - Camlyta MDD - DIO - ROV - 1F - SEN - Pre/Mid - ROS - DT/MB/CTV - SXD - :60s - AAT</t>
  </si>
  <si>
    <t>J&amp;J -Camlyta MDD - DIO - ROV - FS - Pre/Mid - ROS - DT/MB/CTV - :60s</t>
  </si>
  <si>
    <t>J&amp;J - Camlyta MDD - DIO - LFV - 1F - Tubi - Pre/Mid - ROS - DT/MB/CTV - FW - SXD - :60s - AAT</t>
  </si>
  <si>
    <t>J&amp;J - MWC - Camlyta MDD - DIO - ROV - FS - Pre/Mid - MWC - DT/MB/CTV - :60s</t>
  </si>
  <si>
    <t>J&amp;J - TREMFYA GI - DIO - LFV - 1F - Tubi - Pre/Mid - ROS - DT/MB/CTV - FW - SXD - :60s-AAT</t>
  </si>
  <si>
    <t>J&amp;J - MWC - TREMFYA GI -DIO - LFV - TUB - Pre/Mid - MWC - DT/MB/CTV - :60s</t>
  </si>
  <si>
    <t>J&amp;J - MWC - TREMFYA GI -DIO - ROV - FS - Pre/Mid - MWC - DT/MB/CTV - :60s</t>
  </si>
  <si>
    <t>J&amp;J - MWC - TREMFYA GI -DIO - ROV - FS - Pre/Mid - MWC - DT/MB/CTV - :45s</t>
  </si>
  <si>
    <t>J&amp;J - MWC - TREMFYA GI -DIO - LFV - TUB - Pre/Mid - MWC - DT/MB/CTV - :45s</t>
  </si>
  <si>
    <t>J&amp;J - TREMFYA GI -DIO - LFV - 1F - Tubi - Pre/Mid - ROS - DT/MB/CTV - FW - SXD - :45s-AAT</t>
  </si>
  <si>
    <t>J&amp;J - TREMFYA GI  - DIO - ROV - 1F - SEN - Pre/Mid - ROS - DT/MB/CTV - SXD - :60s-AAT</t>
  </si>
  <si>
    <t>J&amp;J - TREMFYA GI - DIO - ROV - 1F - SEN - Pre/Mid - ROS - DT/MB/CTV - SXD - :45s-AAT</t>
  </si>
  <si>
    <t>Chipotle - DIO - ROV - 1F - SE - Pre/Mid - ROS - DT/MB/CTV - SXD</t>
  </si>
  <si>
    <t>Chipotle - DIO - LFV - 1F - Tubi - Pre/Mid - ROS - DT/MB/CTV - FW - SXD</t>
  </si>
  <si>
    <t>Chipotle - DIO - ROV - FS - Pre/Mid - MWC - DT/MB/CTV</t>
  </si>
  <si>
    <t>Chipotle - DIO - LFV - TUB - Pre/Mid - MWC - DT/MB/CTV</t>
  </si>
  <si>
    <t>Black Forest - DIO - LFV - TUB - Pre/Mid - MWC - DT/MB/CTV</t>
  </si>
  <si>
    <t>Nerds - DIO - LFV - 1F - Tubi - Pre/Mid - ROS - DT/MB/CTV - FW - SXD</t>
  </si>
  <si>
    <t>Black Forest - DIO - ROV - FS - Pre/Mid - MWC - DT/MB/CTV</t>
  </si>
  <si>
    <t>Nerds - DIO - ROV - 1F - SEN - Pre/Mid - ROS - DT/MB/CTV - SXD</t>
  </si>
  <si>
    <t>Nerds - DIO - ROV - FS - Pre/Mid - MWC - DT/MB/CTV</t>
  </si>
  <si>
    <t>Nerds - DIO - LFV - TUB - Pre/Mid - MWC - DT/MB/CTV</t>
  </si>
  <si>
    <t>Black Forest - DIO - LFV - 1F - Tubi - Pre/Mid - ROS - DT/MB/CTV - FW - SXD</t>
  </si>
  <si>
    <t>Black Forest - DIO - ROV - 1F - SEN - Pre/Mid - ROS - DT/MB/CTV - SXD</t>
  </si>
  <si>
    <t>DSG - DIO - ROV - FS - Pre/Mid - MWC - DT/MB/CTV - 2026</t>
  </si>
  <si>
    <t>DSG - DIO - ROV - 1F - SEN - Pre/Mid - ROS - DT/MB/CTV- AAT - SXD - 2026</t>
  </si>
  <si>
    <t>DSG - DIO - LFV - TUB - Pre/Mid - MWC - DT/MB/CTV - 2026</t>
  </si>
  <si>
    <t>DSG - DIO - ROV - FS - Pre/Mid - ROS - DT/MB/CTV - 2026</t>
  </si>
  <si>
    <t>DSG - DIO - LFV - 1F - Tubi - Pre/Mid - ROS - DT/MB/CTV- AAT - FW - SXD - 2026</t>
  </si>
  <si>
    <t>DSG - DIO - LFV - 1F - Tubi - Pre/Mid - ROS - DT/MB/CTV -AAT- FW - SXD - 2026</t>
  </si>
  <si>
    <t>DSG - DIO - ROV - 1F - SEN - Pre/Mid - ROS - DT/MB/CTV -AAT- SXD - 2026</t>
  </si>
  <si>
    <t>Eli Lilly - Zepbound CWM - DIO - ROV - FS - Pre/Mid - MWC - DT/MB/CTV - 2Q'26 - Tubi - :75</t>
  </si>
  <si>
    <t>Eli Lilly - Zepbound CWM DIO - LFV - 1F - Tubi - Pre/Mid - ROS - DT/MB/CTV -AAT- FW - SXD - Tubi - :75</t>
  </si>
  <si>
    <t>Eli Lilly - Zepbound CWM - DIO - ROV - 1F - SEN - Pre/Mid - ROS - DT/MB/CTV -AAT- SXD - Tubi - :75</t>
  </si>
  <si>
    <t>Eli Lilly - Zepbound CWM - DIO - LFV - TUB - Pre/Mid - MWC - DT/MB/CTV - 2Q'26 - Tubi - :60</t>
  </si>
  <si>
    <t>Eli Lilly - Zepbound CWM - DIO - ROV - 1F - SEN - Pre/Mid - ROS - DT/MB/CTV - AAT- SXD - Tubi - :60</t>
  </si>
  <si>
    <t>Eli Lilly - Zepbound CWM DIO - LFV - 1F - Tubi - Pre/Mid - ROS - DT/MB/CTV - AAT- FW - SXD - Tubi - :60</t>
  </si>
  <si>
    <t>Eli Lilly - Zepbound CWM - DIO - LFV - TUB - Pre/Mid - MWC - DT/MB/CTV - 2Q'26 - Tubi - :75</t>
  </si>
  <si>
    <t>Eli Lilly - Zepbound CWM - DIO - ROV - FS - Pre/Mid - MWC - DT/MB/CTV - 2Q'26 - Tubi - :60</t>
  </si>
  <si>
    <t>5 Hour DIO - LFV - RON Ent - Pre/Mid - ROS - DT/MB/CTV/STB - 2Q'26 A25-54 AAT</t>
  </si>
  <si>
    <t>APEX - Scary Movie - DIO - LFV - RON Ent - Pre/Mid - ROS - DT/MB/CTV/STB - AAT 18-34 - 2Q'26</t>
  </si>
  <si>
    <t>Bridgestone - DIO - LFV - RON Ent - Pre/Mid - ROS - DT/MB/CTV/STB - Preemptible - 6.1 - 6.7 Flight 9</t>
  </si>
  <si>
    <t>Disclosure Day- UP- DIO - LFV - RON Ent - Pre/Mid - DT/MB/CTV/STB - FOX - Sci-Fi/Thriller Fans or Moviegoers Showmix</t>
  </si>
  <si>
    <t>Disclosure Day- UP- DIO - LFV - RON Ent - Pre/Mid - DT/MB/CTV/STB - FOT - Sci-Fi/Thriller Fans or Moviegoers Showmix</t>
  </si>
  <si>
    <t>Disclosure Day- UP- DIO - LFV - RON Ent - Pre/Mid - DT/MB/CTV/STB - FOX STB VOD - Sci-Fi/Thriller Fans or Moviegoers Showmix</t>
  </si>
  <si>
    <t>Disclosure Day- UP- DIO - LFV - RON Ent - Pre/Mid - DT/MB/CTV/STB - FOH - Sci-Fi/Thriller Fans or Moviegoers Showmix</t>
  </si>
  <si>
    <t>Diageo - Ketel - OMP - DIO - ROV - FS - Pre/Mid - MWC - DT/MB/CTV - FY26</t>
  </si>
  <si>
    <t>Diageo - Ketel  - OMP - DIO - LFV - TUB - Pre/Mid - MWC - DT/MB/CTV - FY26</t>
  </si>
  <si>
    <t>Diageo -The Cocktail Collection   - OMP -  DIO - ROV - FS - Pre/Mid - MWC - DT/MB/CTV - FY26</t>
  </si>
  <si>
    <t>Diageo -The Cocktail Collection  - OMP - DIO - LFV - TUB - Pre/Mid - MWC - DT/MB/CTV - FY26</t>
  </si>
  <si>
    <t>Diageo - Guinness -  DIO - ROV - FS - Pre/Mid - MWC - DT/MB/CTV - FY26</t>
  </si>
  <si>
    <t>Diageo - Guinness - DIO - LFV - TUB - Pre/Mid - MWC - DT/MB/CTV - FY26</t>
  </si>
  <si>
    <t>TikTok- DIO - LFV - 1F - Tubi - Pre/Mid - ROS - DT/MB/CTV - FW - SXD (Epsilon Segment: A18-64)</t>
  </si>
  <si>
    <t>TikTok- DIO - LFV - TUB - Pre/Mid - MWC - DT/MB/CTV</t>
  </si>
  <si>
    <t>TikTok- DIO - ROV - FS - Pre/Mid - MWC - DT/MB/CTV</t>
  </si>
  <si>
    <t>TikTok- DIO - ROV - 1F - SEN - Pre/Mid - ROS - DT/MB/CTV - SXD (Epsilon Segment: A18-64)</t>
  </si>
  <si>
    <t>Michelin - 2Q/3Q26- DIO - LFV - 1F - Tubi - Pre/Mid - ROS - DT/MB/CTV - FW - SXD</t>
  </si>
  <si>
    <t>Michelin - 2Q/3Q26- DIO - ROV - 1F - SEN - Pre/Mid - ROS - DT/MB/CTV - SXD</t>
  </si>
  <si>
    <t>Diageo - Don Julio  - OMP - DIO - ROV - FS - Pre/Mid - MWC - DT/MB/CTV - FY26</t>
  </si>
  <si>
    <t>Diageo - Don Julio  - OMP -  DIO - LFV - TUB - Pre/Mid - MWC - DT/MB/CTV - FY26</t>
  </si>
  <si>
    <t>Haleon - Centrum - DIO - LFV - 1F - Tubi - Pre/Mid - ROS - DT/MB/CTV - AAT- FW - SXD - 2026</t>
  </si>
  <si>
    <t>Haleon - Advil - DIO - LFV - 1F - Tubi - Pre/Mid - ROS - DT/MB/CTV -AAT- FW - SXD - 2026</t>
  </si>
  <si>
    <t>Haleon - Advil - DIO - ROV - FS - Pre/Mid - MWC - DT/MB/CTV - 2026</t>
  </si>
  <si>
    <t>Haleon - Sensodyne - DIO - LFV - TUB - Pre/Mid - MWC - DT/MB/CTV - 2026</t>
  </si>
  <si>
    <t>Haleon - Pronamel - DIO - LFV - TUB - Pre/Mid - MWC - DT/MB/CTV - 2026</t>
  </si>
  <si>
    <t>Haleon - Centrum - DIO - ROV - 1F - SEN - Pre/Mid - ROS - DT/MB/CTV -AAT- SXD - 2026</t>
  </si>
  <si>
    <t>Haleon - Pronamel - DIO - LFV - 1F - Tubi - Pre/Mid - ROS - DT/MB/CTV - AAT- FW - SXD - 2026</t>
  </si>
  <si>
    <t>Haleon - Pronamel - DIO - ROV - FS - Pre/Mid - ROS - DT/MB/CTV - 2026</t>
  </si>
  <si>
    <t>Haleon - Centrum - DIO - ROV - FS - Pre/Mid - ROS - DT/MB/CTV - 2026</t>
  </si>
  <si>
    <t>Haleon - Advil - DIO - ROV - FS - Pre/Mid - ROS - DT/MB/CTV - 2026</t>
  </si>
  <si>
    <t>Haleon - Sensodyne - DIO - ROV - FS - Pre/Mid - ROS - DT/MB/CTV - 2026</t>
  </si>
  <si>
    <t>Haleon - Centrum - DIO - ROV - FS - Pre/Mid - MWC - DT/MB/CTV - 2026</t>
  </si>
  <si>
    <t>Haleon - Centrum - DIO - LFV - TUB - Pre/Mid - MWC - DT/MB/CTV - 2026</t>
  </si>
  <si>
    <t>Haleon - Tums - DIO - LFV - TUB - Pre/Mid - MWC - DT/MB/CTV - 2026</t>
  </si>
  <si>
    <t>Haleon - Tums - DIO - ROV - 1F - SEN - Pre/Mid - ROS - DT/MB/CTV -AAT- SXD - 2026</t>
  </si>
  <si>
    <t>Haleon - Sensodyne - DIO - LFV - 1F - Tubi - Pre/Mid - ROS - DT/MB/CTV -AAT- FW - SXD - 2026</t>
  </si>
  <si>
    <t>Haleon - Sensodyne - DIO - ROV - 1F - SEN - Pre/Mid - ROS - DT/MB/CTV - AAT- SXD - 2026</t>
  </si>
  <si>
    <t>Haleon - Tums - DIO - ROV - FS - Pre/Mid - ROS - DT/MB/CTV - 2026</t>
  </si>
  <si>
    <t>Haleon - Tums - DIO - ROV - FS - Pre/Mid - MWC - DT/MB/CTV - 2026</t>
  </si>
  <si>
    <t>Haleon - Sensodyne - DIO - ROV - FS - Pre/Mid - MWC - DT/MB/CTV - 2026</t>
  </si>
  <si>
    <t>Haleon - Pronamel - DIO - ROV - FS - Pre/Mid - MWC - DT/MB/CTV - 2026</t>
  </si>
  <si>
    <t>Haleon - Tums - DIO - LFV - 1F - Tubi - Pre/Mid - ROS - DT/MB/CTV -AAT- FW - SXD - 2026</t>
  </si>
  <si>
    <t>Haleon - Advil - DIO - ROV - 1F - SEN - Pre/Mid - ROS - DT/MB/CTV -AAT- SXD - 2026</t>
  </si>
  <si>
    <t>Haleon - Pronamel - DIO - ROV - 1F - SEN - Pre/Mid - ROS - DT/MB/CTV - AAT- SXD - 2026</t>
  </si>
  <si>
    <t>Haleon - Advil - DIO - LFV - TUB - Pre/Mid - MWC - DT/MB/CTV - 2026</t>
  </si>
  <si>
    <t>Marriott - DIO - LFV - 1F - Tubi - Pre/Mid - ROS - DT/MB/CTV - FW - SXD - US Roster Reveal 2026</t>
  </si>
  <si>
    <t>Marriott - DIO - ROV - 1F - SEN - Pre/Mid - ROS - DT/MB/CTV - SXD - US Roster Reveal 2026</t>
  </si>
  <si>
    <t>Pepsi - Frito Lays - DIO - ROV - FS - Pre/Mid - MWC - DT/MB/CTV - OMP</t>
  </si>
  <si>
    <t>Pepsi - Frito Lays - DIO - LFV - TUB - Pre/Mid - MWC - DT/MB/CTV - OMP</t>
  </si>
  <si>
    <t>Home Depot - DIO - ROV - FS - Pre/Mid - MWC - DT/MB/CTV - OMP</t>
  </si>
  <si>
    <t>Home Depot - DIO - LFV - TUB - Pre/Mid - MWC - DT/MB/CTV - OMP</t>
  </si>
  <si>
    <t>Nutrafol - DIO - LFV - RON Ent - Pre/Mid - ROS - DT/MB/CTV/STB - Preemptible - Flight 10 - 6.1 - 6.7</t>
  </si>
  <si>
    <t>Kalshi - DIO - ROV - 1F - SEN - Pre/Mid - ROS - DT/MB/CTV - SXD - AAT</t>
  </si>
  <si>
    <t>Kalshi - DIO - ROV - FS - Pre/Mid - MWC - DT/MB/CTV</t>
  </si>
  <si>
    <t>Kalshi - DIO - LFV - TUB - Pre/Mid - MWC - DT/MB/CTV</t>
  </si>
  <si>
    <t>Kalshi - DIO - LFV - 1F - Tubi - Pre/Mid - ROS - DT/MB/CTV - FW - SXD - AAT</t>
  </si>
  <si>
    <t>Pepsi - Frito Lays - QUAKERS - DIO - LFV - TUB - Pre/Mid - MWC - DT/MB/CTV - OMP</t>
  </si>
  <si>
    <t>Pepsi - Frito Lays - QUAKERS - DIO - ROV - FS - Pre/Mid - MWC - DT/MB/CTV - OMP</t>
  </si>
  <si>
    <t>Eli Lilly - Mounjaro 75 - DIO - ROV - 1F - SEN - Pre/Mid - ROS - DT/MB/CTV -AAT- SXD - 2026</t>
  </si>
  <si>
    <t>Eli Lilly - Mounjaro 75 - DIO - LFV - 1F - Tubi - Pre/Mid - ROS - DT/MB/CTV - AAT- FW - SXD - 2026</t>
  </si>
  <si>
    <t>Eli Lilly - Mounjaro 60 - DIO - LFV - 1F - Tubi - Pre/Mid - ROS - DT/MB/CTV -AAT- FW - SXD - 2026</t>
  </si>
  <si>
    <t>Eli Lilly - Mounjaro 60 - DIO - ROV - 1F - SEN - Pre/Mid - ROS - DT/MB/CTV -AAT- SXD - 2026</t>
  </si>
  <si>
    <t>Diageo - Casamigos - OMP -  DIO - ROV - FS - Pre/Mid - MWC - DT/MB/CTV - FY26</t>
  </si>
  <si>
    <t>Diageo - Casamigos - OMP - DIO - LFV - TUB - Pre/Mid - MWC - DT/MB/CTV - FY26</t>
  </si>
  <si>
    <t>Turtlebox - DIO - LFV - FSLS - Pre/Mid - ROS - DT/MB/CTV - Preemptible - Flight 5 - 6.1 - 6.7</t>
  </si>
  <si>
    <t>Eli Lilly - Zepbound CWM 60 - DIO - LFV - 1F - Tubi - Pre/Mid - ROS - DT/MB/CTV - AAT- FW - SXD - 2026</t>
  </si>
  <si>
    <t>Eli Lilly - Zepbound CWM 75 - DIO - ROV - 1F - SEN - Pre/Mid - ROS - DT/MB/CTV - AAT- SXD - 2026</t>
  </si>
  <si>
    <t>Eli Lilly - Zepbound CWM 75 - DIO - LFV - 1F - Tubi - Pre/Mid - ROS - DT/MB/CTV -AAT- FW - SXD - 2026</t>
  </si>
  <si>
    <t>Eli Lilly - Zepbound CWM 60 - DIO - ROV - 1F - SEN - Pre/Mid - ROS - DT/MB/CTV - AAT- SXD - 2026</t>
  </si>
  <si>
    <t>Oura Ring- DIO - ROV - FS - Pre/Mid - MWC - DT/MB/CTV</t>
  </si>
  <si>
    <t>Oura Ring- DIO - LFV - 1F - Tubi - Pre/Mid - ROS - DT/MB/CTV - FW - SXD  - ''Soccer fan and A25-54 and Health &amp; Fitness Enthusiasts" Audience Targeted</t>
  </si>
  <si>
    <t>Oura Ring- DIO - ROV - 1F - SEN - Pre/Mid - ROS - DT/MB/CTV - SXD  - ''Soccer fan and A25-54 and Health &amp; Fitness Enthusiasts"  Audience Targeted</t>
  </si>
  <si>
    <t>Oura Ring- DIO - LFV - TUB - Pre/Mid - MWC - DT/MB/CTV</t>
  </si>
  <si>
    <t>Satva - DIO - LFV - RON Ent - Pre/Mid - ROS - DT/MB/CTV/STB - Preemptible Flight 5 - 6.1 -6 .7</t>
  </si>
  <si>
    <t>Eli Lilly - Zepbound OSA DSE :45 - DIO - LFV - TUB - Pre/Mid - MWC - DT/MB/CTV - 2026</t>
  </si>
  <si>
    <t>Eli Lilly - Zepbound OSA DSE :45 - DIO - ROV - FS - Pre/Mid - MWC - DT/MB/CTV - 2026</t>
  </si>
  <si>
    <t>Eli Lilly - Masterbrand 30 - DIO - LFV - TUB - Pre/Mid - MWC - DT/MB/CTV - 2026</t>
  </si>
  <si>
    <t>Eli Lilly - Masterbrand 15 - DIO - ROV - FS - Pre/Mid - ROS - DT/MB/CTV - 2026</t>
  </si>
  <si>
    <t>Eli Lilly - Masterbrand 60 - DIO - ROV - FS - Pre/Mid - ROS - DT/MB/CTV - 2026</t>
  </si>
  <si>
    <t>Eli Lilly - Masterbrand 30 - DIO - ROV - FS - Pre/Mid - ROS - DT/MB/CTV - 2026</t>
  </si>
  <si>
    <t>Eli Lilly - Masterbrand 60 - DIO - LFV - TUB - Pre/Mid - MWC - DT/MB/CTV - 2026</t>
  </si>
  <si>
    <t>Eli Lilly - Masterbrand 60 - DIO - ROV - FS - Pre/Mid - MWC - DT/MB/CTV - 2026</t>
  </si>
  <si>
    <t>Eli Lilly - Masterbrand 30 - DIO - ROV - FS - Pre/Mid - MWC - DT/MB/CTV - 2026</t>
  </si>
  <si>
    <t>Eli Lilly - Masterbrand 15 - DIO - ROV - FS - Pre/Mid - MWC - DT/MB/CTV - 2026</t>
  </si>
  <si>
    <t>Eli Lilly - Masterbrand 15 - DIO - LFV - TUB - Pre/Mid - MWC - DT/MB/CTV - 2026</t>
  </si>
  <si>
    <t>Taco Bell - DIO - ROV - FS - Pre/Mid - MWC - DT/MB/CTV</t>
  </si>
  <si>
    <t>Taco Bell - DIO - LFV - TUB - Pre/Mid - MWC - DT/MB/CTV</t>
  </si>
  <si>
    <t>Bridgestone - DIO - LFV - RON Ent - Pre/Mid - ROS - DT/MB/CTV/STB - Preemptible - 6.8 - 6.14 Flight 10</t>
  </si>
  <si>
    <t>MCD - DIO - LFV - TUB - Pre/Mid - MWC - DT/MB/CTV - OMP</t>
  </si>
  <si>
    <t>MCD - DIO - ROV - FS - Pre/Mid - MWC - DT/MB/CTV - OMP</t>
  </si>
  <si>
    <t>RAMP - DIO - ROV - FS - Pre/Mid - ROS - DT/MB - 2Q'26</t>
  </si>
  <si>
    <t>Eli Lilly - Ebglyss :30 - DIO - ROV - FS - Pre/Mid - MWC - DT/MB/CTV - 2026</t>
  </si>
  <si>
    <t>Eli Lilly - Ebglyss :60 - DIO - ROV - FS - Pre/Mid - MWC - DT/MB/CTV - 2026</t>
  </si>
  <si>
    <t>Eli Lilly - Ebglyss :60 - DIO - LFV - TUB - Pre/Mid - MWC - DT/MB/CTV - 2026</t>
  </si>
  <si>
    <t>Eli Lilly - Ebglyss :30 - DIO - LFV - 1F - Tubi - Pre/Mid - ROS - DT/MB/CTV- AAT - FW - SXD - 2026</t>
  </si>
  <si>
    <t>Eli Lilly - Ebglyss :60 - DIO - ROV - 1F - SEN - Pre/Mid - ROS - DT/MB/CTV - AAT- SXD - 2026</t>
  </si>
  <si>
    <t>Eli Lilly - Ebglyss :60 - DIO - LFV - 1F - Tubi - Pre/Mid - ROS - DT/MB/CTV - AAT- FW - SXD - 2026</t>
  </si>
  <si>
    <t>Eli Lilly - Ebglyss :30 - DIO - ROV - 1F - SEN - Pre/Mid - ROS - DT/MB/CTV -AAT- SXD - 2026</t>
  </si>
  <si>
    <t>Eli Lilly - Ebglyss :30 - DIO - LFV - TUB - Pre/Mid - MWC - DT/MB/CTV - 2026</t>
  </si>
  <si>
    <t>Eli Lilly - Zepbound OSA Branded : 60 - DIO - ROV - 1F - SEN - Pre/Mid - ROS - DT/MB/CTV -AAT- SXD - 2026</t>
  </si>
  <si>
    <t>Eli Lilly - Zepbound OSA Branded : 75 - DIO - LFV - 1F - Tubi - Pre/Mid - ROS - DT/MB/CTV -AAT- FW - SXD - 2026</t>
  </si>
  <si>
    <t>Eli Lilly - Zepbound OSA Branded : 60 - DIO - LFV - 1F - Tubi - Pre/Mid - ROS - DT/MB/CTV -AAT-  FW - SXD - 2026</t>
  </si>
  <si>
    <t>Eli Lilly - Zepbound OSA Branded : 75 - DIO - ROV - 1F - SEN - Pre/Mid - ROS - DT/MB/CTV -AAT- SXD - 2026</t>
  </si>
  <si>
    <t>Indeed - DIO - ROV - FS - Pre/Mid - MWC - DT/MB/CTV</t>
  </si>
  <si>
    <t>Indeed - DIO - LFV - TUB - Pre/Mid - MWC - DT/MB/CTV</t>
  </si>
  <si>
    <t>Coors Light - DIO - ROV - FS - Pre/Mid - MWC - DT/MB/CTV</t>
  </si>
  <si>
    <t>Coors Light - DIO - LFV - TUB - Pre/Mid - MWC - DT/MB/CTV</t>
  </si>
  <si>
    <t>KFC - DIO - LFV - TUB - Pre/Mid - MWC - DT/MB/CTV</t>
  </si>
  <si>
    <t>KFC - DIO - ROV - FS - Pre/Mid - MWC - DT/MB/CTV</t>
  </si>
  <si>
    <t>Miller Lite - LFV - TUB - Pre/Mid - MWC - DT/MB/CTV</t>
  </si>
  <si>
    <t>Miller Lite - DIO - ROV - FS - Pre/Mid - MWC - DT/MB/CTV</t>
  </si>
  <si>
    <t>Marriott - OMP - DIO - ROV - FS - Pre/Mid - MWC - DT/MB/CTV - P2+ - OMP - MWC 2026</t>
  </si>
  <si>
    <t>Marriott - OMP - DIO - LFV - TUB - Pre/Mid - MWC - DT/MB/CTV - P2+ - OMP - MWC 2026</t>
  </si>
  <si>
    <t>Powerade - OMP - DIO - LFV - TUB - Pre/Mid - MWC - DT/MB/CTV - 2026 MWC</t>
  </si>
  <si>
    <t>Powerade - OMP - DIO - ROV - FS - Pre/Mid - MWC - DT/MB/CTV - 2026 MWC</t>
  </si>
  <si>
    <t>Starbucks - DIO - ROV - FS - Pre/Mid - MWC - DT/MB/CTV</t>
  </si>
  <si>
    <t>Starbucks - DIO - LFV - TUB - Pre/Mid - MWC - DT/MB/CTV</t>
  </si>
  <si>
    <t>Starbucks - DIO - ROV - FS - Pre/Mid - ROS - DT/MB/CTV</t>
  </si>
  <si>
    <t>Coca - Cola - DIO - ROV - FS - Pre/Mid - MWC - DT/MB/CTV</t>
  </si>
  <si>
    <t>Coca-Cola - DIO - LFV - TUB - Pre/Mid - MWC - DT/MB/CTV</t>
  </si>
  <si>
    <t>Lowe's - DIO - ROV - FS - Pre/Mid - ROS - DT/MB/CTV</t>
  </si>
  <si>
    <t>Lowe's - DIO - ROV - 1F - SEN - Pre/Mid - ROS - DT/MB/CTV - SXD - AAT Soccer Fans</t>
  </si>
  <si>
    <t>Lowe's - DIO - LFV - 1F - Tubi - Pre/Mid - ROS - DT/MB/CTV - FW - SXD - AAT Soccer Fans</t>
  </si>
  <si>
    <t>Lowe's - DIO - LFV - TUB - Pre/Mid - MWC - DT/MB/CTV</t>
  </si>
  <si>
    <t>Lowe's - DIO - ROV - FS - Pre/Mid - MWC - DT/MB/CTV</t>
  </si>
  <si>
    <t>Travel Texas DIO - LFV - TUB - Pre/Mid - MWC - DT/MB/CTV</t>
  </si>
  <si>
    <t>Travel Texas DIO - ROV - 1F - SEN - Pre/Mid - ROS - DT/MB/CTV - SXD</t>
  </si>
  <si>
    <t>Travel Texas DIO - LFV - 1F - Tubi - Pre/Mid - ROS - DT/MB/CTV - FW - SXD</t>
  </si>
  <si>
    <t>Travel Texas DIO - ROV - FS - Pre/Mid - MWC - DT/MB/CTV</t>
  </si>
  <si>
    <t>Walmart - DIO - LFV - 1F - Tubi - Pre/Mid - ROS - DT/MB/CTV - FW - SXD - AAT - A18-49 - 2Q'26 - Summer Deals</t>
  </si>
  <si>
    <t>Walmart - DIO - ROV - 1F - SEN - Pre/Mid - ROS - DT/MB/CTV - SXD - AAT - A18-49 - 2Q'26 - Summer Deals</t>
  </si>
  <si>
    <t>Albert - DIO - ROV - 1F - SEN - Pre/Mid - ROS - DT/MB/CTV - SXD - 2Q'26</t>
  </si>
  <si>
    <t>Albert - DIO - LFV - 1F - Tubi - Pre/Mid - ROS - DT/MB/CTV - FW - SXD - 2Q'26</t>
  </si>
  <si>
    <t>Fairlife - DIO - LFV - TUB - Pre/Mid - MWC - DT/MB/CTV - 2026 MWC</t>
  </si>
  <si>
    <t>Fairlife - DIO - ROV - FS - Pre/Mid - MWC - DT/MB/CTV - 2026 MWC</t>
  </si>
  <si>
    <t>Eli Lilly - Ebglyss - DIO - LFV - 1F - Tubi - Pre/Mid - ROS - DT/MB/CTV - FW - SXD - Tubi - :75</t>
  </si>
  <si>
    <t>Eli Lilly - Ebglyss - DIO - ROV - 1F - SEN - Pre/Mid - ROS - DT/MB/CTV - SXD - Tubi - :75</t>
  </si>
  <si>
    <t>Scopely- DIO - LFV - RON Ent - Pre/Mid - ROS - DT/MB/CTV/STB</t>
  </si>
  <si>
    <t>APEX - Paramount Pictures - DIO - LFV - RON Ent - Pre/Mid - ROS - DT/MB/CTV/STB - AAT M18-34 - Jackass 5 - 2Q'26</t>
  </si>
  <si>
    <t>AMEX - DIO - LFV - TUB - Pre/Mid - MWC - DT/MB/CTV</t>
  </si>
  <si>
    <t>AMEX - DIO - ROV - FS - Pre/Mid - MWC - DT/MB/CTV</t>
  </si>
  <si>
    <t>Wayfair - ROV - FS - Pre/Mid - ROS - DT/MB/CTV - 2Q26 - June</t>
  </si>
  <si>
    <t>Wayfair - DIO - SFV - FSEN - Pre - ROS - DT/MB/CTV - non-CoV</t>
  </si>
  <si>
    <t>Eli Lilly - Ebglyss :30 - DIO - ROV - 1F - FS - Pre/Mid - ROS - DT/MB/CTV - FW - SXD - 2Q'26</t>
  </si>
  <si>
    <t>Eli Lilly - Ebglyss :60 - DIO - ROV - 1F - FS - Pre/Mid - ROS - DT/MB/CTV - FW - SXD - 2Q'26</t>
  </si>
  <si>
    <t>Eli Lilly - Ebglyss :60 - DIO - LFV - 1F - Tubi Sports Bundle - Pre/Mid - ROS - DT/MB/CTV - FW - SXD - 2Q'26</t>
  </si>
  <si>
    <t>Eli Lilly - Ebglyss :30 - DIO - LFV - 1F - Tubi Sports Bundle - Pre/Mid - ROS - DT/MB/CTV - FW - SXD - 2Q'26</t>
  </si>
  <si>
    <t>Eli Lilly - Zepbound CWM :60 - DIO - ROV - 1F - FS - Pre/Mid - ROS - DT/MB/CTV - FW - SXD - 2Q'26</t>
  </si>
  <si>
    <t>Eli Lilly - Zepbound CWM :60 - DIO - LFV - 1F - Tubi Sports Bundle - Pre/Mid - ROS - DT/MB/CTV - FW - SXD - 2Q'26</t>
  </si>
  <si>
    <t>Eli Lilly - Zepbound CWM :75 - DIO - ROV - 1F - FS - Pre/Mid - ROS - DT/MB/CTV - FW - SXD - 2Q'26</t>
  </si>
  <si>
    <t>Eli Lilly - Zepbound CWM :75 - DIO - LFV - 1F - Tubi Sports Bundle - Pre/Mid - ROS - DT/MB/CTV - FW - SXD - 2Q'26</t>
  </si>
  <si>
    <t>Ferrero - Halo Top - DIO - LFV - TUB - Pre/Mid - MWC - DT/MB/CTV</t>
  </si>
  <si>
    <t>Ferrero - TicTac - DIO - LFV - TUB - Pre/Mid - MWC - DT/MB/CTV</t>
  </si>
  <si>
    <t>Ferrero - Kinder Bueno Ice Cream - DIO - ROV - FS - Pre/Mid - MWC - DT/MB/CTV</t>
  </si>
  <si>
    <t>Ferrero - TicTac - DIO - ROV - FS - Pre/Mid - MWC - DT/MB/CTV</t>
  </si>
  <si>
    <t>Ferrero - Halo Top - DIO - ROV - FS - Pre/Mid - MWC - DT/MB/CTV</t>
  </si>
  <si>
    <t>Ferrero - Kinder Bueno Ice Cream - DIO - LFV - TUB - Pre/Mid - MWC - DT/MB/CTV</t>
  </si>
  <si>
    <t>Ferrero - Butterfinger - DIO - ROV - FS - Pre/Mid - MWC - DT/MB/CTV</t>
  </si>
  <si>
    <t>Ferrero - Kinder Bueno - DIO - ROV - FS - Pre/Mid - MWC - DT/MB/CTV</t>
  </si>
  <si>
    <t>Ferrero - Crunch - DIO - ROV - FS - Pre/Mid - MWC - DT/MB/CTV</t>
  </si>
  <si>
    <t>Ferrero - Blue Bunny - DIO - LFV - TUB - Pre/Mid - MWC - DT/MB/CTV</t>
  </si>
  <si>
    <t>Ferrero - Nutella - DIO - ROV - FS - Pre/Mid - MWC - DT/MB/CTV</t>
  </si>
  <si>
    <t>Ferrero - Keebler - DIO - ROV - FS - Pre/Mid - MWC - DT/MB/CTV</t>
  </si>
  <si>
    <t>Ferrero - Blue Bunny - DIO - ROV - FS - Pre/Mid - MWC - DT/MB/CTV</t>
  </si>
  <si>
    <t>Ferrero - Butterfinger - DIO - LFV - TUB - Pre/Mid - MWC - DT/MB/CTV</t>
  </si>
  <si>
    <t>Ferrero - Keebler - DIO - LFV - TUB - Pre/Mid - MWC - DT/MB/CTV</t>
  </si>
  <si>
    <t>Ferrero - Kinder Joy - DIO - ROV - FS - Pre/Mid - MWC - DT/MB/CTV</t>
  </si>
  <si>
    <t>Ferrero - Kinder Chocolate - DIO - LFV - TUB - Pre/Mid - MWC - DT/MB/CTV</t>
  </si>
  <si>
    <t>Ferrero - Ferrero Rocher - DIO - ROV - FS - Pre/Mid - MWC - DT/MB/CTV</t>
  </si>
  <si>
    <t>Ferrero - Kinder Bueno - DIO - LFV - TUB - Pre/Mid - MWC - DT/MB/CTV</t>
  </si>
  <si>
    <t>Ferrero - Crunch - DIO - LFV - TUB - Pre/Mid - MWC - DT/MB/CTV</t>
  </si>
  <si>
    <t>Ferrero - Ferrero Rocher - DIO - LFV - TUB - Pre/Mid - MWC - DT/MB/CTV</t>
  </si>
  <si>
    <t>Ferrero - Nutella - DIO - LFV - TUB - Pre/Mid - MWC - DT/MB/CTV</t>
  </si>
  <si>
    <t>Ferrero - Kinder Chocolate - DIO - ROV - FS - Pre/Mid - MWC - DT/MB/CTV</t>
  </si>
  <si>
    <t>Farmers Insurance- DIO - ROV - FS - Pre/Mid - MWC - DT/MB/CTV (6/1-6/28)</t>
  </si>
  <si>
    <t>Farmers Insurance- DIO - LFV - TUB - Pre/Mid - MWC - DT/MB/CTV (6/1-6/28)</t>
  </si>
  <si>
    <t>American Airlines - DIO - ROV - 1F - SEN - Pre/Mid - ROS - DT/MB/CTV - SXD OMP SOCCER FANS</t>
  </si>
  <si>
    <t>American Airlines - DIO - LFV - 1F - Tubi - Pre/Mid - ROS - DT/MB/CTV - FW - SXD OMP SOCCER FANS</t>
  </si>
  <si>
    <t>American Airlines - DIO - LFV - TUB - Pre/Mid - MWC - DT/MB/CTV OMP</t>
  </si>
  <si>
    <t>American Airlines - DIO - ROV - FS - Pre/Mid - MWC - DT/MB/CTV OMP</t>
  </si>
  <si>
    <t>DIO - LFV - 1F - Tubi - Pre/Mid - ROS - DT/MB/CTV - FW - SXD (AAT A25-54 and Fandango Fans)</t>
  </si>
  <si>
    <t>DIO - ROV - 1F - SEN - Pre/Mid - ROS - DT/MB/CTV - SXD (AAT A25-54 and Fandango Fans)</t>
  </si>
  <si>
    <t>Ferrero - Kinder Joy - DIO - LFV - TUB - Pre/Mid - MWC - DT/MB/CTV</t>
  </si>
  <si>
    <t>Bank of America - DIO - ROV - FS - Pre/Mid - ROS - DT/MB/CTV</t>
  </si>
  <si>
    <t>MODELO/UF/SPORTS/D/25-26/P2+/SFV/FSEN/2Q'26/JUNE</t>
  </si>
  <si>
    <t>Amazon Alexa+ - DIO - ROV - FS - Pre/Mid - MWC - DT/MB/CTV (:30)</t>
  </si>
  <si>
    <t>Amazon Alexa+ - DIO - LFV - TUB - Pre/Mid - MWC - DT/MB/CTV (:30)</t>
  </si>
  <si>
    <t>Amazon Alexa+ - DIO - ROV - FS - Pre/Mid - MWC - DT/MB/CTV (:15)</t>
  </si>
  <si>
    <t>Amazon Alexa+ - DIO - LFV - TUB - Pre/Mid - MWC - DT/MB/CTV (:15)</t>
  </si>
  <si>
    <t>Apple//Digital/Upfront/Direct/Entertainment/25-26 - P2+ - No CoV - ROS - 2Q'26 - Privacy 7.0</t>
  </si>
  <si>
    <t>Apple - LFV - RON Ent - Pre/Mid - ROS - DT/MB/CTV/STB - P2+ - No CoV -  A/Z - 2Q'26 - Privacy 7.0</t>
  </si>
  <si>
    <t>Universal- DIO - LFV - TUB - Pre/Mid - MWC - DT/MB/CTV (Disclosure Day)</t>
  </si>
  <si>
    <t>Universal- DIO - ROV - FS - Pre/Mid - MWC - DT/MB/CTV (Disclosure Day)</t>
  </si>
  <si>
    <t>Heineken - DIO - LFV - TUB - Pre/Mid - MWC - AAT 21+ - DT/MB/CTV</t>
  </si>
  <si>
    <t>Heineken - DIO - ROV - FS - Pre/Mid - MWC - AAT 21+ - DT/MB/CTV</t>
  </si>
  <si>
    <t>Eli Lilly - Ebglyss - DIO - ROV - FS - Pre/Mid - MWC - DT/MB/CTV - 2Q'26 - Tubi - :30</t>
  </si>
  <si>
    <t>Eli Lilly - Ebglyss - DIO - LFV - 1F - Tubi - Pre/Mid - ROS - DT/MB/CTV - FW - SXD - Tubi - :30</t>
  </si>
  <si>
    <t>Eli Lilly - Ebglyss - DIO - LFV - TUB - Pre/Mid - MWC - DT/MB/CTV - 2Q'26 - Tubi - :30</t>
  </si>
  <si>
    <t>Eli Lilly - Ebglyss - DIO - ROV - 1F - SEN - Pre/Mid - ROS - DT/MB/CTV - SXD - Tubi - :60</t>
  </si>
  <si>
    <t>Eli Lilly - Ebglyss - DIO - ROV - FS - Pre/Mid - MWC - DT/MB/CTV - 2Q'26 - Tubi - :60</t>
  </si>
  <si>
    <t>Eli Lilly - Ebglyss - DIO - LFV - TUB - Pre/Mid - MWC - DT/MB/CTV - 2Q'26 - Tubi - :60</t>
  </si>
  <si>
    <t>Eli Lilly - Ebglyss - DIO - ROV - 1F - SEN - Pre/Mid - ROS - DT/MB/CTV - SXD - Tubi - :30</t>
  </si>
  <si>
    <t>Eli Lilly - Ebglyss - DIO - LFV - 1F - Tubi - Pre/Mid - ROS - DT/MB/CTV - FW - SXD - Tubi - :60</t>
  </si>
  <si>
    <t>FocusFeatures//Sports/Scatter/ROV - FSEN/2Q'26/Pressure - FSEN</t>
  </si>
  <si>
    <t>Universal- DIO - LFV - TUB - Pre/Mid - MWC - DT/MB/CTV (The Odyssey)</t>
  </si>
  <si>
    <t>Universal- DIO - ROV - FS - Pre/Mid - MWC - DT/MB/CTV (The Odyssey)</t>
  </si>
  <si>
    <t>Universal- DIO - ROV - FS - Pre/Mid - MWC - DT/MB/CTV (One Night Only)</t>
  </si>
  <si>
    <t>Universal- DIO - LFV - TUB - Pre/Mid - MWC - DT/MB/CTV (One Night Only)</t>
  </si>
  <si>
    <t>Universal- DIO - ROV - FS - Pre/Mid - MWC - DT/MB/CTV (Forgotten Island)</t>
  </si>
  <si>
    <t>Universal- DIO - LFV - TUB - Pre/Mid - MWC - DT/MB/CTV (Forgotten Island)</t>
  </si>
  <si>
    <t>Chime - DIO - LFV - RON Ent - Pre/Mid - ROS - DT/MB/CTV/STB - Preemptible - Flight 5 - 6.8 - 6.14</t>
  </si>
  <si>
    <t>Microsoft - DIO - ROV - FS - Pre/Mid - MWC - DT/MB/CTV</t>
  </si>
  <si>
    <t>Microsoft - DIO - LFV - 1F - Tubi - Pre/Mid - ROS - DT/MB/CTV - FW - SXD - AAT 'Soccer Fan'</t>
  </si>
  <si>
    <t>Microsoft - DIO - ROV - 1F - SEN - Pre/Mid - ROS - DT/MB/CTV - SXD - AAT 'Soccer Fan'</t>
  </si>
  <si>
    <t>Microsoft - DIO - LFV - TUB - Pre/Mid - MWC - DT/MB/CTV</t>
  </si>
  <si>
    <t>Arena Club - DIO - LFV - FSLS - Pre/Mid - ROS - DT/MB/CTV - Preemptible - Flight 7 - 6.8 - 6.14</t>
  </si>
  <si>
    <t>Arena Club - DIO - LFV - FSLS - Pre/Mid - ROS - DT/MB/CTV - Preemptible - Flight 6 - 6.1 - 6.7</t>
  </si>
  <si>
    <t>Adidas - DIO - LFV - TUB - Pre/Mid - MWC - DT/MB/CTV</t>
  </si>
  <si>
    <t>Adidas - DIO - ROV - FS - Pre/Mid - MWC - DT/MB/CTV</t>
  </si>
  <si>
    <t>Satva - DIO - LFV - RON Ent - Pre/Mid - ROS - DT/MB/CTV/STB - Preemptible Flight 5 - 6.8 - 6.14</t>
  </si>
  <si>
    <t>UOPX - DIO - ROV - 1F - SEN - Pre/Mid - ROS - DT/MB/CTV - SXD - AAT</t>
  </si>
  <si>
    <t>UOPX - DIO - ROV - FS - Pre/Mid - MWC - CTV ONLY</t>
  </si>
  <si>
    <t>UOPX - DIO - LFV - TUB - Pre/Mid - MWC - CTV ONLY</t>
  </si>
  <si>
    <t>UOPX - DIO - LFV - 1F - Tubi - Pre/Mid - ROS - DT/MB/CTV - FW - SXD - AAT</t>
  </si>
  <si>
    <t>Universal- DIO - LFV - TUB - Pre/Mid - MWC - DT/MB/CTV (Monsters and Minions)</t>
  </si>
  <si>
    <t>Universal- DIO - ROV - FS - Pre/Mid - MWC - DT/MB/CTV (Monsters and Minions)</t>
  </si>
  <si>
    <t>Eli Lilly - Foundayo 75 - DIO - LFV - 1F - Tubi - Pre/Mid - ROS - DT/MB/CTV - FW - SXD - 2026- AAT</t>
  </si>
  <si>
    <t>Eli Lilly - Foundayo 75 - DIO - ROV - 1F - SEN - Pre/Mid - ROS - DT/MB/CTV - SXD - 2026 - AAT</t>
  </si>
  <si>
    <t>Eli Lilly - Foundayo 60 - DIO - ROV - 1F - SEN - Pre/Mid - ROS - DT/MB/CTV - SXD - 2026 - AAT</t>
  </si>
  <si>
    <t>Eli Lilly - Foundayo 60 - DIO - LFV - 1F - Tubi - Pre/Mid - ROS - DT/MB/CTV - FW - SXD - 2026 - AAT</t>
  </si>
  <si>
    <t>Bank of America - DIO - LFV - TUB - Pre/Mid - MWC - DT/MB/CTV</t>
  </si>
  <si>
    <t>Polymarket - DIO - ROV - FS - Pre/Mid - MWC - DT/MB/CTV</t>
  </si>
  <si>
    <t>Polymarket - DIO - LFV - TUB - Pre/Mid - MWC - DT/MB/CTV</t>
  </si>
  <si>
    <t>Walmart - BTX2 - DIO - LFV - TUB - Pre/Mid - MWC - DT/MB/CTV - 2026</t>
  </si>
  <si>
    <t>Walmart - WAL2 - DIO - LFV - 1F - Tubi - Pre/Mid - ROS - DT/MB/CTV - FW - SXD - 2026 - AAT</t>
  </si>
  <si>
    <t>Walmart - BTX2 - DIO - LFV - 1F - Tubi - Pre/Mid - ROS - DT/MB/CTV - FW - SXD - 2026 - AAT</t>
  </si>
  <si>
    <t>Walmart - BTX2 - DIO - ROV - 1F - SEN - Pre/Mid - ROS - DT/MB/CTV - SXD - 2026 - AAT</t>
  </si>
  <si>
    <t>Walmart - EX2 - DIO - LFV - 1F - Tubi - Pre/Mid - ROS - DT/MB/CTV - FW - SXD - 2026 - AAT</t>
  </si>
  <si>
    <t>Walmart - WAL2 - DIO - ROV - FS - Pre/Mid - MWC - DT/MB/CTV - 2026 -</t>
  </si>
  <si>
    <t>Walmart - EX2 - DIO - LFV - TUB - Pre/Mid - MWC - DT/MB/CTV - 2026</t>
  </si>
  <si>
    <t>Walmart - WAL2 - DIO - ROV - 1F - SEN - Pre/Mid - ROS - DT/MB/CTV - SXD - 2026 - AAT</t>
  </si>
  <si>
    <t>Walmart - WAL2 - DIO - LFV - TUB - Pre/Mid - MWC - DT/MB/CTV - 2026</t>
  </si>
  <si>
    <t>Walmart - BTX2 - DIO - ROV - FS - Pre/Mid - MWC - DT/MB/CTV - 2026 -</t>
  </si>
  <si>
    <t>Walmart - EX2 - DIO - ROV - FS - Pre/Mid - MWC - DT/MB/CTV - 2026 -</t>
  </si>
  <si>
    <t>Walmart - EX2 - DIO - ROV - 1F - SEN - Pre/Mid - ROS - DT/MB/CTV - SXD - 2026 - AAT</t>
  </si>
  <si>
    <t>Turtlebox - DIO - LFV - FSLS - Pre/Mid - ROS - DT/MB/CTV - Preemptible - Flight 7 - 6.15 - 6.21</t>
  </si>
  <si>
    <t>Turtlebox - DIO - LFV - FSLS - Pre/Mid - ROS - DT/MB/CTV - Preemptible - Flight 6 - 6.8 - 6.14</t>
  </si>
  <si>
    <t>Best Buy - DIO - LFV - TUB - Pre/Mid - MWC - DT/MB/CTV</t>
  </si>
  <si>
    <t>Best Buy - DIO - ROV - FS - Pre/Mid - MWC - DT/MB/CTV</t>
  </si>
  <si>
    <t>Shipt - DIO - LFV - TUB - Pre/Mid - MWC - DT/MB/CTV</t>
  </si>
  <si>
    <t>Shipt - DIO - ROV - FS - Pre/Mid - MWC - DT/MB/CTV</t>
  </si>
  <si>
    <t>Shipt - DIO - ROV - FS - Pre/Mid - ROS - DT/MB/CTV</t>
  </si>
  <si>
    <t>Google - YouTube_DIO - LFV - TUB - Pre/Mid - MWC - DT/MB/CTV</t>
  </si>
  <si>
    <t>Google - YouTube_DIO - ROV - FS - Pre/Mid - MWC - DT/MB/CTV</t>
  </si>
  <si>
    <t>Lenovo - OMP - DIO - ROV - FS - Pre/Mid - MWC - DT/MB/CTV</t>
  </si>
  <si>
    <t>Lenovo - OMP - DIO - LFV - TUB - Pre/Mid - MWC - DT/MB/CTV</t>
  </si>
  <si>
    <t>Ferrero - FMC Ice Cream - DIO - ROV - FS - Pre/Mid - MWC - DT/MB/CTV</t>
  </si>
  <si>
    <t>Ferrero - FMC Ice Cream - DIO - LFV - TUB - Pre/Mid - MWC - DT/MB/CTV</t>
  </si>
  <si>
    <t>Actualized - Therabody - DIO - LFV - TUB - Pre/Mid - MWC - DT/MB/CTV</t>
  </si>
  <si>
    <t>Therabody - DIO - ROV - FS - Pre/Mid - MWC - DT/MB/CTV</t>
  </si>
  <si>
    <t>Chime - DIO - LFV - RON Ent - Pre/Mid - ROS - DT/MB/CTV/STB - Preemptible - Flight 6 - 6.15 - 6.21</t>
  </si>
  <si>
    <t>Waymo - DIO - ROV - 1F - SEN - Pre/Mid - ROS - DT/MB/CTV - SXD - 2026</t>
  </si>
  <si>
    <t>Waymo - DIO - LFV - 1F - Tubi - Pre/Mid - ROS - DT/MB/CTV - FW - SXD - 2026</t>
  </si>
  <si>
    <t>Waymo - DIO - LFV - TUB - Pre/Mid - MWC - DT/MB/CTV - 2026</t>
  </si>
  <si>
    <t>Waymo - DIO - ROV - FS - Pre/Mid - MWC - DT/MB/CTV - 2026</t>
  </si>
  <si>
    <t>Apple - DIO - ROV - FS - Pre/Mid - ROS - DT/MB/CTV - P1849 Target</t>
  </si>
  <si>
    <t>Apple - DIO - LFV - 1F - Tubi - Pre/Mid - ROS - DT/MB/CTV - FW - SXD  - Soccer Fan Targeted</t>
  </si>
  <si>
    <t>Apple - DIO - ROV - 1F - SEN - Pre/Mid - ROS - DT/MB/CTV - SXD  - Soccer Fan Targeted</t>
  </si>
  <si>
    <t>Verizon - OMP - VBG - DIO - ROV - FS - Pre/Mid - MWC - DT/MB/CTV - 2026</t>
  </si>
  <si>
    <t>Verizon - OMP - VBG - DIO - LFV - TUB - Pre/Mid - MWC - DT/MB/CTV - 2026</t>
  </si>
  <si>
    <t>Google - Search -DIO - LFV - TUB - Pre/Mid - MWC - DT/MB/CTV</t>
  </si>
  <si>
    <t>Google - Search -DIO - LFV - 1F - Tubi Sports Bundle - Pre/Mid - ROS - DT/MB/CTV - FW - SXD</t>
  </si>
  <si>
    <t>Google - Search -DIO - ROV - FS - Pre/Mid - ROS - DT/MB/CTV</t>
  </si>
  <si>
    <t>Google - Search -DIO - ROV - FS - Pre/Mid - MWC - DT/MB/CTV</t>
  </si>
  <si>
    <t>Google - Search -DIO - ROV - 1F - FS - Pre/Mid - ROS - DT/MB/CTV - FW - SXD</t>
  </si>
  <si>
    <t>Lenovo - OMP - DIO - LFV - 1F - Tubi - Pre/Mid - ROS - DT/MB/CTV - FW - SXD - AAT Soccer Fans</t>
  </si>
  <si>
    <t>Lenovo - OMP - DIO - ROV - 1F - SEN - Pre/Mid - ROS - DT/MB/CTV - SXD - AAT Soccer Fans</t>
  </si>
  <si>
    <t>Apple - DIO - ROV - FS - Pre/Mid - MWC - DT/MB/CTV</t>
  </si>
  <si>
    <t>Apple - DIO - LFV - TUB - Pre/Mid - MWC - DT/MB/CTV</t>
  </si>
  <si>
    <t>Bridgestone - DIO - LFV - RON Ent - Pre/Mid - ROS - DT/MB/CTV/STB - Preemptible - 6.22 - 6.28 Flight 12</t>
  </si>
  <si>
    <t>Bridgestone - DIO - LFV - RON Ent - Pre/Mid - ROS - DT/MB/CTV/STB - Preemptible - 6.15 - 6.21 Flight 11</t>
  </si>
  <si>
    <t>Nissan - DIO - LFV - TUB - Pre/Mid - MWC - DT/MB/CTV - MWC 26'</t>
  </si>
  <si>
    <t>Nissan - DIO - ROV - FS - Pre/Mid - MWC - DT/MB/CTV - MWC 26'</t>
  </si>
  <si>
    <t>Volkswagen - DIO - LFV - TUB - Pre/Mid - MWC - DT/MB/CTV</t>
  </si>
  <si>
    <t>Volkswagen - DIO - ROV - FS - Pre/Mid - MWC - DT/MB/CTV</t>
  </si>
  <si>
    <t>Arena Club - DIO - LFV - FSLS - Pre/Mid - ROS - DT/MB/CTV - Preemptible - Flight 8 - 6.15 - 6.21</t>
  </si>
  <si>
    <t>Satva - DIO - LFV - RON Ent - Pre/Mid - ROS - DT/MB/CTV/STB - Preemptible Flight 11 - 6.15 - 6.21</t>
  </si>
  <si>
    <t>Google Search (TUBI) DIO - ROV - FS - Pre/Mid - MWC - DT/MB/CTV</t>
  </si>
  <si>
    <t>Google Search (TUBI) DIO - ROV - 1F - SEN - Pre/Mid - ROS - DT/MB/CTV - SXD</t>
  </si>
  <si>
    <t>Google Search (TUBI) DIO - LFV - TUB - Pre/Mid - MWC - DT/MB/CTV</t>
  </si>
  <si>
    <t>Google Search (TUBI) DIO - LFV - 1F - Tubi - Pre/Mid - ROS - DT/MB/CTV - FW - SXD</t>
  </si>
  <si>
    <t>GM - Cadillac - DIO - ROV - 1F - SEN - Pre/Mid - ROS - DT/MB/CTV - AAT - 2Q26 MG - SXD</t>
  </si>
  <si>
    <t>Heineken - Deportes - DIO - SFV - FSEN - Pre - ROS - DT/MB/CTV - non-CoV</t>
  </si>
  <si>
    <t>Waymo - DIO - LFV - 1F - Tubi - Pre/Mid - ROS - DT/MB/CTV - FW - SXD - :60s - 2026</t>
  </si>
  <si>
    <t>Waymo - DIO - ROV - 1F - SEN - Pre/Mid - ROS - DT/MB/CTV - SXD - :60s - 2026</t>
  </si>
  <si>
    <t>Waymo - DIO - LFV - TUB - Pre/Mid - MWC - DT/MB/CTV - :60s - 2026</t>
  </si>
  <si>
    <t>Waymo - DIO - ROV - FS - Pre/Mid - MWC - DT/MB/CTV - :60s - 2026</t>
  </si>
  <si>
    <t>VISA - VISA Brand - OMP - DIO - ROV - FS - Roster Reveal MG - Pre/Mid - MWC - DT/MB/CTV - 2026</t>
  </si>
  <si>
    <t>VISA - VISA Brand - OMP - DIO - LFV - TUB -  Roster Reveal MG - Pre/Mid - MWC - DT/MB/CTV - 2026</t>
  </si>
  <si>
    <t>Turtlebox - DIO - LFV - FSLS - Pre/Mid - ROS - DT/MB/CTV - Preemptible - Flight 8 - 6.22 - 6.28</t>
  </si>
  <si>
    <t>Chime - DIO - LFV - RON Ent - Pre/Mid - ROS - DT/MB/CTV/STB - Preemptible - Flight 7 - 6.22 - 6.28</t>
  </si>
  <si>
    <t>META - DIO - ROV - 1F - SEN - Pre/Mid - ROS - DT/MB/CTV - SXD - Soccer Fans AAT - 2026</t>
  </si>
  <si>
    <t>META - DIO - LFV - 1F - Tubi - Pre/Mid - ROS - DT/MB/CTV - FW - SXD - Soccer Fans AAT - 2026</t>
  </si>
  <si>
    <t>META - DIO - LFV - TUB - Pre/Mid - MWC - DT/MB/CTV - IG - 2026</t>
  </si>
  <si>
    <t>META - DIO - ROV - FS - Pre/Mid - MWC - DT/MB/CTV - IG - 2026</t>
  </si>
  <si>
    <t>META - DIO - ROV - FS - Pre/Mid - ROS - DT/MB/CTV - IG - 2026</t>
  </si>
  <si>
    <t>Arena Club - DIO - LFV - FSLS - Pre/Mid - ROS - DT/MB/CTV - Preemptible - Flight 10 - 6.29 - 6.30</t>
  </si>
  <si>
    <t>Arena Club - DIO - LFV - FSLS - Pre/Mid - ROS - DT/MB/CTV - Preemptible - Flight 9 - 6.22 - 6.28</t>
  </si>
  <si>
    <t>Hilton - DIO - SFV - FSEN - Pre - ROS - DT/MB/CTV - non-CoV - 2Q26</t>
  </si>
  <si>
    <t>MG - AT&amp;T - DIO - ROV - FS - Pre/Mid - MWC - DT/MB/CTV</t>
  </si>
  <si>
    <t>MG -  AT&amp;T - DIO - LFV - TUB - Pre/Mid - MWC - DT/MB/CTV</t>
  </si>
  <si>
    <t>OMP - Airbnb - DIO - SFV - FSEN - Pre - ROS - DT/MB/CTV - non-CoV</t>
  </si>
  <si>
    <t>Google - Search - DIO - SFV - FSEN - Pre - ROS - DT/MB/CTV - non-CoV</t>
  </si>
  <si>
    <t>Turtlebox - DIO - LFV - FSLS - Pre/Mid - ROS - DT/MB/CTV - Preemptible - Flight 9 - 6.29 - 6.30</t>
  </si>
  <si>
    <t>Apple - DIO - SFV - FSEN - Pre - ROS - DT/MB/CTV - non-CoV - P1849 Target</t>
  </si>
  <si>
    <t>Starbucks - DIO - SFV - FSEN - Pre - ROS - DT/MB/CTV - non-CoV - STN</t>
  </si>
  <si>
    <t>DSG - DIO - SFV - FSEN - Pre - ROS - DT/MB/CTV - non-CoV</t>
  </si>
  <si>
    <t>DSG - Adidas Brand - DIO - SFV - FSEN - Pre - ROS - DT/MB/CTV - non-CoV - 2026</t>
  </si>
  <si>
    <t>Oura Ring- DIO - LFV - TUB - Pre/Mid - MWC - DT/MB/CTV (Makegood)</t>
  </si>
  <si>
    <t>Oura Ring- DIO - ROV - FS - Pre/Mid - MWC - DT/MB/CTV (Makegood)</t>
  </si>
  <si>
    <t>HGU - DIO - SFV - FSEN - Pre - ROS - DT/MB/CTV - non-CoV</t>
  </si>
  <si>
    <t>Lowe's - DIO - SFV - FSEN - Pre - ROS - DT/MB/CTV - non-CoV - STN - 2026</t>
  </si>
  <si>
    <t>META - DIO - ROV - 1F - SEN - Pre/Mid - ROS - DT/MB/CTV - SXD - Soccer Fans - FB - 2026</t>
  </si>
  <si>
    <t>META - WhatsApp - DIO - LFV - 1F - Tubi - Pre/Mid - ROS - DT/MB/CTV - FW - SXD - Soccer Fans - 2026</t>
  </si>
  <si>
    <t>META - DIO - LFV - TUB - Pre/Mid - MWC - DT/MB/CTV - FB - 2026</t>
  </si>
  <si>
    <t>META - DIO - ROV - FS - Pre/Mid - MWC - DT/MB/CTV - FB - 2026</t>
  </si>
  <si>
    <t>Clorox - DIO - ROV - FS - Pre/Mid - MWC - DT/MB/CTV - 2Q26</t>
  </si>
  <si>
    <t>Clorox - DIO - LFV - TUB - Pre/Mid - MWC - DT/MB/CTV - 2Q26</t>
  </si>
  <si>
    <t>CAPITAL ONE - BANK - LFV - RON Ent - Pre/Mid - ROS - DT/MB/CTV_A1849_3Q'26</t>
  </si>
  <si>
    <t>Verizon - OMP - VBG - DIO - ROV - FS - Pre/Mid - MWC - DT/MB/CTV - 2026 - MAKEGOOD</t>
  </si>
  <si>
    <t>Verizon - OMP - VBG - DIO - LFV - TUB - Pre/Mid - MWC - DT/MB/CTV - 2026 - MAKEGOOD</t>
  </si>
  <si>
    <t>META - DIO - SFV - FSEN - Pre - ROS - DT/MB/CTV - non-CoV - IG - 2026</t>
  </si>
  <si>
    <t>META - Wearables - DIO - ROV - 1F - SEN - Pre/Mid - ROS - DT/MB/CTV - SXD - Soccer Fans - 2026</t>
  </si>
  <si>
    <t>META - Wearables - DIO - LFV - 1F - Tubi - Pre/Mid - ROS - DT/MB/CTV - FW - SXD - Soccer Fans - 2026</t>
  </si>
  <si>
    <t>Therabody - DIO - ROV - FS - Pre/Mid - ROS - DT/MB/CTV</t>
  </si>
  <si>
    <t>Therabody - DIO - LFV - TUB - Pre/Mid - MWC - DT/MB/CTV R2</t>
  </si>
  <si>
    <t>KDP - FLEX FUND - P2+ - DIO - SFV - FSEN - Pre - ROS - DT/MB/CTV - non-CoV - 2Q'26 June</t>
  </si>
  <si>
    <t>Capital One - Bank - Incremental - DIO - LFV - RON Ent - Pre/Mid - ROS - DT/MB/CTV/STB - 3Q'26</t>
  </si>
  <si>
    <t>Mars - Twix Core - DIO - ROV - 1F - SEN - Pre/Mid - ROS - DT/MB/CTV - SXD - 3Q'26</t>
  </si>
  <si>
    <t>Mars - Twix Core - DIO - LFV - 1F - Tubi - Pre/Mid - ROS - DT/MB/CTV - FW - SXD - 3Q'26</t>
  </si>
  <si>
    <t>Apple - LFV - RON Ent - Pre/Mid - ROS - DT/MB/CTV/STB - P2+ - No CoV -  A/Z - 3Q'26 - Privacy 7.0</t>
  </si>
  <si>
    <t>Apple//Digital/Upfront/Direct/Entertainment/25-26 - P2+ - No CoV - ROS - 3Q'26 - Privacy 7.0</t>
  </si>
  <si>
    <t>Mars - M&amp;Ms Peanut - DIO - ROV - 1F - SEN - Pre/Mid - ROS - DT/MB/CTV - SXD - 3Q'26</t>
  </si>
  <si>
    <t>Mars - M&amp;Ms Peanut - DIO - LFV - 1F - Tubi - Pre/Mid - ROS - DT/MB/CTV - FW - SXD - 3Q'26</t>
  </si>
  <si>
    <t>Mars - M&amp;Ms Caramel Pop'd - DIO - LFV - 1F - Tubi - Pre/Mid - ROS - DT/MB/CTV - FW - SXD - 3Q'26</t>
  </si>
  <si>
    <t>Mars - M&amp;Ms Caramel Pop'd - DIO - ROV - 1F - SEN - Pre/Mid - ROS - DT/MB/CTV - SXD - 3Q'26</t>
  </si>
  <si>
    <t>Hilton - DIO - ROV - FS - Pre/Mid - ROS - DT/MB/CTV - 3Q26</t>
  </si>
  <si>
    <t>Capital One - Consumer Card - LFV - FOX - Pre/Mid - STB VOD - ROS - A2554_3Q'26</t>
  </si>
  <si>
    <t>Capital One - Consumer  Card- LFV - RON Ent - Pre/Mid - ROS - DT/MB/CTV_A2554_3Q'26</t>
  </si>
  <si>
    <t>Omaha Steaks - DIO - ROV - FS - Pre/Mid - MWC - DT/MB/CTV</t>
  </si>
  <si>
    <t>Omaha Steaks - DIO - LFV - TUB - Pre/Mid - MWC - DT/MB/CTV</t>
  </si>
  <si>
    <t>Mars - Extra - DIO - LFV - 1F - Tubi - Pre/Mid - ROS - DT/MB/CTV - FW - SXD - 3Q'26</t>
  </si>
  <si>
    <t>Mars - Extra - DIO - ROV - 1F - SEN - Pre/Mid - ROS - DT/MB/CTV - SXD - 3Q'26</t>
  </si>
  <si>
    <t>UOPX - DIO - LFV - 1F - Tubi - Pre/Mid - ROS - DT/MB/CTV - FW - SXD - AAT - MG</t>
  </si>
  <si>
    <t>UOPX - DIO - ROV - 1F - SEN - Pre/Mid - ROS - DT/MB/CTV - SXD - AAT - MG</t>
  </si>
  <si>
    <t>Edwards Lifesciences - DIS - FS - Display Unit - ROS</t>
  </si>
  <si>
    <t>Prudential - DIS - FS - Display Unit - MWC - 728x90/300x250/320x50</t>
  </si>
  <si>
    <t>Prudential - DIS - FS - Display Unit - ROS - Sponsorship - 300x600 - (06/26/26)</t>
  </si>
  <si>
    <t>Prudential - DIS - FS - Blank - ROS - Sponsorship - (06/26/26)</t>
  </si>
  <si>
    <t>Prudential - DIS - FS - Display Unit - ROS - Sponsorship  - 300x250 - (06/26/26)</t>
  </si>
  <si>
    <t>Hyundai - DIS - FS - Display Unit - MWC - 728x90, 300x250,320x50  - OMP - JUNE</t>
  </si>
  <si>
    <t>Prudential - DIS - FS - Display Unit - ROS - Sponsorship - 728x90 - (06/26/26)</t>
  </si>
  <si>
    <t>Prudential - DIS - FS - Display Unit - ROS - Sponsorship - 320x50 - (06/26/26)</t>
  </si>
  <si>
    <t>Prudential - DIS - FS - High Impact - ROS - Sponsorship - Skybox - (06/26/26)</t>
  </si>
  <si>
    <t>Hyundai - DIS - FS - Display Unit - ROS - 728x90, 300x250,320x50, 300x600 - OMP - JUNE</t>
  </si>
  <si>
    <t>CARNIVAL/S/SPORTS/25-26/MWC/Display/ 320x50, 300x250, 728x90</t>
  </si>
  <si>
    <t>KIA - DIS - FS - Display Unit - MWC -  320x50, 300x250, 728x90 - OMP - JUNE</t>
  </si>
  <si>
    <t>Duracell_DIS - FS - Display Unit - MWC - 320x50, 300x250, 728x90</t>
  </si>
  <si>
    <t>Allstate DIS - FS - Display Unit - MWC 728x90/300x250/320x50</t>
  </si>
  <si>
    <t>OMP - Airbnb - DIS - FS - Display Unit - MWC -728x90/300x250/320x50</t>
  </si>
  <si>
    <t>AT&amp;T - DIS - FS - Blank - ROS - Sponsorship</t>
  </si>
  <si>
    <t>AT&amp;T - DIS - FS - Display Unit - ROS - Sponsorship - 300x250 Medium Rectangle - [6/18]</t>
  </si>
  <si>
    <t>AT&amp;T - DIS - FS - Display Unit - ROS - Sponsorship - 728x90 Leaderboard - [ 6/18]</t>
  </si>
  <si>
    <t>HGU - DIS - FS - Display Unit - MWC - 728x90/300x250/320x50</t>
  </si>
  <si>
    <t>AT&amp;T - DIS - FS - Display Unit - MWC - 300x250, 320x50, 728x90</t>
  </si>
  <si>
    <t>AT&amp;T - DIS - FS - High Impact - ROS - Sponsorship - [6/18]</t>
  </si>
  <si>
    <t>AT&amp;T - DIS - FS - Display Unit - ROS - Sponsorship - 300x600 Half Page - [6/18]</t>
  </si>
  <si>
    <t>AT&amp;T - DIS - FS - Display Unit - ROS - Sponsorship - 320x50 Mobile Banner - [6/18]</t>
  </si>
  <si>
    <t>DSG - DIS - FS - High Impact - ROS - Sponsorship - Skybox - 6/24</t>
  </si>
  <si>
    <t>BMW - DIS - FS - High Impact - ROS - Sponsorship - Non - OMP 6/20/2026</t>
  </si>
  <si>
    <t>BMW - DIS - FS - Display Unit - ROS - Sponsorship - 320 x 50 -  6/20/2026</t>
  </si>
  <si>
    <t>BMW - DIS - FS - Display Unit - ROS - Sponsorship - 300 x 250 -  6/20/2026</t>
  </si>
  <si>
    <t>BMW - DIS - FS - Display Unit - ROS - Sponsorship - 728 x 90 -  6/20/2026</t>
  </si>
  <si>
    <t>BMW - DIS - FS - Blank - ROS - Sponsorship - Non - OMP 6/20/2026</t>
  </si>
  <si>
    <t>DSG - DIS - FS - Display Unit - ROS - Sponsorship - 320x50 - 6/24</t>
  </si>
  <si>
    <t>DSG - DIS - FS - Display Unit - ROS - Sponsorship - 300x250 - 6/24</t>
  </si>
  <si>
    <t>DSG - DIS - FS - Display Unit - ROS - Sponsorship - 728x90 - 6/24</t>
  </si>
  <si>
    <t>Diageo -The Cocktail Collection - OMP - DIS - FS - Display Unit - MWC - FY26 - 300x250, 320x50, 728x90</t>
  </si>
  <si>
    <t>CARNIVAL/S/SPORTS/25-26Display/300x600</t>
  </si>
  <si>
    <t>CONSTELLATION BRANDS/S/SPORTS/25-26/MWC/Display/ 320x50, 300x250, 728x90</t>
  </si>
  <si>
    <t>DSG - DIS - FS - Blank - ROS - Sponsorship - 2026</t>
  </si>
  <si>
    <t>BMW - DIS - FS - Display Unit - MWC - 300x250, 320x50, 728x90</t>
  </si>
  <si>
    <t>Powerade - OMP - DIS - FS - Display Unit - OMP - 728x90, 300x250, 320x50 - MWC 2026</t>
  </si>
  <si>
    <t>DSG - DIS - FS - Display Unit - ROS - Sponsorship - 300x600 - 6/24</t>
  </si>
  <si>
    <t>BMW - DIS - FS - Display Unit - ROS - Sponsorship - 300 x 600 -  6/20/2026</t>
  </si>
  <si>
    <t>Haleon - Tums - DIS - FS - Display Unit - MWC - 2026 - 300x250, 320x50, 728x90</t>
  </si>
  <si>
    <t>Diageo - Ketel - OMP - DIS - FS - Display Unit - MWC - FY26 - 300x250, 320x50, 728x90</t>
  </si>
  <si>
    <t>Diageo - Guinness - OMP - DIS - FS - Display Unit - MWC - FY26 - 300x250, 320x50, 728x90</t>
  </si>
  <si>
    <t>Diageo - Don Julio - OMP - DIS - FS - Display Unit - MWC - FY26 - 300x250, 320x50, 728x90</t>
  </si>
  <si>
    <t>Diageo - Casamigos - OMP -  DIS - FS - Display Unit - ROS - Sponsorship - Leaderboard - 728x90 - [takeover date 6/14]</t>
  </si>
  <si>
    <t>Marriott - OMP -DIS - FS - Display Unit - ROS - US Roster Reveal Sponsorship 2026 - 320x50 - 6/6</t>
  </si>
  <si>
    <t>Haleon - Pronamel - DIS - FS - Display Unit - MWC - 2026 - 300x250, 320x50, 728x90</t>
  </si>
  <si>
    <t>Haleon - Advil - DIS - FS - Display Unit - MWC - 2026 - 300x250, 320x50, 728x90</t>
  </si>
  <si>
    <t>Haleon - Sensodyne - DIS - FS - Display Unit - MWC - 2026 - 300x250, 320x50, 728x90</t>
  </si>
  <si>
    <t>Haleon - Centrum - DIS - FS - Display Unit - MWC - 2026 - 300x250, 320x50, 728x90</t>
  </si>
  <si>
    <t>Marriott - OMP -DIS - FS - Display Unit - ROS - US Roster Reveal Sponsorship 2026 - 300x250 - 6/6</t>
  </si>
  <si>
    <t>Marriott - OMP -DIS - FS - Display Unit - ROS - US Roster Reveal Sponsorship 2026 - 728x90 - 6/6</t>
  </si>
  <si>
    <t>Marriott - OMP -DIS - FS - Display Unit - ROS - US Roster Reveal Sponsorship 2026 - 300x600 - 6/6</t>
  </si>
  <si>
    <t>Pepsi - Frito Lays - QUAKERS - DIS - FS - Display Unit - ROS - 320x50, 300x250, 728x90- OMP</t>
  </si>
  <si>
    <t>Diageo - Casamigos - OMP -  DIS - FS - Blank - ROS - Sponsorship</t>
  </si>
  <si>
    <t>Diageo - Casamigos - OMP - DIS - FS - Display Unit - ROS - Sponsorship - Mobile Banner - 320x50 - [takeover date 6/14]</t>
  </si>
  <si>
    <t>Home Depot - DIS - FS - Display Unit - Knockout Stage - MWC - OMP - 320x50, 300x250, 728x90</t>
  </si>
  <si>
    <t>Eli Lilly - Masterbrand - DIS - FS - Display Unit - MWC - 2026 - 728x90 - 300x250</t>
  </si>
  <si>
    <t>Lowe's - DIS - FS - Display Unit - ROS - 728x90 - 6/16 Argentina vs Algeria - Sponsorship</t>
  </si>
  <si>
    <t>Eli Lilly - Zepbound CWM - DIS - FS - Display Unit - MWC - 2026 - 728x90 - 300x250</t>
  </si>
  <si>
    <t>OMP- Oura Ring- DIS - FS - Display Unit - ROS - Sponsorship - 728x90 (6/17)</t>
  </si>
  <si>
    <t>OMP- Oura Ring- DIS - FS - Blank - ROS - Sponsorship (6/17)</t>
  </si>
  <si>
    <t>OMP- Oura Ring- DIS - FS - Display Unit - ROS - Sponsorship - 320x50 (6/17)</t>
  </si>
  <si>
    <t>OMP- Oura Ring- DIS - FS - Display Unit - ROS - Sponsorship - 300x600 (6/17)</t>
  </si>
  <si>
    <t>Eli Lilly - Mounjaro -  DIS - FS - Display Unit - MWC - 2026 - 728x90 - 300x250</t>
  </si>
  <si>
    <t>Diageo - Casamigos - OMP -  DIS - FS - High Impact - ROS - Sponsorship</t>
  </si>
  <si>
    <t>Diageo - Casamigos - OMP -  DIS - FS - Display Unit - ROS - Sponsorship - Half Page - 300x600 - [takeover date 6/14]</t>
  </si>
  <si>
    <t>Diageo - Casamigos - OMP -  DIS - FS - Display Unit - ROS - Sponsorship - Medium Rectangle - 300x250 - [takeover date 6/14]</t>
  </si>
  <si>
    <t>Indeed - DIS - FS - Blank - ROS - Sponsorship - 6/27</t>
  </si>
  <si>
    <t>Indeed - DIS - FS - High Impact - ROS - Sponsorship - 300x250 - 6/27</t>
  </si>
  <si>
    <t>Indeed -DIS - FS - Display Unit - ROS - Sponsorship - 300x600 - 6/27</t>
  </si>
  <si>
    <t>Indeed -DIS - FS - Display Unit - ROS - Sponsorship - 728x90 - 6/27</t>
  </si>
  <si>
    <t>Indeed -DIS - FS - Display Unit - ROS - Sponsorship - 320x50 - 6/27</t>
  </si>
  <si>
    <t>Indeed - DIS - FS - Display Unit - MWC - 728x90/300x250/320x50</t>
  </si>
  <si>
    <t>MCD - DIS - FS - Display Unit - ROS - Sponsorship - 728x90 - 6/11 - OMP</t>
  </si>
  <si>
    <t>MCD - DIS - FS - Display Unit - ROS - Sponsorship - 300x600 - 6/11 - OMP</t>
  </si>
  <si>
    <t>MCD - DIS - FS - Display Unit - ROS - Sponsorship - 300x250 - 6/11 - OMP</t>
  </si>
  <si>
    <t>Eli Lilly - Zepbound OSA Branded - DIS - FS - Display Unit - MWC - 2026 - 300x250 728x90</t>
  </si>
  <si>
    <t>Lowe's - DIS - FS - Display Unit - ROS - 320x50 - 6/16 Argentina vs Algeria -Sponsorship</t>
  </si>
  <si>
    <t>Lowe's - DIS - FS - Display Unit - 728x90, 300x250, 320x50</t>
  </si>
  <si>
    <t>Indeed -DIS - FS - Display Unit - ROS - Sponsorship Skybox - 6/27</t>
  </si>
  <si>
    <t>Eli Lilly - Ebglyss- DIS - FS - Display Unit - MWC - 2026</t>
  </si>
  <si>
    <t>Lowe's - DIS - FS - Display Unit - ROS - 300x250 - 6/16 Argentina vs Algeria - Sponsorship</t>
  </si>
  <si>
    <t>Lowe's - DIS - FS - Display Unit - ROS - 300x600 - 6/16 Argentina vs Algeria - Sponsorship</t>
  </si>
  <si>
    <t>Lowe's - DIS - FS - Blank - ROS - 6/16 - Sponsorship</t>
  </si>
  <si>
    <t>Lowe's - DIS - FS - High Impact - ROS - 6/16 - Sponsorship</t>
  </si>
  <si>
    <t>Pepsico - Frito Lay - DIS - FS - Display Unit - ROS 320x50, 300x250, 728x90 OMP</t>
  </si>
  <si>
    <t>Eli Lilly - Zepbound OSA DSE :30 - DIS - FS - Display Unit - MWC - 2026 - 300x250 728x90</t>
  </si>
  <si>
    <t>OMP- Oura Ring- DIS - FS - High Impact - ROS - Sponsorship (6/17)</t>
  </si>
  <si>
    <t>OMP- Oura Ring- DIS - FS - Display Unit - ROS - Sponsorship - 300x250 (6/17)</t>
  </si>
  <si>
    <t>MCD - DIS - FS - Display Unit - ROS - Sponsorship - 320x50 - 6/11 - OMP</t>
  </si>
  <si>
    <t>Verizon - OMP - DIS - FS - Display Unit - ROS - Sponsorship - 300x250 - 6/19</t>
  </si>
  <si>
    <t>Verizon - OMP - DIS - FS - Display Unit - ROS - Sponsorship - 300x600 - 6/19</t>
  </si>
  <si>
    <t>Verizon - OMP - DIS - FS - Display Unit - ROS - Sponsorship - 320x50 - 6/19</t>
  </si>
  <si>
    <t>Verizon -  OMP - FS - Blank - ROS - Sponsorship - 6/19</t>
  </si>
  <si>
    <t>Verizon - OMP - DIS - FS - Display Unit - ROS - Sponsorship - 728x90 - 6/19</t>
  </si>
  <si>
    <t>Eli Lilly - Foundayo - DIS - FS - Display Unit - MWC - 2026 - 728x90 - 300x250</t>
  </si>
  <si>
    <t>Verizon - OMP - DIS - FS - High Impact - ROS - Sponsorship - Skybox - 6/19</t>
  </si>
  <si>
    <t>EuroItalia - DIS - FS - Display Unit - ROS - MWC2Q3Q26</t>
  </si>
  <si>
    <t>Polymarket - DIS - FS - Display Unit - MWC - 320x50, 300x250, 728x90</t>
  </si>
  <si>
    <t>Walmart - EX2 - DIS - FS - Display Unit - MWC - 2026</t>
  </si>
  <si>
    <t>Verizon - OMP - DIS - FS - Display Unit - 300x250, 320x50, 728x90 - MWC - 2026</t>
  </si>
  <si>
    <t>MG - Diageo - Casamigos - OMP -  DIS - FS - High Impact - ROS - Sponsorship</t>
  </si>
  <si>
    <t>MG - Diageo - Casamigos - OMP -  DIS - FS - Display Unit - ROS - Sponsorship - Leaderboard - 728x90 - [takeover date 6/14]</t>
  </si>
  <si>
    <t>MG - Diageo - Casamigos - OMP -  DIS - FS - Blank - ROS - Sponsorship</t>
  </si>
  <si>
    <t>MG - Diageo - Casamigos - OMP -  DIS - FS - Display Unit - ROS - Sponsorship - Medium Rectangle - 300x250 - [takeover date 6/14]</t>
  </si>
  <si>
    <t>MG - Diageo - Casamigos - OMP -  DIS - FS - Display Unit - ROS - Sponsorship - Half Page - 300x600 - [takeover date 6/14]</t>
  </si>
  <si>
    <t>MG - Diageo - Casamigos - OMP - DIS - FS - Display Unit - ROS - Sponsorship - Mobile Banner - 320x50 - [takeover date 6/14]</t>
  </si>
  <si>
    <t>MCD - DIS - FS - Display Unit - ROS - Sponsorship - 320x50 - 6/30 - OMP MG</t>
  </si>
  <si>
    <t>MCD - DIS - FS - Display Unit - ROS - Sponsorship - 300x600 - 6/30 - OMP MG</t>
  </si>
  <si>
    <t>MCD - DIS - FS - Display Unit - ROS - Sponsorship - 300x250 - 6/30 - OMP MG</t>
  </si>
  <si>
    <t>MCD - DIS - FS - Display Unit - ROS - Sponsorship - 728x90 - 6/30 - OMP MG</t>
  </si>
  <si>
    <t>Zillow - DIO - SOC - FOX Sports - TikTok - MWC</t>
  </si>
  <si>
    <t>Powerade - OMP - DIO - SOC - FOX Sports - Youtube - Custom Content - 2026 MWC</t>
  </si>
  <si>
    <t>Polymarket - DIO - SOC - FOX Sports - Youtube - Custom Content - MWC</t>
  </si>
  <si>
    <t>Duracell - DIO - SOC - FOX Sports - Facebook/Instagram - MWC</t>
  </si>
  <si>
    <t>OMP-Unilever - DM+C Deo -DIO - SOC - FOX Sports - Youtube - Custom Content - MWC</t>
  </si>
  <si>
    <t>Starbucks - DIO - SOC - FOX Sports - Youtube - Custom Content</t>
  </si>
  <si>
    <t>Haleon - Tums - DIO - SOC - FOX Sports - Facebook/Instagram - MWC - 2026</t>
  </si>
  <si>
    <t>Zillow - DIO - SOC - FOX Sports - Facebook/Instagram - MWC</t>
  </si>
  <si>
    <t>New Balance - DIO - SOC - FOX Sports - TikTok - MWC</t>
  </si>
  <si>
    <t>Home Depot -  COSM - DIO - SOC - FOX Sports - Facebook/Instagram - MWC - OMP</t>
  </si>
  <si>
    <t>DSG - DIO - SOC - FOX Sports - TikTok - MWC - 2026</t>
  </si>
  <si>
    <t>BMW - DIO - SOC - FOX Sports - Facebook/Instagram - MWC</t>
  </si>
  <si>
    <t>Indeed - DIO - SOC - FOX Sports - Youtube - Custom Content - MWC</t>
  </si>
  <si>
    <t>Ferrero - Crunch - DIO - SOC - FOX Sports - Facebook/Instagram - MWC</t>
  </si>
  <si>
    <t>Coke - DIO - SOC - FOX Sports - TikTok - MLS - 2026</t>
  </si>
  <si>
    <t>Haleon - Pronamel - DIO - SOC - FOX Sports - TikTok - MWC - 2026</t>
  </si>
  <si>
    <t>Haleon - Centrum - DIO - SOC - FOX Sports - Youtube - Custom Content - MWC - 2026</t>
  </si>
  <si>
    <t>OMP-Unilever - DM+C Deo -DIO - SOC - FOX Sports - Facebook/Instagram - MWC</t>
  </si>
  <si>
    <t>VISA- Wells Fargo - OMP - DIO - SOC - FOX Sports - Facebook/Instagram - MWC - 2026</t>
  </si>
  <si>
    <t>DTV DIO - SOC - FOX Sports - X - MWC JUNE</t>
  </si>
  <si>
    <t>Diageo - Casamigos - OMP - DIO - SOC - FOX Sports - TikTok - MWC  - FY26</t>
  </si>
  <si>
    <t>Adidas - DIO - SOC - FOX Sports - TikTok - MWC - Custom 8</t>
  </si>
  <si>
    <t>META - Wearables - DIO - SOC - FOX Sports - TikTok - 2026</t>
  </si>
  <si>
    <t>Walmart - BTX2 - DIO - SOC - FOX Sports - Youtube - Custom Content - MWC</t>
  </si>
  <si>
    <t>Hyundai - DIO - SOC - FOX Sports - Facebook/Instagram - MWC</t>
  </si>
  <si>
    <t>Google - Search -DIO - SOC - FOX Sports - Youtube - Custom Content - MWC</t>
  </si>
  <si>
    <t>Google - Search -DIO - SOC - FOX Sports - TikTok - MWC</t>
  </si>
  <si>
    <t>Volkswagen - DIO - SOC - FOX Sports - X - MWC</t>
  </si>
  <si>
    <t>OMP-Unilever - Degree - DIO - SOC - FOX Sports - TikTok - MWC</t>
  </si>
  <si>
    <t>Prudential - DIO - SOC - FOX Sports - Facebook/Instagram - MWC</t>
  </si>
  <si>
    <t>OMP-Unilever - Axe Deo - DIO - SOC - FOX Sports - TikTok - MWC</t>
  </si>
  <si>
    <t>Coca-Cola - DIO - SOC - FOX Sports - Youtube - Custom Content - MWC 2026</t>
  </si>
  <si>
    <t>Walmart - WAL2 - DIO - SOC - FOX Sports - Youtube - Custom Content - MWC</t>
  </si>
  <si>
    <t>HGU - DIO - SOC - FOX Sports - Youtube - Custom Content - MWC</t>
  </si>
  <si>
    <t>CONSTELLATION BRANDS/S/SPORTS/25-26/MWC/SOCIAL/FB/IG</t>
  </si>
  <si>
    <t>AT&amp;T - DIO - SOC - FOX Sports - X - MWC</t>
  </si>
  <si>
    <t>T-MOBILE/S/SPORTS/25-26/MWC/SOCIAL/TT/2Q'26/PostPaid</t>
  </si>
  <si>
    <t>Home Depot - DIO - SOC - FOX Sports - Facebook/Instagram - MWC - OMP</t>
  </si>
  <si>
    <t>Hyundai - DIO - SOC - FOX Sports - Youtube - Custom Content - MWC</t>
  </si>
  <si>
    <t>Pepsi - Frito Lays - QUAKERS - DIO - SOC - FOX Sports - Facebook/Instagram - MWC - OMP</t>
  </si>
  <si>
    <t>Haleon - Advil - DIO - SOC - FOX Sports - Youtube - Custom Content - MWC - 2026</t>
  </si>
  <si>
    <t>DTV DIO - SOC - FOX Sports - Facebook/Instagram - MWC JUNE</t>
  </si>
  <si>
    <t>Farmers Insurance- DIO - SOC - FOX Sports - Youtube - Custom Content - MWC</t>
  </si>
  <si>
    <t>Powerade - OMP - DIO - SOC - FOX Sports - Facebook/Instagram - 2026 MWC</t>
  </si>
  <si>
    <t>Java House - Indy - DIO - SOC - FOX Sports - TikTok</t>
  </si>
  <si>
    <t>Home Depot - DIO - SOC - FOX Sports - Youtube - Custom Content - MWC - OMP</t>
  </si>
  <si>
    <t>Sweetarts - DIO - SOC - FOX Sports - Facebook/Instagram - MWC</t>
  </si>
  <si>
    <t>CONSTELLATION BRANDS/S/SPORTS/25-26/MWC/SOCIAL/TT</t>
  </si>
  <si>
    <t>Haleon - Tums - DIO - SOC - FOX Sports - Youtube - Custom Content - MWC - 2026</t>
  </si>
  <si>
    <t>Coca-Cola - DIO - SOC - FOX Sports - TikTok - MWC 2026</t>
  </si>
  <si>
    <t>Haleon - Advil - DIO - SOC - FOX Sports - TikTok - MWC - 2026</t>
  </si>
  <si>
    <t>VISA - Wells Fargo - OMP - DIO - SOC - FOX Sports - Youtube - Custom Content - MWC - 2026</t>
  </si>
  <si>
    <t>Anheuser-Busch - DIO - SOC - FOX Sports - Youtube - Custom Content - MWC - 2026</t>
  </si>
  <si>
    <t>Kalshi - DIO - SOC - FOX Sports - TikTok - MWC - TalkSports Sponsorship</t>
  </si>
  <si>
    <t>Taco Bell - DIO - SOC - FOX Sports - Facebook/Instagram - MWC</t>
  </si>
  <si>
    <t>Trolli - DIO - SOC - FOX Sports - TikTok - MWC</t>
  </si>
  <si>
    <t>Verizon - OMP - Mobility - DIO - SOC - FOX Sports - Youtube - Custom Content - MWC - 2026</t>
  </si>
  <si>
    <t>Verizon - OMP - Mobility - DIO - SOC - FOX Sports - Facebook/Instagram - MWC - 2026</t>
  </si>
  <si>
    <t>Ferrero - Crunch - DIO - SOC - FOX Sports - TikTok - MWC</t>
  </si>
  <si>
    <t>OMP-Unilever DM+C SLC - DIO - SOC - FOX Sports - X Amplify- MWC</t>
  </si>
  <si>
    <t>Taco Bell - DIO - SOC - FOX Sports - TikTok - MWC</t>
  </si>
  <si>
    <t>Volkswagen - DIO - SOC - FOX Sports - Facebook/Instagram - MWC - 20% SOV for 90 in 90 Full Match Recaps</t>
  </si>
  <si>
    <t>Haleon - Centrum - DIO - SOC - FOX Sports - TikTok - MWC - 2026</t>
  </si>
  <si>
    <t>T-MOBILE/S/SPORTS/25-26/MWC/SOCIAL/YOUTUBE/2Q'26/PostPaid</t>
  </si>
  <si>
    <t>Sweetarts - DIO - SOC - FOX Sports - TikTok - MWC</t>
  </si>
  <si>
    <t>META - WhatsApp - DIO - SOC - FOX Sports - Youtube - Custom Content - 2026</t>
  </si>
  <si>
    <t>Polymarket - DIO - SOC - FOX Sports - Facebook/Instagram - MWC</t>
  </si>
  <si>
    <t>Google - YouTube_DIO - SOC - FOX Sports - TikTok - MWC</t>
  </si>
  <si>
    <t>Prudential - DIO - SOC - FOX Sports - Youtube - Custom Content - MWC</t>
  </si>
  <si>
    <t>T-MOBILE/S/SPORTS/25-26/MWC/SOCIAL/X/2Q'26/PostPaid</t>
  </si>
  <si>
    <t>Oura Ring- DIO - SOC - FOX Sports - TikTok - MWC</t>
  </si>
  <si>
    <t>KIA - DIO - SOC - FOX Sports - TikTok - MWC</t>
  </si>
  <si>
    <t>USAA - DIO - SOC - FOX Sports - X - MLB - 3Q'26</t>
  </si>
  <si>
    <t>OMP-Unilever DM+C SLC - DIO - SOC - FOX Sports - Facebook/Instagram - MWC</t>
  </si>
  <si>
    <t>AMEX - DIO - SOC - FOX Sports - X - MWC</t>
  </si>
  <si>
    <t>Google - Search -DIO - SOC - FOX Sports - TikTok - MWC ROSTER REVEAL</t>
  </si>
  <si>
    <t>CARNIVAL/S/SPORTS/25-26/MWC/SOCIAL/YOUTUBE</t>
  </si>
  <si>
    <t>VISA - Wells Fargo - OMP - DIO - SOC - FOX Sports - TikTok - MWC - 2026</t>
  </si>
  <si>
    <t>Starbucks - DIO - SOC - FOX Sports - TikTok - 2026 MWC</t>
  </si>
  <si>
    <t>Diageo - Casamigos - OMP -  World Cup NOW Integrations &amp; Jersey Swap Coverage - DIO - SOC - FOX Sports - Facebook/Instagram - MWC  - FY26</t>
  </si>
  <si>
    <t>New Balance - DIO - SOC - FOX Sports - Facebook/Instagram - MWC</t>
  </si>
  <si>
    <t>Hyundai - DIO - SOC - FOX Sports - TikTok - MWC</t>
  </si>
  <si>
    <t>HGU - DIO - SOC - FOX Sports - Facebook/Instagram - MWC</t>
  </si>
  <si>
    <t>Google - YouTube_DIO - SOC - FOX Sports - Youtube - Custom Content - MWC</t>
  </si>
  <si>
    <t>AMEX - DIO - SOC - FOX Sports - Facebook/Instagram - MWC</t>
  </si>
  <si>
    <t>Fairlife - DIO - SOC - FOX Sports - Youtube - Custom Content - MWC</t>
  </si>
  <si>
    <t>Haleon - Advil - DIO - SOC - FOX Sports - Facebook/Instagram - MWC - 2026</t>
  </si>
  <si>
    <t>Google - Search -DIO - SOC - FOX Sports - X Amplify - MWC</t>
  </si>
  <si>
    <t>Oura Ring- DIO - SOC - FOX Sports - Facebook/Instagram - MWC</t>
  </si>
  <si>
    <t>Ferrero - Crunch - DIO - SOC - FOX Sports - Youtube - Custom Content - MWC</t>
  </si>
  <si>
    <t>Marriott - DIO - SOC - FOX Sports - TikTok - US Roster Reveal - MWC 2026</t>
  </si>
  <si>
    <t>Powerade - OMP - DIO - SOC - FOX Sports - TikTok - 2026 MWC</t>
  </si>
  <si>
    <t>Farmers Insurance- DIO - SOC - FOX Sports - TikTok - MWC</t>
  </si>
  <si>
    <t>Google - YouTube_DIO - SOC - FOX Sports - Facebook/Instagram - MWC</t>
  </si>
  <si>
    <t>Fairlife - DIO - SOC - FOX Sports - Facebook/Instagram - MWC</t>
  </si>
  <si>
    <t>Ferrero - Crunch - DIO - SOC - FOX Sports - X - MWC</t>
  </si>
  <si>
    <t>Walmart - EX2 - DIO - SOC - FOX Sports - Facebook/Instagram - MWC</t>
  </si>
  <si>
    <t>OMP-Unilever - Axe Deo - DIO - SOC - FOX Sports - Youtube - Custom Content - MWC</t>
  </si>
  <si>
    <t>KIA - DIO - SOC - FOX Sports - Facebook/Instagram - MWC</t>
  </si>
  <si>
    <t>META - Wearables - World Cup Social Sponsorship Fee_DIO - FEE - FOX Sports - Production</t>
  </si>
  <si>
    <t>META - WhatsApp - DIO - SOC - FOX Sports - Facebook/Instagram - 2026</t>
  </si>
  <si>
    <t>Volkswagen - DIO - SOC - FOX Sports - TikTok - MWC - 20% SOV for 90 in 90 Full Match Recaps</t>
  </si>
  <si>
    <t>Heineken - DIO - SOC - FOX Sports - X - MWC</t>
  </si>
  <si>
    <t>Nerds - DIO - SOC - FOX Sports - Facebook/Instagram - MWC</t>
  </si>
  <si>
    <t>Ferrero - Butterfinger - DIO - SOC - FOX Sports - TikTok - MWC</t>
  </si>
  <si>
    <t>AMEX - DIO - SOC - FOX Sports - Youtube - Custom Content - MWC</t>
  </si>
  <si>
    <t>Home Depot - DIO - FEE - FOX Sports - Production - COSM</t>
  </si>
  <si>
    <t>Allstate - DIO - SOC - FOX Sports - Youtube - Custom Content - MWC</t>
  </si>
  <si>
    <t>Haleon - Pronamel - DIO - SOC - FOX Sports - Facebook/Instagram - MWC - 2026</t>
  </si>
  <si>
    <t>META - Wearables - DIO - SOC - FOX Sports - Facebook/Instagram - 2026</t>
  </si>
  <si>
    <t>Starbucks - DIO - SOC - FOX Sports - Facebook/Instagram</t>
  </si>
  <si>
    <t>Nerds - DIO - SOC - FOX Sports - Youtube - Custom Content - MWC</t>
  </si>
  <si>
    <t>Pepsi - Frito Lays - QUAKERS - DIO - SOC - FOX Sports - TikTok - MWC - OMP</t>
  </si>
  <si>
    <t>Coors Light - DIO - SOC - FOX Sports - X - MWC</t>
  </si>
  <si>
    <t>OMP-Unilever - Axe Deo - DIO - SOC - FOX Sports - X - MWC</t>
  </si>
  <si>
    <t>Indeed - DIO - SOC - FOX Sports - TikTok - MWC</t>
  </si>
  <si>
    <t>Kalshi -DIO - SOC - FOX Sports - Youtube - Custom Content - MWC - TalkSports Sponsorship</t>
  </si>
  <si>
    <t>New Balance - DIO - SOC - FOX Sports - Youtube - Custom Content - MWC</t>
  </si>
  <si>
    <t>Anheuser-Busch - DIO - SOC - FOX Sports - TikTok - MWC - 2026</t>
  </si>
  <si>
    <t>Walmart - WAL2 - DIO - SOC - FOX Sports - TikTok - MWC</t>
  </si>
  <si>
    <t>OMP-Unilever DM+C SLC - DIO - SOC - FOX Sports - TikTok - MWC</t>
  </si>
  <si>
    <t>Zillow - DIO - SOC - FOX Sports - Youtube - Custom Content - MWC</t>
  </si>
  <si>
    <t>Visa- Roster Reveal - DIO - SOC - FOX Sports - Youtube - Custom Content - MWC - 2Q'26</t>
  </si>
  <si>
    <t>Ferrero - Nutella - DIO - SOC - FOX Sports - TikTok - MWC</t>
  </si>
  <si>
    <t>Duracell - DIO - SOC - FOX Sports - TikTok - MWC</t>
  </si>
  <si>
    <t>Haleon - Pronamel - DIO - SOC - FOX Sports - Youtube - Custom Content - MWC - 2026</t>
  </si>
  <si>
    <t>OMP-Unilever - DM+C Deo -DIO - SOC - FOX Sports - TikTok - MWC</t>
  </si>
  <si>
    <t>Fairelife - DIO - SOC - FOX Sports - TikTok - MWC</t>
  </si>
  <si>
    <t>Allstate - DIO - SOC - FOX Sports - TikTok - MWC</t>
  </si>
  <si>
    <t>Anheuser-Busch - DIO - SOC - FOX Sports - Facebook/Instagram - MWC - 2026</t>
  </si>
  <si>
    <t>Adidas - DIO - SOC - FOX Sports - Youtube - Custom Content - MWC - Custom 8</t>
  </si>
  <si>
    <t>Pepsico - Frito Lay - DIO - SOC - FOX Sports - Youtube - Custom Content - MWC - OMP</t>
  </si>
  <si>
    <t>CONSTELLATION BRANDS/S/SPORTS/25-26/MWC/SOCIAL/YOUTUBE</t>
  </si>
  <si>
    <t>Java House - Indy - DIO - SOC - FOX Sports - Facebook/Instagram</t>
  </si>
  <si>
    <t>Marriott - DIO - SOC - FOX Sports - Youtube - Custom Content - US Roster Reveal - MWC 2026</t>
  </si>
  <si>
    <t>Google - Search -DIO - SOC - FOX Sports - Youtube - Custom Content - MWC ROSTER REVEAL</t>
  </si>
  <si>
    <t>BMW - DIO - SOC - FOX Sports - Youtube - Custom Content - MWC</t>
  </si>
  <si>
    <t>OMP-Unilever - DM+C Deo -DIO - SOC - FOX Sports - X Amplify - MWC</t>
  </si>
  <si>
    <t>Adidas - DIO - SOC - FOX Sports - TikTok - MWC - Highlights/WC Coverage</t>
  </si>
  <si>
    <t>Diageo - Casamigos - OMP - DIO - SOC - FOX Sports - Youtube - Custom Content - MWC  - FY26</t>
  </si>
  <si>
    <t>Visa - Roster Reveal - DIO - SOC - FOX Sports - TikTok - MWC - 2Q'26</t>
  </si>
  <si>
    <t>Haleon - Sensodyne - DIO - SOC - FOX Sports - Facebook/Instagram - MWC - 2026</t>
  </si>
  <si>
    <t>PEPSICO- FRITO LAY - DIO - SOC - FOX Sports - X - MWC - OMP</t>
  </si>
  <si>
    <t>Volkswagen - DIO - SOC - FOX Sports - Youtube - Custom Content - MWC - 20% SOV for 90 in 90 Full Match Recaps</t>
  </si>
  <si>
    <t>META - WhatsApp - DIO - FEE - FOX Sports - Production</t>
  </si>
  <si>
    <t>Polymarket - DIO - SOC - FOX Sports - TikTok - MWC</t>
  </si>
  <si>
    <t>CARNIVAL/S/SPORTS/25-26/MWC/SOCIAL/TT</t>
  </si>
  <si>
    <t>Adidas -DIO - SOC - FOX Sports - Facebook/Instagram - MWC - Custom 8</t>
  </si>
  <si>
    <t>Adidas - DIO - SOC - FOX Sports - Youtube - Custom Content - MWC - Highlights/WC Coverage</t>
  </si>
  <si>
    <t>Anheuser Busch - OMP - DIO - SOC - FOX Sports - X Amplify - MWC - 2026</t>
  </si>
  <si>
    <t>Ferrero - Butterfinger - DIO - SOC - FOX Sports - X - MWC</t>
  </si>
  <si>
    <t>AMEX - DIO - SOC - FOX Sports - TikTok - MWC</t>
  </si>
  <si>
    <t>OMP-Unilever - Degree - DIO - SOC - FOX Sports - Youtube - Custom Content - MWC</t>
  </si>
  <si>
    <t>DSG - DIO - SOC - FOX Sports - Facebook/Instagram - MWC - 2026</t>
  </si>
  <si>
    <t>Ferrero - Butterfinger - DIO - SOC - FOX Sports - Youtube - Custom Content - MWC</t>
  </si>
  <si>
    <t>Adidas -DIO - SOC - FOX Sports - Facebook/Instagram - MWC - Highlights/WC Coverage</t>
  </si>
  <si>
    <t>OMP-Unilever DM+C SLC - DIO - SOC - FOX Sports - Youtube - Custom Content - MWC</t>
  </si>
  <si>
    <t>KIA - DIO - SOC - FOX Sports - Youtube - Custom Content - MWC</t>
  </si>
  <si>
    <t>Prudential - DIO - SOC - FOX Sports - TikTok - MWC</t>
  </si>
  <si>
    <t>HGU - DIO - SOC - FOX Sports - TikTok - MWC</t>
  </si>
  <si>
    <t>Kalshi - DIO - SOC - FOX Sports - Facebook/Instagram - MWC - TalkSports Sponsorship</t>
  </si>
  <si>
    <t>Unilever/MLS/Scatter/25.26/DIO - SOC - FOX Sports - X - Soccer - NEW</t>
  </si>
  <si>
    <t>Walmart - BTX2 - DIO - SOC - FOX Sports - Facebook/Instagram - MWC</t>
  </si>
  <si>
    <t>DSG - DIO - SOC - FOX Sports - Youtube - Custom Content - MWC - 2026</t>
  </si>
  <si>
    <t>Walmart - EX2 - DIO - SOC - FOX Sports - TikTok - MWC</t>
  </si>
  <si>
    <t>OMP-Unilever - Axe Deo - DIO - SOC - FOX Sports - Facebook/Instagram - MWC</t>
  </si>
  <si>
    <t>Pepsi - Frito Lays - QUAKERS - DIO - SOC - FOX Sports - Youtube - Custom Content - MWC - OMP</t>
  </si>
  <si>
    <t>Walmart - WAL2 - DIO - SOC - FOX Sports - Facebook/Instagram - MWC</t>
  </si>
  <si>
    <t>Starbucks - DIO - SOC - FOX Sports - TikTok</t>
  </si>
  <si>
    <t>BMW - DIO - SOC - FOX Sports - TikTok - MWC</t>
  </si>
  <si>
    <t>Haleon - Tums - DIO - SOC - FOX Sports - TikTok - MWC - 2026</t>
  </si>
  <si>
    <t>Ferrero - Nutella - DIO - SOC - FOX Sports - X - MWC</t>
  </si>
  <si>
    <t>Verizon - OMP - Mobility - DIO - SOC - FOX Sports - TikTok - MWC - 2026</t>
  </si>
  <si>
    <t>Trolli - DIO - SOC - FOX Sports - Facebook/Instagram - MWC</t>
  </si>
  <si>
    <t>USAA - DIO - SOC - FOX Sports - X - MLB - Q2'26</t>
  </si>
  <si>
    <t>Ferrero - Nutella - DIO - SOC - FOX Sports - Facebook/Instagram - MWC</t>
  </si>
  <si>
    <t>META - WhatsApp - DIO - SOC - FOX Sports - TikTok - 2026</t>
  </si>
  <si>
    <t>Coke - DIO - SOC - FOX Sports - Facebook/Instagram - MLS - 2026</t>
  </si>
  <si>
    <t>Allstate - DIO - SOC - FOX Sports - Facebook/Instagram - MWC</t>
  </si>
  <si>
    <t>Nerds - DIO - SOC - FOX Sports - TikTok - MWC</t>
  </si>
  <si>
    <t>Visa- Roster Reveal - DIO - SOC - FOX Sports - Facebook/Instagram - MWC - 2Q'26</t>
  </si>
  <si>
    <t>Farmers Insurance- DIO - SOC - FOX Sports - Facebook/Instagram - MWC</t>
  </si>
  <si>
    <t>OMP-Unilever - Degree - DIO - SOC - FOX Sports - Facebook/Instagram - MWC</t>
  </si>
  <si>
    <t>Sweetarts - DIO - SOC - FOX Sports - Youtube - Custom Content - MWC</t>
  </si>
  <si>
    <t>Zillow - DIO - SOC - FOX Sports - X - MWC</t>
  </si>
  <si>
    <t>Lowe's - DIO - SOC - FOX Sports - X</t>
  </si>
  <si>
    <t>Walmart - BTX2 - DIO - SOC - FOX Sports - TikTok - MWC</t>
  </si>
  <si>
    <t>Home Depot - DIO - SOC - FOX Sports - TikTok - MWC - OMP</t>
  </si>
  <si>
    <t>Marriott - DIO - SOC - FOX Sports - Facebook/Instagram - US Roster Reveal - MWC 2026</t>
  </si>
  <si>
    <t>DTV DIO - SOC - FOX Sports - TikTok - MWC JUNE</t>
  </si>
  <si>
    <t>Google - Search -DIO - SOC - FOX Sports - Facebook/Instagram - MWC</t>
  </si>
  <si>
    <t>Pepsico - Frito Lay - DIO - SOC - FOX Sports - Facebook/Instagram - MWC - OMP</t>
  </si>
  <si>
    <t>Walmart - EX2 - DIO - SOC - FOX Sports - Youtube - Custom Content - MWC</t>
  </si>
  <si>
    <t>Miller Lite - DIO - SOC - FOX Sports - X - MWC</t>
  </si>
  <si>
    <t>Google - YouTube_DIO - SOC - FOX Sports - X Amplify - MWC</t>
  </si>
  <si>
    <t>T-MOBILE/S/SPORTS/25-26/MWC/SOCIAL/FB/IG/2Q'26/PostPaid</t>
  </si>
  <si>
    <t>META - Wearables - DIO - SOC - FOX Sports - Youtube - Custom Content - 2026</t>
  </si>
  <si>
    <t>Indeed - DIO - SOC - FOX Sports - Facebook/Instagram - MWC</t>
  </si>
  <si>
    <t>Duracell - DIO - SOC - FOX Sports - Youtube - Custom Content - MWC</t>
  </si>
  <si>
    <t>Oura Ring- DIO - SOC - FOX Sports - Youtube - Custom Content - MWC</t>
  </si>
  <si>
    <t>Coca-Cola - DIO - SOC - FOX Sports - Facebook/Instagram - MWC 2026</t>
  </si>
  <si>
    <t>Trolli - DIO - SOC - FOX Sports - Youtube - Custom Content - MWC</t>
  </si>
  <si>
    <t>Stellantis - DIO - SOC - FOX Sports - X - MWC - 2026</t>
  </si>
  <si>
    <t>Haleon - Centrum - DIO - SOC - FOX Sports - Facebook/Instagram - MWC - 2026</t>
  </si>
  <si>
    <t>Ferrero - Nutella - DIO - SOC - FOX Sports - Youtube - Custom Content - MWC</t>
  </si>
  <si>
    <t>Google - Search -DIO - SOC - FOX Sports - Facebook/Instagram - MWC ROSTER REVEAL</t>
  </si>
  <si>
    <t>CARNIVAL/S/SPORTS/25-26/MWC/SOCIAL/FB/IG</t>
  </si>
  <si>
    <t>Taco Bell - DIO - SOC - FOX Sports - Youtube - Custom Content - MWC</t>
  </si>
  <si>
    <t>Pepsico - Frito Lay - DIO - SOC - FOX Sports - TikTok - MWC - OMP</t>
  </si>
  <si>
    <t>Ferrero - Butterfinger - DIO - SOC - FOX Sports - Facebook/Instagram - MWC</t>
  </si>
  <si>
    <t>Haleon - Sensodyne - DIO - SOC - FOX Sports - TikTok - MWC - 2026</t>
  </si>
  <si>
    <t>Haleon - Sensodyne - DIO - SOC - FOX Sports - Youtube - Custom Content - MWC - 2026</t>
  </si>
  <si>
    <t>Fox Sports Sold Tubi</t>
  </si>
  <si>
    <t>FOX Sports</t>
  </si>
  <si>
    <t>RON - Ent</t>
  </si>
  <si>
    <t>FOX Sports Streaming</t>
  </si>
  <si>
    <t>FOX DAI VOD</t>
  </si>
  <si>
    <t>Fox Sold Tubi</t>
  </si>
  <si>
    <t>OneFOX</t>
  </si>
  <si>
    <t>FOX on Hulu</t>
  </si>
  <si>
    <t>Fox.com</t>
  </si>
  <si>
    <t>FSEN</t>
  </si>
  <si>
    <t>FOX Sports - TikTok</t>
  </si>
  <si>
    <t>Fox - FB-Insta</t>
  </si>
  <si>
    <t>FOX Sports - FB-Inst</t>
  </si>
  <si>
    <t>FOX Sports - Twitter</t>
  </si>
  <si>
    <t>Deportes - Digital</t>
  </si>
  <si>
    <t>FOX Sports - Custom Sponsorship</t>
  </si>
  <si>
    <t>CPM</t>
  </si>
  <si>
    <t>Flat Rate</t>
  </si>
  <si>
    <t>Cost Per Unit</t>
  </si>
  <si>
    <t>3P CoView Imps</t>
  </si>
  <si>
    <t>1P CoView Imps</t>
  </si>
  <si>
    <t>3P Audience Target</t>
  </si>
  <si>
    <t>Absolute A</t>
  </si>
  <si>
    <t>SOV</t>
  </si>
  <si>
    <t>Bill on Contract</t>
  </si>
  <si>
    <t>1P Audience Target</t>
  </si>
  <si>
    <t>Show Only Net; NONE</t>
  </si>
  <si>
    <t>Show Only Net</t>
  </si>
  <si>
    <t>Bill on Actuals - 3rd Party Performance</t>
  </si>
  <si>
    <t>Bill on Contract - Pro-rated</t>
  </si>
  <si>
    <t>Bill on Contract - Straightline</t>
  </si>
  <si>
    <t>Bill on Actuals - Primary Performance</t>
  </si>
  <si>
    <t>Bill on Contract - Manual Entry</t>
  </si>
  <si>
    <t>P2+</t>
  </si>
  <si>
    <t>Audience Target</t>
  </si>
  <si>
    <t>P25-54</t>
  </si>
  <si>
    <t>P18-49</t>
  </si>
  <si>
    <t>P21-54</t>
  </si>
  <si>
    <t>P18+</t>
  </si>
  <si>
    <t>O-D32JSPE-R1</t>
  </si>
  <si>
    <t>O-D2U6KDA</t>
  </si>
  <si>
    <t>UPFTRES2526</t>
  </si>
  <si>
    <t>O-D2FGN63</t>
  </si>
  <si>
    <t>O-D2FCJC9</t>
  </si>
  <si>
    <t>O-D2NU8VF-R4</t>
  </si>
  <si>
    <t>O-D2DMHIP-R10</t>
  </si>
  <si>
    <t>O-D2DMHCP-R11</t>
  </si>
  <si>
    <t>O-D2JBF55-R4</t>
  </si>
  <si>
    <t>O-D2MRV53-R0</t>
  </si>
  <si>
    <t>O-D2NF6UO-R0</t>
  </si>
  <si>
    <t>O-D2OT3AO-R1</t>
  </si>
  <si>
    <t>O-D2P0SFD-R0</t>
  </si>
  <si>
    <t>O-DNH1JO</t>
  </si>
  <si>
    <t>O-D2ONAKJ-R0</t>
  </si>
  <si>
    <t>O-D2ONA2K-R1</t>
  </si>
  <si>
    <t>O-D2P0MBF-R2</t>
  </si>
  <si>
    <t>O-D2OO844</t>
  </si>
  <si>
    <t>O-D2PJPKE-R2</t>
  </si>
  <si>
    <t>O-D2OK9DP</t>
  </si>
  <si>
    <t>O-D2PDCUV</t>
  </si>
  <si>
    <t>O-D2PQEJU-R9</t>
  </si>
  <si>
    <t>O-D2PE09F-R3</t>
  </si>
  <si>
    <t>O-D2OR38F</t>
  </si>
  <si>
    <t>O-D2PQGPA-R4</t>
  </si>
  <si>
    <t>O-D2P6QBH-R1</t>
  </si>
  <si>
    <t>O-D2MRVLP-R1</t>
  </si>
  <si>
    <t>N/A</t>
  </si>
  <si>
    <t>O-D2OEVTN-R3</t>
  </si>
  <si>
    <t>O-D2P0TEH-R1</t>
  </si>
  <si>
    <t>O-D2RLFM8-R4</t>
  </si>
  <si>
    <t>O-D2RRUDA-R0</t>
  </si>
  <si>
    <t>O-D2G1SUF-R4</t>
  </si>
  <si>
    <t>O-D2M77FN-R2</t>
  </si>
  <si>
    <t>O-D2PP8U9-R1</t>
  </si>
  <si>
    <t>O-D2H1JLS-R1</t>
  </si>
  <si>
    <t>O-D2SBAJ4-R1</t>
  </si>
  <si>
    <t>O-D2O8AIT-R1</t>
  </si>
  <si>
    <t>tbd</t>
  </si>
  <si>
    <t>O-D2PE4V0-R1</t>
  </si>
  <si>
    <t>O-D2PBBF6-R3</t>
  </si>
  <si>
    <t>O-D2PVT2B-R2</t>
  </si>
  <si>
    <t>O-D2Q3P43-R1</t>
  </si>
  <si>
    <t>O-D2S50MJ-R4</t>
  </si>
  <si>
    <t>O-D2PC5F4-R3</t>
  </si>
  <si>
    <t>O-D2PB78L-R4</t>
  </si>
  <si>
    <t>O-5xvkr-r2</t>
  </si>
  <si>
    <t>O-D2RBLEI-R2</t>
  </si>
  <si>
    <t>O-D2QGE04-R4</t>
  </si>
  <si>
    <t>O-D2G2382-R5</t>
  </si>
  <si>
    <t>O-D2P1PPS-R8</t>
  </si>
  <si>
    <t>O-D2TP48C-R3</t>
  </si>
  <si>
    <t>O-D2TN2MQ-R1</t>
  </si>
  <si>
    <t>O-D2QJCT0-R7</t>
  </si>
  <si>
    <t>O-D3093TU-R2</t>
  </si>
  <si>
    <t>O-D2SBLKA-R0</t>
  </si>
  <si>
    <t>O-D2SOETU</t>
  </si>
  <si>
    <t xml:space="preserve">O-D2TOMTT-R2 </t>
  </si>
  <si>
    <t>O-D2TGR70-R0</t>
  </si>
  <si>
    <t>O-D2SD35G</t>
  </si>
  <si>
    <t>O-D3094N8-R1</t>
  </si>
  <si>
    <t>O-D2TEMNJ-R5</t>
  </si>
  <si>
    <t>O-D2TDC5I-R1</t>
  </si>
  <si>
    <t>O-D2PLM79-R8</t>
  </si>
  <si>
    <t>O-D2UAT38-R1</t>
  </si>
  <si>
    <t>O-D2UJBN6-R1</t>
  </si>
  <si>
    <t>O-D2T2IF5-R6</t>
  </si>
  <si>
    <t>O-D2SPJI5-R3</t>
  </si>
  <si>
    <t>O-D2SPQHS-R2</t>
  </si>
  <si>
    <t>O-D2SPHSK-R2</t>
  </si>
  <si>
    <t>O-D2UH1P6-R1</t>
  </si>
  <si>
    <t>O-D2UE4IA-R2</t>
  </si>
  <si>
    <t>O-D2UAH7E-R1</t>
  </si>
  <si>
    <t>O-D2PJ494-R12</t>
  </si>
  <si>
    <t>O-D2V5ENF-R0</t>
  </si>
  <si>
    <t>O-D2L6GLR-R0</t>
  </si>
  <si>
    <t>O-D2RJ2G9-R2</t>
  </si>
  <si>
    <t>O-D2RJ2CD-R2</t>
  </si>
  <si>
    <t>O-607K2-R2</t>
  </si>
  <si>
    <t>O-D2UI07V-R2</t>
  </si>
  <si>
    <t>O-D2V5HA1-R3</t>
  </si>
  <si>
    <t>O-D2RJ2PD-R3</t>
  </si>
  <si>
    <t>O-D2UPBIO-R1</t>
  </si>
  <si>
    <t>O-D2V95FJ-R2</t>
  </si>
  <si>
    <t>O-D2UTE4O-R0</t>
  </si>
  <si>
    <t xml:space="preserve">O-D2O6N00-R9 </t>
  </si>
  <si>
    <t>O-D2UPF36-R0</t>
  </si>
  <si>
    <t xml:space="preserve">	O-D2UGE4V-R4</t>
  </si>
  <si>
    <t>O-D2RITVL-R3</t>
  </si>
  <si>
    <t>O-D2PJ3UP-R6</t>
  </si>
  <si>
    <t>O-D2V3MI7-R7</t>
  </si>
  <si>
    <t>O-D2UMPVP-R5</t>
  </si>
  <si>
    <t>O-D2U8M5S-R4</t>
  </si>
  <si>
    <t>O-D2SB5JU</t>
  </si>
  <si>
    <t>O-D2PGRQ1-R5</t>
  </si>
  <si>
    <t>O-D2UMPC8-R2</t>
  </si>
  <si>
    <t>O-D2VDHBK-R5</t>
  </si>
  <si>
    <t>O-D2UC9I1</t>
  </si>
  <si>
    <t>O-D2V1U10</t>
  </si>
  <si>
    <t>O-D30J5H2-R3</t>
  </si>
  <si>
    <t>O-D2V2BNB-R1</t>
  </si>
  <si>
    <t>O-D2TPGPT-R1</t>
  </si>
  <si>
    <t>O-D2V2BOM-R0</t>
  </si>
  <si>
    <t>O-D2T6Q54-R2</t>
  </si>
  <si>
    <t>O-D308T40-R2</t>
  </si>
  <si>
    <t>O-D2TPGRF-R1</t>
  </si>
  <si>
    <t>O-D2V2BNK-R0</t>
  </si>
  <si>
    <t>O-D2PGS12-R7</t>
  </si>
  <si>
    <t>O-D30JBH2</t>
  </si>
  <si>
    <t>O-D2QS6K6</t>
  </si>
  <si>
    <t>O-D2PGRQ1-R1</t>
  </si>
  <si>
    <t>O-D2PJ3UP-R1</t>
  </si>
  <si>
    <t>O-D30FUAE-R2</t>
  </si>
  <si>
    <t>O-D3094IB</t>
  </si>
  <si>
    <t>n/a</t>
  </si>
  <si>
    <t>O-D2T450I</t>
  </si>
  <si>
    <t>O-D2VI5BG-R1</t>
  </si>
  <si>
    <t>O-D30KTKQ-R0</t>
  </si>
  <si>
    <t>O-D302AVD-R2</t>
  </si>
  <si>
    <t>O-D3098T8</t>
  </si>
  <si>
    <t>O-D2TA0O2-R0</t>
  </si>
  <si>
    <t>O-D302867-R6</t>
  </si>
  <si>
    <t xml:space="preserve">O-D3028RU-R1 </t>
  </si>
  <si>
    <t>O-D302834-R3</t>
  </si>
  <si>
    <t>O-D30TP6Q</t>
  </si>
  <si>
    <t>O-D3096U7-R4</t>
  </si>
  <si>
    <t>O-60ENN-R4</t>
  </si>
  <si>
    <t>O-D302386-R7</t>
  </si>
  <si>
    <t>O-D316NV1-R1</t>
  </si>
  <si>
    <t>O-D31AAUT-R1</t>
  </si>
  <si>
    <t>O-D302D7C-R10</t>
  </si>
  <si>
    <t>O-D318AHU</t>
  </si>
  <si>
    <t>O-D310V0L-R2</t>
  </si>
  <si>
    <t>O-D31VRMC-R3</t>
  </si>
  <si>
    <t>O-D324V9C-R3</t>
  </si>
  <si>
    <t>O-D2RIU79-R4</t>
  </si>
  <si>
    <t>O-D2QUEMI-R7</t>
  </si>
  <si>
    <t>O-D324VR0</t>
  </si>
  <si>
    <t>O-D333PI4-R3</t>
  </si>
  <si>
    <t>O-D33U231-R0</t>
  </si>
  <si>
    <t>O-D31VLU7-R1</t>
  </si>
  <si>
    <t>O-D32SGP6-R1</t>
  </si>
  <si>
    <t>O-D34GC09-R0</t>
  </si>
  <si>
    <t>O-D33GMO5</t>
  </si>
  <si>
    <t>O-D3204BO-R2</t>
  </si>
  <si>
    <t>O-D3380VJ-R2</t>
  </si>
  <si>
    <t>O-D33CVCD-R0</t>
  </si>
  <si>
    <t>O-D33815T-R3</t>
  </si>
  <si>
    <t>O-D3381JQ-R3</t>
  </si>
  <si>
    <t>O-D33NEM8</t>
  </si>
  <si>
    <t>O-D326JT3-R1</t>
  </si>
  <si>
    <t>O-D339CPC-R3</t>
  </si>
  <si>
    <t>O-D2TS2G5-R6</t>
  </si>
  <si>
    <t>O-D2UTE0S-R0</t>
  </si>
  <si>
    <t>O-D31BKH5-R4</t>
  </si>
  <si>
    <t>O-D2LJ2AU-R0</t>
  </si>
  <si>
    <t>O-D2TPJ3V-R1</t>
  </si>
  <si>
    <t>O-D2N5AD0</t>
  </si>
  <si>
    <t>O-D2N5AMH</t>
  </si>
  <si>
    <t>O-D2UBO73-R1</t>
  </si>
  <si>
    <t>O-D2PQGPA-R9</t>
  </si>
  <si>
    <t>O-D339G08-R1</t>
  </si>
  <si>
    <t>O-D2UTE39-R0</t>
  </si>
  <si>
    <t>O-D2RNHU8-R1</t>
  </si>
  <si>
    <t>O-D2SRTUD-R4</t>
  </si>
  <si>
    <t>O-D2NLO0-R0</t>
  </si>
  <si>
    <t>Janna Goldstein</t>
  </si>
  <si>
    <t>Matt Frey</t>
  </si>
  <si>
    <t>Dylan Giordano</t>
  </si>
  <si>
    <t>Carly Sartwell</t>
  </si>
  <si>
    <t>Mike Maresca</t>
  </si>
  <si>
    <t>Matthew DiToro</t>
  </si>
  <si>
    <t>Allison Klein</t>
  </si>
  <si>
    <t>Jeanne Feeley</t>
  </si>
  <si>
    <t>Nicole Gamache</t>
  </si>
  <si>
    <t>Sydney Stipanovich</t>
  </si>
  <si>
    <t>Nunzio Belfiore</t>
  </si>
  <si>
    <t>Jon Renz</t>
  </si>
  <si>
    <t>Nicholas Vara</t>
  </si>
  <si>
    <t>Bridgid Antoniello</t>
  </si>
  <si>
    <t>Tim Wodzisz</t>
  </si>
  <si>
    <t>Tom Cecil</t>
  </si>
  <si>
    <t>Leslie Lowenthal</t>
  </si>
  <si>
    <t>Meghan Courtney</t>
  </si>
  <si>
    <t>Colleen Cahill</t>
  </si>
  <si>
    <t>Nicole Joscelyn</t>
  </si>
  <si>
    <t>Tierney Flynn</t>
  </si>
  <si>
    <t>Adam Chardavoyne</t>
  </si>
  <si>
    <t>Gina Rodarte</t>
  </si>
  <si>
    <t>Kimberly Caraig</t>
  </si>
  <si>
    <t>Brittany OBrien</t>
  </si>
  <si>
    <t>Lisa Geraldson</t>
  </si>
  <si>
    <t>Erin Ilchuk</t>
  </si>
  <si>
    <t>Diana Montenegro</t>
  </si>
  <si>
    <t>Guaranteed</t>
  </si>
  <si>
    <t>Make Good</t>
  </si>
  <si>
    <t>DIO - MWC - Tubi Prime - Rotational Video - Updated</t>
  </si>
  <si>
    <t>DIO - MWC - Fox.com + Tubi ROS - Rotational Video - Updated</t>
  </si>
  <si>
    <t>ROV - FS - Pre/Mid - ROS - DT/MB/CTV</t>
  </si>
  <si>
    <t>LFV - RON Ent - Pre/Mid - ROS - DT/MB/CTV/STB</t>
  </si>
  <si>
    <t>DIO - LFV - RON Ent - Amplified Absolute A - Show Mix - DT/MB/CTV/STB</t>
  </si>
  <si>
    <t>DIO - LFV - RON Ent - Pre/Mid - ROS - DT/MB/CTV/STB</t>
  </si>
  <si>
    <t>LFV - FSLS - Pre/Mid - ROS - DT/MB/CTV</t>
  </si>
  <si>
    <t>DIO - ROV - FS - Pre/Mid - SOCCER - DT/MB/CTV</t>
  </si>
  <si>
    <t>DIO - ROV - FS - Pre/Mid - MLS - DT/MB/CTV</t>
  </si>
  <si>
    <t>LFV - FSLS - Pre - MLS - DT/MB/CTV - SOV Sponsorship</t>
  </si>
  <si>
    <t>LFV - FOX - Pre/Mid - STB VOD - ROS - Demo</t>
  </si>
  <si>
    <t>LFV - RON Ent - Pre/Mid - ROS - DT/MB/CTV/STB - Preemptible</t>
  </si>
  <si>
    <t>LFV - FSLS - Pre/Mid - ROS - DT/MB/CTV - Preemptible</t>
  </si>
  <si>
    <t>LFV - 1F - Tubi - Pre/Mid - ROS - DT/MB/CTV - FW - SXD</t>
  </si>
  <si>
    <t>DIO - ROV - 1F - SEN - Pre/Mid - ROS - DT/MB/CTV - SXD</t>
  </si>
  <si>
    <t>LFV - FOH - Pre/Mid - INTERACTIVE - ROS - CTV</t>
  </si>
  <si>
    <t>DIO - LFV - FSLS - Pre/Mid - MLB - DT/MB/CTV</t>
  </si>
  <si>
    <t>DIO - ROV - FS - Pre/Mid - NASCAR - DT/MB/CTV</t>
  </si>
  <si>
    <t>DIO - LFV - FOH - Pre/Mid - INTERACTIVE - ROS - CTV</t>
  </si>
  <si>
    <t>DIO - ROV - 1F - SEN Soft News - Pre/Mid - ROS - DT/MB/CTV - SXD</t>
  </si>
  <si>
    <t>DIO - LFV - 1F - Tubi Sports Bundle - Pre/Mid - ROS - DT/MB/CTV - FW - SXD</t>
  </si>
  <si>
    <t>DIO - ROV - 1F - FS - Pre/Mid - ROS - DT/MB/CTV - FW - SXD</t>
  </si>
  <si>
    <t>DIO - ROV - FS - Pre/Mid - ROS - DT/MB/CTV</t>
  </si>
  <si>
    <t>DIO - ROV - FS - Pre/Mid - MWC - DT/MB/CTV</t>
  </si>
  <si>
    <t>DIO - LFV - 1F - Tubi - Pre/Mid - ROS - DT/MB/CTV - FW - SXD</t>
  </si>
  <si>
    <t>DIO - LFV - TUB - Pre/Mid - MWC - DT/MB/CTV</t>
  </si>
  <si>
    <t>DIO - LFV - FOX - Pre/Mid - FOX FOOD - DT/MB/CTV</t>
  </si>
  <si>
    <t>DIO - LFV - RON Ent - Absolute A - Show Mix - DT/MB/CTV/STB</t>
  </si>
  <si>
    <t>DIO - LFV - FSLS - Pre/Mid - ROS - DT/MB/CTV</t>
  </si>
  <si>
    <t>DIO - LFV - RON Ent - Pre/Mid - ROS - DT/MB/CTV/STB - Preemptible</t>
  </si>
  <si>
    <t>DIO - SFV - FSEN - Pre - ROS - DT/MB/CTV - non-CoV</t>
  </si>
  <si>
    <t>DIO - LFV - FSLS - Pre/Mid - ROS - DT/MB/CTV - Preemptible</t>
  </si>
  <si>
    <t>DIO - LFV - Tubi - Pre/Mid - ROS - DT/MB/CTV - FW</t>
  </si>
  <si>
    <t>DIS - FS - Display Unit - ROS</t>
  </si>
  <si>
    <t>DIS - FS - Display Unit - MWC</t>
  </si>
  <si>
    <t>DIS - FS - Display Unit - ROS - Sponsorship</t>
  </si>
  <si>
    <t>DIS - FS - Blank - ROS - Sponsorship</t>
  </si>
  <si>
    <t>DIS - FS - High Impact - ROS - Sponsorship</t>
  </si>
  <si>
    <t>DIO - SOC - FOX Sports - TikTok - MWC</t>
  </si>
  <si>
    <t>DIO - SOC - FOX Ent - Facebook/Instagram</t>
  </si>
  <si>
    <t>DIO - SOC - FOX Sports - Youtube - Custom Content - MWC</t>
  </si>
  <si>
    <t>DIO - SOC - FOX Sports - Facebook/Instagram - MWC</t>
  </si>
  <si>
    <t>DIO - SOC - FOX Sports - TikTok - MLS</t>
  </si>
  <si>
    <t>DIO - SOC - FOX Sports - X - MWC</t>
  </si>
  <si>
    <t>DIO - SOC - FOX Sports - X - FOXD</t>
  </si>
  <si>
    <t>DIO - SOC - FOX Sports - TikTok - INDY</t>
  </si>
  <si>
    <t>DIO - SOC - FOX Sports - META VAP - MWC</t>
  </si>
  <si>
    <t>DIO - SOC - FOX Sports - X - MLB</t>
  </si>
  <si>
    <t>DIO - FEE - FOX Sports - Production</t>
  </si>
  <si>
    <t>DIO - SOC - FOX Sports - Facebook/Instagram - INDY</t>
  </si>
  <si>
    <t>DIO - SOC - FOX Sports - X - Soccer</t>
  </si>
  <si>
    <t>DIO - SOC - FOX Sports - Facebook/Instagram - MLS</t>
  </si>
  <si>
    <t>DIO - Custom Sponsorship - FOX Sports - Placeholder</t>
  </si>
  <si>
    <t>Direct Video</t>
  </si>
  <si>
    <t>Direct ROV</t>
  </si>
  <si>
    <t>Direct LFV</t>
  </si>
  <si>
    <t>Direct SFV</t>
  </si>
  <si>
    <t>Direct Display</t>
  </si>
  <si>
    <t>Social TikTok</t>
  </si>
  <si>
    <t>Social Facebook/Instagram</t>
  </si>
  <si>
    <t>Social</t>
  </si>
  <si>
    <t>Social X</t>
  </si>
  <si>
    <t>Production</t>
  </si>
  <si>
    <t>Sponsorship</t>
  </si>
  <si>
    <t>Nathan Cortez</t>
  </si>
  <si>
    <t>JERSEY MIKE'S SUBS</t>
  </si>
  <si>
    <t>CANCELLED - Jersey Mike's BTN CY26 Digital - CANCELLED</t>
  </si>
  <si>
    <t>Jersey Mike's DIO - LFV - BTN - Pre/Mid - ROS - DT/MB/CTV 3Q'26</t>
  </si>
  <si>
    <t>Christopher Dunlop</t>
  </si>
  <si>
    <t>Row Labels</t>
  </si>
  <si>
    <t>Grand Total</t>
  </si>
  <si>
    <t>Sum of Net Invoice Amount</t>
  </si>
  <si>
    <t>Agency MDM ID</t>
  </si>
  <si>
    <t>Primary Advertiser Name</t>
  </si>
  <si>
    <t>Advertiser MDM ID</t>
  </si>
  <si>
    <t>Deal Name</t>
  </si>
  <si>
    <t>Deal ID</t>
  </si>
  <si>
    <t>Package Name</t>
  </si>
  <si>
    <t>Package ID</t>
  </si>
  <si>
    <t>Line Item ID</t>
  </si>
  <si>
    <t>Line Item Name</t>
  </si>
  <si>
    <t>Line Item Start Date</t>
  </si>
  <si>
    <t>Line Item End Date</t>
  </si>
  <si>
    <t>Billable Third Party Server</t>
  </si>
  <si>
    <t>Line Item Cost Method</t>
  </si>
  <si>
    <t>Net Line Item Unit Cost</t>
  </si>
  <si>
    <t>Line Item Quantity</t>
  </si>
  <si>
    <t>Net Line Item Cost</t>
  </si>
  <si>
    <t>Unit Type</t>
  </si>
  <si>
    <t>Invoice Schedule - Suggested Amount Terms</t>
  </si>
  <si>
    <t>Invoice Schedule - Suggested Invoice Units</t>
  </si>
  <si>
    <t>Invoice Schedule - Suggested Invoice Amount</t>
  </si>
  <si>
    <t>Actual Invoice Units Term Used</t>
  </si>
  <si>
    <t>Adjusted Invoice Units</t>
  </si>
  <si>
    <t>Actual Net Invoice Amount Term Source</t>
  </si>
  <si>
    <t>Adjusted Net Invoice Amount</t>
  </si>
  <si>
    <t>Gross Invoice Amount</t>
  </si>
  <si>
    <t>Primary Performance</t>
  </si>
  <si>
    <t>Third Party Performance</t>
  </si>
  <si>
    <t>Order Start Date</t>
  </si>
  <si>
    <t>Order End Date</t>
  </si>
  <si>
    <t>Account Manager</t>
  </si>
  <si>
    <t>Invoice Status</t>
  </si>
  <si>
    <t>Billing Period Name</t>
  </si>
  <si>
    <t>Net Order Cost</t>
  </si>
  <si>
    <t>AGC005226</t>
  </si>
  <si>
    <t>ADV011498</t>
  </si>
  <si>
    <t>LFV - RON Ent - ROS - Pre/Mid - DT/MB/CTV/VOD - Package</t>
  </si>
  <si>
    <t>FOX DCM</t>
  </si>
  <si>
    <t>Impressions</t>
  </si>
  <si>
    <t>performance</t>
  </si>
  <si>
    <t>invoice_schedule</t>
  </si>
  <si>
    <t>Erin Travers</t>
  </si>
  <si>
    <t>None</t>
  </si>
  <si>
    <t>JUN'26</t>
  </si>
  <si>
    <t>AGC002601</t>
  </si>
  <si>
    <t>WARNER BROS</t>
  </si>
  <si>
    <t>ADV006261</t>
  </si>
  <si>
    <t>Warner Brothers/Digital/Direct/Upfront/Entertainment/25-26/UPFTRES</t>
  </si>
  <si>
    <t>CANCELLED - Warner Brothers - LFV - RON Entertainment - ROS - Pre/Mid - DT/MB/CTV/VOD - P2+ No CoV - Package - 2Q'26 UPFTRES</t>
  </si>
  <si>
    <t>Kailey McGinn</t>
  </si>
  <si>
    <t>AGC001913</t>
  </si>
  <si>
    <t>ADV001091</t>
  </si>
  <si>
    <t>Generic Flighted Bottom Up Package</t>
  </si>
  <si>
    <t>John Hertman</t>
  </si>
  <si>
    <t>AGC002070</t>
  </si>
  <si>
    <t>ADV006329</t>
  </si>
  <si>
    <t>National Vision/Digital/Upfront/ONEFOX/UF 2025/26</t>
  </si>
  <si>
    <t>CANCELLED - National Vision - OneFOX - A25-54 - 3Q'26 Package - UPFT RES</t>
  </si>
  <si>
    <t>Katie Johnson</t>
  </si>
  <si>
    <t>AGC001318</t>
  </si>
  <si>
    <t>ADV004496</t>
  </si>
  <si>
    <t>CoV Impressions</t>
  </si>
  <si>
    <t>Jessica Lang</t>
  </si>
  <si>
    <t>AGC001035</t>
  </si>
  <si>
    <t>ADV006306</t>
  </si>
  <si>
    <t>SOV-Flat Rate</t>
  </si>
  <si>
    <t>prorated</t>
  </si>
  <si>
    <t>AGC001249</t>
  </si>
  <si>
    <t>ADV000193</t>
  </si>
  <si>
    <t>DIO - ROV - FS - Pre/Mid - ROS - DT/MB/CTV - Package</t>
  </si>
  <si>
    <t>Anthony Gizzo</t>
  </si>
  <si>
    <t>ADV006280</t>
  </si>
  <si>
    <t>DIO - LFV - Entertainment ROS - Package</t>
  </si>
  <si>
    <t>FOX 1st Party</t>
  </si>
  <si>
    <t>ADV004004</t>
  </si>
  <si>
    <t>Run of World Cup Video - Package</t>
  </si>
  <si>
    <t>Run of FOX Sports Video - Package</t>
  </si>
  <si>
    <t>Run of World Cup Display - Package</t>
  </si>
  <si>
    <t>World Cup Social Sponsorship Content - Package</t>
  </si>
  <si>
    <t>Run of AllFOX Video - Package</t>
  </si>
  <si>
    <t>Run of FOX Sports Display - Package</t>
  </si>
  <si>
    <t>ADV005074</t>
  </si>
  <si>
    <t>Matthew Vellardito</t>
  </si>
  <si>
    <t>FOX Innovid</t>
  </si>
  <si>
    <t>AGC002408</t>
  </si>
  <si>
    <t>ADV001639</t>
  </si>
  <si>
    <t>Megan Sileo</t>
  </si>
  <si>
    <t>ADV006353</t>
  </si>
  <si>
    <t>AGC002330</t>
  </si>
  <si>
    <t>JOHNSONVILLE</t>
  </si>
  <si>
    <t>ADV000112</t>
  </si>
  <si>
    <t>Johnsonville/Digital/Upfront/Entertainment  - UF 2025/26</t>
  </si>
  <si>
    <t>Johnsonville - DIO - LFV - Entertainment ROS - Package</t>
  </si>
  <si>
    <t>JohnMichael Bogusz</t>
  </si>
  <si>
    <t>ADV001839</t>
  </si>
  <si>
    <t>AGC001122</t>
  </si>
  <si>
    <t>HOMES.COM</t>
  </si>
  <si>
    <t>ADV012887</t>
  </si>
  <si>
    <t>Homes.com/Digital/Upfront/Entertainment/Targeted/UF 2025/26 - 1Q-3Q'26</t>
  </si>
  <si>
    <t>CANCELLED_Homes.com_AAT_LFV - RON Ent - ROS - Pre/Mid - DT/MB/CTV - Package - 2Q'26 - A25-54 &amp; HHI $75K+</t>
  </si>
  <si>
    <t>Creighton Hendrix</t>
  </si>
  <si>
    <t>ADV003680</t>
  </si>
  <si>
    <t>World Cup FOX Sports Site &amp; App Takeover - Package</t>
  </si>
  <si>
    <t>Cost Per Day</t>
  </si>
  <si>
    <t>Days</t>
  </si>
  <si>
    <t>AGC001386</t>
  </si>
  <si>
    <t>ADV003845</t>
  </si>
  <si>
    <t>FOX Flashtalking</t>
  </si>
  <si>
    <t>DIO - LFV - FSLS - Pre/Mid - ROS - DT/MB/CTV - Package</t>
  </si>
  <si>
    <t>AGC003164</t>
  </si>
  <si>
    <t>ADV002210</t>
  </si>
  <si>
    <t>Kelsey Brahms</t>
  </si>
  <si>
    <t>AGC000913</t>
  </si>
  <si>
    <t>ADV000233</t>
  </si>
  <si>
    <t>FOX Extreme Reach</t>
  </si>
  <si>
    <t>AGC002371</t>
  </si>
  <si>
    <t>ADV008819</t>
  </si>
  <si>
    <t>AGC002175</t>
  </si>
  <si>
    <t>ADV000835</t>
  </si>
  <si>
    <t>AGC001810</t>
  </si>
  <si>
    <t>ADV006265</t>
  </si>
  <si>
    <t>ADV003876</t>
  </si>
  <si>
    <t>Placements</t>
  </si>
  <si>
    <t>straightline</t>
  </si>
  <si>
    <t>AGC000898</t>
  </si>
  <si>
    <t>ADV000562</t>
  </si>
  <si>
    <t>Marcela Miranda</t>
  </si>
  <si>
    <t>AGC004676</t>
  </si>
  <si>
    <t>ADV000868</t>
  </si>
  <si>
    <t>AGC004653</t>
  </si>
  <si>
    <t>ADV001899</t>
  </si>
  <si>
    <t>DIO - SOC - FOX Sports - Package</t>
  </si>
  <si>
    <t>AGC003039</t>
  </si>
  <si>
    <t>ADV005685</t>
  </si>
  <si>
    <t>DIO - ROV - 1F SEN - Pre/Mid - ROS - FW - SXD - Package</t>
  </si>
  <si>
    <t>AGC002475</t>
  </si>
  <si>
    <t>ADV005498</t>
  </si>
  <si>
    <t>AGC001546</t>
  </si>
  <si>
    <t>ADV006337</t>
  </si>
  <si>
    <t>thirdparty_performance</t>
  </si>
  <si>
    <t>AGC001914</t>
  </si>
  <si>
    <t>ADV004035</t>
  </si>
  <si>
    <t>AGC000932</t>
  </si>
  <si>
    <t>ADV005857</t>
  </si>
  <si>
    <t>AGC002411</t>
  </si>
  <si>
    <t>ADV001010</t>
  </si>
  <si>
    <t>CANCELLED - DTV DIO - SOC - FOX Sports - X - Deportes</t>
  </si>
  <si>
    <t>Grace Stryker</t>
  </si>
  <si>
    <t>DTV World Cup Social Sponsorship Content - Package - X</t>
  </si>
  <si>
    <t>AGC004525</t>
  </si>
  <si>
    <t>ADV003096</t>
  </si>
  <si>
    <t>Kia/Digital/Upfront/Entertainment/UF 2025/26 - 2Q26</t>
  </si>
  <si>
    <t>KIA - LFV - RON Ent - ROS - Pre/Mid - DT/MB/CTV/VOD - Package - 2Q'26</t>
  </si>
  <si>
    <t>ADV001302</t>
  </si>
  <si>
    <t>Kia/Upfront/Digital/Sports Streaming - UF 2025/26 - 2Q26</t>
  </si>
  <si>
    <t>KIA/Upfront/Digital/Sports/Streaming/ROV/2025-2026 - 2Q26</t>
  </si>
  <si>
    <t>AGC000907</t>
  </si>
  <si>
    <t>ADV000102</t>
  </si>
  <si>
    <t>Mia Bonvissuto</t>
  </si>
  <si>
    <t>AGC000386</t>
  </si>
  <si>
    <t>ADV000681</t>
  </si>
  <si>
    <t>Guaranteed Views</t>
  </si>
  <si>
    <t>ADV014268</t>
  </si>
  <si>
    <t>DIO - LFV - Entertainment ROS Preemptible - Package</t>
  </si>
  <si>
    <t>ADV003649</t>
  </si>
  <si>
    <t>ADV000761</t>
  </si>
  <si>
    <t>John Michael Bogusz</t>
  </si>
  <si>
    <t>AGC003453</t>
  </si>
  <si>
    <t>Amazon XCM/Digital/Direct/Upfront/Entertainment/25-26/2Q'26</t>
  </si>
  <si>
    <t>Amazon XCM - LFV - RON Entertainment - ROS - Pre/Mid - DT/MB/CTV/VOD - A1849 AAT - Package - 2Q'26 - Project Blue</t>
  </si>
  <si>
    <t>ADV002782</t>
  </si>
  <si>
    <t>AGC001312</t>
  </si>
  <si>
    <t>ADV013024</t>
  </si>
  <si>
    <t>AGC003068</t>
  </si>
  <si>
    <t>ADV000661</t>
  </si>
  <si>
    <t>ADV002070</t>
  </si>
  <si>
    <t>manual</t>
  </si>
  <si>
    <t>AGC001926</t>
  </si>
  <si>
    <t>ADV004582</t>
  </si>
  <si>
    <t>AGC004344</t>
  </si>
  <si>
    <t>ADV013598</t>
  </si>
  <si>
    <t>AGC001804</t>
  </si>
  <si>
    <t>ADV005117</t>
  </si>
  <si>
    <t>CANCELLED- Farmers Insurance- DIO - LFV - FSLS - Pre/Mid - ROS - DT/MB/CTV - Package</t>
  </si>
  <si>
    <t>ADV002312</t>
  </si>
  <si>
    <t>ADV005797</t>
  </si>
  <si>
    <t>AGC001250</t>
  </si>
  <si>
    <t>ADV000467</t>
  </si>
  <si>
    <t>Lester Leon</t>
  </si>
  <si>
    <t>ADV002317</t>
  </si>
  <si>
    <t>ADV005952</t>
  </si>
  <si>
    <t>AGC000865</t>
  </si>
  <si>
    <t>ADV000890</t>
  </si>
  <si>
    <t>AGC002952</t>
  </si>
  <si>
    <t>ADV001993</t>
  </si>
  <si>
    <t>Fuhrmann | Health Check - 2026.4</t>
  </si>
  <si>
    <t>Client Services Management</t>
  </si>
  <si>
    <t>AGC005026</t>
  </si>
  <si>
    <t>ADV005225</t>
  </si>
  <si>
    <t>ADV005961</t>
  </si>
  <si>
    <t>ADV002224</t>
  </si>
  <si>
    <t>ADV004268</t>
  </si>
  <si>
    <t>Best Buy - DIO - MWC - Timeout - ROS - Rotational</t>
  </si>
  <si>
    <t>ADV006088</t>
  </si>
  <si>
    <t>Run of AllFOX Sports Bundle Package</t>
  </si>
  <si>
    <t>ADV005301</t>
  </si>
  <si>
    <t>Premium Video Package: FOX Sports + Tubi - Package</t>
  </si>
  <si>
    <t>Bank of America - DIO - MWC - Timeout - ROS - Rotational - Updated</t>
  </si>
  <si>
    <t>AGC002675</t>
  </si>
  <si>
    <t>ADV006170</t>
  </si>
  <si>
    <t>AGC001387</t>
  </si>
  <si>
    <t>ADV014143</t>
  </si>
  <si>
    <t>Amazon Alexa+ - DIO - MWC - Timeout - ROS - Rotational - Tubi Only - Updated (Pause Ad on Tubi)</t>
  </si>
  <si>
    <t>Tubi DCM/Doubleclick/GAM/DART</t>
  </si>
  <si>
    <t>Universal- DIO - MWC - Thematic Takeover - Pre Roll - Updated  (The Odyssey)</t>
  </si>
  <si>
    <t>Universal- DIO - MWC - Thematic Takeover - Mid Roll - Updated  (The Odyssey)</t>
  </si>
  <si>
    <t>Universal- DIO - MWC - Thematic Takeover - Pre Roll - Updated (Monsters and Minions)</t>
  </si>
  <si>
    <t>Universal- DIO - MWC - Thematic Takeover - Mid Roll - Updated (Monsters and Minions)</t>
  </si>
  <si>
    <t>AGC003157</t>
  </si>
  <si>
    <t>ADV004891</t>
  </si>
  <si>
    <t>ADV002501</t>
  </si>
  <si>
    <t>ADV011978</t>
  </si>
  <si>
    <t>ADV002288</t>
  </si>
  <si>
    <t>ADV000935</t>
  </si>
  <si>
    <t xml:space="preserve"> RAE Health Check T3ST 2026.6 S&amp;E Direct</t>
  </si>
  <si>
    <t>DIO - LFV - FSLS - Pre/Mid - CBB - DT/MB/CTV - Preemptible</t>
  </si>
  <si>
    <t>DOMINO'S</t>
  </si>
  <si>
    <t>ADV000858</t>
  </si>
  <si>
    <t>Dominos/Digital/Upfront/Entertainment/UF 2025/26</t>
  </si>
  <si>
    <t>LFV - Entertainment ROS Demo - Package</t>
  </si>
  <si>
    <t>CANCELLED/Dominos/Digital/Upfront/Entertainment/UF 2025/26/2Q'26</t>
  </si>
  <si>
    <t>AGC001319</t>
  </si>
  <si>
    <t>THE WONDERFUL COMPANY</t>
  </si>
  <si>
    <t>ADV003530</t>
  </si>
  <si>
    <t>Wonderful/Digital/Upfront/Entertainment/Fiji/UF 2025/26</t>
  </si>
  <si>
    <t>FIJI_LFV - RON Ent - Pre/Mid - ROS - CTV - A18-49 - 2Q'26 - UPFT RES</t>
  </si>
  <si>
    <t>ADV006548</t>
  </si>
  <si>
    <t>AGC002164</t>
  </si>
  <si>
    <t>ADV006048</t>
  </si>
  <si>
    <t>Verizon-Value Brands/25-26/Digital/Upfront/Entertainment</t>
  </si>
  <si>
    <t>CANCELLED_Verizon - LFV - RON Ent - ROS - Pre/Mid - DT/MB/CTV/VOD - Package - A18-49 - 3Q'26 UPFT RES</t>
  </si>
  <si>
    <t>ADV001833</t>
  </si>
  <si>
    <t>CANCELLED - Hilton/Digital/PG/Upfront/Streaming/25-26</t>
  </si>
  <si>
    <t>LFV - FSLS - Pre/Mid - ROS - DT/MB/TB/CTV P2+ - Package</t>
  </si>
  <si>
    <t>CANCELLED - Hilton - LFV - FSLS - Pre/Mid - ROV - DT/MB/TB/CTV P2+ - 2Q'26</t>
  </si>
  <si>
    <t>CANCELLED - Hilton - LFV - FSLS - Pre/Mid - ROV - DT/MB/TB/CTV P2+ - 3Q'26</t>
  </si>
  <si>
    <t>CANCELLED_Amazon XCM - LFV - FSLS - Pre/Mid - ROS - DT/MB/CTV - P2+ - 2Q'26 UPFTRES</t>
  </si>
  <si>
    <t>ADV007209</t>
  </si>
  <si>
    <t>ADV004506</t>
  </si>
  <si>
    <t>ADV004525</t>
  </si>
  <si>
    <t>AGC003095</t>
  </si>
  <si>
    <t>ADV006811</t>
  </si>
  <si>
    <t>ADV006308</t>
  </si>
  <si>
    <t>CANCELLED - Volkswagen - DIO - MWC - WC Hub - ROH - Rotational Video</t>
  </si>
  <si>
    <t>CANCELLED - Volkswagen - DIO - MWC - Tubi ROS - Rotational Video</t>
  </si>
  <si>
    <t>Volkswagen - DIO - MWC - Timeout - ROS - Rotational - Updated</t>
  </si>
  <si>
    <t>Volkswagen - DIO - MWC - Tubi ROS - Rotational Video - Updated</t>
  </si>
  <si>
    <t>AGC005478</t>
  </si>
  <si>
    <t>ADV001946</t>
  </si>
  <si>
    <t>AGC002239</t>
  </si>
  <si>
    <t>ADV005946</t>
  </si>
  <si>
    <t>ADV001510</t>
  </si>
  <si>
    <t>ADV006968</t>
  </si>
  <si>
    <t>ADV004116</t>
  </si>
  <si>
    <t>ADV001113</t>
  </si>
  <si>
    <t>ADV000211</t>
  </si>
  <si>
    <t>DIO - SOC - FS - MWC - Package</t>
  </si>
  <si>
    <t>AGC005095</t>
  </si>
  <si>
    <t>VGP HOLDINGS LLC</t>
  </si>
  <si>
    <t>ADV006108</t>
  </si>
  <si>
    <t>Valvoline/Digital/Scatter/OneFox/WC2026</t>
  </si>
  <si>
    <t>Valvoline - Heavy Duty -  DIO - ROV - 1F SEN - Pre/Mid - ROS - FW - SXD - 1Q2Q26</t>
  </si>
  <si>
    <t>ADV007060</t>
  </si>
  <si>
    <t>AGC005205</t>
  </si>
  <si>
    <t>ADV004471</t>
  </si>
  <si>
    <t>AGC004589</t>
  </si>
  <si>
    <t>ADV012618</t>
  </si>
  <si>
    <t>DIO - SOC - FS - MLS - Package</t>
  </si>
  <si>
    <t>ADV010365</t>
  </si>
  <si>
    <t>AGC005218</t>
  </si>
  <si>
    <t>ADV002650</t>
  </si>
  <si>
    <t>Scopely- DIO - LFV - RON Ent - Absolute A - Show Mix - DT/MB/CTV/STB  (Family Guy, Bob‚Äôs Burgers, American Dad, and Simpsons)</t>
  </si>
  <si>
    <t>AGC002270</t>
  </si>
  <si>
    <t>ADV012436</t>
  </si>
  <si>
    <t>UNIVERSAL PICTURES/Digital/Upfront/Entertainment/Overall Deal/UF 2025/26 (UPFT RES)</t>
  </si>
  <si>
    <t>UP_DIO - LFV - Entertainment ROS - 2Q'26 Package - UPFTRES</t>
  </si>
  <si>
    <t>UP_DIO - LFV - Entertainment ROS - 3Q'26 Package - UPFTRES</t>
  </si>
  <si>
    <t>ADV000505</t>
  </si>
  <si>
    <t>ADV002622</t>
  </si>
  <si>
    <t>ADV004751</t>
  </si>
  <si>
    <t>various</t>
  </si>
  <si>
    <t>AGC001336</t>
  </si>
  <si>
    <t>ADV004569</t>
  </si>
  <si>
    <t>DIO - ROV - 1F Sports Bundle - Pre/Mid - ROS - FW - SXD - Package</t>
  </si>
  <si>
    <t>ADV010900</t>
  </si>
  <si>
    <t>AGC001350</t>
  </si>
  <si>
    <t>ADV010974</t>
  </si>
  <si>
    <t>CANCELLED - Therabody - Run of AllFOX Video - Package - AAT</t>
  </si>
  <si>
    <t>AGC000052</t>
  </si>
  <si>
    <t>ADV009438</t>
  </si>
  <si>
    <t>AGC000219</t>
  </si>
  <si>
    <t>ADV010802</t>
  </si>
  <si>
    <t>ADV006763</t>
  </si>
  <si>
    <t>ADV013720</t>
  </si>
  <si>
    <t>Eli Lilly - Zepbound CWM - DIO - 1A Takeover - Tubi - 6/11</t>
  </si>
  <si>
    <t>Eli Lilly - Zepbound CWM - DIO - 1A Takeover - Tubi - 6/14</t>
  </si>
  <si>
    <t>Eli Lilly - Zepbound CWM - DIO - 1A Takeover - Tubi - 6/19</t>
  </si>
  <si>
    <t>ADV001182</t>
  </si>
  <si>
    <t>publisher_performance</t>
  </si>
  <si>
    <t>DIO - Rotational Timeout</t>
  </si>
  <si>
    <t>Michelin - World Cup - DIO - Rotational Timeout</t>
  </si>
  <si>
    <t>AGC005676</t>
  </si>
  <si>
    <t>ADV014803</t>
  </si>
  <si>
    <t>Eli Lilly - Mounjaro - DIO - 1A Takeover - Tubi - 6/15</t>
  </si>
  <si>
    <t>Eli Lilly -Mounjaro - DIO - 1A Takeover - Tubi - 6/16</t>
  </si>
  <si>
    <t>Lilly/2026/MWC/Digital/Scatter/Tubi/Masterbrand</t>
  </si>
  <si>
    <t>Eli Lilly - Masterbrand :30 - DIO - MWC - Tubi Prime - Rotational Video - Updated</t>
  </si>
  <si>
    <t>Eli Lilly - Masterbrand :60 - DIO - MWC - Tubi Prime - Rotational Video - Updated</t>
  </si>
  <si>
    <t>ADV013606</t>
  </si>
  <si>
    <t>DIO - LFV - FSLS - Pre/Mid - ROS - DT/MB/CTV - Preemptible - Package</t>
  </si>
  <si>
    <t>AGC004029</t>
  </si>
  <si>
    <t>ADV001749</t>
  </si>
  <si>
    <t>AGC005759</t>
  </si>
  <si>
    <t>ADV003788</t>
  </si>
  <si>
    <t>Lenovo - OMP - Tubi Timeout - Rotational Animated Pause Ad Inventory - 2026 MWC</t>
  </si>
  <si>
    <t>DIO - MWC - Fox + Tubi - Original Content - SOV Single Title - Pre Roll - SOV</t>
  </si>
  <si>
    <t>Lenovo-DIO - MWC - App Launcher - Updated</t>
  </si>
  <si>
    <t>Lenovo-DIO - MWC - Sponsored Lockup - Row 1 - Updated</t>
  </si>
  <si>
    <t>Lenovo-DIO - MWC - Sponsored Lockup - Row 4 - Updated</t>
  </si>
  <si>
    <t>Lenovo-DIO - MWC - World Cup Hub Display Sponsorship - Updated</t>
  </si>
  <si>
    <t>Lenovo-DIO - MWC - Pre Roll - Updated-6s</t>
  </si>
  <si>
    <t>Lenovo - OMP - Tubi Timeout - MWC Rotational Animated Pause Ad Inventory - 2026 MWC</t>
  </si>
  <si>
    <t>AGC002767</t>
  </si>
  <si>
    <t>ADV001756</t>
  </si>
  <si>
    <t>American Airlines DIO - MWC - Timeout - ROS - Rotational - Updated</t>
  </si>
  <si>
    <t>American Airlines DIO - MWC - Timeout - ROS - Rotational - Updated - HUB</t>
  </si>
  <si>
    <t>AGC001080</t>
  </si>
  <si>
    <t>ADV000553</t>
  </si>
  <si>
    <t>UOPX - DR - MWC - Timeout - ROS - Rotational - Updated</t>
  </si>
  <si>
    <t>UOPX - DR - MWC - Timeout - ROS - Rotational - Updated_Hub</t>
  </si>
  <si>
    <t>Eli Lilly - Ebglyss - DIO - 1A Takeover - Tubi - 6/18</t>
  </si>
  <si>
    <t>Eli Lilly - Ebglyss - DIO - 1A Takeover - Tubi - 6/21</t>
  </si>
  <si>
    <t>Eli Lilly - Ebglyss - DIO - 1A Takeover - Tubi - 6/26</t>
  </si>
  <si>
    <t>Eli Lilly - Ebglyss - DIO - 1A Takeover - Tubi - 6/28</t>
  </si>
  <si>
    <t>CANCELLED_Eli Lilly - Ebglyss - DIO - MWC - Fox + Tubi - Original Content - SOV Single Title - Pre Roll - 50% SOV - :60</t>
  </si>
  <si>
    <t>Eli Lilly - Ebglyss :60 - DIO - MWC - Fox + Tubi - Original Content - SOV Single Title - Pre Roll - SOV - Updated</t>
  </si>
  <si>
    <t>Eli Lilly - Ebglyss :30 - DIO - MWC - Fox + Tubi - Original Content - SOV Single Title - Pre Roll - SOV - Updated</t>
  </si>
  <si>
    <t>GAMETIME</t>
  </si>
  <si>
    <t>ADV005844</t>
  </si>
  <si>
    <t>Gametime/2Q-3Q'26/Digital/Scatter</t>
  </si>
  <si>
    <t>DIO - ROV - FS - Pre/Mid - ROS - DT/MB/CTV - Preemptible - Package</t>
  </si>
  <si>
    <t>CANCELED - Gametime - DIO - ROV - FS - Pre/Mid - ROS - DT/MB/CTV - Preemptible - 2Q3Q26 - Baltimore</t>
  </si>
  <si>
    <t>Google Search (TUBI) DIO - MWC - Tubi Moments - Rotational Video - Updated  - 2Q'26</t>
  </si>
  <si>
    <t>ADV003484</t>
  </si>
  <si>
    <t>META - Instagram - Tubi Moments_DIO - 2026 MWC - Tubi Moments - Rotational Video</t>
  </si>
  <si>
    <t>AGC002241</t>
  </si>
  <si>
    <t>ADV003059</t>
  </si>
  <si>
    <t>PEACOCK</t>
  </si>
  <si>
    <t>ADV010649</t>
  </si>
  <si>
    <t>Peacock/Digital/Upfront/Entertainment/UF 2025/26</t>
  </si>
  <si>
    <t>Peacock/Digital/Upfront/Entertainment/UF 2025/26/3Q'26</t>
  </si>
  <si>
    <t>Apple/Digital/Upfront/Direct/Entertainment/25-26/UPFTRES</t>
  </si>
  <si>
    <t>CANCELLED - Apple/Digital/Upfront/Direct/Entertainment/25-26 - ROS - 2Q'26 - UPFTRES</t>
  </si>
  <si>
    <t>Celia-Blake Kazan</t>
  </si>
  <si>
    <t>Apple/Digital/Upfront/Direct/Entertainment/25-26 -  A/Z - 2Q'26 - UPFTRES</t>
  </si>
  <si>
    <t>AGC000524</t>
  </si>
  <si>
    <t>ADV006218</t>
  </si>
  <si>
    <t>LFV - Sports ROS P2+ - Package</t>
  </si>
  <si>
    <t>ADV002417</t>
  </si>
  <si>
    <t>ADV012399</t>
  </si>
  <si>
    <t>ADV003368</t>
  </si>
  <si>
    <t>ADV006674</t>
  </si>
  <si>
    <t>AGC000639</t>
  </si>
  <si>
    <t>ADV003715</t>
  </si>
  <si>
    <t>Brittany O'Brien</t>
  </si>
  <si>
    <t>ADV003073</t>
  </si>
  <si>
    <t>ADV011233</t>
  </si>
  <si>
    <t>AGC004925</t>
  </si>
  <si>
    <t>ADV014977</t>
  </si>
  <si>
    <t>DIO - DIS - FS - Display - ROS - Package</t>
  </si>
  <si>
    <t>CANCELLED - Edward Lifesciences - DIO - LFV - FSLS - Pre - INDY - DT/MB/CTV - SOV Sponsorship - 50% - CANCELLED</t>
  </si>
  <si>
    <t>AGC001353</t>
  </si>
  <si>
    <t>ADV003102</t>
  </si>
  <si>
    <t>Travel Texas DIO - MWC - Timeout - ROS - Rotational - Updated</t>
  </si>
  <si>
    <t>ADV013846</t>
  </si>
  <si>
    <t>ADV006271</t>
  </si>
  <si>
    <t>AGC004827</t>
  </si>
  <si>
    <t>ADV014926</t>
  </si>
  <si>
    <t>CANCELLED - Trimble - DIO - MWC - Timeout - ROS - Rotational - CANCELLED</t>
  </si>
  <si>
    <t>Trimble - DIO - MWC - Timeout - ROS - Rotational - Updated</t>
  </si>
  <si>
    <t>ADV015069</t>
  </si>
  <si>
    <t>ADV001653</t>
  </si>
  <si>
    <t>CANCELLED - Shipt - DIO - MWC - Timeout - ROS - Rotational</t>
  </si>
  <si>
    <t>Shipt - DIO - MWC - Timeout - ROS - Rotational - Updated</t>
  </si>
  <si>
    <t>BAR</t>
  </si>
  <si>
    <t>BAR Sum of Net Invoice Amount</t>
  </si>
  <si>
    <t>Diff</t>
  </si>
  <si>
    <t>AOS Pre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</si>
</sst>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mm/dd/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1" fillId="2" borderId="1" xfId="2" applyBorder="1" applyAlignment="1">
      <alignment horizontal="center" vertical="top"/>
    </xf>
    <xf numFmtId="44" fontId="1" fillId="2" borderId="1" xfId="1" applyFont="1" applyFill="1" applyBorder="1" applyAlignment="1">
      <alignment horizontal="center" vertical="top"/>
    </xf>
    <xf numFmtId="44" fontId="3" fillId="0" borderId="0" xfId="1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2"/>
    <xf numFmtId="14" fontId="0" fillId="0" borderId="0" xfId="0" applyNumberFormat="1"/>
    <xf numFmtId="44" fontId="0" fillId="0" borderId="0" xfId="0" applyNumberFormat="1"/>
    <xf numFmtId="44" fontId="4" fillId="3" borderId="2" xfId="1" applyFont="1" applyFill="1" applyBorder="1"/>
    <xf numFmtId="0" fontId="0" fillId="4" borderId="0" xfId="0" applyFill="1"/>
    <xf numFmtId="164" fontId="0" fillId="4" borderId="0" xfId="0" applyNumberFormat="1" applyFill="1"/>
    <xf numFmtId="44" fontId="3" fillId="4" borderId="0" xfId="1" applyFont="1" applyFill="1"/>
    <xf numFmtId="9" fontId="0" fillId="4" borderId="0" xfId="0" applyNumberFormat="1" applyFill="1"/>
    <xf numFmtId="165" fontId="0" fillId="4" borderId="0" xfId="0" applyNumberFormat="1" applyFill="1"/>
    <xf numFmtId="0" fontId="5" fillId="4" borderId="0" xfId="0" applyFont="1" applyFill="1"/>
    <xf numFmtId="14" fontId="5" fillId="4" borderId="0" xfId="0" applyNumberFormat="1" applyFont="1" applyFill="1"/>
    <xf numFmtId="44" fontId="4" fillId="3" borderId="3" xfId="1" applyNumberFormat="1" applyFont="1" applyFill="1" applyBorder="1"/>
  </cellXfs>
  <cellStyles count="3">
    <cellStyle name="20% - Accent1" xfId="2" builtinId="30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479071296293" createdVersion="8" refreshedVersion="8" minRefreshableVersion="3" recordCount="963" xr:uid="{9EBFC1D9-768F-F946-A6AD-2BE8082B0B55}">
  <cacheSource type="worksheet">
    <worksheetSource ref="A1:AW964" sheet="Cash BAR"/>
  </cacheSource>
  <cacheFields count="49">
    <cacheField name="Agency" numFmtId="0">
      <sharedItems/>
    </cacheField>
    <cacheField name="Agency ID" numFmtId="0">
      <sharedItems containsSemiMixedTypes="0" containsString="0" containsNumber="1" containsInteger="1" minValue="10358" maxValue="23599"/>
    </cacheField>
    <cacheField name="Advertiser ID" numFmtId="0">
      <sharedItems containsSemiMixedTypes="0" containsString="0" containsNumber="1" containsInteger="1" minValue="486" maxValue="23743"/>
    </cacheField>
    <cacheField name="Advertiser" numFmtId="0">
      <sharedItems/>
    </cacheField>
    <cacheField name="Sales Order" numFmtId="0">
      <sharedItems/>
    </cacheField>
    <cacheField name="Sales Order ID" numFmtId="0">
      <sharedItems containsSemiMixedTypes="0" containsString="0" containsNumber="1" containsInteger="1" minValue="250528" maxValue="272533" count="211">
        <n v="262385"/>
        <n v="265136"/>
        <n v="264662"/>
        <n v="270111"/>
        <n v="264043"/>
        <n v="270352"/>
        <n v="269597"/>
        <n v="265792"/>
        <n v="267803"/>
        <n v="266692"/>
        <n v="259418"/>
        <n v="259419"/>
        <n v="259421"/>
        <n v="259423"/>
        <n v="259424"/>
        <n v="261946"/>
        <n v="268009"/>
        <n v="252314"/>
        <n v="260564"/>
        <n v="271227"/>
        <n v="267640"/>
        <n v="270359"/>
        <n v="250528"/>
        <n v="253612"/>
        <n v="260800"/>
        <n v="259315"/>
        <n v="269662"/>
        <n v="265809"/>
        <n v="266966"/>
        <n v="272050"/>
        <n v="264956"/>
        <n v="264810"/>
        <n v="257222"/>
        <n v="264794"/>
        <n v="261965"/>
        <n v="270643"/>
        <n v="270734"/>
        <n v="270641"/>
        <n v="270547"/>
        <n v="269710"/>
        <n v="267764"/>
        <n v="262938"/>
        <n v="269909"/>
        <n v="269280"/>
        <n v="270775"/>
        <n v="259462"/>
        <n v="269600"/>
        <n v="268444"/>
        <n v="261387"/>
        <n v="265850"/>
        <n v="267136"/>
        <n v="264809"/>
        <n v="271670"/>
        <n v="264953"/>
        <n v="267744"/>
        <n v="271008"/>
        <n v="265145"/>
        <n v="264814"/>
        <n v="271686"/>
        <n v="265310"/>
        <n v="264954"/>
        <n v="268218"/>
        <n v="266239"/>
        <n v="270497"/>
        <n v="270436"/>
        <n v="257594"/>
        <n v="258950"/>
        <n v="251886"/>
        <n v="257492"/>
        <n v="258952"/>
        <n v="272533"/>
        <n v="267002"/>
        <n v="257491"/>
        <n v="262498"/>
        <n v="269990"/>
        <n v="262576"/>
        <n v="263588"/>
        <n v="270566"/>
        <n v="259461"/>
        <n v="269003"/>
        <n v="265472"/>
        <n v="267088"/>
        <n v="270752"/>
        <n v="270425"/>
        <n v="268838"/>
        <n v="268217"/>
        <n v="266704"/>
        <n v="266711"/>
        <n v="266710"/>
        <n v="265853"/>
        <n v="266872"/>
        <n v="266874"/>
        <n v="266866"/>
        <n v="266869"/>
        <n v="266871"/>
        <n v="263735"/>
        <n v="267910"/>
        <n v="270448"/>
        <n v="271603"/>
        <n v="272138"/>
        <n v="267884"/>
        <n v="265065"/>
        <n v="267903"/>
        <n v="267992"/>
        <n v="270964"/>
        <n v="269721"/>
        <n v="269736"/>
        <n v="269740"/>
        <n v="269737"/>
        <n v="254371"/>
        <n v="253348"/>
        <n v="269478"/>
        <n v="269479"/>
        <n v="269482"/>
        <n v="269480"/>
        <n v="269483"/>
        <n v="257634"/>
        <n v="259151"/>
        <n v="267191"/>
        <n v="257639"/>
        <n v="266094"/>
        <n v="268132"/>
        <n v="257531"/>
        <n v="262910"/>
        <n v="261931"/>
        <n v="262034"/>
        <n v="262032"/>
        <n v="264255"/>
        <n v="270419"/>
        <n v="257663"/>
        <n v="264071"/>
        <n v="267453"/>
        <n v="252733"/>
        <n v="252732"/>
        <n v="252736"/>
        <n v="256852"/>
        <n v="266090"/>
        <n v="272146"/>
        <n v="259734"/>
        <n v="271381"/>
        <n v="265377"/>
        <n v="259384"/>
        <n v="259143"/>
        <n v="268091"/>
        <n v="271386"/>
        <n v="271465"/>
        <n v="271405"/>
        <n v="259125"/>
        <n v="269943"/>
        <n v="264707"/>
        <n v="271544"/>
        <n v="265769"/>
        <n v="252135"/>
        <n v="259301"/>
        <n v="266666"/>
        <n v="269931"/>
        <n v="269719"/>
        <n v="265069"/>
        <n v="265056"/>
        <n v="259726"/>
        <n v="259270"/>
        <n v="266911"/>
        <n v="259149"/>
        <n v="272062"/>
        <n v="271861"/>
        <n v="271496"/>
        <n v="272063"/>
        <n v="267432"/>
        <n v="267395"/>
        <n v="259155"/>
        <n v="266368"/>
        <n v="268274"/>
        <n v="266929"/>
        <n v="265754"/>
        <n v="259968"/>
        <n v="266130"/>
        <n v="259933"/>
        <n v="266630"/>
        <n v="268353"/>
        <n v="265747"/>
        <n v="267105"/>
        <n v="261763"/>
        <n v="270546"/>
        <n v="267694"/>
        <n v="267963"/>
        <n v="267962"/>
        <n v="265595"/>
        <n v="252340"/>
        <n v="267935"/>
        <n v="263026"/>
        <n v="267090"/>
        <n v="267967"/>
        <n v="262833"/>
        <n v="264419"/>
        <n v="264415"/>
        <n v="261759"/>
        <n v="269584"/>
        <n v="269582"/>
        <n v="269583"/>
        <n v="269585"/>
        <n v="269587"/>
        <n v="269586"/>
        <n v="268015"/>
        <n v="270573"/>
        <n v="268012"/>
        <n v="268014"/>
        <n v="267883"/>
        <n v="263599"/>
        <n v="261764"/>
        <n v="268021"/>
        <n v="266431"/>
      </sharedItems>
    </cacheField>
    <cacheField name="Parent Line Item" numFmtId="0">
      <sharedItems/>
    </cacheField>
    <cacheField name="Parent Line Item ID" numFmtId="0">
      <sharedItems containsSemiMixedTypes="0" containsString="0" containsNumber="1" containsInteger="1" minValue="534730" maxValue="598555"/>
    </cacheField>
    <cacheField name="Sales Line Item" numFmtId="0">
      <sharedItems/>
    </cacheField>
    <cacheField name="PS Line Item ID" numFmtId="0">
      <sharedItems containsSemiMixedTypes="0" containsString="0" containsNumber="1" containsInteger="1" minValue="103901" maxValue="7351517434"/>
    </cacheField>
    <cacheField name="Placement Property" numFmtId="0">
      <sharedItems/>
    </cacheField>
    <cacheField name="Cost Method" numFmtId="0">
      <sharedItems/>
    </cacheField>
    <cacheField name="Net Unit Cost" numFmtId="164">
      <sharedItems containsSemiMixedTypes="0" containsString="0" containsNumber="1" minValue="0" maxValue="2000000"/>
    </cacheField>
    <cacheField name="Billable Metric" numFmtId="0">
      <sharedItems/>
    </cacheField>
    <cacheField name="Billable Impressions" numFmtId="0">
      <sharedItems containsSemiMixedTypes="0" containsString="0" containsNumber="1" containsInteger="1" minValue="0" maxValue="4166666667"/>
    </cacheField>
    <cacheField name="Billable Revenue" numFmtId="164">
      <sharedItems containsSemiMixedTypes="0" containsString="0" containsNumber="1" minValue="0" maxValue="1224489.8"/>
    </cacheField>
    <cacheField name="Price" numFmtId="0">
      <sharedItems containsNonDate="0" containsString="0" containsBlank="1"/>
    </cacheField>
    <cacheField name="Revised Billed Impressions" numFmtId="0">
      <sharedItems containsNonDate="0" containsString="0" containsBlank="1"/>
    </cacheField>
    <cacheField name="Revised Billed Revenue" numFmtId="44">
      <sharedItems/>
    </cacheField>
    <cacheField name="Parent Line Item Revenue" numFmtId="44">
      <sharedItems containsMixedTypes="1" containsNumber="1" containsInteger="1" minValue="0" maxValue="0"/>
    </cacheField>
    <cacheField name="Reason for Revision" numFmtId="0">
      <sharedItems containsNonDate="0" containsString="0" containsBlank="1"/>
    </cacheField>
    <cacheField name="Special Billing Instructions" numFmtId="0">
      <sharedItems containsBlank="1"/>
    </cacheField>
    <cacheField name="1P Imps" numFmtId="0">
      <sharedItems containsSemiMixedTypes="0" containsString="0" containsNumber="1" containsInteger="1" minValue="0" maxValue="11533766"/>
    </cacheField>
    <cacheField name="3P Imps" numFmtId="0">
      <sharedItems containsSemiMixedTypes="0" containsString="0" containsNumber="1" containsInteger="1" minValue="0" maxValue="11533766"/>
    </cacheField>
    <cacheField name="1P Demo Imps" numFmtId="0">
      <sharedItems containsSemiMixedTypes="0" containsString="0" containsNumber="1" containsInteger="1" minValue="0" maxValue="9251914"/>
    </cacheField>
    <cacheField name="3P Demo Imps" numFmtId="0">
      <sharedItems containsSemiMixedTypes="0" containsString="0" containsNumber="1" containsInteger="1" minValue="0" maxValue="9251914"/>
    </cacheField>
    <cacheField name="Viewability" numFmtId="9">
      <sharedItems containsSemiMixedTypes="0" containsString="0" containsNumber="1" containsInteger="1" minValue="1" maxValue="1"/>
    </cacheField>
    <cacheField name="Demo Comp" numFmtId="9">
      <sharedItems containsSemiMixedTypes="0" containsString="0" containsNumber="1" minValue="0" maxValue="1.33362370425098"/>
    </cacheField>
    <cacheField name="Equivalization Factor" numFmtId="9">
      <sharedItems containsSemiMixedTypes="0" containsString="0" containsNumber="1" containsInteger="1" minValue="0" maxValue="1"/>
    </cacheField>
    <cacheField name="Equivalized Imps" numFmtId="0">
      <sharedItems containsSemiMixedTypes="0" containsString="0" containsNumber="1" containsInteger="1" minValue="0" maxValue="325383"/>
    </cacheField>
    <cacheField name="Billing Scenario" numFmtId="0">
      <sharedItems/>
    </cacheField>
    <cacheField name="Net Invoice Amount" numFmtId="0">
      <sharedItems containsSemiMixedTypes="0" containsString="0" containsNumber="1" minValue="0" maxValue="1224489.8"/>
    </cacheField>
    <cacheField name="Quantity" numFmtId="0">
      <sharedItems containsSemiMixedTypes="0" containsString="0" containsNumber="1" containsInteger="1" minValue="0" maxValue="60000000"/>
    </cacheField>
    <cacheField name="Net Cost" numFmtId="0">
      <sharedItems containsSemiMixedTypes="0" containsString="0" containsNumber="1" minValue="0" maxValue="2000000"/>
    </cacheField>
    <cacheField name="Campaign" numFmtId="164">
      <sharedItems/>
    </cacheField>
    <cacheField name="Campaign ID" numFmtId="0">
      <sharedItems containsSemiMixedTypes="0" containsString="0" containsNumber="1" containsInteger="1" minValue="250528" maxValue="95105742"/>
    </cacheField>
    <cacheField name="Demo Band" numFmtId="164">
      <sharedItems/>
    </cacheField>
    <cacheField name="External PO Ref" numFmtId="0">
      <sharedItems containsBlank="1" containsMixedTypes="1" containsNumber="1" minValue="1" maxValue="1663758"/>
    </cacheField>
    <cacheField name="Sales Region" numFmtId="0">
      <sharedItems containsNonDate="0" containsString="0" containsBlank="1"/>
    </cacheField>
    <cacheField name="Primary Salesperson" numFmtId="0">
      <sharedItems/>
    </cacheField>
    <cacheField name="Sales Line Item Type" numFmtId="0">
      <sharedItems/>
    </cacheField>
    <cacheField name="Product" numFmtId="0">
      <sharedItems/>
    </cacheField>
    <cacheField name="Invoice ID" numFmtId="0">
      <sharedItems containsString="0" containsBlank="1" containsNumber="1" containsInteger="1" minValue="91198" maxValue="134065"/>
    </cacheField>
    <cacheField name="Billing Period End Date" numFmtId="165">
      <sharedItems containsSemiMixedTypes="0" containsNonDate="0" containsDate="1" containsString="0" minDate="2026-06-30T00:00:00" maxDate="2026-07-01T00:00:00"/>
    </cacheField>
    <cacheField name="Parent Line Item Start Date" numFmtId="165">
      <sharedItems containsSemiMixedTypes="0" containsNonDate="0" containsDate="1" containsString="0" minDate="2026-02-21T00:00:00" maxDate="2026-07-01T00:00:00"/>
    </cacheField>
    <cacheField name="Parent Line Item End Date" numFmtId="165">
      <sharedItems containsSemiMixedTypes="0" containsNonDate="0" containsDate="1" containsString="0" minDate="2026-06-01T00:00:00" maxDate="2027-01-01T00:00:00"/>
    </cacheField>
    <cacheField name="Product Category" numFmtId="0">
      <sharedItems/>
    </cacheField>
    <cacheField name="Previously Billed" numFmtId="0">
      <sharedItems containsNonDate="0" containsString="0" containsBlank="1"/>
    </cacheField>
    <cacheField name="Report Date" numFmtId="165">
      <sharedItems containsSemiMixedTypes="0" containsNonDate="0" containsDate="1" containsString="0" minDate="2026-07-05T12:53:18" maxDate="2026-07-05T12:53: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480245023151" createdVersion="8" refreshedVersion="8" minRefreshableVersion="3" recordCount="569" xr:uid="{CC823EB6-B152-CB4C-BC91-B7C14A6BD0B9}">
  <cacheSource type="worksheet">
    <worksheetSource ref="A1:AJ570" sheet="AOS Pre"/>
  </cacheSource>
  <cacheFields count="36">
    <cacheField name="Agency MDM ID" numFmtId="0">
      <sharedItems/>
    </cacheField>
    <cacheField name="Primary Advertiser Name" numFmtId="0">
      <sharedItems/>
    </cacheField>
    <cacheField name="Advertiser MDM ID" numFmtId="0">
      <sharedItems/>
    </cacheField>
    <cacheField name="Deal Name" numFmtId="0">
      <sharedItems/>
    </cacheField>
    <cacheField name="Deal ID" numFmtId="0">
      <sharedItems containsSemiMixedTypes="0" containsString="0" containsNumber="1" containsInteger="1" minValue="250383" maxValue="272782" count="228">
        <n v="250528"/>
        <n v="251184"/>
        <n v="251886"/>
        <n v="252293"/>
        <n v="252314"/>
        <n v="253348"/>
        <n v="254371"/>
        <n v="257492"/>
        <n v="257594"/>
        <n v="259125"/>
        <n v="259149"/>
        <n v="259155"/>
        <n v="259248"/>
        <n v="259270"/>
        <n v="259271"/>
        <n v="259384"/>
        <n v="259418"/>
        <n v="259424"/>
        <n v="259461"/>
        <n v="259734"/>
        <n v="259968"/>
        <n v="260800"/>
        <n v="261764"/>
        <n v="261946"/>
        <n v="261965"/>
        <n v="262032"/>
        <n v="262498"/>
        <n v="263735"/>
        <n v="264662"/>
        <n v="264810"/>
        <n v="264814"/>
        <n v="264953"/>
        <n v="264956"/>
        <n v="265056"/>
        <n v="265069"/>
        <n v="265136"/>
        <n v="265152"/>
        <n v="265310"/>
        <n v="265319"/>
        <n v="265595"/>
        <n v="265747"/>
        <n v="265754"/>
        <n v="265809"/>
        <n v="265850"/>
        <n v="266130"/>
        <n v="266239"/>
        <n v="266308"/>
        <n v="266630"/>
        <n v="266692"/>
        <n v="266866"/>
        <n v="266911"/>
        <n v="266929"/>
        <n v="266966"/>
        <n v="267002"/>
        <n v="267090"/>
        <n v="267395"/>
        <n v="267694"/>
        <n v="267764"/>
        <n v="267884"/>
        <n v="267910"/>
        <n v="267962"/>
        <n v="267963"/>
        <n v="267967"/>
        <n v="268009"/>
        <n v="268091"/>
        <n v="268217"/>
        <n v="268218"/>
        <n v="268444"/>
        <n v="269280"/>
        <n v="269478"/>
        <n v="269479"/>
        <n v="269480"/>
        <n v="269583"/>
        <n v="269585"/>
        <n v="269587"/>
        <n v="269710"/>
        <n v="269719"/>
        <n v="269721"/>
        <n v="269740"/>
        <n v="269909"/>
        <n v="269931"/>
        <n v="270111"/>
        <n v="270352"/>
        <n v="270436"/>
        <n v="270448"/>
        <n v="270547"/>
        <n v="270734"/>
        <n v="271008"/>
        <n v="271227"/>
        <n v="271381"/>
        <n v="271405"/>
        <n v="271496"/>
        <n v="271603"/>
        <n v="271670"/>
        <n v="271861"/>
        <n v="272050"/>
        <n v="272063"/>
        <n v="272138"/>
        <n v="272146"/>
        <n v="272782"/>
        <n v="250383"/>
        <n v="252064"/>
        <n v="252135"/>
        <n v="252528"/>
        <n v="252732"/>
        <n v="252733"/>
        <n v="252736"/>
        <n v="252928"/>
        <n v="253612"/>
        <n v="256503"/>
        <n v="256852"/>
        <n v="257491"/>
        <n v="257531"/>
        <n v="257634"/>
        <n v="257663"/>
        <n v="258950"/>
        <n v="259151"/>
        <n v="259301"/>
        <n v="259315"/>
        <n v="259421"/>
        <n v="259423"/>
        <n v="259462"/>
        <n v="259726"/>
        <n v="259933"/>
        <n v="260564"/>
        <n v="261310"/>
        <n v="261387"/>
        <n v="261759"/>
        <n v="261931"/>
        <n v="262034"/>
        <n v="262385"/>
        <n v="262576"/>
        <n v="262910"/>
        <n v="263026"/>
        <n v="264043"/>
        <n v="264071"/>
        <n v="264255"/>
        <n v="264278"/>
        <n v="264419"/>
        <n v="264707"/>
        <n v="264809"/>
        <n v="264954"/>
        <n v="265065"/>
        <n v="265145"/>
        <n v="265377"/>
        <n v="265472"/>
        <n v="265769"/>
        <n v="265792"/>
        <n v="265853"/>
        <n v="266090"/>
        <n v="266094"/>
        <n v="266368"/>
        <n v="266431"/>
        <n v="266666"/>
        <n v="266704"/>
        <n v="266710"/>
        <n v="266711"/>
        <n v="266871"/>
        <n v="266872"/>
        <n v="266874"/>
        <n v="267105"/>
        <n v="267136"/>
        <n v="267191"/>
        <n v="267432"/>
        <n v="267640"/>
        <n v="267744"/>
        <n v="267803"/>
        <n v="267883"/>
        <n v="267903"/>
        <n v="267935"/>
        <n v="268012"/>
        <n v="268013"/>
        <n v="268021"/>
        <n v="268274"/>
        <n v="269483"/>
        <n v="269582"/>
        <n v="269584"/>
        <n v="269586"/>
        <n v="269597"/>
        <n v="269600"/>
        <n v="269662"/>
        <n v="269736"/>
        <n v="269737"/>
        <n v="269990"/>
        <n v="270359"/>
        <n v="270419"/>
        <n v="270546"/>
        <n v="270566"/>
        <n v="270573"/>
        <n v="270641"/>
        <n v="270643"/>
        <n v="270746"/>
        <n v="270775"/>
        <n v="270964"/>
        <n v="271386"/>
        <n v="271465"/>
        <n v="271544"/>
        <n v="271686"/>
        <n v="272062"/>
        <n v="272533"/>
        <n v="250390"/>
        <n v="251751"/>
        <n v="252340"/>
        <n v="257222"/>
        <n v="257639"/>
        <n v="258952"/>
        <n v="259143"/>
        <n v="259419"/>
        <n v="261763"/>
        <n v="262833"/>
        <n v="262938"/>
        <n v="263588"/>
        <n v="263599"/>
        <n v="264415"/>
        <n v="264794"/>
        <n v="266869"/>
        <n v="267088"/>
        <n v="267453"/>
        <n v="267992"/>
        <n v="268014"/>
        <n v="268132"/>
        <n v="268353"/>
        <n v="269003"/>
        <n v="269482"/>
        <n v="269943"/>
        <n v="270425"/>
        <n v="270497"/>
        <n v="270752"/>
      </sharedItems>
    </cacheField>
    <cacheField name="Package Name" numFmtId="0">
      <sharedItems containsBlank="1"/>
    </cacheField>
    <cacheField name="Package ID" numFmtId="0">
      <sharedItems containsString="0" containsBlank="1" containsNumber="1" containsInteger="1" minValue="1" maxValue="8040"/>
    </cacheField>
    <cacheField name="Line Item ID" numFmtId="0">
      <sharedItems containsSemiMixedTypes="0" containsString="0" containsNumber="1" containsInteger="1" minValue="534730" maxValue="598555"/>
    </cacheField>
    <cacheField name="Line Item Name" numFmtId="0">
      <sharedItems/>
    </cacheField>
    <cacheField name="Line Item Start Date" numFmtId="14">
      <sharedItems containsSemiMixedTypes="0" containsNonDate="0" containsDate="1" containsString="0" minDate="2026-02-21T00:00:00" maxDate="2026-07-01T00:00:00"/>
    </cacheField>
    <cacheField name="Line Item End Date" numFmtId="14">
      <sharedItems containsSemiMixedTypes="0" containsNonDate="0" containsDate="1" containsString="0" minDate="2026-06-04T00:00:00" maxDate="2027-01-01T00:00:00"/>
    </cacheField>
    <cacheField name="Billable Third Party Server" numFmtId="0">
      <sharedItems containsBlank="1"/>
    </cacheField>
    <cacheField name="Line Item Cost Method" numFmtId="0">
      <sharedItems/>
    </cacheField>
    <cacheField name="Net Line Item Unit Cost" numFmtId="0">
      <sharedItems containsSemiMixedTypes="0" containsString="0" containsNumber="1" minValue="0" maxValue="4000000"/>
    </cacheField>
    <cacheField name="Line Item Quantity" numFmtId="0">
      <sharedItems containsSemiMixedTypes="0" containsString="0" containsNumber="1" containsInteger="1" minValue="0" maxValue="60000000"/>
    </cacheField>
    <cacheField name="Net Line Item Cost" numFmtId="0">
      <sharedItems containsSemiMixedTypes="0" containsString="0" containsNumber="1" minValue="0" maxValue="4000000"/>
    </cacheField>
    <cacheField name="Unit Type" numFmtId="0">
      <sharedItems containsBlank="1"/>
    </cacheField>
    <cacheField name="Invoice Schedule - Suggested Amount Terms" numFmtId="0">
      <sharedItems/>
    </cacheField>
    <cacheField name="Invoice Schedule - Suggested Invoice Units" numFmtId="0">
      <sharedItems containsSemiMixedTypes="0" containsString="0" containsNumber="1" containsInteger="1" minValue="0" maxValue="25510205"/>
    </cacheField>
    <cacheField name="Invoice Schedule - Suggested Invoice Amount" numFmtId="0">
      <sharedItems containsSemiMixedTypes="0" containsString="0" containsNumber="1" minValue="0" maxValue="1250000.01"/>
    </cacheField>
    <cacheField name="Actual Invoice Units Term Used" numFmtId="0">
      <sharedItems/>
    </cacheField>
    <cacheField name="Adjusted Invoice Units" numFmtId="0">
      <sharedItems containsSemiMixedTypes="0" containsString="0" containsNumber="1" containsInteger="1" minValue="0" maxValue="25510205"/>
    </cacheField>
    <cacheField name="Actual Net Invoice Amount Term Source" numFmtId="0">
      <sharedItems/>
    </cacheField>
    <cacheField name="Adjusted Net Invoice Amount" numFmtId="0">
      <sharedItems containsSemiMixedTypes="0" containsString="0" containsNumber="1" minValue="0" maxValue="1250000.01"/>
    </cacheField>
    <cacheField name="Net Invoice Amount" numFmtId="0">
      <sharedItems containsSemiMixedTypes="0" containsString="0" containsNumber="1" minValue="0" maxValue="1250000.01"/>
    </cacheField>
    <cacheField name="Gross Invoice Amount" numFmtId="0">
      <sharedItems containsSemiMixedTypes="0" containsString="0" containsNumber="1" minValue="0" maxValue="1250000.01"/>
    </cacheField>
    <cacheField name="Primary Performance" numFmtId="0">
      <sharedItems containsString="0" containsBlank="1" containsNumber="1" containsInteger="1" minValue="0" maxValue="16748183"/>
    </cacheField>
    <cacheField name="Third Party Performance" numFmtId="0">
      <sharedItems containsString="0" containsBlank="1" containsNumber="1" containsInteger="1" minValue="0" maxValue="17493555"/>
    </cacheField>
    <cacheField name="Order Start Date" numFmtId="14">
      <sharedItems containsSemiMixedTypes="0" containsNonDate="0" containsDate="1" containsString="0" minDate="2026-02-21T00:00:00" maxDate="2026-07-01T00:00:00"/>
    </cacheField>
    <cacheField name="Order End Date" numFmtId="14">
      <sharedItems containsSemiMixedTypes="0" containsNonDate="0" containsDate="1" containsString="0" minDate="2026-06-04T00:00:00" maxDate="2027-01-01T00:00:00"/>
    </cacheField>
    <cacheField name="Account Manager" numFmtId="0">
      <sharedItems/>
    </cacheField>
    <cacheField name="Invoice Status" numFmtId="0">
      <sharedItems/>
    </cacheField>
    <cacheField name="Billing Period Name" numFmtId="0">
      <sharedItems/>
    </cacheField>
    <cacheField name="Net Order Cost" numFmtId="0">
      <sharedItems containsSemiMixedTypes="0" containsString="0" containsNumber="1" minValue="0" maxValue="4000000"/>
    </cacheField>
    <cacheField name="Invoice ID" numFmtId="0">
      <sharedItems containsSemiMixedTypes="0" containsString="0" containsNumber="1" containsInteger="1" minValue="90984" maxValue="134065"/>
    </cacheField>
    <cacheField name="Primary 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">
  <r>
    <s v="A24 FILMS"/>
    <n v="20096"/>
    <n v="12011"/>
    <s v="A24 FILMS"/>
    <s v="A24 Death of Robin Hood/Digital/Scatter/AllFOX &amp; Abs A/25.26/2Q26"/>
    <x v="0"/>
    <s v="DIO - ROV - 1F SEN - Pre/Mid - ROS - FW - SXD - Package (AAT A25-54 and Fandango Fans)"/>
    <n v="565285"/>
    <s v="DIO - LFV - 1F - Tubi - Pre/Mid - ROS - DT/MB/CTV - FW - SXD (AAT A25-54 and Fandango Fans)"/>
    <n v="94341364"/>
    <s v="Fox Sold Tubi"/>
    <s v="CPM"/>
    <n v="21.25"/>
    <s v="1P Audience Target"/>
    <n v="4071061"/>
    <n v="84000"/>
    <m/>
    <m/>
    <s v=" "/>
    <n v="0"/>
    <m/>
    <m/>
    <n v="4071061"/>
    <n v="4071061"/>
    <n v="0"/>
    <n v="0"/>
    <n v="1"/>
    <n v="0"/>
    <n v="0"/>
    <n v="0"/>
    <s v="Bill on Actuals - 3rd Party Performance"/>
    <n v="42000"/>
    <n v="3952941"/>
    <n v="84000"/>
    <s v="A24 Death of Robin Hood/Digital/Scatter/AllFOX &amp; Abs A/25.26/2Q26"/>
    <n v="94341361"/>
    <s v="Audience Target"/>
    <s v="n/a"/>
    <m/>
    <s v="Kimberly Caraig"/>
    <s v="Guaranteed"/>
    <s v="DIO - LFV - 1F - Tubi - Pre/Mid - ROS - DT/MB/CTV - FW - SXD"/>
    <n v="129821"/>
    <d v="2026-06-30T00:00:00"/>
    <d v="2026-06-01T00:00:00"/>
    <d v="2026-06-28T00:00:00"/>
    <s v="Direct LFV"/>
    <m/>
    <d v="2026-07-05T12:53:18"/>
  </r>
  <r>
    <s v="A24 FILMS"/>
    <n v="20096"/>
    <n v="12011"/>
    <s v="A24 FILMS"/>
    <s v="A24 Death of Robin Hood/Digital/Scatter/AllFOX &amp; Abs A/25.26/2Q26"/>
    <x v="0"/>
    <s v="DIO - ROV - 1F SEN - Pre/Mid - ROS - FW - SXD - Package (AAT A25-54 and Fandango Fans)"/>
    <n v="565285"/>
    <s v="DIO - ROV - 1F - SEN - Pre/Mid - ROS - DT/MB/CTV - SXD (AAT A25-54 and Fandango Fans)"/>
    <n v="94341367"/>
    <s v="OneFOX"/>
    <s v="CPM"/>
    <n v="21.25"/>
    <s v="1P Audience Target"/>
    <n v="6037472"/>
    <n v="126000.01"/>
    <m/>
    <m/>
    <s v=" "/>
    <s v=""/>
    <m/>
    <m/>
    <n v="6037472"/>
    <n v="6037472"/>
    <n v="0"/>
    <n v="0"/>
    <n v="1"/>
    <n v="0"/>
    <n v="0"/>
    <n v="0"/>
    <s v="Bill on Actuals - 3rd Party Performance"/>
    <n v="63000.01"/>
    <n v="5929412"/>
    <n v="126000.01"/>
    <s v="A24 Death of Robin Hood/Digital/Scatter/AllFOX &amp; Abs A/25.26/2Q26"/>
    <n v="94341361"/>
    <s v="Audience Target"/>
    <s v="n/a"/>
    <m/>
    <s v="Kimberly Caraig"/>
    <s v="Guaranteed"/>
    <s v="DIO - ROV - 1F - SEN - Pre/Mid - ROS - DT/MB/CTV - SXD"/>
    <n v="129821"/>
    <d v="2026-06-30T00:00:00"/>
    <d v="2026-06-01T00:00:00"/>
    <d v="2026-06-28T00:00:00"/>
    <s v="Direct ROV"/>
    <m/>
    <d v="2026-07-05T12:53:18"/>
  </r>
  <r>
    <s v="A24 FILMS"/>
    <n v="20096"/>
    <n v="12011"/>
    <s v="A24 FILMS"/>
    <s v="A24 Death of Robin Hood/Digital/Scatter/AllFOX &amp; Abs A/25.26/2Q26"/>
    <x v="0"/>
    <s v="DIO - LFV - RON Ent - Absolute A - Show Mix - DT/MB/CTV/STB (Masked Singer and Fear Factor)"/>
    <n v="565482"/>
    <s v="DIO - LFV - RON Ent - Absolute A - Show Mix - DT/MB/CTV/STB (Masked Singer and Fear Factor)"/>
    <n v="94341371"/>
    <s v="RON - Ent"/>
    <s v="CPM"/>
    <n v="30"/>
    <s v="Absolute A"/>
    <n v="1359729"/>
    <n v="40000.019999999997"/>
    <m/>
    <m/>
    <s v=" "/>
    <n v="0"/>
    <m/>
    <m/>
    <n v="1133108"/>
    <n v="1133108"/>
    <n v="1359729"/>
    <n v="1359729"/>
    <n v="1"/>
    <n v="1.2"/>
    <n v="0"/>
    <n v="0"/>
    <s v="Bill on Actuals - 3rd Party Performance"/>
    <n v="33993.24"/>
    <n v="1333334"/>
    <n v="40000.019999999997"/>
    <s v="A24 Death of Robin Hood/Digital/Scatter/AllFOX &amp; Abs A/25.26/2Q26"/>
    <n v="94341361"/>
    <s v="P2+"/>
    <s v="n/a"/>
    <m/>
    <s v="Kimberly Caraig"/>
    <s v="Guaranteed"/>
    <s v="DIO - LFV - RON Ent - Absolute A - Show Mix - DT/MB/CTV/STB"/>
    <n v="129821"/>
    <d v="2026-06-30T00:00:00"/>
    <d v="2026-06-01T00:00:00"/>
    <d v="2026-06-28T00:00:00"/>
    <s v="Direct LFV"/>
    <m/>
    <d v="2026-07-05T12:53:18"/>
  </r>
  <r>
    <s v="ADVERTISING COUNCIL"/>
    <n v="11885"/>
    <n v="1148"/>
    <s v="ADVERTISING COUNCIL"/>
    <s v="Ad Council/2025/Dig/Pro-bono/2Q26/OneFox "/>
    <x v="1"/>
    <s v="Ad Council - LFV - 1F - Pre/Mid - ROS - FW - SXD - Package- 2Q'26 - Pro-Bono"/>
    <n v="574526"/>
    <s v="Ad Council - DIO - ROV - 1F - SEN - Pre/Mid - ROS - DT/MB/CTV - SXD - 2Q'26"/>
    <n v="92762829"/>
    <s v="OneFOX"/>
    <s v="CPM"/>
    <n v="25"/>
    <s v="3P Imps"/>
    <n v="1043604"/>
    <n v="0"/>
    <m/>
    <m/>
    <s v=" "/>
    <n v="0"/>
    <m/>
    <m/>
    <n v="737435"/>
    <n v="1043604"/>
    <n v="0"/>
    <n v="0"/>
    <n v="1"/>
    <n v="0"/>
    <n v="0"/>
    <n v="0"/>
    <s v="Bill on Actuals - 3rd Party Performance"/>
    <n v="0"/>
    <n v="3000000"/>
    <n v="0"/>
    <s v="Ad Council/2025/Dig/Pro-bono/2Q26/OneFox "/>
    <n v="92762823"/>
    <s v="P2+"/>
    <m/>
    <m/>
    <s v="Nicholas Vara"/>
    <s v="Guaranteed"/>
    <s v="DIO - ROV - 1F - SEN - Pre/Mid - ROS - DT/MB/CTV - SXD"/>
    <n v="121448"/>
    <d v="2026-06-30T00:00:00"/>
    <d v="2026-04-01T00:00:00"/>
    <d v="2026-06-30T00:00:00"/>
    <s v="Direct ROV"/>
    <m/>
    <d v="2026-07-05T12:53:18"/>
  </r>
  <r>
    <s v="ADVERTISING COUNCIL"/>
    <n v="11885"/>
    <n v="1148"/>
    <s v="ADVERTISING COUNCIL"/>
    <s v="Ad Council/2025/Dig/Pro-bono/2Q26/OneFox "/>
    <x v="1"/>
    <s v="Ad Council - LFV - 1F - Pre/Mid - ROS - FW - SXD - Package- 2Q'26 - Pro-Bono"/>
    <n v="574526"/>
    <s v="Ad Council - LFV - 1F - Tubi - Pre/Mid - ROS - DT/MB/CTV - FW - SXD - 2Q'26"/>
    <n v="92762826"/>
    <s v="Fox Sold Tubi"/>
    <s v="CPM"/>
    <n v="25"/>
    <s v="3P Imps"/>
    <n v="1017750"/>
    <n v="0"/>
    <m/>
    <m/>
    <s v=" "/>
    <s v=""/>
    <m/>
    <m/>
    <n v="741825"/>
    <n v="1017750"/>
    <n v="0"/>
    <n v="0"/>
    <n v="1"/>
    <n v="0"/>
    <n v="0"/>
    <n v="0"/>
    <s v="Bill on Actuals - 3rd Party Performance"/>
    <n v="0"/>
    <n v="3000000"/>
    <n v="0"/>
    <s v="Ad Council/2025/Dig/Pro-bono/2Q26/OneFox "/>
    <n v="92762823"/>
    <s v="P2+"/>
    <m/>
    <m/>
    <s v="Nicholas Vara"/>
    <s v="Guaranteed"/>
    <s v="LFV - 1F - Tubi - Pre/Mid - ROS - DT/MB/CTV - FW - SXD"/>
    <n v="121448"/>
    <d v="2026-06-30T00:00:00"/>
    <d v="2026-04-01T00:00:00"/>
    <d v="2026-06-30T00:00:00"/>
    <s v="Direct LFV"/>
    <m/>
    <d v="2026-07-05T12:53:18"/>
  </r>
  <r>
    <s v="AEGIS INNOV8 LLC"/>
    <n v="11309"/>
    <n v="8106"/>
    <s v="HEINEKEN"/>
    <s v="HEINEKEN- Deportes - Digital - UF 2025/26- 2Q26"/>
    <x v="2"/>
    <s v="Heineken - Deportes - ROS - A21-54 - Upfront 25/26 - 2Q'26"/>
    <n v="572919"/>
    <s v="Heineken - Deportes - DIO - SFV - FSEN - Pre - ROS - DT/MB/CTV - non-CoV"/>
    <n v="94782838"/>
    <s v="FSEN"/>
    <s v="Flat Rate"/>
    <n v="27.92"/>
    <s v="Bill on Contract"/>
    <n v="53006"/>
    <n v="1479.94"/>
    <m/>
    <m/>
    <s v=" "/>
    <n v="0"/>
    <m/>
    <m/>
    <n v="325960"/>
    <n v="325960"/>
    <n v="133244"/>
    <n v="133244"/>
    <n v="1"/>
    <n v="0.40877502207043598"/>
    <n v="0"/>
    <n v="0"/>
    <s v="Bill on Contract - Straightline"/>
    <n v="1479.94"/>
    <n v="159083"/>
    <n v="4441.6000000000004"/>
    <s v="HEINEKEN- Deportes - Digital - UF 2025/26- 2Q26"/>
    <n v="92798069"/>
    <s v="P21-54"/>
    <s v="O-DNH1JO"/>
    <m/>
    <s v="Mike Maresca"/>
    <s v="Guaranteed"/>
    <s v="DIO - SFV - FSEN - Pre - ROS - DT/MB/CTV - non-CoV"/>
    <n v="121258"/>
    <d v="2026-06-30T00:00:00"/>
    <d v="2026-04-01T00:00:00"/>
    <d v="2026-06-30T00:00:00"/>
    <s v="Direct SFV"/>
    <m/>
    <d v="2026-07-05T12:53:18"/>
  </r>
  <r>
    <s v="AEGIS INNOV8 LLC"/>
    <n v="11309"/>
    <n v="8106"/>
    <s v="HEINEKEN"/>
    <s v="HEINEKEN- Deportes - Digital - UF 2025/26- 2Q26"/>
    <x v="2"/>
    <s v="Heineken - Deportes - ROS - A21-54 - Upfront 25/26 - 2Q'26"/>
    <n v="572919"/>
    <s v="Heineken - Deportes - LFV - FSLS - Pre/Mid - A21-54 - ROS - DT/MB/CTV - 2Q'26"/>
    <n v="92798072"/>
    <s v="FOX Sports Streaming"/>
    <s v="CPM"/>
    <n v="27.92"/>
    <s v="3P CoView Imps"/>
    <n v="8570"/>
    <n v="186.06"/>
    <m/>
    <m/>
    <s v=" "/>
    <s v=""/>
    <m/>
    <s v="Show Only Net; NONE"/>
    <n v="18547"/>
    <n v="11410"/>
    <n v="13931"/>
    <n v="8570"/>
    <n v="1"/>
    <n v="0.75111877931740978"/>
    <n v="0"/>
    <n v="0"/>
    <s v="Bill on Contract - Straightline"/>
    <n v="186.06"/>
    <n v="20000"/>
    <n v="558.4"/>
    <s v="HEINEKEN- Deportes - Digital - UF 2025/26- 2Q26"/>
    <n v="92798069"/>
    <s v="P21-54"/>
    <s v="O-DNH1JO"/>
    <m/>
    <s v="Mike Maresca"/>
    <s v="Guaranteed"/>
    <s v="LFV - FSLS - Pre/Mid - ROS - DT/MB/CTV"/>
    <n v="121258"/>
    <d v="2026-06-30T00:00:00"/>
    <d v="2026-04-01T00:00:00"/>
    <d v="2026-06-30T00:00:00"/>
    <s v="Direct LFV"/>
    <m/>
    <d v="2026-07-05T12:53:18"/>
  </r>
  <r>
    <s v="AEGIS INNOV8 LLC"/>
    <n v="11309"/>
    <n v="8106"/>
    <s v="HEINEKEN"/>
    <s v="Heineken/2Q-3Q'26 Scatter/Digital/MWC"/>
    <x v="3"/>
    <s v="Heineken - Run of World Cup Video - AAT 21+ - Package"/>
    <n v="590783"/>
    <s v="Heineken - DIO - LFV - TUB - Pre/Mid - MWC - AAT 21+ - DT/MB/CTV"/>
    <n v="94404208"/>
    <s v="Fox Sold Tubi"/>
    <s v="CPM"/>
    <n v="40"/>
    <s v="3P Audience Target"/>
    <n v="2037014"/>
    <n v="81480.56"/>
    <m/>
    <m/>
    <s v=" "/>
    <n v="0"/>
    <m/>
    <m/>
    <n v="2037014"/>
    <n v="2037014"/>
    <n v="0"/>
    <n v="0"/>
    <n v="1"/>
    <n v="0"/>
    <n v="0"/>
    <n v="0"/>
    <s v="Bill on Actuals - 3rd Party Performance"/>
    <n v="47629.22"/>
    <n v="3062500"/>
    <n v="122500"/>
    <s v="Heineken/2Q-3Q'26 Scatter/Digital/MWC"/>
    <n v="94404205"/>
    <s v="Audience Target"/>
    <s v="O-D3098T8"/>
    <m/>
    <s v="Mike Maresca"/>
    <s v="Guaranteed"/>
    <s v="DIO - LFV - TUB - Pre/Mid - MWC - DT/MB/CTV"/>
    <n v="129870"/>
    <d v="2026-06-30T00:00:00"/>
    <d v="2026-06-01T00:00:00"/>
    <d v="2026-07-19T00:00:00"/>
    <s v="Direct LFV"/>
    <m/>
    <d v="2026-07-05T12:53:18"/>
  </r>
  <r>
    <s v="AEGIS INNOV8 LLC"/>
    <n v="11309"/>
    <n v="8106"/>
    <s v="HEINEKEN"/>
    <s v="Heineken/2Q-3Q'26 Scatter/Digital/MWC"/>
    <x v="3"/>
    <s v="Heineken - Run of World Cup Video - AAT 21+ - Package"/>
    <n v="590783"/>
    <s v="Heineken - DIO - ROV - FS - Pre/Mid - MWC - AAT 21+ - DT/MB/CTV"/>
    <n v="94404211"/>
    <s v="FOX Sports"/>
    <s v="CPM"/>
    <n v="40"/>
    <s v="3P Audience Target"/>
    <n v="890204"/>
    <n v="35608.160000000003"/>
    <m/>
    <m/>
    <s v=" "/>
    <s v=""/>
    <m/>
    <m/>
    <n v="890204"/>
    <n v="890204"/>
    <n v="0"/>
    <n v="0"/>
    <n v="1"/>
    <n v="0"/>
    <n v="0"/>
    <n v="0"/>
    <s v="Bill on Actuals - 3rd Party Performance"/>
    <n v="20412.52"/>
    <n v="1312500"/>
    <n v="52500"/>
    <s v="Heineken/2Q-3Q'26 Scatter/Digital/MWC"/>
    <n v="94404205"/>
    <s v="Audience Target"/>
    <s v="O-D3098T8"/>
    <m/>
    <s v="Mike Maresca"/>
    <s v="Guaranteed"/>
    <s v="DIO - ROV - FS - Pre/Mid - MWC - DT/MB/CTV"/>
    <n v="129870"/>
    <d v="2026-06-30T00:00:00"/>
    <d v="2026-06-01T00:00:00"/>
    <d v="2026-07-19T00:00:00"/>
    <s v="Direct ROV"/>
    <m/>
    <d v="2026-07-05T12:53:18"/>
  </r>
  <r>
    <s v="AEGIS INNOV8 LLC"/>
    <n v="11309"/>
    <n v="8106"/>
    <s v="HEINEKEN"/>
    <s v="Heineken/2Q-3Q'26 Scatter/Digital/MWC"/>
    <x v="3"/>
    <s v="Heineken - World Cup Social Sponsorship Content - Package"/>
    <n v="590855"/>
    <s v="Heineken - DIO - SOC - FOX Sports - X - MWC"/>
    <n v="590857"/>
    <s v="FOX Sports - Twitter"/>
    <s v="Flat Rate"/>
    <n v="225000"/>
    <s v="Bill on Contract"/>
    <n v="0"/>
    <n v="68877.55"/>
    <m/>
    <m/>
    <s v=" "/>
    <n v="0"/>
    <m/>
    <m/>
    <n v="0"/>
    <n v="0"/>
    <n v="0"/>
    <n v="0"/>
    <n v="1"/>
    <n v="0"/>
    <n v="0"/>
    <n v="0"/>
    <s v="Bill on Contract - Pro-rated"/>
    <n v="68877.55"/>
    <n v="225000"/>
    <n v="225000"/>
    <s v="Heineken/2Q-3Q'26 Scatter/Digital/MWC"/>
    <n v="270111"/>
    <s v="P2+"/>
    <s v="O-D3098T8"/>
    <m/>
    <s v="Mike Maresca"/>
    <s v="Guaranteed"/>
    <s v="DIO - SOC - FOX Sports - X - MWC"/>
    <n v="129870"/>
    <d v="2026-06-30T00:00:00"/>
    <d v="2026-06-01T00:00:00"/>
    <d v="2026-07-19T00:00:00"/>
    <s v="Social X"/>
    <m/>
    <d v="2026-07-05T12:53:18"/>
  </r>
  <r>
    <s v="APEX EXCHANGE"/>
    <n v="10564"/>
    <n v="8880"/>
    <s v="ABBVIE"/>
    <s v="AbbVie Skyrizi PS DSA1 /25-26/Digital/Scatter/Entertainment/"/>
    <x v="4"/>
    <s v="Abbvie Skyrizi PS DSA1 - DIO - LFV - Entertainment ROS"/>
    <n v="578383"/>
    <s v="Abbvie Skyrizi PS DSA1 - DIO - LFV - RON Ent - Pre/Mid - ROS - CTV June"/>
    <n v="92973566"/>
    <s v="RON - Ent"/>
    <s v="CPM"/>
    <n v="13.6"/>
    <s v="3P CoView Imps"/>
    <n v="4309974"/>
    <n v="53169.23"/>
    <m/>
    <m/>
    <s v=" "/>
    <n v="0"/>
    <m/>
    <s v="Show Only Net; NONE"/>
    <n v="3390322"/>
    <n v="3390322"/>
    <n v="4309974"/>
    <n v="4309974"/>
    <n v="1"/>
    <n v="1.2712582225200311"/>
    <n v="0"/>
    <n v="0"/>
    <s v="Bill on Actuals - 3rd Party Performance"/>
    <n v="50940.75"/>
    <n v="3909502"/>
    <n v="53169.23"/>
    <s v="AbbVie Skyrizi PS DSA1 /25-26/Digital/Scatter/Entertainment/"/>
    <n v="92973560"/>
    <s v="P2+"/>
    <s v="O-D2PDCUV"/>
    <m/>
    <s v="Carly Sartwell"/>
    <s v="Guaranteed"/>
    <s v="DIO - LFV - RON Ent - Pre/Mid - ROS - DT/MB/CTV/STB"/>
    <n v="123490"/>
    <d v="2026-06-30T00:00:00"/>
    <d v="2026-04-01T00:00:00"/>
    <d v="2026-06-30T00:00:00"/>
    <s v="Direct LFV"/>
    <m/>
    <d v="2026-07-05T12:53:18"/>
  </r>
  <r>
    <s v="APEX EXCHANGE"/>
    <n v="10564"/>
    <n v="8880"/>
    <s v="ABBVIE"/>
    <s v="AbbVie Skyrizi PS DSA1 /25-26/Digital/Scatter/Entertainment/"/>
    <x v="4"/>
    <s v="Abbvie Skyrizi PS DSA1 - DIO - LFV - Entertainment ROS"/>
    <n v="578383"/>
    <s v="Abbvie Skyrizi PS DSA1 - DIO - LFV - RON Ent - Pre/Mid - ROS - DT/MB/TB June"/>
    <n v="92973575"/>
    <s v="RON - Ent"/>
    <s v="CPM"/>
    <n v="13.6"/>
    <s v="3P Imps"/>
    <n v="1526883"/>
    <n v="20765.61"/>
    <m/>
    <m/>
    <s v=" "/>
    <s v=""/>
    <m/>
    <m/>
    <n v="1526883"/>
    <n v="1526883"/>
    <n v="0"/>
    <n v="0"/>
    <n v="1"/>
    <n v="0"/>
    <n v="0"/>
    <n v="0"/>
    <s v="Bill on Actuals - 3rd Party Performance"/>
    <n v="28654.17"/>
    <n v="2199095"/>
    <n v="29907.69"/>
    <s v="AbbVie Skyrizi PS DSA1 /25-26/Digital/Scatter/Entertainment/"/>
    <n v="92973560"/>
    <s v="P2+"/>
    <s v="O-D2PDCUV"/>
    <m/>
    <s v="Carly Sartwell"/>
    <s v="Guaranteed"/>
    <s v="DIO - LFV - RON Ent - Pre/Mid - ROS - DT/MB/CTV/STB"/>
    <n v="123490"/>
    <d v="2026-06-30T00:00:00"/>
    <d v="2026-04-01T00:00:00"/>
    <d v="2026-06-30T00:00:00"/>
    <s v="Direct LFV"/>
    <m/>
    <d v="2026-07-05T12:53:18"/>
  </r>
  <r>
    <s v="APEX EXCHANGE"/>
    <n v="10564"/>
    <n v="7472"/>
    <s v="PARAMOUNT PICTURES"/>
    <s v="Paramount Pictures - Jackass 5/Digital/Satter/2Q26"/>
    <x v="5"/>
    <s v="APEX - Paramount Pictures - Jackass 5 - Entertainment ROS - AAT M18-34 - 2Q'26 Package"/>
    <n v="591418"/>
    <s v="APEX - Paramount Pictures - DIO - LFV - RON Ent - Pre/Mid - ROS - DT/MB/CTV/STB - AAT M18-34 - Jackass 5 - 2Q'26"/>
    <n v="94320519"/>
    <s v="RON - Ent"/>
    <s v="CPM"/>
    <n v="20"/>
    <s v="3P Audience Target"/>
    <n v="3041031"/>
    <n v="60000"/>
    <m/>
    <m/>
    <s v=" "/>
    <n v="0"/>
    <m/>
    <s v="Show Only Net; NONE"/>
    <n v="3041031"/>
    <n v="3041031"/>
    <n v="0"/>
    <n v="0"/>
    <n v="1"/>
    <n v="0"/>
    <n v="0"/>
    <n v="0"/>
    <s v="Bill on Actuals - 3rd Party Performance"/>
    <n v="60000"/>
    <n v="3000000"/>
    <n v="60000"/>
    <s v="Paramount Pictures - Jackass 5/Digital/Satter/2Q26"/>
    <n v="94320445"/>
    <s v="Audience Target"/>
    <s v="O-D30JBH2"/>
    <m/>
    <s v="Jeanne Feeley"/>
    <s v="Guaranteed"/>
    <s v="DIO - LFV - RON Ent - Pre/Mid - ROS - DT/MB/CTV/STB"/>
    <n v="129661"/>
    <d v="2026-06-30T00:00:00"/>
    <d v="2026-06-01T00:00:00"/>
    <d v="2026-06-28T00:00:00"/>
    <s v="Direct LFV"/>
    <m/>
    <d v="2026-07-05T12:53:18"/>
  </r>
  <r>
    <s v="APEX EXCHANGE"/>
    <n v="10564"/>
    <n v="7472"/>
    <s v="PARAMOUNT PICTURES"/>
    <s v="Scary Movie/Digital/Scatter/2Q26"/>
    <x v="6"/>
    <s v="APEX - Paramount Pictures - Scary Movie - Entertainment ROS - AAT A18-34 - 2Q'26 Package"/>
    <n v="588711"/>
    <s v="APEX - Scary Movie - DIO - LFV - RON Ent - Pre/Mid - ROS - DT/MB/CTV/STB - AAT 18-34 - 2Q'26"/>
    <n v="93993815"/>
    <s v="RON - Ent"/>
    <s v="CPM"/>
    <n v="20"/>
    <s v="3P Audience Target"/>
    <n v="2321592"/>
    <n v="46431.839999999997"/>
    <m/>
    <m/>
    <s v=" "/>
    <n v="0"/>
    <m/>
    <s v="Show Only Net; NONE"/>
    <n v="698080"/>
    <n v="2321592"/>
    <n v="0"/>
    <n v="0"/>
    <n v="1"/>
    <n v="0"/>
    <n v="0"/>
    <n v="0"/>
    <s v="Bill on Actuals - 3rd Party Performance"/>
    <n v="13568.16"/>
    <n v="3000000"/>
    <n v="60000"/>
    <s v="Scary Movie/Digital/Scatter/2Q26"/>
    <n v="93993360"/>
    <s v="Audience Target"/>
    <s v="O-D2V5ENF-R0"/>
    <m/>
    <s v="Jeanne Feeley"/>
    <s v="Guaranteed"/>
    <s v="DIO - LFV - RON Ent - Pre/Mid - ROS - DT/MB/CTV/STB"/>
    <n v="128349"/>
    <d v="2026-06-30T00:00:00"/>
    <d v="2026-05-13T00:00:00"/>
    <d v="2026-06-07T00:00:00"/>
    <s v="Direct LF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10"/>
    <s v="Albert - DIO - LFV - 1F - Tubi - Pre/Mid - ROS - DT/MB/CTV - FW - SXD - 2Q'26"/>
    <n v="94295266"/>
    <s v="Fox Sold Tubi"/>
    <s v="CPM"/>
    <n v="17"/>
    <s v="3P Imps"/>
    <n v="45614"/>
    <n v="750.18"/>
    <m/>
    <m/>
    <s v=" "/>
    <n v="0"/>
    <m/>
    <m/>
    <n v="45614"/>
    <n v="45614"/>
    <n v="0"/>
    <n v="0"/>
    <n v="1"/>
    <n v="0"/>
    <n v="0"/>
    <n v="0"/>
    <s v="Bill on Actuals - 3rd Party Performance"/>
    <n v="304.7"/>
    <n v="44128"/>
    <n v="750.18"/>
    <s v="Albert/25-26/2Q'26/Digital/One Fox"/>
    <n v="93089294"/>
    <s v="P2+"/>
    <n v="43091.1"/>
    <m/>
    <s v="Jon Renz"/>
    <s v="Guaranteed"/>
    <s v="DIO - LFV - 1F - Tubi - Pre/Mid - ROS - DT/MB/CTV - FW - SXD"/>
    <n v="129468"/>
    <d v="2026-06-30T00:00:00"/>
    <d v="2026-06-01T00:00:00"/>
    <d v="2026-06-07T00:00:00"/>
    <s v="Direct LF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10"/>
    <s v="Albert - DIO - ROV - 1F - SEN - Pre/Mid - ROS - DT/MB/CTV - SXD - 2Q'26"/>
    <n v="94295272"/>
    <s v="OneFOX"/>
    <s v="CPM"/>
    <n v="17"/>
    <s v="3P Imps"/>
    <n v="105965"/>
    <n v="1749.9"/>
    <m/>
    <m/>
    <s v=" "/>
    <s v=""/>
    <m/>
    <m/>
    <n v="105965"/>
    <n v="105965"/>
    <n v="0"/>
    <n v="0"/>
    <n v="1"/>
    <n v="0"/>
    <n v="0"/>
    <n v="0"/>
    <s v="Bill on Actuals - 3rd Party Performance"/>
    <n v="710.76"/>
    <n v="102935"/>
    <n v="1749.9"/>
    <s v="Albert/25-26/2Q'26/Digital/One Fox"/>
    <n v="93089294"/>
    <s v="P2+"/>
    <n v="43091.1"/>
    <m/>
    <s v="Jon Renz"/>
    <s v="Guaranteed"/>
    <s v="DIO - ROV - 1F - SEN - Pre/Mid - ROS - DT/MB/CTV - SXD"/>
    <n v="129468"/>
    <d v="2026-06-30T00:00:00"/>
    <d v="2026-06-01T00:00:00"/>
    <d v="2026-06-07T00:00:00"/>
    <s v="Direct RO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3"/>
    <s v="Albert - DIO - LFV - 1F - Tubi - Pre/Mid - ROS - DT/MB/CTV - FW - SXD - 2Q'26"/>
    <n v="94295269"/>
    <s v="Fox Sold Tubi"/>
    <s v="CPM"/>
    <n v="17"/>
    <s v="3P Imps"/>
    <n v="45803"/>
    <n v="750.18"/>
    <m/>
    <m/>
    <s v=" "/>
    <n v="0"/>
    <m/>
    <m/>
    <n v="45803"/>
    <n v="45803"/>
    <n v="0"/>
    <n v="0"/>
    <n v="1"/>
    <n v="0"/>
    <n v="0"/>
    <n v="0"/>
    <s v="Bill on Actuals - 3rd Party Performance"/>
    <n v="357.71"/>
    <n v="44128"/>
    <n v="750.18"/>
    <s v="Albert/25-26/2Q'26/Digital/One Fox"/>
    <n v="93089294"/>
    <s v="P2+"/>
    <n v="43091.1"/>
    <m/>
    <s v="Jon Renz"/>
    <s v="Guaranteed"/>
    <s v="DIO - LFV - 1F - Tubi - Pre/Mid - ROS - DT/MB/CTV - FW - SXD"/>
    <n v="129468"/>
    <d v="2026-06-30T00:00:00"/>
    <d v="2026-06-08T00:00:00"/>
    <d v="2026-06-14T00:00:00"/>
    <s v="Direct LF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3"/>
    <s v="Albert - DIO - ROV - 1F - SEN - Pre/Mid - ROS - DT/MB/CTV - SXD - 2Q'26"/>
    <n v="94295262"/>
    <s v="OneFOX"/>
    <s v="CPM"/>
    <n v="17"/>
    <s v="3P Imps"/>
    <n v="106238"/>
    <n v="1749.9"/>
    <m/>
    <m/>
    <s v=" "/>
    <s v=""/>
    <m/>
    <m/>
    <n v="106238"/>
    <n v="106238"/>
    <n v="0"/>
    <n v="0"/>
    <n v="1"/>
    <n v="0"/>
    <n v="0"/>
    <n v="0"/>
    <s v="Bill on Actuals - 3rd Party Performance"/>
    <n v="834.41"/>
    <n v="102935"/>
    <n v="1749.9"/>
    <s v="Albert/25-26/2Q'26/Digital/One Fox"/>
    <n v="93089294"/>
    <s v="P2+"/>
    <n v="43091.1"/>
    <m/>
    <s v="Jon Renz"/>
    <s v="Guaranteed"/>
    <s v="DIO - ROV - 1F - SEN - Pre/Mid - ROS - DT/MB/CTV - SXD"/>
    <n v="129468"/>
    <d v="2026-06-30T00:00:00"/>
    <d v="2026-06-08T00:00:00"/>
    <d v="2026-06-14T00:00:00"/>
    <s v="Direct RO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6"/>
    <s v="Albert - DIO - LFV - 1F - Tubi - Pre/Mid - ROS - DT/MB/CTV - FW - SXD - 2Q'26"/>
    <n v="94295284"/>
    <s v="Fox Sold Tubi"/>
    <s v="CPM"/>
    <n v="17"/>
    <s v="3P Imps"/>
    <n v="46061"/>
    <n v="750.18"/>
    <m/>
    <m/>
    <s v=" "/>
    <n v="0"/>
    <m/>
    <m/>
    <n v="46061"/>
    <n v="46061"/>
    <n v="0"/>
    <n v="0"/>
    <n v="1"/>
    <n v="0"/>
    <n v="0"/>
    <n v="0"/>
    <s v="Bill on Actuals - 3rd Party Performance"/>
    <n v="375.09"/>
    <n v="44128"/>
    <n v="750.18"/>
    <s v="Albert/25-26/2Q'26/Digital/One Fox"/>
    <n v="93089294"/>
    <s v="P2+"/>
    <n v="43091.1"/>
    <m/>
    <s v="Jon Renz"/>
    <s v="Guaranteed"/>
    <s v="DIO - LFV - 1F - Tubi - Pre/Mid - ROS - DT/MB/CTV - FW - SXD"/>
    <n v="129468"/>
    <d v="2026-06-30T00:00:00"/>
    <d v="2026-06-15T00:00:00"/>
    <d v="2026-06-21T00:00:00"/>
    <s v="Direct LF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6"/>
    <s v="Albert - DIO - ROV - 1F - SEN - Pre/Mid - ROS - DT/MB/CTV - SXD - 2Q'26"/>
    <n v="94295295"/>
    <s v="OneFOX"/>
    <s v="CPM"/>
    <n v="17"/>
    <s v="3P Imps"/>
    <n v="106022"/>
    <n v="1749.9"/>
    <m/>
    <m/>
    <s v=" "/>
    <s v=""/>
    <m/>
    <m/>
    <n v="106022"/>
    <n v="106022"/>
    <n v="0"/>
    <n v="0"/>
    <n v="1"/>
    <n v="0"/>
    <n v="0"/>
    <n v="0"/>
    <s v="Bill on Actuals - 3rd Party Performance"/>
    <n v="874.95"/>
    <n v="102935"/>
    <n v="1749.9"/>
    <s v="Albert/25-26/2Q'26/Digital/One Fox"/>
    <n v="93089294"/>
    <s v="P2+"/>
    <n v="43091.1"/>
    <m/>
    <s v="Jon Renz"/>
    <s v="Guaranteed"/>
    <s v="DIO - ROV - 1F - SEN - Pre/Mid - ROS - DT/MB/CTV - SXD"/>
    <n v="129468"/>
    <d v="2026-06-30T00:00:00"/>
    <d v="2026-06-15T00:00:00"/>
    <d v="2026-06-21T00:00:00"/>
    <s v="Direct RO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9"/>
    <s v="Albert - DIO - LFV - 1F - Tubi - Pre/Mid - ROS - DT/MB/CTV - FW - SXD - 2Q'26"/>
    <n v="94295278"/>
    <s v="Fox Sold Tubi"/>
    <s v="CPM"/>
    <n v="17"/>
    <s v="3P Imps"/>
    <n v="45961"/>
    <n v="750.18"/>
    <m/>
    <m/>
    <s v=" "/>
    <n v="0"/>
    <m/>
    <m/>
    <n v="45961"/>
    <n v="45961"/>
    <n v="0"/>
    <n v="0"/>
    <n v="1"/>
    <n v="0"/>
    <n v="0"/>
    <n v="0"/>
    <s v="Bill on Actuals - 3rd Party Performance"/>
    <n v="375.09"/>
    <n v="44128"/>
    <n v="750.18"/>
    <s v="Albert/25-26/2Q'26/Digital/One Fox"/>
    <n v="93089294"/>
    <s v="P2+"/>
    <n v="43091.1"/>
    <m/>
    <s v="Jon Renz"/>
    <s v="Guaranteed"/>
    <s v="DIO - LFV - 1F - Tubi - Pre/Mid - ROS - DT/MB/CTV - FW - SXD"/>
    <n v="129468"/>
    <d v="2026-06-30T00:00:00"/>
    <d v="2026-06-22T00:00:00"/>
    <d v="2026-06-28T00:00:00"/>
    <s v="Direct LFV"/>
    <m/>
    <d v="2026-07-05T12:53:18"/>
  </r>
  <r>
    <s v="BLISS POINT MEDIA"/>
    <n v="10966"/>
    <n v="5472"/>
    <s v="ALBERT"/>
    <s v="Albert/25-26/2Q'26/Digital/One Fox"/>
    <x v="7"/>
    <s v="Albert - DIO - ROV - 1F SEN - Pre/Mid - ROS - FW - SXD - 2Q'26"/>
    <n v="591129"/>
    <s v="Albert - DIO - ROV - 1F - SEN - Pre/Mid - ROS - DT/MB/CTV - SXD - 2Q'26"/>
    <n v="94295291"/>
    <s v="OneFOX"/>
    <s v="CPM"/>
    <n v="17"/>
    <s v="3P Imps"/>
    <n v="97068"/>
    <n v="1650.16"/>
    <m/>
    <m/>
    <s v=" "/>
    <s v=""/>
    <m/>
    <m/>
    <n v="97068"/>
    <n v="97068"/>
    <n v="0"/>
    <n v="0"/>
    <n v="1"/>
    <n v="0"/>
    <n v="0"/>
    <n v="0"/>
    <s v="Bill on Actuals - 3rd Party Performance"/>
    <n v="874.95"/>
    <n v="102935"/>
    <n v="1749.9"/>
    <s v="Albert/25-26/2Q'26/Digital/One Fox"/>
    <n v="93089294"/>
    <s v="P2+"/>
    <n v="43091.1"/>
    <m/>
    <s v="Jon Renz"/>
    <s v="Guaranteed"/>
    <s v="DIO - ROV - 1F - SEN - Pre/Mid - ROS - DT/MB/CTV - SXD"/>
    <n v="129468"/>
    <d v="2026-06-30T00:00:00"/>
    <d v="2026-06-22T00:00:00"/>
    <d v="2026-06-28T00:00:00"/>
    <s v="Direct ROV"/>
    <m/>
    <d v="2026-07-05T12:53:18"/>
  </r>
  <r>
    <s v="BLISS POINT MEDIA"/>
    <n v="10966"/>
    <n v="19872"/>
    <s v="KALSHI INC"/>
    <s v="KALSHI INC / SCATTER / DIGITAL / FY 25-26 / World Cup digital"/>
    <x v="8"/>
    <s v="Kalshi - Run of World Cup Video - MWC 2Q3Q26"/>
    <n v="585576"/>
    <s v="Kalshi - DIO - LFV - TUB - Pre/Mid - MWC - DT/MB/CTV"/>
    <n v="94169082"/>
    <s v="Fox Sold Tubi"/>
    <s v="CPM"/>
    <n v="44"/>
    <s v="3P Imps"/>
    <n v="7048008"/>
    <n v="310112.34999999998"/>
    <m/>
    <m/>
    <s v=" "/>
    <n v="0"/>
    <m/>
    <m/>
    <n v="7048008"/>
    <n v="7048008"/>
    <n v="0"/>
    <n v="0"/>
    <n v="1"/>
    <n v="0"/>
    <n v="0"/>
    <n v="0"/>
    <s v="Bill on Actuals - 3rd Party Performance"/>
    <n v="155241.82999999999"/>
    <n v="10698864"/>
    <n v="470750.02"/>
    <s v="KALSHI INC / SCATTER / DIGITAL / FY 25-26 / World Cup digital"/>
    <n v="94169055"/>
    <s v="P2+"/>
    <n v="43543.4"/>
    <m/>
    <s v="Adam Chardavoyne"/>
    <s v="Guaranteed"/>
    <s v="DIO - LFV - TUB - Pre/Mid - MWC - DT/MB/CTV"/>
    <n v="128876"/>
    <d v="2026-06-30T00:00:00"/>
    <d v="2026-06-01T00:00:00"/>
    <d v="2026-07-19T00:00:00"/>
    <s v="Direct LFV"/>
    <m/>
    <d v="2026-07-05T12:53:18"/>
  </r>
  <r>
    <s v="BLISS POINT MEDIA"/>
    <n v="10966"/>
    <n v="19872"/>
    <s v="KALSHI INC"/>
    <s v="KALSHI INC / SCATTER / DIGITAL / FY 25-26 / World Cup digital"/>
    <x v="8"/>
    <s v="Kalshi - Run of World Cup Video - MWC 2Q3Q26"/>
    <n v="585576"/>
    <s v="Kalshi - DIO - ROV - FS - Pre/Mid - MWC - DT/MB/CTV"/>
    <n v="94169070"/>
    <s v="FOX Sports"/>
    <s v="CPM"/>
    <n v="44"/>
    <s v="3P Imps"/>
    <n v="3074716"/>
    <n v="135287.5"/>
    <m/>
    <m/>
    <s v=" "/>
    <s v=""/>
    <m/>
    <m/>
    <n v="3074716"/>
    <n v="3074716"/>
    <n v="0"/>
    <n v="0"/>
    <n v="1"/>
    <n v="0"/>
    <n v="0"/>
    <n v="0"/>
    <s v="Bill on Actuals - 3rd Party Performance"/>
    <n v="66532.210000000006"/>
    <n v="4585227"/>
    <n v="201749.99"/>
    <s v="KALSHI INC / SCATTER / DIGITAL / FY 25-26 / World Cup digital"/>
    <n v="94169055"/>
    <s v="P2+"/>
    <n v="43543.4"/>
    <m/>
    <s v="Adam Chardavoyne"/>
    <s v="Guaranteed"/>
    <s v="DIO - ROV - FS - Pre/Mid - MWC - DT/MB/CTV"/>
    <n v="128876"/>
    <d v="2026-06-30T00:00:00"/>
    <d v="2026-06-01T00:00:00"/>
    <d v="2026-07-19T00:00:00"/>
    <s v="Direct ROV"/>
    <m/>
    <d v="2026-07-05T12:53:18"/>
  </r>
  <r>
    <s v="BLISS POINT MEDIA"/>
    <n v="10966"/>
    <n v="19872"/>
    <s v="KALSHI INC"/>
    <s v="KALSHI INC / SCATTER / DIGITAL / FY 25-26 / World Cup digital"/>
    <x v="8"/>
    <s v="Kalshi - Run of AllFOX Video - Soccer Fans - MWC 2Q3Q26 - AAT"/>
    <n v="585595"/>
    <s v="Kalshi - DIO - LFV - 1F - Tubi - Pre/Mid - ROS - DT/MB/CTV - FW - SXD - AAT"/>
    <n v="94169089"/>
    <s v="Fox Sold Tubi"/>
    <s v="CPM"/>
    <n v="20"/>
    <s v="3P Audience Target"/>
    <n v="2008796"/>
    <n v="40175.919999999998"/>
    <m/>
    <m/>
    <s v=" "/>
    <n v="0"/>
    <m/>
    <m/>
    <n v="2008796"/>
    <n v="2008796"/>
    <n v="0"/>
    <n v="0"/>
    <n v="1"/>
    <n v="0"/>
    <n v="0"/>
    <n v="0"/>
    <s v="Bill on Actuals - 3rd Party Performance"/>
    <n v="18376.07"/>
    <n v="6337500"/>
    <n v="126750"/>
    <s v="KALSHI INC / SCATTER / DIGITAL / FY 25-26 / World Cup digital"/>
    <n v="94169055"/>
    <s v="Audience Target"/>
    <n v="43543.4"/>
    <m/>
    <s v="Adam Chardavoyne"/>
    <s v="Guaranteed"/>
    <s v="DIO - LFV - 1F - Tubi - Pre/Mid - ROS - DT/MB/CTV - FW - SXD"/>
    <n v="128876"/>
    <d v="2026-06-30T00:00:00"/>
    <d v="2026-06-01T00:00:00"/>
    <d v="2026-09-27T00:00:00"/>
    <s v="Direct LFV"/>
    <m/>
    <d v="2026-07-05T12:53:18"/>
  </r>
  <r>
    <s v="BLISS POINT MEDIA"/>
    <n v="10966"/>
    <n v="19872"/>
    <s v="KALSHI INC"/>
    <s v="KALSHI INC / SCATTER / DIGITAL / FY 25-26 / World Cup digital"/>
    <x v="8"/>
    <s v="Kalshi - Run of AllFOX Video - Soccer Fans - MWC 2Q3Q26 - AAT"/>
    <n v="585595"/>
    <s v="Kalshi - DIO - ROV - 1F - SEN - Pre/Mid - ROS - DT/MB/CTV - SXD - AAT"/>
    <n v="94169061"/>
    <s v="OneFOX"/>
    <s v="CPM"/>
    <n v="20"/>
    <s v="3P Audience Target"/>
    <n v="4121095"/>
    <n v="82421.899999999994"/>
    <m/>
    <m/>
    <s v=" "/>
    <s v=""/>
    <m/>
    <m/>
    <n v="4121095"/>
    <n v="4121095"/>
    <n v="0"/>
    <n v="0"/>
    <n v="1"/>
    <n v="0"/>
    <n v="0"/>
    <n v="0"/>
    <s v="Bill on Actuals - 3rd Party Performance"/>
    <n v="42877.49"/>
    <n v="14787500"/>
    <n v="295750"/>
    <s v="KALSHI INC / SCATTER / DIGITAL / FY 25-26 / World Cup digital"/>
    <n v="94169055"/>
    <s v="Audience Target"/>
    <n v="43543.4"/>
    <m/>
    <s v="Adam Chardavoyne"/>
    <s v="Guaranteed"/>
    <s v="DIO - ROV - 1F - SEN - Pre/Mid - ROS - DT/MB/CTV - SXD"/>
    <n v="128876"/>
    <d v="2026-06-30T00:00:00"/>
    <d v="2026-06-01T00:00:00"/>
    <d v="2026-09-27T00:00:00"/>
    <s v="Direct ROV"/>
    <m/>
    <d v="2026-07-05T12:53:18"/>
  </r>
  <r>
    <s v="BLISS POINT MEDIA"/>
    <n v="10966"/>
    <n v="19872"/>
    <s v="KALSHI INC"/>
    <s v="KALSHI INC / SCATTER / DIGITAL / FY 25-26 / World Cup digital"/>
    <x v="8"/>
    <s v="Kalshi - World Cup Social Sponsorship Content - TalkSports Sponsorship"/>
    <n v="588687"/>
    <s v="Kalshi - DIO - SOC - FOX Sports - Facebook/Instagram - MWC - TalkSports Sponsorship"/>
    <n v="588688"/>
    <s v="FOX Sports - FB-Inst"/>
    <s v="Flat Rate"/>
    <n v="0.15"/>
    <s v="Bill on Contract"/>
    <n v="204081400"/>
    <n v="30612.21"/>
    <m/>
    <m/>
    <s v=" "/>
    <n v="0"/>
    <m/>
    <m/>
    <n v="0"/>
    <n v="0"/>
    <n v="0"/>
    <n v="0"/>
    <n v="1"/>
    <n v="0"/>
    <n v="0"/>
    <n v="0"/>
    <s v="Bill on Contract - Pro-rated"/>
    <n v="30612.21"/>
    <n v="666666"/>
    <n v="99999.9"/>
    <s v="KALSHI INC / SCATTER / DIGITAL / FY 25-26 / World Cup digital"/>
    <n v="267803"/>
    <s v="P2+"/>
    <n v="43543.4"/>
    <m/>
    <s v="Adam Chardavoyne"/>
    <s v="Guaranteed"/>
    <s v="DIO - SOC - FOX Sports - Facebook/Instagram - MWC"/>
    <n v="128876"/>
    <d v="2026-06-30T00:00:00"/>
    <d v="2026-06-01T00:00:00"/>
    <d v="2026-07-19T00:00:00"/>
    <s v="Social Facebook/Instagram"/>
    <m/>
    <d v="2026-07-05T12:53:18"/>
  </r>
  <r>
    <s v="BLISS POINT MEDIA"/>
    <n v="10966"/>
    <n v="19872"/>
    <s v="KALSHI INC"/>
    <s v="KALSHI INC / SCATTER / DIGITAL / FY 25-26 / World Cup digital"/>
    <x v="8"/>
    <s v="Kalshi - World Cup Social Sponsorship Content - TalkSports Sponsorship"/>
    <n v="588687"/>
    <s v="Kalshi - DIO - SOC - FOX Sports - TikTok - MWC - TalkSports Sponsorship"/>
    <n v="588691"/>
    <s v="FOX Sports - TikTok"/>
    <s v="Flat Rate"/>
    <n v="0.15"/>
    <s v="Bill on Contract"/>
    <n v="204081733"/>
    <n v="30612.26"/>
    <m/>
    <m/>
    <s v=" "/>
    <s v=""/>
    <m/>
    <m/>
    <n v="0"/>
    <n v="0"/>
    <n v="0"/>
    <n v="0"/>
    <n v="1"/>
    <n v="0"/>
    <n v="0"/>
    <n v="0"/>
    <s v="Bill on Contract - Pro-rated"/>
    <n v="30612.26"/>
    <n v="666667"/>
    <n v="100000.05"/>
    <s v="KALSHI INC / SCATTER / DIGITAL / FY 25-26 / World Cup digital"/>
    <n v="267803"/>
    <s v="P2+"/>
    <n v="43543.4"/>
    <m/>
    <s v="Adam Chardavoyne"/>
    <s v="Guaranteed"/>
    <s v="DIO - SOC - FOX Sports - TikTok - MWC"/>
    <n v="128876"/>
    <d v="2026-06-30T00:00:00"/>
    <d v="2026-06-01T00:00:00"/>
    <d v="2026-07-19T00:00:00"/>
    <s v="Social TikTok"/>
    <m/>
    <d v="2026-07-05T12:53:18"/>
  </r>
  <r>
    <s v="BLISS POINT MEDIA"/>
    <n v="10966"/>
    <n v="19872"/>
    <s v="KALSHI INC"/>
    <s v="KALSHI INC / SCATTER / DIGITAL / FY 25-26 / World Cup digital"/>
    <x v="8"/>
    <s v="Kalshi - World Cup Social Sponsorship Content - TalkSports Sponsorship"/>
    <n v="588687"/>
    <s v="Kalshi -DIO - SOC - FOX Sports - Youtube - Custom Content - MWC - TalkSports Sponsorship"/>
    <n v="588690"/>
    <s v="FOX Sports"/>
    <s v="Flat Rate"/>
    <n v="0.15"/>
    <s v="Bill on Contract"/>
    <n v="204081733"/>
    <n v="30612.26"/>
    <m/>
    <m/>
    <s v=" "/>
    <s v=""/>
    <m/>
    <m/>
    <n v="0"/>
    <n v="0"/>
    <n v="0"/>
    <n v="0"/>
    <n v="1"/>
    <n v="0"/>
    <n v="0"/>
    <n v="0"/>
    <s v="Bill on Contract - Pro-rated"/>
    <n v="30612.26"/>
    <n v="666667"/>
    <n v="100000.05"/>
    <s v="KALSHI INC / SCATTER / DIGITAL / FY 25-26 / World Cup digital"/>
    <n v="267803"/>
    <s v="P2+"/>
    <n v="43543.4"/>
    <m/>
    <s v="Adam Chardavoyne"/>
    <s v="Guaranteed"/>
    <s v="DIO - SOC - FOX Sports - Youtube - Custom Content - MWC"/>
    <n v="128876"/>
    <d v="2026-06-30T00:00:00"/>
    <d v="2026-06-01T00:00:00"/>
    <d v="2026-07-19T00:00:00"/>
    <s v="Social"/>
    <m/>
    <d v="2026-07-05T12:53:18"/>
  </r>
  <r>
    <s v="BLISS POINT MEDIA"/>
    <n v="10966"/>
    <n v="17500"/>
    <s v="RAMP.COM"/>
    <s v="RAMP.COM / SCATTER / DIGITAL / SPORTS / FY Q4 25-26 /"/>
    <x v="9"/>
    <s v="RAMP  - DIO - ROV - FS - Pre/Mid - ROS - DT/MB - 2Q'26"/>
    <n v="590840"/>
    <s v="RAMP - DIO - ROV - FS - Pre/Mid - ROS - DT/MB - 2Q'26"/>
    <n v="94264160"/>
    <s v="FOX Sports"/>
    <s v="CPM"/>
    <n v="28.75"/>
    <s v="3P Imps"/>
    <n v="50252"/>
    <n v="1400.01"/>
    <m/>
    <m/>
    <s v=" "/>
    <n v="0"/>
    <m/>
    <m/>
    <n v="50252"/>
    <n v="50252"/>
    <n v="0"/>
    <n v="0"/>
    <n v="1"/>
    <n v="0"/>
    <n v="0"/>
    <n v="0"/>
    <s v="Bill on Actuals - 3rd Party Performance"/>
    <n v="674.42"/>
    <n v="48696"/>
    <n v="1400.01"/>
    <s v="RAMP.COM / SCATTER / DIGITAL / SPORTS / FY Q4 25-26 /"/>
    <n v="93031315"/>
    <s v="P2+"/>
    <n v="43210.1"/>
    <m/>
    <s v="Adam Chardavoyne"/>
    <s v="Guaranteed"/>
    <s v="DIO - ROV - FS - Pre/Mid - ROS - DT/MB/CTV"/>
    <n v="129296"/>
    <d v="2026-06-30T00:00:00"/>
    <d v="2026-06-01T00:00:00"/>
    <d v="2026-06-07T00:00:00"/>
    <s v="Direct ROV"/>
    <m/>
    <d v="2026-07-05T12:53:18"/>
  </r>
  <r>
    <s v="BLISS POINT MEDIA"/>
    <n v="10966"/>
    <n v="17500"/>
    <s v="RAMP.COM"/>
    <s v="RAMP.COM / SCATTER / DIGITAL / SPORTS / FY Q4 25-26 /"/>
    <x v="9"/>
    <s v="RAMP  - DIO - ROV - FS - Pre/Mid - ROS - DT/MB - 2Q'26"/>
    <n v="590842"/>
    <s v="RAMP - DIO - ROV - FS - Pre/Mid - ROS - DT/MB - 2Q'26"/>
    <n v="94264156"/>
    <s v="FOX Sports"/>
    <s v="CPM"/>
    <n v="28.75"/>
    <s v="3P Imps"/>
    <n v="15017"/>
    <n v="431.74"/>
    <m/>
    <m/>
    <s v=" "/>
    <n v="0"/>
    <m/>
    <m/>
    <n v="15017"/>
    <n v="15017"/>
    <n v="0"/>
    <n v="0"/>
    <n v="1"/>
    <n v="0"/>
    <n v="0"/>
    <n v="0"/>
    <s v="Bill on Actuals - 3rd Party Performance"/>
    <n v="204.79"/>
    <n v="48696"/>
    <n v="1400.01"/>
    <s v="RAMP.COM / SCATTER / DIGITAL / SPORTS / FY Q4 25-26 /"/>
    <n v="93031315"/>
    <s v="P2+"/>
    <n v="43210.1"/>
    <m/>
    <s v="Adam Chardavoyne"/>
    <s v="Guaranteed"/>
    <s v="DIO - ROV - FS - Pre/Mid - ROS - DT/MB/CTV"/>
    <n v="129296"/>
    <d v="2026-06-30T00:00:00"/>
    <d v="2026-06-08T00:00:00"/>
    <d v="2026-06-14T00:00:00"/>
    <s v="Direct ROV"/>
    <m/>
    <d v="2026-07-05T12:53:18"/>
  </r>
  <r>
    <s v="BLISS POINT MEDIA"/>
    <n v="10966"/>
    <n v="17500"/>
    <s v="RAMP.COM"/>
    <s v="RAMP.COM / SCATTER / DIGITAL / SPORTS / FY Q4 25-26 /"/>
    <x v="9"/>
    <s v="RAMP  - DIO - ROV - FS - Pre/Mid - ROS - DT/MB - 2Q'26"/>
    <n v="590844"/>
    <s v="RAMP - DIO - ROV - FS - Pre/Mid - ROS - DT/MB - 2Q'26"/>
    <n v="94264164"/>
    <s v="FOX Sports"/>
    <s v="CPM"/>
    <n v="28.75"/>
    <s v="3P Imps"/>
    <n v="830"/>
    <n v="23.86"/>
    <m/>
    <m/>
    <s v=" "/>
    <n v="0"/>
    <m/>
    <m/>
    <n v="830"/>
    <n v="830"/>
    <n v="0"/>
    <n v="0"/>
    <n v="1"/>
    <n v="0"/>
    <n v="0"/>
    <n v="0"/>
    <s v="Bill on Actuals - 3rd Party Performance"/>
    <n v="11.79"/>
    <n v="48696"/>
    <n v="1400.01"/>
    <s v="RAMP.COM / SCATTER / DIGITAL / SPORTS / FY Q4 25-26 /"/>
    <n v="93031315"/>
    <s v="P2+"/>
    <n v="43210.1"/>
    <m/>
    <s v="Adam Chardavoyne"/>
    <s v="Guaranteed"/>
    <s v="DIO - ROV - FS - Pre/Mid - ROS - DT/MB/CTV"/>
    <n v="129296"/>
    <d v="2026-06-30T00:00:00"/>
    <d v="2026-06-15T00:00:00"/>
    <d v="2026-06-21T00:00:00"/>
    <s v="Direct ROV"/>
    <m/>
    <d v="2026-07-05T12:53:18"/>
  </r>
  <r>
    <s v="BLISS POINT MEDIA"/>
    <n v="10966"/>
    <n v="17500"/>
    <s v="RAMP.COM"/>
    <s v="RAMP.COM / SCATTER / DIGITAL / SPORTS / FY Q4 25-26 /"/>
    <x v="9"/>
    <s v="RAMP  - DIO - ROV - FS - Pre/Mid - ROS - DT/MB - 2Q'26"/>
    <n v="590846"/>
    <s v="RAMP - DIO - ROV - FS - Pre/Mid - ROS - DT/MB - 2Q'26"/>
    <n v="94264168"/>
    <s v="FOX Sports"/>
    <s v="CPM"/>
    <n v="28.75"/>
    <s v="3P Imps"/>
    <n v="760"/>
    <n v="21.85"/>
    <m/>
    <m/>
    <s v=" "/>
    <n v="0"/>
    <m/>
    <m/>
    <n v="760"/>
    <n v="760"/>
    <n v="0"/>
    <n v="0"/>
    <n v="1"/>
    <n v="0"/>
    <n v="0"/>
    <n v="0"/>
    <s v="Bill on Actuals - 3rd Party Performance"/>
    <n v="9.99"/>
    <n v="48696"/>
    <n v="1400.01"/>
    <s v="RAMP.COM / SCATTER / DIGITAL / SPORTS / FY Q4 25-26 /"/>
    <n v="93031315"/>
    <s v="P2+"/>
    <n v="43210.1"/>
    <m/>
    <s v="Adam Chardavoyne"/>
    <s v="Guaranteed"/>
    <s v="DIO - ROV - FS - Pre/Mid - ROS - DT/MB/CTV"/>
    <n v="129296"/>
    <d v="2026-06-30T00:00:00"/>
    <d v="2026-06-22T00:00:00"/>
    <d v="2026-06-28T00:00:00"/>
    <s v="Direct ROV"/>
    <m/>
    <d v="2026-07-05T12:53:18"/>
  </r>
  <r>
    <s v="BPN"/>
    <n v="11163"/>
    <n v="7672"/>
    <s v="BRISTOL MYERS SQUIBB"/>
    <s v="BMS/25-26/Upfront/Digital/ENT/CAMZYOS"/>
    <x v="10"/>
    <s v="BMS/UF/RON/25-26/AAT/2Q'26/CAMZYOS"/>
    <n v="556247"/>
    <s v="BMS/UF/RON/25-26/AAT/P35-64/2Q'26/CAMZYOS"/>
    <n v="90410993"/>
    <s v="RON - Ent"/>
    <s v="CPM"/>
    <n v="42.4"/>
    <s v="3P Audience Target"/>
    <n v="577030"/>
    <n v="24466.07"/>
    <m/>
    <m/>
    <s v=" "/>
    <n v="0"/>
    <m/>
    <s v="Show Only Net; NONE"/>
    <n v="216609"/>
    <n v="577030"/>
    <n v="0"/>
    <n v="0"/>
    <n v="1"/>
    <n v="0"/>
    <n v="0"/>
    <n v="0"/>
    <s v="Bill on Actuals - 3rd Party Performance"/>
    <n v="9778.25"/>
    <n v="1768868"/>
    <n v="75000"/>
    <s v="BMS/25-26/Upfront/Digital/ENT/CAMZYOS"/>
    <n v="90410989"/>
    <s v="Audience Target"/>
    <s v="O-D2DMHIP-R10"/>
    <m/>
    <s v="Jeanne Feeley"/>
    <s v="Guaranteed"/>
    <s v="DIO - LFV - RON Ent - Pre/Mid - ROS - DT/MB/CTV/STB"/>
    <n v="108708"/>
    <d v="2026-06-30T00:00:00"/>
    <d v="2026-04-01T00:00:00"/>
    <d v="2026-06-30T00:00:00"/>
    <s v="Direct LFV"/>
    <m/>
    <d v="2026-07-05T12:53:18"/>
  </r>
  <r>
    <s v="BPN"/>
    <n v="11163"/>
    <n v="7672"/>
    <s v="BRISTOL MYERS SQUIBB"/>
    <s v="BMS/25-26/Upfront/Digital/ENT/COBENFY"/>
    <x v="11"/>
    <s v="BMS/UF/RON/25-26/AAT/2Q'26/COBENFY"/>
    <n v="556624"/>
    <s v="BMS/UF/RON/25-26/AAT/P18-64/2Q'26/COBENFY"/>
    <n v="90411497"/>
    <s v="RON - Ent"/>
    <s v="CPM"/>
    <n v="42.4"/>
    <s v="3P Audience Target"/>
    <n v="0"/>
    <n v="0"/>
    <m/>
    <m/>
    <s v=" "/>
    <n v="0"/>
    <m/>
    <s v="Show Only Net; NONE"/>
    <n v="0"/>
    <n v="0"/>
    <n v="0"/>
    <n v="0"/>
    <n v="1"/>
    <n v="0"/>
    <n v="0"/>
    <n v="0"/>
    <s v="Bill on Actuals - 3rd Party Performance"/>
    <n v="0"/>
    <n v="682694"/>
    <n v="28946.23"/>
    <s v="BMS/25-26/Upfront/Digital/ENT/COBENFY"/>
    <n v="259419"/>
    <s v="Audience Target"/>
    <s v="O-D2DMHCP-R11"/>
    <m/>
    <s v="Jeanne Feeley"/>
    <s v="Guaranteed"/>
    <s v="DIO - LFV - RON Ent - Pre/Mid - ROS - DT/MB/CTV/STB"/>
    <n v="108718"/>
    <d v="2026-06-30T00:00:00"/>
    <d v="2026-04-01T00:00:00"/>
    <d v="2026-06-22T00:00:00"/>
    <s v="Direct LFV"/>
    <m/>
    <d v="2026-07-05T12:53:18"/>
  </r>
  <r>
    <s v="BPN"/>
    <n v="11163"/>
    <n v="7672"/>
    <s v="BRISTOL MYERS SQUIBB"/>
    <s v="BMS/25-26/Upfront/Digital/ENT/QVANTIG"/>
    <x v="12"/>
    <s v="BMS/UF/RON/25-26/AAT/2Q'26/QVANTIG"/>
    <n v="556628"/>
    <s v="BMS/UF/RON/25-26/AAT/P50+/2Q'26/QVANTIG"/>
    <n v="90411416"/>
    <s v="RON - Ent"/>
    <s v="CPM"/>
    <n v="52.25"/>
    <s v="3P Audience Target"/>
    <n v="309362"/>
    <n v="16164.16"/>
    <m/>
    <m/>
    <s v=" "/>
    <n v="0"/>
    <m/>
    <s v="Show Only Net; NONE"/>
    <n v="94262"/>
    <n v="309362"/>
    <n v="0"/>
    <n v="0"/>
    <n v="1"/>
    <n v="0"/>
    <n v="0"/>
    <n v="0"/>
    <s v="Bill on Actuals - 3rd Party Performance"/>
    <n v="0.05"/>
    <n v="956938"/>
    <n v="50000.01"/>
    <s v="BMS/25-26/Upfront/Digital/ENT/QVANTIG"/>
    <n v="90411410"/>
    <s v="Audience Target"/>
    <s v="O-D2DMHIP-R10"/>
    <m/>
    <s v="Jeanne Feeley"/>
    <s v="Guaranteed"/>
    <s v="DIO - LFV - RON Ent - Pre/Mid - ROS - DT/MB/CTV/STB"/>
    <n v="108730"/>
    <d v="2026-06-30T00:00:00"/>
    <d v="2026-04-01T00:00:00"/>
    <d v="2026-06-30T00:00:00"/>
    <s v="Direct LFV"/>
    <m/>
    <d v="2026-07-05T12:53:18"/>
  </r>
  <r>
    <s v="BPN"/>
    <n v="11163"/>
    <n v="7672"/>
    <s v="BRISTOL MYERS SQUIBB"/>
    <s v="BMS/25-26/Upfront/Digital/Sports/CAMZYOS"/>
    <x v="13"/>
    <s v="BMS/UF/SPORTS/D/25-26/LFV/AAT/2Q'26/CAMZYOS"/>
    <n v="556448"/>
    <s v="BMS/UF/SPORTS/D/25-26/LFV/AAT/P35-64/2Q'26/CAMZYOS/JUNE"/>
    <n v="93774048"/>
    <s v="FOX Sports Streaming"/>
    <s v="CPM"/>
    <n v="59"/>
    <s v="3P Audience Target"/>
    <n v="93597"/>
    <n v="5522.22"/>
    <m/>
    <m/>
    <s v=" "/>
    <n v="0"/>
    <m/>
    <m/>
    <n v="93597"/>
    <n v="93597"/>
    <n v="0"/>
    <n v="0"/>
    <n v="1"/>
    <n v="0"/>
    <n v="0"/>
    <n v="0"/>
    <s v="Bill on Actuals - 3rd Party Performance"/>
    <n v="1731.34"/>
    <n v="649532"/>
    <n v="38322.39"/>
    <s v="BMS/25-26/Upfront/Digital/Sports/CAMZYOS"/>
    <n v="90408543"/>
    <s v="Audience Target"/>
    <s v="O-D2G2382-R5"/>
    <m/>
    <s v="Colleen Cahill"/>
    <s v="Guaranteed"/>
    <s v="DIO - LFV - FSLS - Pre/Mid - ROS - DT/MB/CTV"/>
    <n v="108737"/>
    <d v="2026-06-30T00:00:00"/>
    <d v="2026-04-01T00:00:00"/>
    <d v="2026-06-30T00:00:00"/>
    <s v="Direct LFV"/>
    <m/>
    <d v="2026-07-05T12:53:18"/>
  </r>
  <r>
    <s v="BPN"/>
    <n v="11163"/>
    <n v="7672"/>
    <s v="BRISTOL MYERS SQUIBB"/>
    <s v="BMS/25-26/Upfront/Digital/Sports/COBENFY"/>
    <x v="14"/>
    <s v="BMS/UF/SPORTS/D/25-26/LFV/AAT/2Q'26/COBENFY"/>
    <n v="556649"/>
    <s v="BMS/UF/SPORTS/D/25-26/LFV/AAT/P18-64/2Q'26/COBENFY/JUNE"/>
    <n v="93476104"/>
    <s v="FOX Sports Streaming"/>
    <s v="CPM"/>
    <n v="59"/>
    <s v="3P Audience Target"/>
    <n v="61072"/>
    <n v="3564.13"/>
    <m/>
    <m/>
    <s v=" "/>
    <n v="0"/>
    <m/>
    <m/>
    <n v="61072"/>
    <n v="61072"/>
    <n v="0"/>
    <n v="0"/>
    <n v="1"/>
    <n v="0"/>
    <n v="0"/>
    <n v="0"/>
    <s v="Bill on Actuals - 3rd Party Performance"/>
    <n v="1516.17"/>
    <n v="60409"/>
    <n v="3564.13"/>
    <s v="BMS/25-26/Upfront/Digital/Sports/COBENFY"/>
    <n v="90465521"/>
    <s v="Audience Target"/>
    <s v="O-D2G1SUF-R4"/>
    <m/>
    <s v="Colleen Cahill"/>
    <s v="Guaranteed"/>
    <s v="DIO - LFV - FSLS - Pre/Mid - ROS - DT/MB/CTV"/>
    <n v="109443"/>
    <d v="2026-06-30T00:00:00"/>
    <d v="2026-04-01T00:00:00"/>
    <d v="2026-06-18T00:00:00"/>
    <s v="Direct LFV"/>
    <m/>
    <d v="2026-07-05T12:53:18"/>
  </r>
  <r>
    <s v="CANVAS WORLDWIDE"/>
    <n v="11499"/>
    <n v="4805"/>
    <s v="HYUNDAI"/>
    <s v="Hyundai/Digital/Scatter/Sports/MWC/25-26"/>
    <x v="15"/>
    <s v="Hyundai - Run of World Cup Display - Package - 728x90, 300x250,320x50  - OMP"/>
    <n v="581295"/>
    <s v="Hyundai - DIS - FS - Display Unit - MWC - 728x90, 300x250,320x50  - OMP - JUNE"/>
    <n v="7291488921"/>
    <s v="FOX Sports"/>
    <s v="CPM"/>
    <n v="10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5548.13"/>
    <n v="3672026"/>
    <n v="36720.26"/>
    <s v="Hyundai/Digital/Scatter/Sports/MWC/25-26"/>
    <n v="261946"/>
    <s v="P2+"/>
    <s v="tbd"/>
    <m/>
    <s v="Dylan Giordano"/>
    <s v="Guaranteed"/>
    <s v="DIS - FS - Display Unit - MWC"/>
    <n v="126577"/>
    <d v="2026-06-30T00:00:00"/>
    <d v="2026-06-01T00:00:00"/>
    <d v="2026-07-19T00:00:00"/>
    <s v="Direct Display"/>
    <m/>
    <d v="2026-07-05T12:53:18"/>
  </r>
  <r>
    <s v="CANVAS WORLDWIDE"/>
    <n v="11499"/>
    <n v="4805"/>
    <s v="HYUNDAI"/>
    <s v="Hyundai/Digital/Scatter/Sports/MWC/25-26"/>
    <x v="15"/>
    <s v="Hyundai - World Cup Social Sponsorship Content - Package"/>
    <n v="582460"/>
    <s v="Hyundai - DIO - SOC - FOX Sports - Facebook/Instagram - MWC"/>
    <n v="582461"/>
    <s v="FOX Sports - FB-Inst"/>
    <s v="Flat Rate"/>
    <n v="0.15"/>
    <s v="Bill on Contract"/>
    <n v="83333533"/>
    <n v="12500.03"/>
    <m/>
    <m/>
    <s v=" "/>
    <n v="0"/>
    <m/>
    <m/>
    <n v="0"/>
    <n v="0"/>
    <n v="0"/>
    <n v="0"/>
    <n v="1"/>
    <n v="0"/>
    <n v="0"/>
    <n v="0"/>
    <s v="Bill on Contract - Straightline"/>
    <n v="12500.03"/>
    <n v="333334"/>
    <n v="50000.1"/>
    <s v="Hyundai/Digital/Scatter/Sports/MWC/25-26"/>
    <n v="261946"/>
    <s v="P2+"/>
    <s v="tbd"/>
    <m/>
    <s v="Dylan Giordano"/>
    <s v="Guaranteed"/>
    <s v="DIO - SOC - FOX Sports - Facebook/Instagram - MWC"/>
    <n v="126577"/>
    <d v="2026-06-30T00:00:00"/>
    <d v="2026-06-01T00:00:00"/>
    <d v="2026-07-19T00:00:00"/>
    <s v="Social Facebook/Instagram"/>
    <m/>
    <d v="2026-07-05T12:53:18"/>
  </r>
  <r>
    <s v="CANVAS WORLDWIDE"/>
    <n v="11499"/>
    <n v="4805"/>
    <s v="HYUNDAI"/>
    <s v="Hyundai/Digital/Scatter/Sports/MWC/25-26"/>
    <x v="15"/>
    <s v="Hyundai - World Cup Social Sponsorship Content - Package"/>
    <n v="582460"/>
    <s v="Hyundai - DIO - SOC - FOX Sports - TikTok - MWC"/>
    <n v="582464"/>
    <s v="FOX Sports - TikTok"/>
    <s v="Flat Rate"/>
    <n v="0.15"/>
    <s v="Bill on Contract"/>
    <n v="83333533"/>
    <n v="12500.03"/>
    <m/>
    <m/>
    <s v=" "/>
    <s v=""/>
    <m/>
    <m/>
    <n v="0"/>
    <n v="0"/>
    <n v="0"/>
    <n v="0"/>
    <n v="1"/>
    <n v="0"/>
    <n v="0"/>
    <n v="0"/>
    <s v="Bill on Contract - Straightline"/>
    <n v="12500.03"/>
    <n v="333334"/>
    <n v="50000.1"/>
    <s v="Hyundai/Digital/Scatter/Sports/MWC/25-26"/>
    <n v="261946"/>
    <s v="P2+"/>
    <s v="tbd"/>
    <m/>
    <s v="Dylan Giordano"/>
    <s v="Guaranteed"/>
    <s v="DIO - SOC - FOX Sports - TikTok - MWC"/>
    <n v="126577"/>
    <d v="2026-06-30T00:00:00"/>
    <d v="2026-06-01T00:00:00"/>
    <d v="2026-07-19T00:00:00"/>
    <s v="Social TikTok"/>
    <m/>
    <d v="2026-07-05T12:53:18"/>
  </r>
  <r>
    <s v="CANVAS WORLDWIDE"/>
    <n v="11499"/>
    <n v="4805"/>
    <s v="HYUNDAI"/>
    <s v="Hyundai/Digital/Scatter/Sports/MWC/25-26"/>
    <x v="15"/>
    <s v="Hyundai - World Cup Social Sponsorship Content - Package"/>
    <n v="582460"/>
    <s v="Hyundai - DIO - SOC - FOX Sports - Youtube - Custom Content - MWC"/>
    <n v="582463"/>
    <s v="FOX Sports"/>
    <s v="Flat Rate"/>
    <n v="0.15"/>
    <s v="Bill on Contract"/>
    <n v="83333533"/>
    <n v="12500.03"/>
    <m/>
    <m/>
    <s v=" "/>
    <s v=""/>
    <m/>
    <m/>
    <n v="0"/>
    <n v="0"/>
    <n v="0"/>
    <n v="0"/>
    <n v="1"/>
    <n v="0"/>
    <n v="0"/>
    <n v="0"/>
    <s v="Bill on Contract - Straightline"/>
    <n v="12500.03"/>
    <n v="333334"/>
    <n v="50000.1"/>
    <s v="Hyundai/Digital/Scatter/Sports/MWC/25-26"/>
    <n v="261946"/>
    <s v="P2+"/>
    <s v="tbd"/>
    <m/>
    <s v="Dylan Giordano"/>
    <s v="Guaranteed"/>
    <s v="DIO - SOC - FOX Sports - Youtube - Custom Content - MWC"/>
    <n v="126577"/>
    <d v="2026-06-30T00:00:00"/>
    <d v="2026-06-01T00:00:00"/>
    <d v="2026-07-19T00:00:00"/>
    <s v="Social"/>
    <m/>
    <d v="2026-07-05T12:53:18"/>
  </r>
  <r>
    <s v="CANVAS WORLDWIDE"/>
    <n v="11499"/>
    <n v="4805"/>
    <s v="HYUNDAI"/>
    <s v="Hyundai/Digital/Scatter/Sports/MWC/25-26"/>
    <x v="15"/>
    <s v="Hyundai - Run of World Cup Video - Package - OMP"/>
    <n v="582466"/>
    <s v="Hyundai - DIO - LFV - TUB - Pre/Mid - MWC - DT/MB/CTV - JUNE"/>
    <n v="93585697"/>
    <s v="Fox Sold Tubi"/>
    <s v="CPM"/>
    <n v="40"/>
    <s v="1P Imps"/>
    <n v="2624855"/>
    <n v="104994.2"/>
    <m/>
    <m/>
    <s v=" "/>
    <n v="0"/>
    <m/>
    <m/>
    <n v="2624855"/>
    <n v="2624855"/>
    <n v="0"/>
    <n v="0"/>
    <n v="1"/>
    <n v="0"/>
    <n v="0"/>
    <n v="0"/>
    <s v="Bill on Actuals - 3rd Party Performance"/>
    <n v="28843.55"/>
    <n v="2625000"/>
    <n v="105000"/>
    <s v="Hyundai/Digital/Scatter/Sports/MWC/25-26"/>
    <n v="93585683"/>
    <s v="P2+"/>
    <s v="tbd"/>
    <m/>
    <s v="Dylan Giordano"/>
    <s v="Guaranteed"/>
    <s v="DIO - LFV - TUB - Pre/Mid - MWC - DT/MB/CTV"/>
    <n v="126577"/>
    <d v="2026-06-30T00:00:00"/>
    <d v="2026-06-01T00:00:00"/>
    <d v="2026-07-19T00:00:00"/>
    <s v="Direct LFV"/>
    <m/>
    <d v="2026-07-05T12:53:18"/>
  </r>
  <r>
    <s v="CANVAS WORLDWIDE"/>
    <n v="11499"/>
    <n v="4805"/>
    <s v="HYUNDAI"/>
    <s v="Hyundai/Digital/Scatter/Sports/MWC/25-26"/>
    <x v="15"/>
    <s v="Hyundai - Run of World Cup Video - Package - OMP"/>
    <n v="582466"/>
    <s v="Hyundai - DIO - ROV - FS - Pre/Mid - MWC - DT/MB/CTV - JUNE"/>
    <n v="93585700"/>
    <s v="FOX Sports"/>
    <s v="CPM"/>
    <n v="40"/>
    <s v="3P Imps"/>
    <n v="1140265"/>
    <n v="45000"/>
    <m/>
    <m/>
    <s v=" "/>
    <s v=""/>
    <m/>
    <m/>
    <n v="1140265"/>
    <n v="1140265"/>
    <n v="0"/>
    <n v="0"/>
    <n v="1"/>
    <n v="0"/>
    <n v="0"/>
    <n v="0"/>
    <s v="Bill on Actuals - 3rd Party Performance"/>
    <n v="12361.52"/>
    <n v="1125000"/>
    <n v="45000"/>
    <s v="Hyundai/Digital/Scatter/Sports/MWC/25-26"/>
    <n v="93585683"/>
    <s v="P2+"/>
    <s v="tbd"/>
    <m/>
    <s v="Dylan Giordano"/>
    <s v="Guaranteed"/>
    <s v="DIO - ROV - FS - Pre/Mid - MWC - DT/MB/CTV"/>
    <n v="126577"/>
    <d v="2026-06-30T00:00:00"/>
    <d v="2026-06-01T00:00:00"/>
    <d v="2026-07-19T00:00:00"/>
    <s v="Direct ROV"/>
    <m/>
    <d v="2026-07-05T12:53:18"/>
  </r>
  <r>
    <s v="CANVAS WORLDWIDE"/>
    <n v="11499"/>
    <n v="4805"/>
    <s v="HYUNDAI"/>
    <s v="Hyundai/Digital/Scatter/Sports/MWC/25-26"/>
    <x v="15"/>
    <s v="Hyundai - Run of FOX Sports Display - Package - 728x90, 300x250,320x50, 300x600 - OMP"/>
    <n v="582471"/>
    <s v="Hyundai - DIS - FS - Display Unit - ROS - 728x90, 300x250,320x50, 300x600 - OMP - JUNE"/>
    <n v="7293780886"/>
    <s v="FOX Sports"/>
    <s v="CPM"/>
    <n v="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6860.94"/>
    <n v="13000000"/>
    <n v="65000"/>
    <s v="Hyundai/Digital/Scatter/Sports/MWC/25-26"/>
    <n v="261946"/>
    <s v="P2+"/>
    <s v="tbd"/>
    <m/>
    <s v="Dylan Giordano"/>
    <s v="Guaranteed"/>
    <s v="DIS - FS - Display Unit - ROS"/>
    <n v="126577"/>
    <d v="2026-06-30T00:00:00"/>
    <d v="2026-06-01T00:00:00"/>
    <d v="2026-07-31T00:00:00"/>
    <s v="Direct Display"/>
    <m/>
    <d v="2026-07-05T12:53:18"/>
  </r>
  <r>
    <s v="CANVAS WORLDWIDE"/>
    <n v="11499"/>
    <n v="4805"/>
    <s v="HYUNDAI"/>
    <s v="Hyundai/Digital/Scatter/Sports/MWC/25-26"/>
    <x v="15"/>
    <s v="Hyundai - Run of AllFOX Video - Package"/>
    <n v="582565"/>
    <s v="Hyundai - DIO - LFV - 1F - Tubi - Pre/Mid - ROS - DT/MB/CTV - FW - SXD - JUNE"/>
    <n v="93585694"/>
    <s v="Fox Sold Tubi"/>
    <s v="CPM"/>
    <n v="23"/>
    <s v="3P Audience Target"/>
    <n v="656743"/>
    <n v="14625.01"/>
    <m/>
    <m/>
    <s v=" "/>
    <n v="0"/>
    <m/>
    <m/>
    <n v="656743"/>
    <n v="656743"/>
    <n v="0"/>
    <n v="0"/>
    <n v="1"/>
    <n v="0"/>
    <n v="0"/>
    <n v="0"/>
    <s v="Bill on Actuals - 3rd Party Performance"/>
    <n v="3611.61"/>
    <n v="635870"/>
    <n v="14625.01"/>
    <s v="Hyundai/Digital/Scatter/Sports/MWC/25-26"/>
    <n v="93585683"/>
    <s v="Audience Target"/>
    <s v="tbd"/>
    <m/>
    <s v="Dylan Giordano"/>
    <s v="Guaranteed"/>
    <s v="DIO - LFV - 1F - Tubi - Pre/Mid - ROS - DT/MB/CTV - FW - SXD"/>
    <n v="126577"/>
    <d v="2026-06-30T00:00:00"/>
    <d v="2026-06-01T00:00:00"/>
    <d v="2026-07-19T00:00:00"/>
    <s v="Direct LFV"/>
    <m/>
    <d v="2026-07-05T12:53:18"/>
  </r>
  <r>
    <s v="CANVAS WORLDWIDE"/>
    <n v="11499"/>
    <n v="4805"/>
    <s v="HYUNDAI"/>
    <s v="Hyundai/Digital/Scatter/Sports/MWC/25-26"/>
    <x v="15"/>
    <s v="Hyundai - Run of AllFOX Video - Package"/>
    <n v="582565"/>
    <s v="Hyundai - DIO - ROV - 1F - SEN - Pre/Mid - ROS - DT/MB/CTV - SXD - JUNE"/>
    <n v="93585686"/>
    <s v="OneFOX"/>
    <s v="CPM"/>
    <n v="23"/>
    <s v="3P Audience Target"/>
    <n v="1723595"/>
    <n v="39642.68"/>
    <m/>
    <m/>
    <s v=" "/>
    <s v=""/>
    <m/>
    <m/>
    <n v="1723595"/>
    <n v="1723595"/>
    <n v="0"/>
    <n v="0"/>
    <n v="1"/>
    <n v="0"/>
    <n v="0"/>
    <n v="0"/>
    <s v="Bill on Actuals - 3rd Party Performance"/>
    <n v="14909.46"/>
    <n v="2625000"/>
    <n v="60375"/>
    <s v="Hyundai/Digital/Scatter/Sports/MWC/25-26"/>
    <n v="93585683"/>
    <s v="Audience Target"/>
    <s v="tbd"/>
    <m/>
    <s v="Dylan Giordano"/>
    <s v="Guaranteed"/>
    <s v="DIO - ROV - 1F - SEN - Pre/Mid - ROS - DT/MB/CTV - SXD"/>
    <n v="126577"/>
    <d v="2026-06-30T00:00:00"/>
    <d v="2026-06-01T00:00:00"/>
    <d v="2026-07-19T00:00:00"/>
    <s v="Direct ROV"/>
    <m/>
    <d v="2026-07-05T12:53:18"/>
  </r>
  <r>
    <s v="CANVAS WORLDWIDE"/>
    <n v="11499"/>
    <n v="2619"/>
    <s v="KIA"/>
    <s v="Kia/Digital/Scatter/Sports/MWC/25-26"/>
    <x v="16"/>
    <s v="KIA - Run of World Cup Display - Package -320x50, 300x250, 728x90 - OMP"/>
    <n v="585836"/>
    <s v="KIA - DIS - FS - Display Unit - MWC -  320x50, 300x250, 728x90 - OMP - JUNE"/>
    <n v="7299310220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2326.58"/>
    <n v="8831668"/>
    <n v="52990.01"/>
    <s v="Kia/Digital/Scatter/Sports/MWC/25-26"/>
    <n v="268009"/>
    <s v="P2+"/>
    <s v="O-D2RBLEI-R2"/>
    <m/>
    <s v="Dylan Giordano"/>
    <s v="Guaranteed"/>
    <s v="DIS - FS - Display Unit - MWC"/>
    <n v="127039"/>
    <d v="2026-06-30T00:00:00"/>
    <d v="2026-06-11T00:00:00"/>
    <d v="2026-07-19T00:00:00"/>
    <s v="Direct Display"/>
    <m/>
    <d v="2026-07-05T12:53:18"/>
  </r>
  <r>
    <s v="CANVAS WORLDWIDE"/>
    <n v="11499"/>
    <n v="2619"/>
    <s v="KIA"/>
    <s v="Kia/Digital/Scatter/Sports/MWC/25-26"/>
    <x v="16"/>
    <s v="KIA - Run of World Cup Video - Package - OMP"/>
    <n v="585838"/>
    <s v="KIA - DIO - ROV - FS - Pre/Mid - MWC - DT/MB/CTV - JUNE"/>
    <n v="93722471"/>
    <s v="FOX Sports"/>
    <s v="CPM"/>
    <n v="40"/>
    <s v="3P Imps"/>
    <n v="2748579"/>
    <n v="109230.76"/>
    <m/>
    <m/>
    <s v=" "/>
    <n v="0"/>
    <m/>
    <m/>
    <n v="2748579"/>
    <n v="2748579"/>
    <n v="0"/>
    <n v="0"/>
    <n v="1"/>
    <n v="0"/>
    <n v="0"/>
    <n v="0"/>
    <s v="Bill on Actuals - 3rd Party Performance"/>
    <n v="26422.3"/>
    <n v="2730769"/>
    <n v="109230.76"/>
    <s v="Kia/Digital/Scatter/Sports/MWC/25-26"/>
    <n v="93722464"/>
    <s v="P2+"/>
    <s v="O-D2RBLEI-R2"/>
    <m/>
    <s v="Dylan Giordano"/>
    <s v="Guaranteed"/>
    <s v="DIO - ROV - FS - Pre/Mid - MWC - DT/MB/CTV"/>
    <n v="127039"/>
    <d v="2026-06-30T00:00:00"/>
    <d v="2026-06-11T00:00:00"/>
    <d v="2026-07-19T00:00:00"/>
    <s v="Direct ROV"/>
    <m/>
    <d v="2026-07-05T12:53:18"/>
  </r>
  <r>
    <s v="CANVAS WORLDWIDE"/>
    <n v="11499"/>
    <n v="2619"/>
    <s v="KIA"/>
    <s v="Kia/Digital/Scatter/Sports/MWC/25-26"/>
    <x v="16"/>
    <s v="KIA - World Cup Social Sponsorship Content - Package"/>
    <n v="585841"/>
    <s v="KIA - DIO - SOC - FOX Sports - Facebook/Instagram - MWC"/>
    <n v="585842"/>
    <s v="FOX Sports - FB-Inst"/>
    <s v="Flat Rate"/>
    <n v="0.15"/>
    <s v="Bill on Contract"/>
    <n v="177500000"/>
    <n v="26625"/>
    <m/>
    <m/>
    <s v=" "/>
    <n v="0"/>
    <m/>
    <m/>
    <n v="0"/>
    <n v="0"/>
    <n v="0"/>
    <n v="0"/>
    <n v="1"/>
    <n v="0"/>
    <n v="0"/>
    <n v="0"/>
    <s v="Bill on Contract - Straightline"/>
    <n v="26625"/>
    <n v="710000"/>
    <n v="106500"/>
    <s v="Kia/Digital/Scatter/Sports/MWC/25-26"/>
    <n v="268009"/>
    <s v="P2+"/>
    <s v="O-D2RBLEI-R2"/>
    <m/>
    <s v="Dylan Giordano"/>
    <s v="Guaranteed"/>
    <s v="DIO - SOC - FOX Sports - Facebook/Instagram - MWC"/>
    <n v="127039"/>
    <d v="2026-06-30T00:00:00"/>
    <d v="2026-06-11T00:00:00"/>
    <d v="2026-07-19T00:00:00"/>
    <s v="Social Facebook/Instagram"/>
    <m/>
    <d v="2026-07-05T12:53:18"/>
  </r>
  <r>
    <s v="CANVAS WORLDWIDE"/>
    <n v="11499"/>
    <n v="2619"/>
    <s v="KIA"/>
    <s v="Kia/Digital/Scatter/Sports/MWC/25-26"/>
    <x v="16"/>
    <s v="KIA - World Cup Social Sponsorship Content - Package"/>
    <n v="585841"/>
    <s v="KIA - DIO - SOC - FOX Sports - TikTok - MWC"/>
    <n v="585845"/>
    <s v="FOX Sports - TikTok"/>
    <s v="Flat Rate"/>
    <n v="0.15"/>
    <s v="Bill on Contract"/>
    <n v="177500000"/>
    <n v="26625"/>
    <m/>
    <m/>
    <s v=" "/>
    <s v=""/>
    <m/>
    <m/>
    <n v="0"/>
    <n v="0"/>
    <n v="0"/>
    <n v="0"/>
    <n v="1"/>
    <n v="0"/>
    <n v="0"/>
    <n v="0"/>
    <s v="Bill on Contract - Straightline"/>
    <n v="26625"/>
    <n v="710000"/>
    <n v="106500"/>
    <s v="Kia/Digital/Scatter/Sports/MWC/25-26"/>
    <n v="268009"/>
    <s v="P2+"/>
    <s v="O-D2RBLEI-R2"/>
    <m/>
    <s v="Dylan Giordano"/>
    <s v="Guaranteed"/>
    <s v="DIO - SOC - FOX Sports - TikTok - MWC"/>
    <n v="127039"/>
    <d v="2026-06-30T00:00:00"/>
    <d v="2026-06-11T00:00:00"/>
    <d v="2026-07-19T00:00:00"/>
    <s v="Social TikTok"/>
    <m/>
    <d v="2026-07-05T12:53:18"/>
  </r>
  <r>
    <s v="CANVAS WORLDWIDE"/>
    <n v="11499"/>
    <n v="2619"/>
    <s v="KIA"/>
    <s v="Kia/Digital/Scatter/Sports/MWC/25-26"/>
    <x v="16"/>
    <s v="KIA - World Cup Social Sponsorship Content - Package"/>
    <n v="585841"/>
    <s v="KIA - DIO - SOC - FOX Sports - Youtube - Custom Content - MWC"/>
    <n v="585844"/>
    <s v="FOX Sports"/>
    <s v="Flat Rate"/>
    <n v="0.15"/>
    <s v="Bill on Contract"/>
    <n v="177500000"/>
    <n v="26625"/>
    <m/>
    <m/>
    <s v=" "/>
    <s v=""/>
    <m/>
    <m/>
    <n v="0"/>
    <n v="0"/>
    <n v="0"/>
    <n v="0"/>
    <n v="1"/>
    <n v="0"/>
    <n v="0"/>
    <n v="0"/>
    <s v="Bill on Contract - Straightline"/>
    <n v="26625"/>
    <n v="710000"/>
    <n v="106500"/>
    <s v="Kia/Digital/Scatter/Sports/MWC/25-26"/>
    <n v="268009"/>
    <s v="P2+"/>
    <s v="O-D2RBLEI-R2"/>
    <m/>
    <s v="Dylan Giordano"/>
    <s v="Guaranteed"/>
    <s v="DIO - SOC - FOX Sports - Youtube - Custom Content - MWC"/>
    <n v="127039"/>
    <d v="2026-06-30T00:00:00"/>
    <d v="2026-06-11T00:00:00"/>
    <d v="2026-07-19T00:00:00"/>
    <s v="Social"/>
    <m/>
    <d v="2026-07-05T12:53:18"/>
  </r>
  <r>
    <s v="CANVAS WORLDWIDE"/>
    <n v="11499"/>
    <n v="2619"/>
    <s v="KIA"/>
    <s v="Kia/Digital/Scatter/Sports/MWC/25-26"/>
    <x v="16"/>
    <s v="KIA - Run of FOX Sports Video - Package"/>
    <n v="585846"/>
    <s v="KIA - DIO - ROV - FS - Pre/Mid - ROS - DT/MB/CTV - JUNE"/>
    <n v="93722467"/>
    <s v="FOX Sports"/>
    <s v="CPM"/>
    <n v="25"/>
    <s v="3P CoView Imps"/>
    <n v="1171024"/>
    <n v="28205.13"/>
    <m/>
    <m/>
    <s v=" "/>
    <n v="0"/>
    <m/>
    <m/>
    <n v="1063628"/>
    <n v="1063628"/>
    <n v="1171024"/>
    <n v="1171024"/>
    <n v="1"/>
    <n v="1.100971608098674"/>
    <n v="0"/>
    <n v="0"/>
    <s v="Bill on Actuals - 3rd Party Performance"/>
    <n v="9850.9699999999993"/>
    <n v="1128205"/>
    <n v="28205.13"/>
    <s v="Kia/Digital/Scatter/Sports/MWC/25-26"/>
    <n v="93722464"/>
    <s v="P2+"/>
    <s v="O-D2RBLEI-R2"/>
    <m/>
    <s v="Dylan Giordano"/>
    <s v="Guaranteed"/>
    <s v="DIO - ROV - FS - Pre/Mid - ROS - DT/MB/CTV"/>
    <n v="127039"/>
    <d v="2026-06-30T00:00:00"/>
    <d v="2026-06-11T00:00:00"/>
    <d v="2026-07-19T00:00:00"/>
    <s v="Direct ROV"/>
    <m/>
    <d v="2026-07-05T12:53:18"/>
  </r>
  <r>
    <s v="CANVAS WORLDWIDE"/>
    <n v="11499"/>
    <n v="2619"/>
    <s v="KIA"/>
    <s v="Kia/Digital/Scatter/Sports/MWC/25-26"/>
    <x v="16"/>
    <s v="KIA - Run of AllFOX Video - Package"/>
    <n v="585848"/>
    <s v="KIA - DIO - LFV - 1F - Tubi - Pre/Mid - ROS - DT/MB/CTV - FW - SXD -JUNE"/>
    <n v="93722488"/>
    <s v="Fox Sold Tubi"/>
    <s v="CPM"/>
    <n v="23"/>
    <s v="3P Audience Target"/>
    <n v="1820730"/>
    <n v="40692.5"/>
    <m/>
    <m/>
    <s v=" "/>
    <n v="0"/>
    <m/>
    <m/>
    <n v="1820730"/>
    <n v="1820730"/>
    <n v="0"/>
    <n v="0"/>
    <n v="1"/>
    <n v="0"/>
    <n v="0"/>
    <n v="0"/>
    <s v="Bill on Actuals - 3rd Party Performance"/>
    <n v="14150.64"/>
    <n v="1769239"/>
    <n v="40692.5"/>
    <s v="Kia/Digital/Scatter/Sports/MWC/25-26"/>
    <n v="93722464"/>
    <s v="Audience Target"/>
    <s v="O-D2RBLEI-R2"/>
    <m/>
    <s v="Dylan Giordano"/>
    <s v="Guaranteed"/>
    <s v="DIO - LFV - 1F - Tubi - Pre/Mid - ROS - DT/MB/CTV - FW - SXD"/>
    <n v="127039"/>
    <d v="2026-06-30T00:00:00"/>
    <d v="2026-06-11T00:00:00"/>
    <d v="2026-07-19T00:00:00"/>
    <s v="Direct LFV"/>
    <m/>
    <d v="2026-07-05T12:53:18"/>
  </r>
  <r>
    <s v="CANVAS WORLDWIDE"/>
    <n v="11499"/>
    <n v="2619"/>
    <s v="KIA"/>
    <s v="Kia/Digital/Scatter/Sports/MWC/25-26"/>
    <x v="16"/>
    <s v="KIA - Run of AllFOX Video - Package"/>
    <n v="585848"/>
    <s v="KIA - DIO - ROV - 1F - SEN - Pre/Mid - ROS - DT/MB/CTV - SXD - JUNE"/>
    <n v="93722480"/>
    <s v="OneFOX"/>
    <s v="CPM"/>
    <n v="23"/>
    <s v="3P Audience Target"/>
    <n v="4244625"/>
    <n v="94948.72"/>
    <m/>
    <m/>
    <s v=" "/>
    <s v=""/>
    <m/>
    <m/>
    <n v="4244625"/>
    <n v="4244625"/>
    <n v="0"/>
    <n v="0"/>
    <n v="1"/>
    <n v="0"/>
    <n v="0"/>
    <n v="0"/>
    <s v="Bill on Actuals - 3rd Party Performance"/>
    <n v="33018.01"/>
    <n v="4128205"/>
    <n v="94948.72"/>
    <s v="Kia/Digital/Scatter/Sports/MWC/25-26"/>
    <n v="93722464"/>
    <s v="Audience Target"/>
    <s v="O-D2RBLEI-R2"/>
    <m/>
    <s v="Dylan Giordano"/>
    <s v="Guaranteed"/>
    <s v="DIO - ROV - 1F - SEN - Pre/Mid - ROS - DT/MB/CTV - SXD"/>
    <n v="127039"/>
    <d v="2026-06-30T00:00:00"/>
    <d v="2026-06-11T00:00:00"/>
    <d v="2026-07-19T00:00:00"/>
    <s v="Direct ROV"/>
    <m/>
    <d v="2026-07-05T12:53:18"/>
  </r>
  <r>
    <s v="CANVAS WORLDWIDE"/>
    <n v="11499"/>
    <n v="2619"/>
    <s v="KIA"/>
    <s v="Kia/Digital/Upfront/Entertainment/UF 2025/26 - 1-3Q26"/>
    <x v="17"/>
    <s v="KIA - LFV - RON Ent - ROS - Pre/Mid - DT/MB/CTV/VOD - Package - 3Q'26"/>
    <n v="537026"/>
    <s v="KIA - LFV - RON Ent - Pre/Mid - ROS - DT/MB/CTV/STB - A2554 - 3Q'26"/>
    <n v="88777089"/>
    <s v="RON - Ent"/>
    <s v="CPM"/>
    <n v="33.57"/>
    <s v="3P CoView Imps"/>
    <n v="0"/>
    <n v="0"/>
    <m/>
    <m/>
    <s v=" "/>
    <n v="0"/>
    <m/>
    <s v="Show Only Net"/>
    <n v="0"/>
    <n v="0"/>
    <n v="0"/>
    <n v="0"/>
    <n v="1"/>
    <n v="0"/>
    <n v="0"/>
    <n v="0"/>
    <s v="Bill on Actuals - 3rd Party Performance"/>
    <n v="0"/>
    <n v="7447126"/>
    <n v="250000.02"/>
    <s v="Kia/Digital/Upfront/Entertainment/UF 2025/26 - 1-3Q26"/>
    <n v="252314"/>
    <s v="P25-54"/>
    <s v="O-D2FCJC9"/>
    <m/>
    <s v="Allison Klein"/>
    <s v="Guaranteed"/>
    <s v="LFV - RON Ent - Pre/Mid - ROS - DT/MB/CTV/STB"/>
    <n v="96341"/>
    <d v="2026-06-30T00:00:00"/>
    <d v="2026-06-29T00:00:00"/>
    <d v="2026-09-27T00:00:00"/>
    <s v="Direct LFV"/>
    <m/>
    <d v="2026-07-05T12:53:18"/>
  </r>
  <r>
    <s v="CANVAS WORLDWIDE"/>
    <n v="11499"/>
    <n v="889"/>
    <s v="ZILLOW.COM"/>
    <s v="Zillow 2026 MWC Digital Plan"/>
    <x v="18"/>
    <s v="Zillow - DIO - SOC - FS - MWC - Social Package"/>
    <n v="558520"/>
    <s v="Zillow - DIO - SOC - FOX Sports - Facebook/Instagram - MWC"/>
    <n v="558521"/>
    <s v="FOX Sports - FB-Inst"/>
    <s v="Flat Rate"/>
    <n v="1000000"/>
    <s v="Bill on Contract"/>
    <n v="0"/>
    <n v="265486.73"/>
    <m/>
    <m/>
    <s v=" "/>
    <n v="0"/>
    <m/>
    <s v="Show Only Net; NONE"/>
    <n v="0"/>
    <n v="0"/>
    <n v="0"/>
    <n v="0"/>
    <n v="1"/>
    <n v="0"/>
    <n v="0"/>
    <n v="0"/>
    <s v="Bill on Contract - Pro-rated"/>
    <n v="265486.73"/>
    <n v="1"/>
    <n v="1000000"/>
    <s v="Zillow 2026 MWC Digital Plan"/>
    <n v="260564"/>
    <s v="P2+"/>
    <n v="1"/>
    <m/>
    <s v="Dylan Giordano"/>
    <s v="Guaranteed"/>
    <s v="DIO - SOC - FOX Sports - Facebook/Instagram - MWC"/>
    <n v="109945"/>
    <d v="2026-06-30T00:00:00"/>
    <d v="2026-03-01T00:00:00"/>
    <d v="2026-07-22T00:00:00"/>
    <s v="Social Facebook/Instagram"/>
    <m/>
    <d v="2026-07-05T12:53:18"/>
  </r>
  <r>
    <s v="CANVAS WORLDWIDE"/>
    <n v="11499"/>
    <n v="889"/>
    <s v="ZILLOW.COM"/>
    <s v="Zillow 2026 MWC Digital Plan"/>
    <x v="18"/>
    <s v="Zillow - DIO - SOC - FS - MWC - Social Package"/>
    <n v="558520"/>
    <s v="Zillow - DIO - SOC - FOX Sports - TikTok - MWC"/>
    <n v="558524"/>
    <s v="FOX Sports - TikTok"/>
    <s v="Flat Rate"/>
    <n v="1000000"/>
    <s v="Bill on Contract"/>
    <n v="0"/>
    <n v="265486.73"/>
    <m/>
    <m/>
    <s v=" "/>
    <s v=""/>
    <m/>
    <m/>
    <n v="0"/>
    <n v="0"/>
    <n v="0"/>
    <n v="0"/>
    <n v="1"/>
    <n v="0"/>
    <n v="0"/>
    <n v="0"/>
    <s v="Bill on Contract - Pro-rated"/>
    <n v="265486.73"/>
    <n v="1"/>
    <n v="1000000"/>
    <s v="Zillow 2026 MWC Digital Plan"/>
    <n v="260564"/>
    <s v="P2+"/>
    <n v="1"/>
    <m/>
    <s v="Dylan Giordano"/>
    <s v="Guaranteed"/>
    <s v="DIO - SOC - FOX Sports - TikTok - MWC"/>
    <n v="109945"/>
    <d v="2026-06-30T00:00:00"/>
    <d v="2026-03-01T00:00:00"/>
    <d v="2026-07-22T00:00:00"/>
    <s v="Social TikTok"/>
    <m/>
    <d v="2026-07-05T12:53:18"/>
  </r>
  <r>
    <s v="CANVAS WORLDWIDE"/>
    <n v="11499"/>
    <n v="889"/>
    <s v="ZILLOW.COM"/>
    <s v="Zillow 2026 MWC Digital Plan"/>
    <x v="18"/>
    <s v="Zillow - DIO - SOC - FS - MWC - Social Package"/>
    <n v="558520"/>
    <s v="Zillow - DIO - SOC - FOX Sports - X - MWC"/>
    <n v="558522"/>
    <s v="FOX Sports - Twitter"/>
    <s v="Flat Rate"/>
    <n v="1000000"/>
    <s v="Bill on Contract"/>
    <n v="0"/>
    <n v="265486.73"/>
    <m/>
    <m/>
    <s v=" "/>
    <s v=""/>
    <m/>
    <m/>
    <n v="0"/>
    <n v="0"/>
    <n v="0"/>
    <n v="0"/>
    <n v="1"/>
    <n v="0"/>
    <n v="0"/>
    <n v="0"/>
    <s v="Bill on Contract - Pro-rated"/>
    <n v="265486.73"/>
    <n v="1"/>
    <n v="1000000"/>
    <s v="Zillow 2026 MWC Digital Plan"/>
    <n v="260564"/>
    <s v="P2+"/>
    <n v="1"/>
    <m/>
    <s v="Dylan Giordano"/>
    <s v="Guaranteed"/>
    <s v="DIO - SOC - FOX Sports - X - MWC"/>
    <n v="109945"/>
    <d v="2026-06-30T00:00:00"/>
    <d v="2026-03-01T00:00:00"/>
    <d v="2026-07-22T00:00:00"/>
    <s v="Social X"/>
    <m/>
    <d v="2026-07-05T12:53:18"/>
  </r>
  <r>
    <s v="CANVAS WORLDWIDE"/>
    <n v="11499"/>
    <n v="889"/>
    <s v="ZILLOW.COM"/>
    <s v="Zillow 2026 MWC Digital Plan"/>
    <x v="18"/>
    <s v="Zillow - DIO - SOC - FS - MWC - Social Package"/>
    <n v="558520"/>
    <s v="Zillow - DIO - SOC - FOX Sports - Youtube - Custom Content - MWC"/>
    <n v="558523"/>
    <s v="FOX Sports"/>
    <s v="Flat Rate"/>
    <n v="1000000"/>
    <s v="Bill on Contract"/>
    <n v="0"/>
    <n v="265486.73"/>
    <m/>
    <m/>
    <s v=" "/>
    <s v=""/>
    <m/>
    <m/>
    <n v="0"/>
    <n v="0"/>
    <n v="0"/>
    <n v="0"/>
    <n v="1"/>
    <n v="0"/>
    <n v="0"/>
    <n v="0"/>
    <s v="Bill on Contract - Pro-rated"/>
    <n v="265486.73"/>
    <n v="1"/>
    <n v="1000000"/>
    <s v="Zillow 2026 MWC Digital Plan"/>
    <n v="260564"/>
    <s v="P2+"/>
    <n v="1"/>
    <m/>
    <s v="Dylan Giordano"/>
    <s v="Guaranteed"/>
    <s v="DIO - SOC - FOX Sports - Youtube - Custom Content - MWC"/>
    <n v="109945"/>
    <d v="2026-06-30T00:00:00"/>
    <d v="2026-03-01T00:00:00"/>
    <d v="2026-07-22T00:00:00"/>
    <s v="Social"/>
    <m/>
    <d v="2026-07-05T12:53:18"/>
  </r>
  <r>
    <s v="CARAT - NY"/>
    <n v="10993"/>
    <n v="8984"/>
    <s v="GENERAL MOTORS"/>
    <s v="GM/Digital/Upfront/MG/AllFox/2Q26/Makegood"/>
    <x v="19"/>
    <s v="GM- Cadillac - Run of AllFOX Video - AAT - 2Q26 Makegood"/>
    <n v="593675"/>
    <s v="GM - Cadillac - DIO - ROV - 1F - SEN - Pre/Mid - ROS - DT/MB/CTV - AAT - 2Q26 MG - SXD"/>
    <n v="94781419"/>
    <s v="OneFOX"/>
    <s v="CPM"/>
    <n v="17.350000000000001"/>
    <s v="3P Audience Target"/>
    <n v="811249"/>
    <n v="0"/>
    <m/>
    <m/>
    <s v=" "/>
    <n v="0"/>
    <m/>
    <m/>
    <n v="811249"/>
    <n v="811249"/>
    <n v="0"/>
    <n v="0"/>
    <n v="1"/>
    <n v="0"/>
    <n v="0"/>
    <n v="0"/>
    <s v="Bill on Actuals - 3rd Party Performance"/>
    <n v="0"/>
    <n v="3370816"/>
    <n v="0"/>
    <s v="GM/Digital/Upfront/MG/AllFox/2Q26/Makegood"/>
    <n v="94777313"/>
    <s v="Audience Target"/>
    <s v="O-D324VR0"/>
    <m/>
    <s v="Allison Klein"/>
    <s v="Guaranteed"/>
    <s v="DIO - ROV - 1F - SEN - Pre/Mid - ROS - DT/MB/CTV - SXD"/>
    <n v="131313"/>
    <d v="2026-06-30T00:00:00"/>
    <d v="2026-06-15T00:00:00"/>
    <d v="2026-07-19T00:00:00"/>
    <s v="Direct ROV"/>
    <m/>
    <d v="2026-07-05T12:53:18"/>
  </r>
  <r>
    <s v="CARAT - NY"/>
    <n v="10993"/>
    <n v="5032"/>
    <s v="MICROSOFT"/>
    <s v="Microsoft/Digital/Scatter/Sports/1QUD/2Q'26"/>
    <x v="20"/>
    <s v="Microsoft - Run of FOX Sports Video - Package - 2Q26"/>
    <n v="584536"/>
    <s v="Microsoft - DIO - ROV - FS - Pre/Mid - ROS - DT/MB/CTV - 1Q PMP UD - 2Q26"/>
    <n v="93472729"/>
    <s v="FOX Sports"/>
    <s v="CPM"/>
    <n v="21.5"/>
    <s v="3P CoView Imps"/>
    <n v="466856"/>
    <n v="10037.4"/>
    <m/>
    <m/>
    <s v=" "/>
    <n v="0"/>
    <m/>
    <m/>
    <n v="244806"/>
    <n v="399097"/>
    <n v="286369"/>
    <n v="466856"/>
    <n v="1"/>
    <n v="1.169781613790065"/>
    <n v="0"/>
    <n v="0"/>
    <s v="Bill on Actuals - 3rd Party Performance"/>
    <n v="3604.4"/>
    <n v="1234432"/>
    <n v="26540.29"/>
    <s v="Microsoft/Digital/Scatter/Sports/1QUD/2Q'26"/>
    <n v="93472719"/>
    <s v="P2+"/>
    <s v="O-D2RRUDA-R0"/>
    <m/>
    <s v="Mike Maresca"/>
    <s v="Guaranteed"/>
    <s v="DIO - ROV - FS - Pre/Mid - ROS - DT/MB/CTV"/>
    <n v="126158"/>
    <d v="2026-06-30T00:00:00"/>
    <d v="2026-04-20T00:00:00"/>
    <d v="2026-06-30T00:00:00"/>
    <s v="Direct ROV"/>
    <m/>
    <d v="2026-07-05T12:53:18"/>
  </r>
  <r>
    <s v="CARAT - NY"/>
    <n v="10993"/>
    <n v="5032"/>
    <s v="MICROSOFT"/>
    <s v="Microsoft/Digital/Scatter/World Cup/25-26"/>
    <x v="21"/>
    <s v="Microsoft - Run of World Cup Video - Package"/>
    <n v="591380"/>
    <s v="Microsoft - DIO - LFV - TUB - Pre/Mid - MWC - DT/MB/CTV"/>
    <n v="94461204"/>
    <s v="Fox Sold Tubi"/>
    <s v="CPM"/>
    <n v="44"/>
    <s v="3P Imps"/>
    <n v="2453680"/>
    <n v="105000.02"/>
    <m/>
    <m/>
    <s v=" "/>
    <n v="0"/>
    <m/>
    <m/>
    <n v="2453680"/>
    <n v="2453680"/>
    <n v="0"/>
    <n v="0"/>
    <n v="1"/>
    <n v="0"/>
    <n v="0"/>
    <n v="0"/>
    <s v="Bill on Actuals - 3rd Party Performance"/>
    <n v="52500.01"/>
    <n v="2386364"/>
    <n v="105000.02"/>
    <s v="Microsoft/Digital/Scatter/World Cup/25-26"/>
    <n v="94461190"/>
    <s v="P2+"/>
    <s v="O-D30TP6Q"/>
    <m/>
    <s v="Mike Maresca"/>
    <s v="Guaranteed"/>
    <s v="DIO - LFV - TUB - Pre/Mid - MWC - DT/MB/CTV"/>
    <n v="130320"/>
    <d v="2026-06-30T00:00:00"/>
    <d v="2026-06-05T00:00:00"/>
    <d v="2026-06-30T00:00:00"/>
    <s v="Direct LFV"/>
    <m/>
    <d v="2026-07-05T12:53:18"/>
  </r>
  <r>
    <s v="CARAT - NY"/>
    <n v="10993"/>
    <n v="5032"/>
    <s v="MICROSOFT"/>
    <s v="Microsoft/Digital/Scatter/World Cup/25-26"/>
    <x v="21"/>
    <s v="Microsoft - Run of World Cup Video - Package"/>
    <n v="591380"/>
    <s v="Microsoft - DIO - ROV - FS - Pre/Mid - MWC - DT/MB/CTV"/>
    <n v="94461193"/>
    <s v="FOX Sports"/>
    <s v="CPM"/>
    <n v="44"/>
    <s v="3P Imps"/>
    <n v="1052146"/>
    <n v="44999.99"/>
    <m/>
    <m/>
    <s v=" "/>
    <s v=""/>
    <m/>
    <m/>
    <n v="1052146"/>
    <n v="1052146"/>
    <n v="0"/>
    <n v="0"/>
    <n v="1"/>
    <n v="0"/>
    <n v="0"/>
    <n v="0"/>
    <s v="Bill on Actuals - 3rd Party Performance"/>
    <n v="22500"/>
    <n v="1022727"/>
    <n v="44999.99"/>
    <s v="Microsoft/Digital/Scatter/World Cup/25-26"/>
    <n v="94461190"/>
    <s v="P2+"/>
    <s v="O-D30TP6Q"/>
    <m/>
    <s v="Mike Maresca"/>
    <s v="Guaranteed"/>
    <s v="DIO - ROV - FS - Pre/Mid - MWC - DT/MB/CTV"/>
    <n v="130320"/>
    <d v="2026-06-30T00:00:00"/>
    <d v="2026-06-05T00:00:00"/>
    <d v="2026-06-30T00:00:00"/>
    <s v="Direct ROV"/>
    <m/>
    <d v="2026-07-05T12:53:18"/>
  </r>
  <r>
    <s v="CARAT - NY"/>
    <n v="10993"/>
    <n v="5032"/>
    <s v="MICROSOFT"/>
    <s v="Microsoft/Digital/Scatter/World Cup/25-26"/>
    <x v="21"/>
    <s v="Microsoft - Run of AllFOX Video - Package - AAT 'Soccer Fan'"/>
    <n v="591381"/>
    <s v="Microsoft - DIO - LFV - 1F - Tubi - Pre/Mid - ROS - DT/MB/CTV - FW - SXD - AAT 'Soccer Fan'"/>
    <n v="94461197"/>
    <s v="Fox Sold Tubi"/>
    <s v="CPM"/>
    <n v="20"/>
    <s v="3P Audience Target"/>
    <n v="2316225"/>
    <n v="45000"/>
    <m/>
    <m/>
    <s v=" "/>
    <n v="0"/>
    <m/>
    <m/>
    <n v="2316225"/>
    <n v="2316225"/>
    <n v="0"/>
    <n v="0"/>
    <n v="1"/>
    <n v="0"/>
    <n v="0"/>
    <n v="0"/>
    <s v="Bill on Actuals - 3rd Party Performance"/>
    <n v="22500"/>
    <n v="2250000"/>
    <n v="45000"/>
    <s v="Microsoft/Digital/Scatter/World Cup/25-26"/>
    <n v="94461190"/>
    <s v="Audience Target"/>
    <s v="O-D30TP6Q"/>
    <m/>
    <s v="Mike Maresca"/>
    <s v="Guaranteed"/>
    <s v="DIO - LFV - 1F - Tubi - Pre/Mid - ROS - DT/MB/CTV - FW - SXD"/>
    <n v="130320"/>
    <d v="2026-06-30T00:00:00"/>
    <d v="2026-06-05T00:00:00"/>
    <d v="2026-06-30T00:00:00"/>
    <s v="Direct LFV"/>
    <m/>
    <d v="2026-07-05T12:53:18"/>
  </r>
  <r>
    <s v="CARAT - NY"/>
    <n v="10993"/>
    <n v="5032"/>
    <s v="MICROSOFT"/>
    <s v="Microsoft/Digital/Scatter/World Cup/25-26"/>
    <x v="21"/>
    <s v="Microsoft - Run of AllFOX Video - Package - AAT 'Soccer Fan'"/>
    <n v="591381"/>
    <s v="Microsoft - DIO - ROV - 1F - SEN - Pre/Mid - ROS - DT/MB/CTV - SXD - AAT 'Soccer Fan'"/>
    <n v="94461200"/>
    <s v="OneFOX"/>
    <s v="CPM"/>
    <n v="20"/>
    <s v="3P Audience Target"/>
    <n v="5378876"/>
    <n v="105000"/>
    <m/>
    <m/>
    <s v=" "/>
    <s v=""/>
    <m/>
    <m/>
    <n v="5378876"/>
    <n v="5378876"/>
    <n v="0"/>
    <n v="0"/>
    <n v="1"/>
    <n v="0"/>
    <n v="0"/>
    <n v="0"/>
    <s v="Bill on Actuals - 3rd Party Performance"/>
    <n v="52500"/>
    <n v="5250000"/>
    <n v="105000"/>
    <s v="Microsoft/Digital/Scatter/World Cup/25-26"/>
    <n v="94461190"/>
    <s v="Audience Target"/>
    <s v="O-D30TP6Q"/>
    <m/>
    <s v="Mike Maresca"/>
    <s v="Guaranteed"/>
    <s v="DIO - ROV - 1F - SEN - Pre/Mid - ROS - DT/MB/CTV - SXD"/>
    <n v="130320"/>
    <d v="2026-06-30T00:00:00"/>
    <d v="2026-06-05T00:00:00"/>
    <d v="2026-06-30T00:00:00"/>
    <s v="Direct ROV"/>
    <m/>
    <d v="2026-07-05T12:53:18"/>
  </r>
  <r>
    <s v="COMFLUENCE LLC"/>
    <n v="20269"/>
    <n v="9975"/>
    <s v="AMAZON XCM"/>
    <s v="Amazon XCM/Digital/Direct/Upfront/Entertainment/25-26/UPFTRES"/>
    <x v="22"/>
    <s v="Amazon XCM - LFV - RON Entertainment - ROS - Pre/Mid - DT/MB/CTV/VOD - A1849 AAT - Package - 3Q'26 UPFTRES"/>
    <n v="538245"/>
    <s v="Amazon XCM - LFV - RON Entertainment - ROS -  Pre/Mid -  DT/MB/CTV/STB - A1849 AAT - 3Q'26 UPFTRES"/>
    <n v="88560497"/>
    <s v="RON - Ent"/>
    <s v="CPM"/>
    <n v="19"/>
    <s v="3P Audience Target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39470842"/>
    <n v="749946"/>
    <s v="Amazon XCM/Digital/Direct/Upfront/Entertainment/25-26/UPFTRES"/>
    <n v="250528"/>
    <s v="Audience Target"/>
    <s v="UPFTRES2526"/>
    <m/>
    <s v="Matthew DiToro"/>
    <s v="Guaranteed"/>
    <s v="LFV - RON Ent - Pre/Mid - ROS - DT/MB/CTV/STB"/>
    <n v="95194"/>
    <d v="2026-06-30T00:00:00"/>
    <d v="2026-06-29T00:00:00"/>
    <d v="2026-09-27T00:00:00"/>
    <s v="Direct LFV"/>
    <m/>
    <d v="2026-07-05T12:53:18"/>
  </r>
  <r>
    <s v="COMFLUENCE LLC"/>
    <n v="20269"/>
    <n v="9975"/>
    <s v="AMAZON XCM"/>
    <s v="Amazon XCM/Digital/Direct/Upfront/Sports/25-26/UPFTRES"/>
    <x v="23"/>
    <s v="Amazon XCM - LFV - FSLS - Pre/Mid - ROS - DT/MB/CTV - P2+ - 3Q'26 UPFTRES"/>
    <n v="539342"/>
    <s v="Amazon XCM - LFV - FSLS - Pre/Mid - ROS - DT/MB/CTV - P2+ - 3Q'26 UPFTRES"/>
    <n v="90749646"/>
    <s v="FOX Sports Streaming"/>
    <s v="CPM"/>
    <n v="22.65"/>
    <s v="3P CoView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9683047"/>
    <n v="219321.01"/>
    <s v="Amazon XCM/Digital/Direct/Upfront/Sports/25-26/UPFTRES"/>
    <n v="253612"/>
    <s v="P2+"/>
    <s v="UPFTRES2526"/>
    <m/>
    <s v="Nicole Gamache"/>
    <s v="Guaranteed"/>
    <s v="LFV - FSLS - Pre/Mid - ROS - DT/MB/CTV"/>
    <n v="96038"/>
    <d v="2026-06-30T00:00:00"/>
    <d v="2026-06-29T00:00:00"/>
    <d v="2026-09-27T00:00:00"/>
    <s v="Direct LFV"/>
    <m/>
    <d v="2026-07-05T12:53:18"/>
  </r>
  <r>
    <s v="CONNECT AT PUBLICIS MEDIA"/>
    <n v="10788"/>
    <n v="3025"/>
    <s v="KEURIG DR PEPPER"/>
    <s v="KDP/DIGITAL/UPFRONT 2025/2026/SPORTS/FLEX FUND/1Q'26-2Q'26"/>
    <x v="24"/>
    <s v="KDP - FLEX FUND - ROV - FS - Pre/Mid - ROS - DT/MB/CTV - P2+ - 2Q'26 Package"/>
    <n v="559447"/>
    <s v="KDP - FLEX FUND - P2+ - DIO - SFV - FSEN - Pre - ROS - DT/MB/CTV - non-CoV - 2Q'26 June"/>
    <n v="95039608"/>
    <s v="FSEN"/>
    <s v="CPM"/>
    <n v="21.79"/>
    <s v="3P Imps"/>
    <n v="343633"/>
    <n v="7487.76"/>
    <m/>
    <m/>
    <s v=" "/>
    <n v="0"/>
    <m/>
    <m/>
    <n v="343633"/>
    <n v="343633"/>
    <n v="0"/>
    <n v="0"/>
    <n v="1"/>
    <n v="0"/>
    <n v="0"/>
    <n v="0"/>
    <s v="Bill on Actuals - 3rd Party Performance"/>
    <n v="1862.92"/>
    <n v="344196"/>
    <n v="7500.03"/>
    <s v="KDP/DIGITAL/UPFRONT 2025/2026/SPORTS/FLEX FUND/1Q'26-2Q'26"/>
    <n v="90689056"/>
    <s v="P2+"/>
    <s v="O-D2H1JLS-R1"/>
    <m/>
    <s v="Janna Goldstein"/>
    <s v="Guaranteed"/>
    <s v="DIO - SFV - FSEN - Pre - ROS - DT/MB/CTV - non-CoV"/>
    <n v="111730"/>
    <d v="2026-06-30T00:00:00"/>
    <d v="2026-03-30T00:00:00"/>
    <d v="2026-06-28T00:00:00"/>
    <s v="Direct SFV"/>
    <m/>
    <d v="2026-07-05T12:53:18"/>
  </r>
  <r>
    <s v="CONNECT AT PUBLICIS MEDIA"/>
    <n v="10788"/>
    <n v="3025"/>
    <s v="KEURIG DR PEPPER"/>
    <s v="KDP/DIGITAL/UPFRONT 2025/2026/SPORTS/FLEX FUND/1Q'26-2Q'26"/>
    <x v="24"/>
    <s v="KDP - FLEX FUND - ROV - FS - Pre/Mid - ROS - DT/MB/CTV - P2+ - 2Q'26 Package"/>
    <n v="559447"/>
    <s v="KDP - FLEX FUND - P2+ - ROV - FS - Pre/Mid - ROS - DT/MB/CTV - 2Q'26 - June"/>
    <n v="93501078"/>
    <s v="FOX Sports"/>
    <s v="CPM"/>
    <n v="21.79"/>
    <s v="3P CoView Imps"/>
    <n v="108269"/>
    <n v="1942.14"/>
    <m/>
    <m/>
    <s v=" "/>
    <s v=""/>
    <m/>
    <s v="Show Only Net; NONE"/>
    <n v="90288"/>
    <n v="90288"/>
    <n v="108269"/>
    <n v="108269"/>
    <n v="1"/>
    <n v="1.199161170377584"/>
    <n v="0"/>
    <n v="0"/>
    <s v="Bill on Actuals - 3rd Party Performance"/>
    <n v="482.4"/>
    <n v="89130"/>
    <n v="1942.14"/>
    <s v="KDP/DIGITAL/UPFRONT 2025/2026/SPORTS/FLEX FUND/1Q'26-2Q'26"/>
    <n v="90689056"/>
    <s v="P2+"/>
    <s v="O-D2H1JLS-R1"/>
    <m/>
    <s v="Janna Goldstein"/>
    <s v="Guaranteed"/>
    <s v="ROV - FS - Pre/Mid - ROS - DT/MB/CTV"/>
    <n v="111730"/>
    <d v="2026-06-30T00:00:00"/>
    <d v="2026-03-30T00:00:00"/>
    <d v="2026-06-28T00:00:00"/>
    <s v="Direct ROV"/>
    <m/>
    <d v="2026-07-05T12:53:18"/>
  </r>
  <r>
    <s v="CONNECT AT PUBLICIS MEDIA"/>
    <n v="10788"/>
    <n v="8800"/>
    <s v="MILLERCOORS"/>
    <s v="Coors Light/Digital/Scatter/Men's World Cup/Q2-Q3'26"/>
    <x v="25"/>
    <s v="Coors Light - World Cup Social Sponsorship Content - Package - X"/>
    <n v="582132"/>
    <s v="Coors Light - DIO - SOC - FOX Sports - X - MWC"/>
    <n v="582134"/>
    <s v="FOX Sports - Twitter"/>
    <s v="Flat Rate"/>
    <n v="250000"/>
    <s v="Bill on Contract"/>
    <n v="0"/>
    <n v="64102.559999999998"/>
    <m/>
    <m/>
    <s v=" "/>
    <n v="0"/>
    <m/>
    <m/>
    <n v="0"/>
    <n v="0"/>
    <n v="0"/>
    <n v="0"/>
    <n v="1"/>
    <n v="0"/>
    <n v="0"/>
    <n v="0"/>
    <s v="Bill on Contract - Pro-rated"/>
    <n v="64102.559999999998"/>
    <n v="1"/>
    <n v="250000"/>
    <s v="Coors Light/Digital/Scatter/Men's World Cup/Q2-Q3'26"/>
    <n v="259315"/>
    <s v="P2+"/>
    <s v="O-D2UC9I1"/>
    <m/>
    <s v="Matt Frey"/>
    <s v="Guaranteed"/>
    <s v="DIO - SOC - FOX Sports - X - MWC"/>
    <n v="129350"/>
    <d v="2026-06-30T00:00:00"/>
    <d v="2026-06-11T00:00:00"/>
    <d v="2026-07-19T00:00:00"/>
    <s v="Social X"/>
    <m/>
    <d v="2026-07-05T12:53:18"/>
  </r>
  <r>
    <s v="CONNECT AT PUBLICIS MEDIA"/>
    <n v="10788"/>
    <n v="8800"/>
    <s v="MILLERCOORS"/>
    <s v="Coors Light/Digital/Scatter/Men's World Cup/Q2-Q3'26"/>
    <x v="25"/>
    <s v="Coors Light - Run of World Cup Video - Package"/>
    <n v="582142"/>
    <s v="Coors Light - DIO - LFV - TUB - Pre/Mid - MWC - DT/MB/CTV"/>
    <n v="94268018"/>
    <s v="Fox Sold Tubi"/>
    <s v="CPM"/>
    <n v="40"/>
    <s v="3P Imps"/>
    <n v="4064074"/>
    <n v="162562.96"/>
    <m/>
    <m/>
    <s v=" "/>
    <n v="0"/>
    <m/>
    <m/>
    <n v="4064074"/>
    <n v="4064074"/>
    <n v="0"/>
    <n v="0"/>
    <n v="1"/>
    <n v="0"/>
    <n v="0"/>
    <n v="0"/>
    <s v="Bill on Actuals - 3rd Party Performance"/>
    <n v="81983.87"/>
    <n v="6125000"/>
    <n v="245000"/>
    <s v="Coors Light/Digital/Scatter/Men's World Cup/Q2-Q3'26"/>
    <n v="94268011"/>
    <s v="P2+"/>
    <s v="O-D2UC9I1"/>
    <m/>
    <s v="Matt Frey"/>
    <s v="Guaranteed"/>
    <s v="DIO - LFV - TUB - Pre/Mid - MWC - DT/MB/CTV"/>
    <n v="129350"/>
    <d v="2026-06-30T00:00:00"/>
    <d v="2026-06-01T00:00:00"/>
    <d v="2026-07-19T00:00:00"/>
    <s v="Direct LFV"/>
    <m/>
    <d v="2026-07-05T12:53:18"/>
  </r>
  <r>
    <s v="CONNECT AT PUBLICIS MEDIA"/>
    <n v="10788"/>
    <n v="8800"/>
    <s v="MILLERCOORS"/>
    <s v="Coors Light/Digital/Scatter/Men's World Cup/Q2-Q3'26"/>
    <x v="25"/>
    <s v="Coors Light - Run of World Cup Video - Package"/>
    <n v="582142"/>
    <s v="Coors Light - DIO - ROV - FS - Pre/Mid - MWC - DT/MB/CTV"/>
    <n v="94268014"/>
    <s v="FOX Sports"/>
    <s v="CPM"/>
    <n v="40"/>
    <s v="3P Imps"/>
    <n v="1780679"/>
    <n v="71227.16"/>
    <m/>
    <m/>
    <s v=" "/>
    <s v=""/>
    <m/>
    <m/>
    <n v="1780679"/>
    <n v="1780679"/>
    <n v="0"/>
    <n v="0"/>
    <n v="1"/>
    <n v="0"/>
    <n v="0"/>
    <n v="0"/>
    <s v="Bill on Actuals - 3rd Party Performance"/>
    <n v="35135.949999999997"/>
    <n v="2625000"/>
    <n v="105000"/>
    <s v="Coors Light/Digital/Scatter/Men's World Cup/Q2-Q3'26"/>
    <n v="94268011"/>
    <s v="P2+"/>
    <s v="O-D2UC9I1"/>
    <m/>
    <s v="Matt Frey"/>
    <s v="Guaranteed"/>
    <s v="DIO - ROV - FS - Pre/Mid - MWC - DT/MB/CTV"/>
    <n v="129350"/>
    <d v="2026-06-30T00:00:00"/>
    <d v="2026-06-01T00:00:00"/>
    <d v="2026-07-19T00:00:00"/>
    <s v="Direct ROV"/>
    <m/>
    <d v="2026-07-05T12:53:18"/>
  </r>
  <r>
    <s v="CONNECT AT PUBLICIS MEDIA"/>
    <n v="10788"/>
    <n v="8800"/>
    <s v="MILLERCOORS"/>
    <s v="Miller Coors/Digital/Scatter/Men's World Cup/Q2-Q3'26 "/>
    <x v="26"/>
    <s v="Miller Lite - World Cup Social Sponsorship Content - Package - X"/>
    <n v="588871"/>
    <s v="Miller Lite - DIO - SOC - FOX Sports - X - MWC"/>
    <n v="588872"/>
    <s v="FOX Sports - Twitter"/>
    <s v="Flat Rate"/>
    <n v="250000"/>
    <s v="Bill on Contract"/>
    <n v="0"/>
    <n v="64102.559999999998"/>
    <m/>
    <m/>
    <s v=" "/>
    <n v="0"/>
    <m/>
    <m/>
    <n v="0"/>
    <n v="0"/>
    <n v="0"/>
    <n v="0"/>
    <n v="1"/>
    <n v="0"/>
    <n v="0"/>
    <n v="0"/>
    <s v="Bill on Contract - Pro-rated"/>
    <n v="64102.559999999998"/>
    <n v="1"/>
    <n v="250000"/>
    <s v="Miller Coors/Digital/Scatter/Men's World Cup/Q2-Q3'26 "/>
    <n v="269662"/>
    <s v="P2+"/>
    <s v="O-D2UC9I1"/>
    <m/>
    <s v="Matt Frey"/>
    <s v="Guaranteed"/>
    <s v="DIO - SOC - FOX Sports - X - MWC"/>
    <n v="129388"/>
    <d v="2026-06-30T00:00:00"/>
    <d v="2026-06-11T00:00:00"/>
    <d v="2026-07-19T00:00:00"/>
    <s v="Social X"/>
    <m/>
    <d v="2026-07-05T12:53:18"/>
  </r>
  <r>
    <s v="CONNECT AT PUBLICIS MEDIA"/>
    <n v="10788"/>
    <n v="8800"/>
    <s v="MILLERCOORS"/>
    <s v="Miller Coors/Digital/Scatter/Men's World Cup/Q2-Q3'26 "/>
    <x v="26"/>
    <s v="Miller Lite - Run of World Cup Video - Package"/>
    <n v="588876"/>
    <s v="Miller Lite - DIO - ROV - FS - Pre/Mid - MWC - DT/MB/CTV"/>
    <n v="94269070"/>
    <s v="FOX Sports"/>
    <s v="CPM"/>
    <n v="40"/>
    <s v="3P Imps"/>
    <n v="765347"/>
    <n v="30613.88"/>
    <m/>
    <m/>
    <s v=" "/>
    <n v="0"/>
    <m/>
    <m/>
    <n v="765347"/>
    <n v="765347"/>
    <n v="0"/>
    <n v="0"/>
    <n v="1"/>
    <n v="0"/>
    <n v="0"/>
    <n v="0"/>
    <s v="Bill on Actuals - 3rd Party Performance"/>
    <n v="15094.37"/>
    <n v="1125000"/>
    <n v="45000"/>
    <s v="Miller Coors/Digital/Scatter/Men's World Cup/Q2-Q3'26 "/>
    <n v="94269064"/>
    <s v="P2+"/>
    <s v="O-D2UC9I1"/>
    <m/>
    <s v="Matt Frey"/>
    <s v="Guaranteed"/>
    <s v="DIO - ROV - FS - Pre/Mid - MWC - DT/MB/CTV"/>
    <n v="129388"/>
    <d v="2026-06-30T00:00:00"/>
    <d v="2026-06-01T00:00:00"/>
    <d v="2026-07-19T00:00:00"/>
    <s v="Direct ROV"/>
    <m/>
    <d v="2026-07-05T12:53:18"/>
  </r>
  <r>
    <s v="CONNECT AT PUBLICIS MEDIA"/>
    <n v="10788"/>
    <n v="8800"/>
    <s v="MILLERCOORS"/>
    <s v="Miller Coors/Digital/Scatter/Men's World Cup/Q2-Q3'26 "/>
    <x v="26"/>
    <s v="Miller Lite - Run of World Cup Video - Package"/>
    <n v="588876"/>
    <s v="Miller Lite - LFV - TUB - Pre/Mid - MWC - DT/MB/CTV"/>
    <n v="94269067"/>
    <s v="Fox Sold Tubi"/>
    <s v="CPM"/>
    <n v="40"/>
    <s v="3P Imps"/>
    <n v="1743195"/>
    <n v="69727.8"/>
    <m/>
    <m/>
    <s v=" "/>
    <s v=""/>
    <m/>
    <m/>
    <n v="1743195"/>
    <n v="1743195"/>
    <n v="0"/>
    <n v="0"/>
    <n v="1"/>
    <n v="0"/>
    <n v="0"/>
    <n v="0"/>
    <s v="Bill on Actuals - 3rd Party Performance"/>
    <n v="35220.19"/>
    <n v="2625000"/>
    <n v="105000"/>
    <s v="Miller Coors/Digital/Scatter/Men's World Cup/Q2-Q3'26 "/>
    <n v="94269064"/>
    <s v="P2+"/>
    <s v="O-D2UC9I1"/>
    <m/>
    <s v="Matt Frey"/>
    <s v="Guaranteed"/>
    <s v="DIO - LFV - TUB - Pre/Mid - MWC - DT/MB/CTV"/>
    <n v="129388"/>
    <d v="2026-06-30T00:00:00"/>
    <d v="2026-06-01T00:00:00"/>
    <d v="2026-07-19T00:00:00"/>
    <s v="Direct LFV"/>
    <m/>
    <d v="2026-07-05T12:53:18"/>
  </r>
  <r>
    <s v="CONNECT AT PUBLICIS MEDIA"/>
    <n v="10788"/>
    <n v="7080"/>
    <s v="SIGNET"/>
    <s v="Signet Kay/25-26/Digital/Upfront/Entertainment/UF 2025/26/2Q"/>
    <x v="27"/>
    <s v="Signet Kay DIO - LFV - Entertainment ROS - Package Bridal 2Q"/>
    <n v="576868"/>
    <s v="Signet Kay LFV - RON Ent - Pre/Mid - ROS - DT/MB/CTV/STB Bridal June 2Q"/>
    <n v="92878662"/>
    <s v="RON - Ent"/>
    <s v="CPM"/>
    <n v="17"/>
    <s v="3P CoView Imps"/>
    <n v="296071"/>
    <n v="4842.3500000000004"/>
    <m/>
    <m/>
    <s v=" "/>
    <n v="0"/>
    <m/>
    <s v="Show Only Net; NONE"/>
    <n v="234331"/>
    <n v="234331"/>
    <n v="296071"/>
    <n v="296071"/>
    <n v="1"/>
    <n v="1.2634758562008079"/>
    <n v="0"/>
    <n v="0"/>
    <s v="Bill on Actuals - 3rd Party Performance"/>
    <n v="4809.0600000000004"/>
    <n v="284844"/>
    <n v="4842.3500000000004"/>
    <s v="Signet Kay/25-26/Digital/Upfront/Entertainment/UF 2025/26/2Q"/>
    <n v="92878643"/>
    <s v="P2+"/>
    <s v="O-D2OO844"/>
    <m/>
    <s v="Carly Sartwell"/>
    <s v="Guaranteed"/>
    <s v="LFV - RON Ent - Pre/Mid - ROS - DT/MB/CTV/STB"/>
    <n v="122614"/>
    <d v="2026-06-30T00:00:00"/>
    <d v="2026-04-01T00:00:00"/>
    <d v="2026-06-30T00:00:00"/>
    <s v="Direct LFV"/>
    <m/>
    <d v="2026-07-05T12:53:18"/>
  </r>
  <r>
    <s v="CONNECT AT PUBLICIS MEDIA"/>
    <n v="10788"/>
    <n v="7080"/>
    <s v="SIGNET"/>
    <s v="Signet Kay/25-26/Digital/Upfront/Entertainment/UF 2025/26/2Q"/>
    <x v="27"/>
    <s v="Signet Kay DIO - LFV - Entertainment ROS - Package Gifting 2Q"/>
    <n v="576879"/>
    <s v="Signet Kay LFV - RON Ent - Pre/Mid - ROS - DT/MB/CTV/STB Gifting June 2Q"/>
    <n v="92878649"/>
    <s v="RON - Ent"/>
    <s v="CPM"/>
    <n v="17"/>
    <s v="3P CoView Imps"/>
    <n v="448130"/>
    <n v="7263.51"/>
    <m/>
    <m/>
    <s v=" "/>
    <n v="0"/>
    <m/>
    <m/>
    <n v="353305"/>
    <n v="353305"/>
    <n v="448130"/>
    <n v="448130"/>
    <n v="1"/>
    <n v="1.268396081298105"/>
    <n v="0"/>
    <n v="0"/>
    <s v="Bill on Actuals - 3rd Party Performance"/>
    <n v="7263.51"/>
    <n v="427265"/>
    <n v="7263.51"/>
    <s v="Signet Kay/25-26/Digital/Upfront/Entertainment/UF 2025/26/2Q"/>
    <n v="92878643"/>
    <s v="P2+"/>
    <s v="O-D2OO844"/>
    <m/>
    <s v="Carly Sartwell"/>
    <s v="Guaranteed"/>
    <s v="LFV - RON Ent - Pre/Mid - ROS - DT/MB/CTV/STB"/>
    <n v="122614"/>
    <d v="2026-06-30T00:00:00"/>
    <d v="2026-04-01T00:00:00"/>
    <d v="2026-06-30T00:00:00"/>
    <s v="Direct LFV"/>
    <m/>
    <d v="2026-07-05T12:53:18"/>
  </r>
  <r>
    <s v="CRITICAL MASS"/>
    <n v="18610"/>
    <n v="1665"/>
    <s v="BMW"/>
    <s v="BMW / SCATTER / DIGITAL / SPORTS / FY Q4 25-26 / World Cup"/>
    <x v="28"/>
    <s v="BMW - Run of World Cup Display - Men's World Cup 26' - 300x250, 320x50, 728x90"/>
    <n v="581635"/>
    <s v="BMW - DIS - FS - Display Unit - MWC - 300x250, 320x50, 728x90"/>
    <n v="7310447455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4047.12"/>
    <n v="13333333"/>
    <n v="80000"/>
    <s v="BMW / SCATTER / DIGITAL / SPORTS / FY Q4 25-26 / World Cup"/>
    <n v="266966"/>
    <s v="P2+"/>
    <s v="O-D2TS2G5-R6"/>
    <m/>
    <s v="Adam Chardavoyne"/>
    <s v="Guaranteed"/>
    <s v="DIS - FS - Display Unit - MWC"/>
    <n v="128177"/>
    <d v="2026-06-30T00:00:00"/>
    <d v="2026-06-11T00:00:00"/>
    <d v="2026-07-19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Social Sponsorship Content - Men's World Cup"/>
    <n v="581649"/>
    <s v="BMW - DIO - SOC - FOX Sports - Facebook/Instagram - MWC"/>
    <n v="581650"/>
    <s v="FOX Sports - FB-Inst"/>
    <s v="Flat Rate"/>
    <n v="0.15"/>
    <s v="Bill on Contract"/>
    <n v="341880267"/>
    <n v="51282.04"/>
    <m/>
    <m/>
    <s v=" "/>
    <n v="0"/>
    <m/>
    <m/>
    <n v="0"/>
    <n v="0"/>
    <n v="0"/>
    <n v="0"/>
    <n v="1"/>
    <n v="0"/>
    <n v="0"/>
    <n v="0"/>
    <s v="Bill on Contract - Pro-rated"/>
    <n v="51282.04"/>
    <n v="1333333"/>
    <n v="199999.95"/>
    <s v="BMW / SCATTER / DIGITAL / SPORTS / FY Q4 25-26 / World Cup"/>
    <n v="266966"/>
    <s v="P2+"/>
    <s v="O-D2TS2G5-R6"/>
    <m/>
    <s v="Adam Chardavoyne"/>
    <s v="Guaranteed"/>
    <s v="DIO - SOC - FOX Sports - Facebook/Instagram - MWC"/>
    <n v="128177"/>
    <d v="2026-06-30T00:00:00"/>
    <d v="2026-06-11T00:00:00"/>
    <d v="2026-07-19T00:00:00"/>
    <s v="Social Facebook/Instagram"/>
    <m/>
    <d v="2026-07-05T12:53:18"/>
  </r>
  <r>
    <s v="CRITICAL MASS"/>
    <n v="18610"/>
    <n v="1665"/>
    <s v="BMW"/>
    <s v="BMW / SCATTER / DIGITAL / SPORTS / FY Q4 25-26 / World Cup"/>
    <x v="28"/>
    <s v="BMW - World Cup Social Sponsorship Content - Men's World Cup"/>
    <n v="581649"/>
    <s v="BMW - DIO - SOC - FOX Sports - TikTok - MWC"/>
    <n v="581653"/>
    <s v="FOX Sports - TikTok"/>
    <s v="Flat Rate"/>
    <n v="0.15"/>
    <s v="Bill on Contract"/>
    <n v="341880533"/>
    <n v="51282.080000000002"/>
    <m/>
    <m/>
    <s v=" "/>
    <s v=""/>
    <m/>
    <m/>
    <n v="0"/>
    <n v="0"/>
    <n v="0"/>
    <n v="0"/>
    <n v="1"/>
    <n v="0"/>
    <n v="0"/>
    <n v="0"/>
    <s v="Bill on Contract - Pro-rated"/>
    <n v="51282.080000000002"/>
    <n v="1333334"/>
    <n v="200000.1"/>
    <s v="BMW / SCATTER / DIGITAL / SPORTS / FY Q4 25-26 / World Cup"/>
    <n v="266966"/>
    <s v="P2+"/>
    <s v="O-D2TS2G5-R6"/>
    <m/>
    <s v="Adam Chardavoyne"/>
    <s v="Guaranteed"/>
    <s v="DIO - SOC - FOX Sports - TikTok - MWC"/>
    <n v="128177"/>
    <d v="2026-06-30T00:00:00"/>
    <d v="2026-06-11T00:00:00"/>
    <d v="2026-07-19T00:00:00"/>
    <s v="Social TikTok"/>
    <m/>
    <d v="2026-07-05T12:53:18"/>
  </r>
  <r>
    <s v="CRITICAL MASS"/>
    <n v="18610"/>
    <n v="1665"/>
    <s v="BMW"/>
    <s v="BMW / SCATTER / DIGITAL / SPORTS / FY Q4 25-26 / World Cup"/>
    <x v="28"/>
    <s v="BMW - World Cup Social Sponsorship Content - Men's World Cup"/>
    <n v="581649"/>
    <s v="BMW - DIO - SOC - FOX Sports - Youtube - Custom Content - MWC"/>
    <n v="581652"/>
    <s v="FOX Sports"/>
    <s v="Flat Rate"/>
    <n v="0.15"/>
    <s v="Bill on Contract"/>
    <n v="341880267"/>
    <n v="51282.04"/>
    <m/>
    <m/>
    <s v=" "/>
    <s v=""/>
    <m/>
    <m/>
    <n v="0"/>
    <n v="0"/>
    <n v="0"/>
    <n v="0"/>
    <n v="1"/>
    <n v="0"/>
    <n v="0"/>
    <n v="0"/>
    <s v="Bill on Contract - Pro-rated"/>
    <n v="51282.04"/>
    <n v="1333333"/>
    <n v="199999.95"/>
    <s v="BMW / SCATTER / DIGITAL / SPORTS / FY Q4 25-26 / World Cup"/>
    <n v="266966"/>
    <s v="P2+"/>
    <s v="O-D2TS2G5-R6"/>
    <m/>
    <s v="Adam Chardavoyne"/>
    <s v="Guaranteed"/>
    <s v="DIO - SOC - FOX Sports - Youtube - Custom Content - MWC"/>
    <n v="128177"/>
    <d v="2026-06-30T00:00:00"/>
    <d v="2026-06-11T00:00:00"/>
    <d v="2026-07-19T00:00:00"/>
    <s v="Social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Blank - ROS - Sponsorship - Non - OMP 6/20/2026"/>
    <n v="7307921013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BMW / SCATTER / DIGITAL / SPORTS / FY Q4 25-26 / World Cup"/>
    <n v="266966"/>
    <s v="P2+"/>
    <s v="O-D2TS2G5-R6"/>
    <m/>
    <s v="Adam Chardavoyne"/>
    <s v="Guaranteed"/>
    <s v="DIS - FS - Blank - ROS - Sponsorship"/>
    <n v="128177"/>
    <d v="2026-06-30T00:00:00"/>
    <d v="2026-06-20T00:00:00"/>
    <d v="2026-06-20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Display Unit - ROS - Sponsorship - 300 x 250 -  6/20/2026"/>
    <n v="7307919777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BMW / SCATTER / DIGITAL / SPORTS / FY Q4 25-26 / World Cup"/>
    <n v="266966"/>
    <s v="P2+"/>
    <s v="O-D2TS2G5-R6"/>
    <m/>
    <s v="Adam Chardavoyne"/>
    <s v="Guaranteed"/>
    <s v="DIS - FS - Display Unit - ROS - Sponsorship"/>
    <n v="128177"/>
    <d v="2026-06-30T00:00:00"/>
    <d v="2026-06-20T00:00:00"/>
    <d v="2026-06-20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Display Unit - ROS - Sponsorship - 300 x 600 -  6/20/2026"/>
    <n v="7312079423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BMW / SCATTER / DIGITAL / SPORTS / FY Q4 25-26 / World Cup"/>
    <n v="266966"/>
    <s v="P2+"/>
    <s v="O-D2TS2G5-R6"/>
    <m/>
    <s v="Adam Chardavoyne"/>
    <s v="Guaranteed"/>
    <s v="DIS - FS - Display Unit - ROS - Sponsorship"/>
    <n v="128177"/>
    <d v="2026-06-30T00:00:00"/>
    <d v="2026-06-20T00:00:00"/>
    <d v="2026-06-20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Display Unit - ROS - Sponsorship - 320 x 50 -  6/20/2026"/>
    <n v="7307919765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BMW / SCATTER / DIGITAL / SPORTS / FY Q4 25-26 / World Cup"/>
    <n v="266966"/>
    <s v="P2+"/>
    <s v="O-D2TS2G5-R6"/>
    <m/>
    <s v="Adam Chardavoyne"/>
    <s v="Guaranteed"/>
    <s v="DIS - FS - Display Unit - ROS - Sponsorship"/>
    <n v="128177"/>
    <d v="2026-06-30T00:00:00"/>
    <d v="2026-06-20T00:00:00"/>
    <d v="2026-06-20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Display Unit - ROS - Sponsorship - 728 x 90 -  6/20/2026"/>
    <n v="7307920440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BMW / SCATTER / DIGITAL / SPORTS / FY Q4 25-26 / World Cup"/>
    <n v="266966"/>
    <s v="P2+"/>
    <s v="O-D2TS2G5-R6"/>
    <m/>
    <s v="Adam Chardavoyne"/>
    <s v="Guaranteed"/>
    <s v="DIS - FS - Display Unit - ROS - Sponsorship"/>
    <n v="128177"/>
    <d v="2026-06-30T00:00:00"/>
    <d v="2026-06-20T00:00:00"/>
    <d v="2026-06-20T00:00:00"/>
    <s v="Direct Display"/>
    <m/>
    <d v="2026-07-05T12:53:18"/>
  </r>
  <r>
    <s v="CRITICAL MASS"/>
    <n v="18610"/>
    <n v="1665"/>
    <s v="BMW"/>
    <s v="BMW / SCATTER / DIGITAL / SPORTS / FY Q4 25-26 / World Cup"/>
    <x v="28"/>
    <s v="BMW - World Cup FOX Sports Site &amp; App Takeover - Non - OMP 6/20/2026"/>
    <n v="587742"/>
    <s v="BMW - DIS - FS - High Impact - ROS - Sponsorship - Non - OMP 6/20/2026"/>
    <n v="7307912787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BMW / SCATTER / DIGITAL / SPORTS / FY Q4 25-26 / World Cup"/>
    <n v="266966"/>
    <s v="P2+"/>
    <s v="O-D2TS2G5-R6"/>
    <m/>
    <s v="Adam Chardavoyne"/>
    <s v="Guaranteed"/>
    <s v="DIS - FS - High Impact - ROS - Sponsorship"/>
    <n v="128177"/>
    <d v="2026-06-30T00:00:00"/>
    <d v="2026-06-20T00:00:00"/>
    <d v="2026-06-20T00:00:00"/>
    <s v="Direct Display"/>
    <m/>
    <d v="2026-07-05T12:53:18"/>
  </r>
  <r>
    <s v="DENTSU INC"/>
    <n v="11515"/>
    <n v="4694"/>
    <s v="HILTON HOTELS"/>
    <s v="Hilton/Digital/Upfront/Streaming/25-26 -3Q26"/>
    <x v="29"/>
    <s v="Hilton - DIO - ROV - FS - Pre/Mid - ROS - DT/MB/CTV - Package - 3Q26"/>
    <n v="595758"/>
    <s v="Hilton - DIO - ROV - FS - Pre/Mid - ROS - DT/MB/CTV - 3Q26"/>
    <n v="95091062"/>
    <s v="FOX Sports"/>
    <s v="CPM"/>
    <n v="20"/>
    <s v="3P CoView Imps"/>
    <n v="1418"/>
    <n v="28.36"/>
    <m/>
    <m/>
    <s v=" "/>
    <n v="0"/>
    <m/>
    <m/>
    <n v="1192"/>
    <n v="1192"/>
    <n v="1418"/>
    <n v="1418"/>
    <n v="1"/>
    <n v="1.1899999071800069"/>
    <n v="0"/>
    <n v="0"/>
    <s v="Bill on Actuals - 3rd Party Performance"/>
    <n v="14.17"/>
    <n v="5000000"/>
    <n v="100000"/>
    <s v="Hilton/Digital/Upfront/Streaming/25-26 -3Q26"/>
    <n v="95091055"/>
    <s v="P2+"/>
    <s v="O-D33NEM8"/>
    <m/>
    <s v="Mike Maresca"/>
    <s v="Guaranteed"/>
    <s v="DIO - ROV - FS - Pre/Mid - ROS - DT/MB/CTV"/>
    <n v="133681"/>
    <d v="2026-06-30T00:00:00"/>
    <d v="2026-06-29T00:00:00"/>
    <d v="2026-09-27T00:00:00"/>
    <s v="Direct ROV"/>
    <m/>
    <d v="2026-07-05T12:53:18"/>
  </r>
  <r>
    <s v="DENTSU INC"/>
    <n v="11515"/>
    <n v="4694"/>
    <s v="HILTON HOTELS"/>
    <s v="Hilton/Digital/Upfront/Streaming/25-26/DIO/2Q'26"/>
    <x v="30"/>
    <s v="Hilton - DIO - ROV - FS - Pre/Mid - ROS - DT/MB/CTV - Package"/>
    <n v="573888"/>
    <s v="Hilton - DIO - ROV - FS - Pre/Mid - ROS - DT/MB/CTV - 2Q26 - June"/>
    <n v="93558513"/>
    <s v="FOX Sports"/>
    <s v="CPM"/>
    <n v="20"/>
    <s v="3P CoView Imps"/>
    <n v="106003"/>
    <n v="385.75"/>
    <m/>
    <m/>
    <s v=" "/>
    <n v="0"/>
    <m/>
    <m/>
    <n v="85371"/>
    <n v="85371"/>
    <n v="106003"/>
    <n v="106003"/>
    <n v="1"/>
    <n v="1.241677591534788"/>
    <n v="0"/>
    <n v="0"/>
    <s v="Bill on Contract - Straightline"/>
    <n v="385.75"/>
    <n v="87500"/>
    <n v="1750"/>
    <s v="Hilton/Digital/Upfront/Streaming/25-26/DIO/2Q'26"/>
    <n v="92909732"/>
    <s v="P2+"/>
    <s v="O-D2O8AIT-R1"/>
    <m/>
    <s v="Mike Maresca"/>
    <s v="Guaranteed"/>
    <s v="DIO - ROV - FS - Pre/Mid - ROS - DT/MB/CTV"/>
    <n v="121426"/>
    <d v="2026-06-30T00:00:00"/>
    <d v="2026-03-31T00:00:00"/>
    <d v="2026-06-28T00:00:00"/>
    <s v="Direct ROV"/>
    <m/>
    <d v="2026-07-05T12:53:18"/>
  </r>
  <r>
    <s v="DENTSU INC"/>
    <n v="11515"/>
    <n v="4694"/>
    <s v="HILTON HOTELS"/>
    <s v="Hilton/Digital/Upfront/Streaming/25-26/DIO/2Q'26"/>
    <x v="30"/>
    <s v="Hilton - DIO - ROV - FS - Pre/Mid - ROS - DT/MB/CTV - Package"/>
    <n v="573888"/>
    <s v="Hilton - DIO - SFV - FSEN - Pre - ROS - DT/MB/CTV - non-CoV - 2Q26"/>
    <n v="94909490"/>
    <s v="FSEN"/>
    <s v="Flat Rate"/>
    <n v="20"/>
    <s v="Bill on Contract"/>
    <n v="418342"/>
    <n v="8366.83"/>
    <m/>
    <m/>
    <s v=" "/>
    <s v=""/>
    <m/>
    <m/>
    <n v="1950158"/>
    <n v="1950158"/>
    <n v="0"/>
    <n v="0"/>
    <n v="1"/>
    <n v="0"/>
    <n v="0"/>
    <n v="0"/>
    <s v="Bill on Contract - Straightline"/>
    <n v="8366.83"/>
    <n v="1897860"/>
    <n v="37957.199999999997"/>
    <s v="Hilton/Digital/Upfront/Streaming/25-26/DIO/2Q'26"/>
    <n v="92909732"/>
    <s v="P2+"/>
    <s v="O-D2O8AIT-R1"/>
    <m/>
    <s v="Mike Maresca"/>
    <s v="Guaranteed"/>
    <s v="DIO - SFV - FSEN - Pre - ROS - DT/MB/CTV - non-CoV"/>
    <n v="121426"/>
    <d v="2026-06-30T00:00:00"/>
    <d v="2026-03-31T00:00:00"/>
    <d v="2026-06-28T00:00:00"/>
    <s v="Direct SFV"/>
    <m/>
    <d v="2026-07-05T12:53:18"/>
  </r>
  <r>
    <s v="DIGITAS - NY"/>
    <n v="11691"/>
    <n v="5988"/>
    <s v="EXACT SCIENCES"/>
    <s v="Cologuard/Digital/Upfront/ONE FOX/UF 2025.26/Direct/2Q26"/>
    <x v="31"/>
    <s v="Cologuard - OneFox - 25/26 - Pre/Mid - ROS - AAT - SXD - A45+ - 2Q'26"/>
    <n v="573336"/>
    <s v="Cologuard - DIO - ROV - 1F - SEN - Pre/Mid - ROS - DT/MB/CTV - SXD - 2Q'26 - A45+"/>
    <n v="92911180"/>
    <s v="OneFOX"/>
    <s v="CPM"/>
    <n v="17.46"/>
    <s v="3P Audience Target"/>
    <n v="2564410"/>
    <n v="44774.6"/>
    <m/>
    <m/>
    <s v=" "/>
    <n v="0"/>
    <m/>
    <s v="Show Only Net; NONE"/>
    <n v="1803031"/>
    <n v="2564410"/>
    <n v="0"/>
    <n v="0"/>
    <n v="1"/>
    <n v="0"/>
    <n v="0"/>
    <n v="0"/>
    <s v="Bill on Actuals - 3rd Party Performance"/>
    <n v="29198.32"/>
    <n v="7159221"/>
    <n v="125000"/>
    <s v="Cologuard/Digital/Upfront/ONE FOX/UF 2025.26/Direct/2Q26"/>
    <n v="92911177"/>
    <s v="Audience Target"/>
    <s v="O-D2PJPKE-R2"/>
    <m/>
    <s v="Jon Renz"/>
    <s v="Guaranteed"/>
    <s v="DIO - ROV - 1F - SEN - Pre/Mid - ROS - DT/MB/CTV - SXD"/>
    <n v="122756"/>
    <d v="2026-06-30T00:00:00"/>
    <d v="2026-04-01T00:00:00"/>
    <d v="2026-06-28T00:00:00"/>
    <s v="Direct ROV"/>
    <m/>
    <d v="2026-07-05T12:53:18"/>
  </r>
  <r>
    <s v="ESSENCE GLOBAL LLC"/>
    <n v="11737"/>
    <n v="5954"/>
    <s v="AIRBNB"/>
    <s v="Airbnb/MWC/Digital/SCT/25-26"/>
    <x v="32"/>
    <s v="OMP - Airbnb - Run of World Cup Video - Package"/>
    <n v="583535"/>
    <s v="OMP - Airbnb - DIO - LFV - TUB - Pre/Mid - MWC - DT/MB/CTV"/>
    <n v="93796299"/>
    <s v="Fox Sold Tubi"/>
    <s v="CPM"/>
    <n v="40"/>
    <s v="3P Imps"/>
    <n v="4897238"/>
    <n v="195889.52"/>
    <m/>
    <m/>
    <s v=" "/>
    <n v="0"/>
    <m/>
    <m/>
    <n v="4897238"/>
    <n v="4897238"/>
    <n v="0"/>
    <n v="0"/>
    <n v="1"/>
    <n v="0"/>
    <n v="0"/>
    <n v="0"/>
    <s v="Bill on Actuals - 3rd Party Performance"/>
    <n v="99241.53"/>
    <n v="7437500"/>
    <n v="297500"/>
    <s v="Airbnb/MWC/Digital/SCT/25-26"/>
    <n v="93796293"/>
    <s v="P2+"/>
    <s v="O-D2TN2MQ-R1"/>
    <m/>
    <s v="Nicole Joscelyn"/>
    <s v="Guaranteed"/>
    <s v="DIO - LFV - TUB - Pre/Mid - MWC - DT/MB/CTV"/>
    <n v="127516"/>
    <d v="2026-06-30T00:00:00"/>
    <d v="2026-06-11T00:00:00"/>
    <d v="2026-07-19T00:00:00"/>
    <s v="Direct LFV"/>
    <m/>
    <d v="2026-07-05T12:53:18"/>
  </r>
  <r>
    <s v="ESSENCE GLOBAL LLC"/>
    <n v="11737"/>
    <n v="5954"/>
    <s v="AIRBNB"/>
    <s v="Airbnb/MWC/Digital/SCT/25-26"/>
    <x v="32"/>
    <s v="OMP - Airbnb - Run of World Cup Video - Package"/>
    <n v="583535"/>
    <s v="OMP - Airbnb - DIO - ROV - FS - Pre/Mid - MWC - DT/MB/CTV"/>
    <n v="93796296"/>
    <s v="FOX Sports"/>
    <s v="CPM"/>
    <n v="40"/>
    <s v="3P Imps"/>
    <n v="8877808"/>
    <n v="355112.32"/>
    <m/>
    <m/>
    <s v=" "/>
    <s v=""/>
    <m/>
    <m/>
    <n v="8877808"/>
    <n v="8877808"/>
    <n v="0"/>
    <n v="0"/>
    <n v="1"/>
    <n v="0"/>
    <n v="0"/>
    <n v="0"/>
    <s v="Bill on Actuals - 3rd Party Performance"/>
    <n v="175966.07"/>
    <n v="13187500"/>
    <n v="527500"/>
    <s v="Airbnb/MWC/Digital/SCT/25-26"/>
    <n v="93796293"/>
    <s v="P2+"/>
    <s v="O-D2TN2MQ-R1"/>
    <m/>
    <s v="Nicole Joscelyn"/>
    <s v="Guaranteed"/>
    <s v="DIO - ROV - FS - Pre/Mid - MWC - DT/MB/CTV"/>
    <n v="127516"/>
    <d v="2026-06-30T00:00:00"/>
    <d v="2026-06-11T00:00:00"/>
    <d v="2026-07-19T00:00:00"/>
    <s v="Direct ROV"/>
    <m/>
    <d v="2026-07-05T12:53:18"/>
  </r>
  <r>
    <s v="ESSENCE GLOBAL LLC"/>
    <n v="11737"/>
    <n v="5954"/>
    <s v="AIRBNB"/>
    <s v="Airbnb/MWC/Digital/SCT/25-26"/>
    <x v="32"/>
    <s v="OMP - Airbnb - Run of World Cup Display - Package"/>
    <n v="583538"/>
    <s v="OMP - Airbnb - DIS - FS - Display Unit - MWC -728x90/300x250/320x50"/>
    <n v="7303325458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8405.97"/>
    <n v="16666667"/>
    <n v="100000"/>
    <s v="Airbnb/MWC/Digital/SCT/25-26"/>
    <n v="257222"/>
    <s v="P2+"/>
    <s v="O-D2TN2MQ-R1"/>
    <m/>
    <s v="Nicole Joscelyn"/>
    <s v="Guaranteed"/>
    <s v="DIS - FS - Display Unit - MWC"/>
    <n v="127516"/>
    <d v="2026-06-30T00:00:00"/>
    <d v="2026-06-11T00:00:00"/>
    <d v="2026-07-19T00:00:00"/>
    <s v="Direct Display"/>
    <m/>
    <d v="2026-07-05T12:53:18"/>
  </r>
  <r>
    <s v="ESSENCE GLOBAL LLC"/>
    <n v="11737"/>
    <n v="5954"/>
    <s v="AIRBNB"/>
    <s v="Airbnb/MWC/Digital/SCT/25-26"/>
    <x v="32"/>
    <s v="OMP - Airbnb - Run of FOX Sports Video - Package"/>
    <n v="583540"/>
    <s v="OMP - Airbnb - DIO - ROV - FS - Pre/Mid - ROS - DT/MB/CTV"/>
    <n v="93796302"/>
    <s v="FOX Sports"/>
    <s v="CPM"/>
    <n v="20"/>
    <s v="3P CoView Imps"/>
    <n v="3048999"/>
    <n v="60979.98"/>
    <m/>
    <m/>
    <s v=" "/>
    <n v="0"/>
    <m/>
    <m/>
    <n v="2743851"/>
    <n v="2743851"/>
    <n v="3048999"/>
    <n v="3048999"/>
    <n v="1"/>
    <n v="1.1112117516427911"/>
    <n v="0"/>
    <n v="0"/>
    <s v="Bill on Actuals - 3rd Party Performance"/>
    <n v="19926.400000000001"/>
    <n v="6541900"/>
    <n v="130838"/>
    <s v="Airbnb/MWC/Digital/SCT/25-26"/>
    <n v="93796293"/>
    <s v="P2+"/>
    <s v="O-D2TN2MQ-R1"/>
    <m/>
    <s v="Nicole Joscelyn"/>
    <s v="Guaranteed"/>
    <s v="DIO - ROV - FS - Pre/Mid - ROS - DT/MB/CTV"/>
    <n v="127516"/>
    <d v="2026-06-30T00:00:00"/>
    <d v="2026-06-11T00:00:00"/>
    <d v="2026-07-19T00:00:00"/>
    <s v="Direct ROV"/>
    <m/>
    <d v="2026-07-05T12:53:18"/>
  </r>
  <r>
    <s v="ESSENCE GLOBAL LLC"/>
    <n v="11737"/>
    <n v="5954"/>
    <s v="AIRBNB"/>
    <s v="Airbnb/MWC/Digital/SCT/25-26"/>
    <x v="32"/>
    <s v="OMP - Airbnb - Run of FOX Sports Video - Package"/>
    <n v="583540"/>
    <s v="OMP - Airbnb - DIO - SFV - FSEN - Pre - ROS - DT/MB/CTV - non-CoV"/>
    <n v="94961195"/>
    <s v="FSEN"/>
    <s v="CPM"/>
    <n v="20"/>
    <s v="3P Imps"/>
    <n v="1032574"/>
    <n v="20651.48"/>
    <m/>
    <m/>
    <s v=" "/>
    <s v=""/>
    <m/>
    <m/>
    <n v="1032574"/>
    <n v="1032574"/>
    <n v="0"/>
    <n v="0"/>
    <n v="1"/>
    <n v="0"/>
    <n v="0"/>
    <n v="0"/>
    <s v="Bill on Actuals - 3rd Party Performance"/>
    <n v="10533.25"/>
    <n v="3458100"/>
    <n v="69162"/>
    <s v="Airbnb/MWC/Digital/SCT/25-26"/>
    <n v="93796293"/>
    <s v="P2+"/>
    <s v="O-D2TN2MQ-R1"/>
    <m/>
    <s v="Nicole Joscelyn"/>
    <s v="Guaranteed"/>
    <s v="DIO - SFV - FSEN - Pre - ROS - DT/MB/CTV - non-CoV"/>
    <n v="127516"/>
    <d v="2026-06-30T00:00:00"/>
    <d v="2026-06-11T00:00:00"/>
    <d v="2026-07-19T00:00:00"/>
    <s v="Direct SFV"/>
    <m/>
    <d v="2026-07-05T12:53:18"/>
  </r>
  <r>
    <s v="ESSENCE GLOBAL LLC"/>
    <n v="11737"/>
    <n v="8942"/>
    <s v="FOCUS FEATURES"/>
    <s v="FocusFeatures/Digital/25-26/SCT"/>
    <x v="33"/>
    <s v="FocusFeatures/Digital/Sports/Scatter/2Q'26/Pressure - EXTENDED"/>
    <n v="592162"/>
    <s v="FocusFeatures//Sports/Scatter/ROV - FSEN/2Q'26/Pressure - FSEN"/>
    <n v="94436556"/>
    <s v="FSEN"/>
    <s v="CPM"/>
    <n v="25"/>
    <s v="3P Imps"/>
    <n v="114384"/>
    <n v="2795.23"/>
    <m/>
    <m/>
    <s v=" "/>
    <n v="0"/>
    <m/>
    <m/>
    <n v="114384"/>
    <n v="114384"/>
    <n v="0"/>
    <n v="0"/>
    <n v="1"/>
    <n v="0.99224483422682563"/>
    <n v="0"/>
    <n v="0"/>
    <s v="Bill on Actuals - 3rd Party Performance"/>
    <n v="1394.04"/>
    <n v="111809"/>
    <n v="2795.23"/>
    <s v="FocusFeatures/Digital/25-26/SCT"/>
    <n v="93775179"/>
    <s v="P2+"/>
    <s v="O-D2TA0O2-R0"/>
    <m/>
    <s v="Nicole Joscelyn"/>
    <s v="Guaranteed"/>
    <s v="DIO - SFV - FSEN - Pre - ROS - DT/MB/CTV - non-CoV"/>
    <n v="130141"/>
    <d v="2026-06-30T00:00:00"/>
    <d v="2026-06-03T00:00:00"/>
    <d v="2026-06-07T00:00:00"/>
    <s v="Direct SFV"/>
    <m/>
    <d v="2026-07-05T12:53:18"/>
  </r>
  <r>
    <s v="ESSENCE GLOBAL LLC"/>
    <n v="11737"/>
    <n v="8981"/>
    <s v="UNIVERSAL PICTURES"/>
    <s v="Universal Pictures/Digital/Scatter/Sports/MWC 2026/Disclosure Day "/>
    <x v="34"/>
    <s v="Universal- Run of World Cup Video - Package (Disclosure Day)"/>
    <n v="581358"/>
    <s v="Universal- DIO - LFV - TUB - Pre/Mid - MWC - DT/MB/CTV (Disclosure Day)"/>
    <n v="94399507"/>
    <s v="Fox Sold Tubi"/>
    <s v="CPM"/>
    <n v="40"/>
    <s v="3P Imps"/>
    <n v="425670"/>
    <n v="15100"/>
    <m/>
    <m/>
    <s v=" "/>
    <n v="0"/>
    <m/>
    <m/>
    <n v="425670"/>
    <n v="425670"/>
    <n v="0"/>
    <n v="0"/>
    <n v="1"/>
    <n v="0"/>
    <n v="0"/>
    <n v="0"/>
    <s v="Bill on Actuals - 3rd Party Performance"/>
    <n v="7548.84"/>
    <n v="377500"/>
    <n v="15100"/>
    <s v="Universal Pictures/Digital/Scatter/Sports/MWC 2026/Disclosure Day "/>
    <n v="94399500"/>
    <s v="P2+"/>
    <s v="O-D302AVD-R2"/>
    <m/>
    <s v="Gina Rodarte"/>
    <s v="Guaranteed"/>
    <s v="DIO - LFV - TUB - Pre/Mid - MWC - DT/MB/CTV"/>
    <n v="130009"/>
    <d v="2026-06-30T00:00:00"/>
    <d v="2026-06-11T00:00:00"/>
    <d v="2026-06-19T00:00:00"/>
    <s v="Direct LFV"/>
    <m/>
    <d v="2026-07-05T12:53:18"/>
  </r>
  <r>
    <s v="ESSENCE GLOBAL LLC"/>
    <n v="11737"/>
    <n v="8981"/>
    <s v="UNIVERSAL PICTURES"/>
    <s v="Universal Pictures/Digital/Scatter/Sports/MWC 2026/Disclosure Day "/>
    <x v="34"/>
    <s v="Universal- Run of World Cup Video - Package (Disclosure Day)"/>
    <n v="581358"/>
    <s v="Universal- DIO - ROV - FS - Pre/Mid - MWC - DT/MB/CTV (Disclosure Day)"/>
    <n v="94399524"/>
    <s v="FOX Sports"/>
    <s v="CPM"/>
    <n v="40"/>
    <s v="3P Imps"/>
    <n v="112967"/>
    <n v="4518.68"/>
    <m/>
    <m/>
    <s v=" "/>
    <s v=""/>
    <m/>
    <m/>
    <n v="112967"/>
    <n v="112967"/>
    <n v="0"/>
    <n v="0"/>
    <n v="1"/>
    <n v="0"/>
    <n v="0"/>
    <n v="0"/>
    <s v="Bill on Actuals - 3rd Party Performance"/>
    <n v="3235"/>
    <n v="161775"/>
    <n v="6471"/>
    <s v="Universal Pictures/Digital/Scatter/Sports/MWC 2026/Disclosure Day "/>
    <n v="94399500"/>
    <s v="P2+"/>
    <s v="O-D302AVD-R2"/>
    <m/>
    <s v="Gina Rodarte"/>
    <s v="Guaranteed"/>
    <s v="DIO - ROV - FS - Pre/Mid - MWC - DT/MB/CTV"/>
    <n v="130009"/>
    <d v="2026-06-30T00:00:00"/>
    <d v="2026-06-11T00:00:00"/>
    <d v="2026-06-19T00:00:00"/>
    <s v="Direct ROV"/>
    <m/>
    <d v="2026-07-05T12:53:18"/>
  </r>
  <r>
    <s v="ESSENCE GLOBAL LLC"/>
    <n v="11737"/>
    <n v="8981"/>
    <s v="UNIVERSAL PICTURES"/>
    <s v="Universal Pictures/Digital/Scatter/Sports/MWC 2026/Forgotten Island"/>
    <x v="35"/>
    <s v="Universal- Run of World Cup Video - Package (Forgotten Island)"/>
    <n v="592113"/>
    <s v="Universal- DIO - LFV - TUB - Pre/Mid - MWC - DT/MB/CTV (Forgotten Island)"/>
    <n v="94438329"/>
    <s v="Fox Sold Tubi"/>
    <s v="CPM"/>
    <n v="40"/>
    <s v="3P Imps"/>
    <n v="970130"/>
    <n v="38805.199999999997"/>
    <m/>
    <m/>
    <s v=" "/>
    <n v="0"/>
    <m/>
    <m/>
    <n v="970130"/>
    <n v="970130"/>
    <n v="0"/>
    <n v="0"/>
    <n v="1"/>
    <n v="0"/>
    <n v="0"/>
    <n v="0"/>
    <s v="Bill on Actuals - 3rd Party Performance"/>
    <n v="19435.09"/>
    <n v="1949500"/>
    <n v="77980"/>
    <s v="Universal Pictures/Digital/Scatter/Sports/MWC 2026/Forgotten Island"/>
    <n v="94438322"/>
    <s v="P2+"/>
    <s v="O-D302834-R3"/>
    <m/>
    <s v="Gina Rodarte"/>
    <s v="Guaranteed"/>
    <s v="DIO - LFV - TUB - Pre/Mid - MWC - DT/MB/CTV"/>
    <n v="130239"/>
    <d v="2026-06-30T00:00:00"/>
    <d v="2026-06-27T00:00:00"/>
    <d v="2026-07-19T00:00:00"/>
    <s v="Direct LFV"/>
    <m/>
    <d v="2026-07-05T12:53:18"/>
  </r>
  <r>
    <s v="ESSENCE GLOBAL LLC"/>
    <n v="11737"/>
    <n v="8981"/>
    <s v="UNIVERSAL PICTURES"/>
    <s v="Universal Pictures/Digital/Scatter/Sports/MWC 2026/Forgotten Island"/>
    <x v="35"/>
    <s v="Universal- Run of World Cup Video - Package (Forgotten Island)"/>
    <n v="592113"/>
    <s v="Universal- DIO - ROV - FS - Pre/Mid - MWC - DT/MB/CTV (Forgotten Island)"/>
    <n v="94438325"/>
    <s v="FOX Sports"/>
    <s v="CPM"/>
    <n v="40"/>
    <s v="3P Imps"/>
    <n v="417923"/>
    <n v="16716.919999999998"/>
    <m/>
    <m/>
    <s v=" "/>
    <s v=""/>
    <m/>
    <m/>
    <n v="417923"/>
    <n v="417923"/>
    <n v="0"/>
    <n v="0"/>
    <n v="1"/>
    <n v="0"/>
    <n v="0"/>
    <n v="0"/>
    <s v="Bill on Actuals - 3rd Party Performance"/>
    <n v="8329.33"/>
    <n v="835500"/>
    <n v="33420"/>
    <s v="Universal Pictures/Digital/Scatter/Sports/MWC 2026/Forgotten Island"/>
    <n v="94438322"/>
    <s v="P2+"/>
    <s v="O-D302834-R3"/>
    <m/>
    <s v="Gina Rodarte"/>
    <s v="Guaranteed"/>
    <s v="DIO - ROV - FS - Pre/Mid - MWC - DT/MB/CTV"/>
    <n v="130239"/>
    <d v="2026-06-30T00:00:00"/>
    <d v="2026-06-27T00:00:00"/>
    <d v="2026-07-19T00:00:00"/>
    <s v="Direct ROV"/>
    <m/>
    <d v="2026-07-05T12:53:18"/>
  </r>
  <r>
    <s v="ESSENCE GLOBAL LLC"/>
    <n v="11737"/>
    <n v="8981"/>
    <s v="UNIVERSAL PICTURES"/>
    <s v="Universal Pictures/Digital/Scatter/Sports/MWC 2026/Monsters and Minions"/>
    <x v="36"/>
    <s v="Universal- Run of World Cup Video - Package (Monsters and Minions)"/>
    <n v="592345"/>
    <s v="Universal- DIO - LFV - TUB - Pre/Mid - MWC - DT/MB/CTV (Monsters and Minions)"/>
    <n v="94483741"/>
    <s v="Fox Sold Tubi"/>
    <s v="CPM"/>
    <n v="40"/>
    <s v="3P Imps"/>
    <n v="1700168"/>
    <n v="68006.720000000001"/>
    <m/>
    <m/>
    <s v=" "/>
    <n v="0"/>
    <m/>
    <m/>
    <n v="1700168"/>
    <n v="1700168"/>
    <n v="0"/>
    <n v="0"/>
    <n v="1"/>
    <n v="0"/>
    <n v="0"/>
    <n v="0"/>
    <s v="Bill on Actuals - 3rd Party Performance"/>
    <n v="34672.51"/>
    <n v="1788650"/>
    <n v="71546"/>
    <s v="Universal Pictures/Digital/Scatter/Sports/MWC 2026/Monsters and Minions"/>
    <n v="94483738"/>
    <s v="P2+"/>
    <s v="O-D302386-R7"/>
    <m/>
    <s v="Gina Rodarte"/>
    <s v="Guaranteed"/>
    <s v="DIO - LFV - TUB - Pre/Mid - MWC - DT/MB/CTV"/>
    <n v="130393"/>
    <d v="2026-06-30T00:00:00"/>
    <d v="2026-06-11T00:00:00"/>
    <d v="2026-07-04T00:00:00"/>
    <s v="Direct LFV"/>
    <m/>
    <d v="2026-07-05T12:53:18"/>
  </r>
  <r>
    <s v="ESSENCE GLOBAL LLC"/>
    <n v="11737"/>
    <n v="8981"/>
    <s v="UNIVERSAL PICTURES"/>
    <s v="Universal Pictures/Digital/Scatter/Sports/MWC 2026/Monsters and Minions"/>
    <x v="36"/>
    <s v="Universal- Run of World Cup Video - Package (Monsters and Minions)"/>
    <n v="592345"/>
    <s v="Universal- DIO - ROV - FS - Pre/Mid - MWC - DT/MB/CTV (Monsters and Minions)"/>
    <n v="94484068"/>
    <s v="FOX Sports"/>
    <s v="CPM"/>
    <n v="40"/>
    <s v="3P Imps"/>
    <n v="775286"/>
    <n v="30663"/>
    <m/>
    <m/>
    <s v=" "/>
    <s v=""/>
    <m/>
    <m/>
    <n v="775286"/>
    <n v="775286"/>
    <n v="0"/>
    <n v="0"/>
    <n v="1"/>
    <n v="0"/>
    <n v="0"/>
    <n v="0"/>
    <s v="Bill on Actuals - 3rd Party Performance"/>
    <n v="14859.85"/>
    <n v="766575"/>
    <n v="30663"/>
    <s v="Universal Pictures/Digital/Scatter/Sports/MWC 2026/Monsters and Minions"/>
    <n v="94483738"/>
    <s v="P2+"/>
    <s v="O-D302386-R7"/>
    <m/>
    <s v="Gina Rodarte"/>
    <s v="Guaranteed"/>
    <s v="DIO - ROV - FS - Pre/Mid - MWC - DT/MB/CTV"/>
    <n v="130393"/>
    <d v="2026-06-30T00:00:00"/>
    <d v="2026-06-11T00:00:00"/>
    <d v="2026-07-04T00:00:00"/>
    <s v="Direct ROV"/>
    <m/>
    <d v="2026-07-05T12:53:18"/>
  </r>
  <r>
    <s v="ESSENCE GLOBAL LLC"/>
    <n v="11737"/>
    <n v="8981"/>
    <s v="UNIVERSAL PICTURES"/>
    <s v="Universal Pictures/Digital/Scatter/Sports/MWC 2026/Monsters and Minions"/>
    <x v="36"/>
    <s v="Universal- DIO - SOC - FOX Sports - META VAP - MWC  (Monsters and Minions)"/>
    <n v="598390"/>
    <s v="Universal- DIO - SOC - FOX Sports - META VAP - MWC  (Monsters and Minions)"/>
    <n v="598390"/>
    <s v="FOX Sports - FB-Inst"/>
    <s v="CPM"/>
    <n v="30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2500000"/>
    <n v="75000"/>
    <s v="Universal Pictures/Digital/Scatter/Sports/MWC 2026/Monsters and Minions"/>
    <n v="270734"/>
    <s v="P2+"/>
    <s v="O-D302386-R7"/>
    <m/>
    <s v="Gina Rodarte"/>
    <s v="Guaranteed"/>
    <s v="DIO - SOC - FOX Sports - META VAP - MWC"/>
    <n v="130393"/>
    <d v="2026-06-30T00:00:00"/>
    <d v="2026-06-22T00:00:00"/>
    <d v="2026-07-19T00:00:00"/>
    <s v="Social Facebook/Instagram"/>
    <m/>
    <d v="2026-07-05T12:53:18"/>
  </r>
  <r>
    <s v="ESSENCE GLOBAL LLC"/>
    <n v="11737"/>
    <n v="8981"/>
    <s v="UNIVERSAL PICTURES"/>
    <s v="Universal Pictures/Digital/Scatter/Sports/MWC 2026/One Night Only"/>
    <x v="37"/>
    <s v="Universal- Run of World Cup Video - Package (One Night Only)"/>
    <n v="592110"/>
    <s v="Universal- DIO - LFV - TUB - Pre/Mid - MWC - DT/MB/CTV (One Night Only)"/>
    <n v="94438319"/>
    <s v="Fox Sold Tubi"/>
    <s v="CPM"/>
    <n v="40"/>
    <s v="3P Imps"/>
    <n v="4137416"/>
    <n v="165496.64000000001"/>
    <m/>
    <m/>
    <s v=" "/>
    <n v="0"/>
    <m/>
    <m/>
    <n v="4137416"/>
    <n v="4137416"/>
    <n v="0"/>
    <n v="0"/>
    <n v="1"/>
    <n v="0"/>
    <n v="0"/>
    <n v="0"/>
    <s v="Bill on Actuals - 3rd Party Performance"/>
    <n v="83872.3"/>
    <n v="5482125"/>
    <n v="219285"/>
    <s v="Universal Pictures/Digital/Scatter/Sports/MWC 2026/One Night Only"/>
    <n v="94438312"/>
    <s v="P2+"/>
    <s v="O-D3028RU-R1 "/>
    <m/>
    <s v="Gina Rodarte"/>
    <s v="Guaranteed"/>
    <s v="DIO - LFV - TUB - Pre/Mid - MWC - DT/MB/CTV"/>
    <n v="130236"/>
    <d v="2026-06-30T00:00:00"/>
    <d v="2026-06-22T00:00:00"/>
    <d v="2026-07-19T00:00:00"/>
    <s v="Direct LFV"/>
    <m/>
    <d v="2026-07-05T12:53:18"/>
  </r>
  <r>
    <s v="ESSENCE GLOBAL LLC"/>
    <n v="11737"/>
    <n v="8981"/>
    <s v="UNIVERSAL PICTURES"/>
    <s v="Universal Pictures/Digital/Scatter/Sports/MWC 2026/One Night Only"/>
    <x v="37"/>
    <s v="Universal- Run of World Cup Video - Package (One Night Only)"/>
    <n v="592110"/>
    <s v="Universal- DIO - ROV - FS - Pre/Mid - MWC - DT/MB/CTV (One Night Only)"/>
    <n v="94438315"/>
    <s v="FOX Sports"/>
    <s v="CPM"/>
    <n v="40"/>
    <s v="3P Imps"/>
    <n v="1855505"/>
    <n v="74220.2"/>
    <m/>
    <m/>
    <s v=" "/>
    <s v=""/>
    <m/>
    <m/>
    <n v="1855505"/>
    <n v="1855505"/>
    <n v="0"/>
    <n v="0"/>
    <n v="1"/>
    <n v="0"/>
    <n v="0"/>
    <n v="0"/>
    <s v="Bill on Actuals - 3rd Party Performance"/>
    <n v="35945.54"/>
    <n v="2349500"/>
    <n v="93980"/>
    <s v="Universal Pictures/Digital/Scatter/Sports/MWC 2026/One Night Only"/>
    <n v="94438312"/>
    <s v="P2+"/>
    <s v="O-D3028RU-R1 "/>
    <m/>
    <s v="Gina Rodarte"/>
    <s v="Guaranteed"/>
    <s v="DIO - ROV - FS - Pre/Mid - MWC - DT/MB/CTV"/>
    <n v="130236"/>
    <d v="2026-06-30T00:00:00"/>
    <d v="2026-06-22T00:00:00"/>
    <d v="2026-07-19T00:00:00"/>
    <s v="Direct ROV"/>
    <m/>
    <d v="2026-07-05T12:53:18"/>
  </r>
  <r>
    <s v="ESSENCE GLOBAL LLC"/>
    <n v="11737"/>
    <n v="8981"/>
    <s v="UNIVERSAL PICTURES"/>
    <s v="Universal Pictures/Digital/Scatter/Sports/MWC 2026/The Odyssey"/>
    <x v="38"/>
    <s v="Universal- Run of World Cup Video - Package (The Odyssey)"/>
    <n v="591934"/>
    <s v="Universal- DIO - LFV - TUB - Pre/Mid - MWC - DT/MB/CTV (The Odyssey)"/>
    <n v="94438063"/>
    <s v="Fox Sold Tubi"/>
    <s v="CPM"/>
    <n v="40"/>
    <s v="3P Imps"/>
    <n v="3417844"/>
    <n v="136713.76"/>
    <m/>
    <m/>
    <s v=" "/>
    <n v="0"/>
    <m/>
    <m/>
    <n v="3417844"/>
    <n v="3417844"/>
    <n v="0"/>
    <n v="0"/>
    <n v="1"/>
    <n v="0"/>
    <n v="0"/>
    <n v="0"/>
    <s v="Bill on Actuals - 3rd Party Performance"/>
    <n v="74967.12"/>
    <n v="5090275"/>
    <n v="203611"/>
    <s v="Universal Pictures/Digital/Scatter/Sports/MWC 2026/The Odyssey"/>
    <n v="94438060"/>
    <s v="P2+"/>
    <s v="O-D302867-R6"/>
    <m/>
    <s v="Gina Rodarte"/>
    <s v="Guaranteed"/>
    <s v="DIO - LFV - TUB - Pre/Mid - MWC - DT/MB/CTV"/>
    <n v="130243"/>
    <d v="2026-06-30T00:00:00"/>
    <d v="2026-06-11T00:00:00"/>
    <d v="2026-07-19T00:00:00"/>
    <s v="Direct LFV"/>
    <m/>
    <d v="2026-07-05T12:53:18"/>
  </r>
  <r>
    <s v="ESSENCE GLOBAL LLC"/>
    <n v="11737"/>
    <n v="8981"/>
    <s v="UNIVERSAL PICTURES"/>
    <s v="Universal Pictures/Digital/Scatter/Sports/MWC 2026/The Odyssey"/>
    <x v="38"/>
    <s v="Universal- Run of World Cup Video - Package (The Odyssey)"/>
    <n v="591934"/>
    <s v="Universal- DIO - ROV - FS - Pre/Mid - MWC - DT/MB/CTV (The Odyssey)"/>
    <n v="94438093"/>
    <s v="FOX Sports"/>
    <s v="CPM"/>
    <n v="40"/>
    <s v="3P Imps"/>
    <n v="1497475"/>
    <n v="59899"/>
    <m/>
    <m/>
    <s v=" "/>
    <s v=""/>
    <m/>
    <m/>
    <n v="1497475"/>
    <n v="1497475"/>
    <n v="0"/>
    <n v="0"/>
    <n v="1"/>
    <n v="0"/>
    <n v="0"/>
    <n v="0"/>
    <s v="Bill on Actuals - 3rd Party Performance"/>
    <n v="32128.82"/>
    <n v="2181550"/>
    <n v="87262"/>
    <s v="Universal Pictures/Digital/Scatter/Sports/MWC 2026/The Odyssey"/>
    <n v="94438060"/>
    <s v="P2+"/>
    <s v="O-D302867-R6"/>
    <m/>
    <s v="Gina Rodarte"/>
    <s v="Guaranteed"/>
    <s v="DIO - ROV - FS - Pre/Mid - MWC - DT/MB/CTV"/>
    <n v="130243"/>
    <d v="2026-06-30T00:00:00"/>
    <d v="2026-06-11T00:00:00"/>
    <d v="2026-07-19T00:00:00"/>
    <s v="Direct ROV"/>
    <m/>
    <d v="2026-07-05T12:53:18"/>
  </r>
  <r>
    <s v="ESSENCE GLOBAL LLC"/>
    <n v="11737"/>
    <n v="8981"/>
    <s v="UNIVERSAL PICTURES"/>
    <s v="Universal Pictures/Digital/Scatter/Sports/MWC 2026/The Odyssey"/>
    <x v="38"/>
    <s v="Universal- DIO - SOC - FOX Sports - META VAP - MWC  (The Odyssey)"/>
    <n v="594851"/>
    <s v="Universal- DIO - SOC - FOX Sports - META VAP - MWC  (The Odyssey)"/>
    <n v="594851"/>
    <s v="FOX Sports - FB-Inst"/>
    <s v="Flat Rate"/>
    <n v="0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0"/>
    <n v="0"/>
    <s v="Universal Pictures/Digital/Scatter/Sports/MWC 2026/The Odyssey"/>
    <n v="270547"/>
    <s v="P2+"/>
    <s v="O-D302867-R6"/>
    <m/>
    <s v="Gina Rodarte"/>
    <s v="Guaranteed"/>
    <s v="DIO - SOC - FOX Sports - META VAP - MWC"/>
    <m/>
    <d v="2026-06-30T00:00:00"/>
    <d v="2026-06-30T00:00:00"/>
    <d v="2026-06-30T00:00:00"/>
    <s v="Social Facebook/Instagram"/>
    <m/>
    <d v="2026-07-05T12:53:18"/>
  </r>
  <r>
    <s v="ESSENCE GLOBAL LLC"/>
    <n v="11737"/>
    <n v="8981"/>
    <s v="UNIVERSAL PICTURES"/>
    <s v="Universal Pictures/Digital/Scatter/Sports/MWC 2026/The Odyssey"/>
    <x v="38"/>
    <s v="Universal-  DIO - SOC - FOX Sports - META VAP - MWC  (The Odyssey)"/>
    <n v="598428"/>
    <s v="Universal-  DIO - SOC - FOX Sports - META VAP - MWC  (The Odyssey)"/>
    <n v="598428"/>
    <s v="FOX Sports - FB-Inst"/>
    <s v="CPM"/>
    <n v="30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3333334"/>
    <n v="100000.02"/>
    <s v="Universal Pictures/Digital/Scatter/Sports/MWC 2026/The Odyssey"/>
    <n v="270547"/>
    <s v="P2+"/>
    <s v="O-D302867-R6"/>
    <m/>
    <s v="Gina Rodarte"/>
    <s v="Guaranteed"/>
    <s v="DIO - SOC - FOX Sports - META VAP - MWC"/>
    <n v="130243"/>
    <d v="2026-06-30T00:00:00"/>
    <d v="2026-06-22T00:00:00"/>
    <d v="2026-07-19T00:00:00"/>
    <s v="Social Facebook/Instagram"/>
    <m/>
    <d v="2026-07-05T12:53:18"/>
  </r>
  <r>
    <s v="ESSENCE GLOBAL LLC"/>
    <n v="11737"/>
    <n v="8981"/>
    <s v="UNIVERSAL PICTURES"/>
    <s v="UNIVERSAL PICTURES/Digital/Upfront/Entertainment/UF 2025/26 - Disclosure Day"/>
    <x v="39"/>
    <s v="Disclosure Day- UP- DIO - LFV - Entertainment - Package - Sci-Fi/Thriller Fans or Moviegoers Showmix"/>
    <n v="589034"/>
    <s v="Disclosure Day- UP- DIO - LFV - RON Ent - Pre/Mid - DT/MB/CTV/STB - FOH - Sci-Fi/Thriller Fans or Moviegoers Showmix"/>
    <n v="94010279"/>
    <s v="RON - Ent"/>
    <s v="CPM"/>
    <n v="19"/>
    <s v="3P CoView Imps"/>
    <n v="1543719"/>
    <n v="29330.66"/>
    <m/>
    <m/>
    <s v=" "/>
    <n v="0"/>
    <m/>
    <m/>
    <n v="492695"/>
    <n v="1295567"/>
    <n v="587065"/>
    <n v="1543719"/>
    <n v="1"/>
    <n v="1.191540016561937"/>
    <n v="0"/>
    <n v="0"/>
    <s v="Bill on Actuals - 3rd Party Performance"/>
    <n v="10651.52"/>
    <n v="2131579"/>
    <n v="40500"/>
    <s v="UNIVERSAL PICTURES/Digital/Upfront/Entertainment/UF 2025/26 - Disclosure Day"/>
    <n v="94010107"/>
    <s v="P2+"/>
    <s v="O-D2L6GLR-R0"/>
    <m/>
    <s v="Gina Rodarte"/>
    <s v="Guaranteed"/>
    <s v="DIO - LFV - RON Ent - Pre/Mid - ROS - DT/MB/CTV/STB"/>
    <n v="128406"/>
    <d v="2026-06-30T00:00:00"/>
    <d v="2026-05-18T00:00:00"/>
    <d v="2026-06-14T00:00:00"/>
    <s v="Direct LFV"/>
    <m/>
    <d v="2026-07-05T12:53:18"/>
  </r>
  <r>
    <s v="ESSENCE GLOBAL LLC"/>
    <n v="11737"/>
    <n v="8981"/>
    <s v="UNIVERSAL PICTURES"/>
    <s v="UNIVERSAL PICTURES/Digital/Upfront/Entertainment/UF 2025/26 - Disclosure Day"/>
    <x v="39"/>
    <s v="Disclosure Day- UP- DIO - LFV - Entertainment - Package - Sci-Fi/Thriller Fans or Moviegoers Showmix"/>
    <n v="589034"/>
    <s v="Disclosure Day- UP- DIO - LFV - RON Ent - Pre/Mid - DT/MB/CTV/STB - FOT - Sci-Fi/Thriller Fans or Moviegoers Showmix"/>
    <n v="94010269"/>
    <s v="RON - Ent"/>
    <s v="CPM"/>
    <n v="19"/>
    <s v="3P CoView Imps"/>
    <n v="190306"/>
    <n v="3615.81"/>
    <m/>
    <m/>
    <s v=" "/>
    <s v=""/>
    <m/>
    <m/>
    <n v="60780"/>
    <n v="153178"/>
    <n v="75512"/>
    <n v="190306"/>
    <n v="1"/>
    <n v="1.2423899123239091"/>
    <n v="0"/>
    <n v="0"/>
    <s v="Bill on Actuals - 3rd Party Performance"/>
    <n v="1315"/>
    <n v="263158"/>
    <n v="5000"/>
    <s v="UNIVERSAL PICTURES/Digital/Upfront/Entertainment/UF 2025/26 - Disclosure Day"/>
    <n v="94010107"/>
    <s v="P2+"/>
    <s v="O-D2L6GLR-R0"/>
    <m/>
    <s v="Gina Rodarte"/>
    <s v="Guaranteed"/>
    <s v="DIO - LFV - RON Ent - Pre/Mid - ROS - DT/MB/CTV/STB"/>
    <n v="128406"/>
    <d v="2026-06-30T00:00:00"/>
    <d v="2026-05-18T00:00:00"/>
    <d v="2026-06-14T00:00:00"/>
    <s v="Direct LFV"/>
    <m/>
    <d v="2026-07-05T12:53:18"/>
  </r>
  <r>
    <s v="ESSENCE GLOBAL LLC"/>
    <n v="11737"/>
    <n v="8981"/>
    <s v="UNIVERSAL PICTURES"/>
    <s v="UNIVERSAL PICTURES/Digital/Upfront/Entertainment/UF 2025/26 - Disclosure Day"/>
    <x v="39"/>
    <s v="Disclosure Day- UP- DIO - LFV - Entertainment - Package - Sci-Fi/Thriller Fans or Moviegoers Showmix"/>
    <n v="589034"/>
    <s v="Disclosure Day- UP- DIO - LFV - RON Ent - Pre/Mid - DT/MB/CTV/STB - FOX - Sci-Fi/Thriller Fans or Moviegoers Showmix"/>
    <n v="94010113"/>
    <s v="RON - Ent"/>
    <s v="CPM"/>
    <n v="19"/>
    <s v="3P CoView Imps"/>
    <n v="61369"/>
    <n v="1166.01"/>
    <m/>
    <m/>
    <s v=" "/>
    <s v=""/>
    <m/>
    <s v="Show Only Net; NONE"/>
    <n v="33386"/>
    <n v="47628"/>
    <n v="43018"/>
    <n v="61369"/>
    <n v="1"/>
    <n v="1.28850987432675"/>
    <n v="0"/>
    <n v="0"/>
    <s v="Bill on Actuals - 3rd Party Performance"/>
    <n v="526"/>
    <n v="105263"/>
    <n v="2000"/>
    <s v="UNIVERSAL PICTURES/Digital/Upfront/Entertainment/UF 2025/26 - Disclosure Day"/>
    <n v="94010107"/>
    <s v="P2+"/>
    <s v="O-D2L6GLR-R0"/>
    <m/>
    <s v="Gina Rodarte"/>
    <s v="Guaranteed"/>
    <s v="DIO - LFV - RON Ent - Pre/Mid - ROS - DT/MB/CTV/STB"/>
    <n v="128406"/>
    <d v="2026-06-30T00:00:00"/>
    <d v="2026-05-18T00:00:00"/>
    <d v="2026-06-14T00:00:00"/>
    <s v="Direct LFV"/>
    <m/>
    <d v="2026-07-05T12:53:18"/>
  </r>
  <r>
    <s v="ESSENCE GLOBAL LLC"/>
    <n v="11737"/>
    <n v="8981"/>
    <s v="UNIVERSAL PICTURES"/>
    <s v="UNIVERSAL PICTURES/Digital/Upfront/Entertainment/UF 2025/26 - Disclosure Day"/>
    <x v="39"/>
    <s v="Disclosure Day- UP- DIO - LFV - Entertainment - Package - Sci-Fi/Thriller Fans or Moviegoers Showmix"/>
    <n v="589034"/>
    <s v="Disclosure Day- UP- DIO - LFV - RON Ent - Pre/Mid - DT/MB/CTV/STB - FOX STB VOD - Sci-Fi/Thriller Fans or Moviegoers Showmix"/>
    <n v="94010276"/>
    <s v="RON - Ent"/>
    <s v="CPM"/>
    <n v="19"/>
    <s v="3P CoView Imps"/>
    <n v="80118"/>
    <n v="1522.24"/>
    <m/>
    <m/>
    <s v=" "/>
    <s v=""/>
    <m/>
    <m/>
    <n v="45355"/>
    <n v="66765"/>
    <n v="54426"/>
    <n v="80118"/>
    <n v="1"/>
    <n v="1.2000018240020429"/>
    <n v="0"/>
    <n v="0"/>
    <s v="Bill on Actuals - 3rd Party Performance"/>
    <n v="657.5"/>
    <n v="131579"/>
    <n v="2500"/>
    <s v="UNIVERSAL PICTURES/Digital/Upfront/Entertainment/UF 2025/26 - Disclosure Day"/>
    <n v="94010107"/>
    <s v="P2+"/>
    <s v="O-D2L6GLR-R0"/>
    <m/>
    <s v="Gina Rodarte"/>
    <s v="Guaranteed"/>
    <s v="DIO - LFV - RON Ent - Pre/Mid - ROS - DT/MB/CTV/STB"/>
    <n v="128406"/>
    <d v="2026-06-30T00:00:00"/>
    <d v="2026-05-18T00:00:00"/>
    <d v="2026-06-14T00:00:00"/>
    <s v="Direct LFV"/>
    <m/>
    <d v="2026-07-05T12:53:18"/>
  </r>
  <r>
    <s v="ESSENCE GLOBAL LLC"/>
    <n v="11737"/>
    <n v="8981"/>
    <s v="UNIVERSAL PICTURES"/>
    <s v="UNIVERSAL PICTURES/Digital/Upfront/Entertainment/UF 2025/26 - Minions 3"/>
    <x v="40"/>
    <s v="Minions &amp; Monsters_UP_DIO - LFV - Entertainment - Package - Animation + Families w/ Children Showmix"/>
    <n v="584846"/>
    <s v="Minions &amp; Monsters_UP_DIO - LFV - RON Ent - Pre/Mid - DT/MB/CTV/STB - FOH - Animation + Families w/ Children Showmix"/>
    <n v="93827526"/>
    <s v="RON - Ent"/>
    <s v="CPM"/>
    <n v="19"/>
    <s v="3P CoView Imps"/>
    <n v="1038545"/>
    <n v="19732.349999999999"/>
    <m/>
    <m/>
    <s v=" "/>
    <n v="0"/>
    <m/>
    <m/>
    <n v="973067"/>
    <n v="973067"/>
    <n v="1038545"/>
    <n v="1038545"/>
    <n v="1"/>
    <n v="1.0672906564128519"/>
    <n v="0"/>
    <n v="0"/>
    <s v="Bill on Actuals - 3rd Party Performance"/>
    <n v="26394.7"/>
    <n v="1705263"/>
    <n v="32400"/>
    <s v="UNIVERSAL PICTURES/Digital/Upfront/Entertainment/UF 2025/26 - Minions 3"/>
    <n v="93827506"/>
    <s v="P2+"/>
    <s v="O-D2SBLKA-R0"/>
    <m/>
    <s v="Gina Rodarte"/>
    <s v="Guaranteed"/>
    <s v="DIO - LFV - RON Ent - Pre/Mid - ROS - DT/MB/CTV/STB"/>
    <n v="127605"/>
    <d v="2026-06-30T00:00:00"/>
    <d v="2026-06-15T00:00:00"/>
    <d v="2026-07-01T00:00:00"/>
    <s v="Direct LFV"/>
    <m/>
    <d v="2026-07-05T12:53:18"/>
  </r>
  <r>
    <s v="ESSENCE GLOBAL LLC"/>
    <n v="11737"/>
    <n v="8981"/>
    <s v="UNIVERSAL PICTURES"/>
    <s v="UNIVERSAL PICTURES/Digital/Upfront/Entertainment/UF 2025/26 - Minions 3"/>
    <x v="40"/>
    <s v="Minions &amp; Monsters_UP_DIO - LFV - Entertainment - Package - Animation + Families w/ Children Showmix"/>
    <n v="584846"/>
    <s v="Minions &amp; Monsters_UP_DIO - LFV - RON Ent - Pre/Mid - DT/MB/CTV/STB - FOT - Animation + Families w/ Children Showmix"/>
    <n v="93827523"/>
    <s v="RON - Ent"/>
    <s v="CPM"/>
    <n v="19"/>
    <s v="3P CoView Imps"/>
    <n v="226079"/>
    <n v="3999.99"/>
    <m/>
    <m/>
    <s v=" "/>
    <s v=""/>
    <m/>
    <m/>
    <n v="182802"/>
    <n v="182802"/>
    <n v="226079"/>
    <n v="226079"/>
    <n v="1"/>
    <n v="1.236747764880757"/>
    <n v="0"/>
    <n v="0"/>
    <s v="Bill on Actuals - 3rd Party Performance"/>
    <n v="3258.6"/>
    <n v="210526"/>
    <n v="3999.99"/>
    <s v="UNIVERSAL PICTURES/Digital/Upfront/Entertainment/UF 2025/26 - Minions 3"/>
    <n v="93827506"/>
    <s v="P2+"/>
    <s v="O-D2SBLKA-R0"/>
    <m/>
    <s v="Gina Rodarte"/>
    <s v="Guaranteed"/>
    <s v="DIO - LFV - RON Ent - Pre/Mid - ROS - DT/MB/CTV/STB"/>
    <n v="127605"/>
    <d v="2026-06-30T00:00:00"/>
    <d v="2026-06-15T00:00:00"/>
    <d v="2026-07-01T00:00:00"/>
    <s v="Direct LFV"/>
    <m/>
    <d v="2026-07-05T12:53:18"/>
  </r>
  <r>
    <s v="ESSENCE GLOBAL LLC"/>
    <n v="11737"/>
    <n v="8981"/>
    <s v="UNIVERSAL PICTURES"/>
    <s v="UNIVERSAL PICTURES/Digital/Upfront/Entertainment/UF 2025/26 - Minions 3"/>
    <x v="40"/>
    <s v="Minions &amp; Monsters_UP_DIO - LFV - Entertainment - Package - Animation + Families w/ Children Showmix"/>
    <n v="584846"/>
    <s v="Minions &amp; Monsters_UP_DIO - LFV - RON Ent - Pre/Mid - DT/MB/CTV/STB - FOX - Animation + Families w/ Children Showmix"/>
    <n v="93827545"/>
    <s v="RON - Ent"/>
    <s v="CPM"/>
    <n v="19"/>
    <s v="3P CoView Imps"/>
    <n v="87932"/>
    <n v="1600.01"/>
    <m/>
    <m/>
    <s v=" "/>
    <s v=""/>
    <m/>
    <s v="Show Only Net; NONE"/>
    <n v="68990"/>
    <n v="68990"/>
    <n v="87932"/>
    <n v="87932"/>
    <n v="1"/>
    <n v="1.274571366562975"/>
    <n v="0"/>
    <n v="0"/>
    <s v="Bill on Actuals - 3rd Party Performance"/>
    <n v="1303.45"/>
    <n v="84211"/>
    <n v="1600.01"/>
    <s v="UNIVERSAL PICTURES/Digital/Upfront/Entertainment/UF 2025/26 - Minions 3"/>
    <n v="93827506"/>
    <s v="P2+"/>
    <s v="O-D2SBLKA-R0"/>
    <m/>
    <s v="Gina Rodarte"/>
    <s v="Guaranteed"/>
    <s v="DIO - LFV - RON Ent - Pre/Mid - ROS - DT/MB/CTV/STB"/>
    <n v="127605"/>
    <d v="2026-06-30T00:00:00"/>
    <d v="2026-06-15T00:00:00"/>
    <d v="2026-07-01T00:00:00"/>
    <s v="Direct LFV"/>
    <m/>
    <d v="2026-07-05T12:53:18"/>
  </r>
  <r>
    <s v="ESSENCE GLOBAL LLC"/>
    <n v="11737"/>
    <n v="8981"/>
    <s v="UNIVERSAL PICTURES"/>
    <s v="UNIVERSAL PICTURES/Digital/Upfront/Entertainment/UF 2025/26 - Minions 3"/>
    <x v="40"/>
    <s v="Minions &amp; Monsters_UP_DIO - LFV - Entertainment - Package - Animation + Families w/ Children Showmix"/>
    <n v="584846"/>
    <s v="Minions &amp; Monsters_UP_DIO - LFV - RON Ent - Pre/Mid - DT/MB/CTV/STB - FOX STB VOD - Animation + Families w/ Children Showmix"/>
    <n v="93827532"/>
    <s v="RON - Ent"/>
    <s v="CPM"/>
    <n v="19"/>
    <s v="3P CoView Imps"/>
    <n v="108756"/>
    <n v="2000"/>
    <m/>
    <m/>
    <s v=" "/>
    <s v=""/>
    <m/>
    <m/>
    <n v="90630"/>
    <n v="90630"/>
    <n v="108756"/>
    <n v="108756"/>
    <n v="1"/>
    <n v="1.2000022800077521"/>
    <n v="0"/>
    <n v="0"/>
    <s v="Bill on Actuals - 3rd Party Performance"/>
    <n v="1629.3"/>
    <n v="105263"/>
    <n v="2000"/>
    <s v="UNIVERSAL PICTURES/Digital/Upfront/Entertainment/UF 2025/26 - Minions 3"/>
    <n v="93827506"/>
    <s v="P2+"/>
    <s v="O-D2SBLKA-R0"/>
    <m/>
    <s v="Gina Rodarte"/>
    <s v="Guaranteed"/>
    <s v="DIO - LFV - RON Ent - Pre/Mid - ROS - DT/MB/CTV/STB"/>
    <n v="127605"/>
    <d v="2026-06-30T00:00:00"/>
    <d v="2026-06-15T00:00:00"/>
    <d v="2026-07-01T00:00:00"/>
    <s v="Direct LFV"/>
    <m/>
    <d v="2026-07-05T12:53:18"/>
  </r>
  <r>
    <s v="ESSENCEMEDIACOM"/>
    <n v="18559"/>
    <n v="7922"/>
    <s v="DURACELL"/>
    <s v="Duracell/2026/Scatter/Digital/MWC"/>
    <x v="41"/>
    <s v="Duracell_Run of World Cup Video"/>
    <n v="582615"/>
    <s v="Duracell - DIO - LFV - TUB - Pre/Mid - MWC - DT/MB/CTV"/>
    <n v="93743002"/>
    <s v="Fox Sold Tubi"/>
    <s v="CPM"/>
    <n v="36"/>
    <s v="3P Imps"/>
    <n v="779821"/>
    <n v="28073.56"/>
    <m/>
    <m/>
    <s v=" "/>
    <n v="0"/>
    <m/>
    <m/>
    <n v="662926"/>
    <n v="779821"/>
    <n v="0"/>
    <n v="0"/>
    <n v="1"/>
    <n v="0"/>
    <n v="0"/>
    <n v="0"/>
    <s v="Bill on Actuals - 3rd Party Performance"/>
    <n v="18951.900000000001"/>
    <n v="1944445"/>
    <n v="70000.02"/>
    <s v="Duracell/2026/Scatter/Digital/MWC"/>
    <n v="93742999"/>
    <s v="P2+"/>
    <s v="O-D2QGE04-R4"/>
    <m/>
    <s v="Colleen Cahill"/>
    <s v="Guaranteed"/>
    <s v="DIO - LFV - TUB - Pre/Mid - MWC - DT/MB/CTV"/>
    <n v="127274"/>
    <d v="2026-06-30T00:00:00"/>
    <d v="2026-05-01T00:00:00"/>
    <d v="2026-07-19T00:00:00"/>
    <s v="Direct LFV"/>
    <m/>
    <d v="2026-07-05T12:53:18"/>
  </r>
  <r>
    <s v="ESSENCEMEDIACOM"/>
    <n v="18559"/>
    <n v="7922"/>
    <s v="DURACELL"/>
    <s v="Duracell/2026/Scatter/Digital/MWC"/>
    <x v="41"/>
    <s v="Duracell_Run of World Cup Video"/>
    <n v="582615"/>
    <s v="Duracell - DIO - ROV - FS - Pre/Mid - MWC - DT/MB/CTV"/>
    <n v="93743005"/>
    <s v="FOX Sports"/>
    <s v="CPM"/>
    <n v="36"/>
    <s v="3P Imps"/>
    <n v="72206"/>
    <n v="2599.42"/>
    <m/>
    <m/>
    <s v=" "/>
    <s v=""/>
    <m/>
    <m/>
    <n v="3044649"/>
    <n v="72206"/>
    <n v="0"/>
    <n v="0"/>
    <n v="1"/>
    <n v="0"/>
    <n v="0"/>
    <n v="0"/>
    <s v="Bill on Actuals - 3rd Party Performance"/>
    <n v="45117.7"/>
    <n v="4629028"/>
    <n v="166645.01"/>
    <s v="Duracell/2026/Scatter/Digital/MWC"/>
    <n v="93742999"/>
    <s v="P2+"/>
    <s v="O-D2QGE04-R4"/>
    <m/>
    <s v="Colleen Cahill"/>
    <s v="Guaranteed"/>
    <s v="DIO - ROV - FS - Pre/Mid - MWC - DT/MB/CTV"/>
    <n v="127274"/>
    <d v="2026-06-30T00:00:00"/>
    <d v="2026-05-01T00:00:00"/>
    <d v="2026-07-19T00:00:00"/>
    <s v="Direct ROV"/>
    <m/>
    <d v="2026-07-05T12:53:18"/>
  </r>
  <r>
    <s v="ESSENCEMEDIACOM"/>
    <n v="18559"/>
    <n v="7922"/>
    <s v="DURACELL"/>
    <s v="Duracell/2026/Scatter/Digital/MWC"/>
    <x v="41"/>
    <s v="Duracell_Run of World Cup Display"/>
    <n v="582616"/>
    <s v="Duracell_DIS - FS - Display Unit - MWC - 320x50, 300x250, 728x90"/>
    <n v="7301767339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34181.31"/>
    <n v="22774000"/>
    <n v="136644"/>
    <s v="Duracell/2026/Scatter/Digital/MWC"/>
    <n v="262938"/>
    <s v="P2+"/>
    <s v="O-D2QGE04-R4"/>
    <m/>
    <s v="Colleen Cahill"/>
    <s v="Guaranteed"/>
    <s v="DIS - FS - Display Unit - MWC"/>
    <n v="127274"/>
    <d v="2026-06-30T00:00:00"/>
    <d v="2026-06-01T00:00:00"/>
    <d v="2026-07-19T00:00:00"/>
    <s v="Direct Display"/>
    <m/>
    <d v="2026-07-05T12:53:18"/>
  </r>
  <r>
    <s v="ESSENCEMEDIACOM"/>
    <n v="18559"/>
    <n v="7922"/>
    <s v="DURACELL"/>
    <s v="Duracell/2026/Scatter/Digital/MWC"/>
    <x v="41"/>
    <s v="Duracell_World Cup Social Sponsorship Content"/>
    <n v="582620"/>
    <s v="Duracell - DIO - SOC - FOX Sports - Facebook/Instagram - MWC"/>
    <n v="582621"/>
    <s v="FOX Sports - FB-Inst"/>
    <s v="Flat Rate"/>
    <n v="41666.67"/>
    <s v="Bill on Contract"/>
    <n v="0"/>
    <n v="12755.1"/>
    <m/>
    <m/>
    <s v=" "/>
    <n v="0"/>
    <m/>
    <m/>
    <n v="0"/>
    <n v="0"/>
    <n v="0"/>
    <n v="0"/>
    <n v="1"/>
    <n v="0"/>
    <n v="0"/>
    <n v="0"/>
    <s v="Bill on Contract - Pro-rated"/>
    <n v="12755.1"/>
    <n v="1"/>
    <n v="41666.67"/>
    <s v="Duracell/2026/Scatter/Digital/MWC"/>
    <n v="262938"/>
    <s v="P2+"/>
    <s v="O-D2QGE04-R4"/>
    <m/>
    <s v="Colleen Cahill"/>
    <s v="Guaranteed"/>
    <s v="DIO - SOC - FOX Sports - Facebook/Instagram - MWC"/>
    <n v="127274"/>
    <d v="2026-06-30T00:00:00"/>
    <d v="2026-06-01T00:00:00"/>
    <d v="2026-07-19T00:00:00"/>
    <s v="Social Facebook/Instagram"/>
    <m/>
    <d v="2026-07-05T12:53:18"/>
  </r>
  <r>
    <s v="ESSENCEMEDIACOM"/>
    <n v="18559"/>
    <n v="7922"/>
    <s v="DURACELL"/>
    <s v="Duracell/2026/Scatter/Digital/MWC"/>
    <x v="41"/>
    <s v="Duracell_World Cup Social Sponsorship Content"/>
    <n v="582620"/>
    <s v="Duracell - DIO - SOC - FOX Sports - TikTok - MWC"/>
    <n v="582624"/>
    <s v="FOX Sports - TikTok"/>
    <s v="Flat Rate"/>
    <n v="41666.660000000003"/>
    <s v="Bill on Contract"/>
    <n v="0"/>
    <n v="12755.1"/>
    <m/>
    <m/>
    <s v=" "/>
    <s v=""/>
    <m/>
    <m/>
    <n v="0"/>
    <n v="0"/>
    <n v="0"/>
    <n v="0"/>
    <n v="1"/>
    <n v="0"/>
    <n v="0"/>
    <n v="0"/>
    <s v="Bill on Contract - Pro-rated"/>
    <n v="12755.1"/>
    <n v="1"/>
    <n v="41666.660000000003"/>
    <s v="Duracell/2026/Scatter/Digital/MWC"/>
    <n v="262938"/>
    <s v="P2+"/>
    <s v="O-D2QGE04-R4"/>
    <m/>
    <s v="Colleen Cahill"/>
    <s v="Guaranteed"/>
    <s v="DIO - SOC - FOX Sports - TikTok - MWC"/>
    <n v="127274"/>
    <d v="2026-06-30T00:00:00"/>
    <d v="2026-06-01T00:00:00"/>
    <d v="2026-07-19T00:00:00"/>
    <s v="Social TikTok"/>
    <m/>
    <d v="2026-07-05T12:53:18"/>
  </r>
  <r>
    <s v="ESSENCEMEDIACOM"/>
    <n v="18559"/>
    <n v="7922"/>
    <s v="DURACELL"/>
    <s v="Duracell/2026/Scatter/Digital/MWC"/>
    <x v="41"/>
    <s v="Duracell_World Cup Social Sponsorship Content"/>
    <n v="582620"/>
    <s v="Duracell - DIO - SOC - FOX Sports - Youtube - Custom Content - MWC"/>
    <n v="582623"/>
    <s v="FOX Sports"/>
    <s v="Flat Rate"/>
    <n v="41666.67"/>
    <s v="Bill on Contract"/>
    <n v="0"/>
    <n v="12755.1"/>
    <m/>
    <m/>
    <s v=" "/>
    <s v=""/>
    <m/>
    <m/>
    <n v="0"/>
    <n v="0"/>
    <n v="0"/>
    <n v="0"/>
    <n v="1"/>
    <n v="0"/>
    <n v="0"/>
    <n v="0"/>
    <s v="Bill on Contract - Pro-rated"/>
    <n v="12755.1"/>
    <n v="1"/>
    <n v="41666.67"/>
    <s v="Duracell/2026/Scatter/Digital/MWC"/>
    <n v="262938"/>
    <s v="P2+"/>
    <s v="O-D2QGE04-R4"/>
    <m/>
    <s v="Colleen Cahill"/>
    <s v="Guaranteed"/>
    <s v="DIO - SOC - FOX Sports - Youtube - Custom Content - MWC"/>
    <n v="127274"/>
    <d v="2026-06-30T00:00:00"/>
    <d v="2026-06-01T00:00:00"/>
    <d v="2026-07-19T00:00:00"/>
    <s v="Social"/>
    <m/>
    <d v="2026-07-05T12:53:18"/>
  </r>
  <r>
    <s v="ESSENCEMEDIACOM"/>
    <n v="18559"/>
    <n v="8738"/>
    <s v="GOOGLE"/>
    <s v="Google/2026/Scatter/Digital/MWC - Search -NEW"/>
    <x v="42"/>
    <s v="Google - Search - Run of World Cup Video - Package"/>
    <n v="589775"/>
    <s v="Google - Search -DIO - LFV - TUB - Pre/Mid - MWC - DT/MB/CTV"/>
    <n v="94716057"/>
    <s v="Fox Sold Tubi"/>
    <s v="CPM"/>
    <n v="40"/>
    <s v="3P Imps"/>
    <n v="11532040"/>
    <n v="461281.6"/>
    <m/>
    <m/>
    <s v=" "/>
    <n v="0"/>
    <m/>
    <m/>
    <n v="11532040"/>
    <n v="11532040"/>
    <n v="0"/>
    <n v="0"/>
    <n v="1"/>
    <n v="0"/>
    <n v="0"/>
    <n v="0"/>
    <s v="Bill on Actuals - 3rd Party Performance"/>
    <n v="244909.77"/>
    <n v="17500000"/>
    <n v="700000"/>
    <s v="Google/2026/Scatter/Digital/MWC - Search -NEW"/>
    <n v="94716052"/>
    <s v="P2+"/>
    <n v="225686"/>
    <m/>
    <s v="Colleen Cahill"/>
    <s v="Guaranteed"/>
    <s v="DIO - LFV - TUB - Pre/Mid - MWC - DT/MB/CTV"/>
    <n v="131040"/>
    <d v="2026-06-30T00:00:00"/>
    <d v="2026-06-11T00:00:00"/>
    <d v="2026-07-19T00:00:00"/>
    <s v="Direct LFV"/>
    <m/>
    <d v="2026-07-05T12:53:18"/>
  </r>
  <r>
    <s v="ESSENCEMEDIACOM"/>
    <n v="18559"/>
    <n v="8738"/>
    <s v="GOOGLE"/>
    <s v="Google/2026/Scatter/Digital/MWC - Search -NEW"/>
    <x v="42"/>
    <s v="Google - Search - Run of World Cup Video - Package"/>
    <n v="589775"/>
    <s v="Google - Search -DIO - ROV - FS - Pre/Mid - MWC - DT/MB/CTV"/>
    <n v="94716070"/>
    <s v="FOX Sports"/>
    <s v="CPM"/>
    <n v="40"/>
    <s v="3P Imps"/>
    <n v="5044982"/>
    <n v="201799.28"/>
    <m/>
    <m/>
    <s v=" "/>
    <s v=""/>
    <m/>
    <m/>
    <n v="5044982"/>
    <n v="5044982"/>
    <n v="0"/>
    <n v="0"/>
    <n v="1"/>
    <n v="0"/>
    <n v="0"/>
    <n v="0"/>
    <s v="Bill on Actuals - 3rd Party Performance"/>
    <n v="104961.33"/>
    <n v="7500000"/>
    <n v="300000"/>
    <s v="Google/2026/Scatter/Digital/MWC - Search -NEW"/>
    <n v="94716052"/>
    <s v="P2+"/>
    <n v="225686"/>
    <m/>
    <s v="Colleen Cahill"/>
    <s v="Guaranteed"/>
    <s v="DIO - ROV - FS - Pre/Mid - MWC - DT/MB/CTV"/>
    <n v="131040"/>
    <d v="2026-06-30T00:00:00"/>
    <d v="2026-06-11T00:00:00"/>
    <d v="2026-07-19T00:00:00"/>
    <s v="Direct ROV"/>
    <m/>
    <d v="2026-07-05T12:53:18"/>
  </r>
  <r>
    <s v="ESSENCEMEDIACOM"/>
    <n v="18559"/>
    <n v="8738"/>
    <s v="GOOGLE"/>
    <s v="Google/2026/Scatter/Digital/MWC - Search -NEW"/>
    <x v="42"/>
    <s v="Google - Search -Run of FOX Sports Video - Package"/>
    <n v="589778"/>
    <s v="Google - Search - DIO - SFV - FSEN - Pre - ROS - DT/MB/CTV - non-CoV"/>
    <n v="94961532"/>
    <s v="FSEN"/>
    <s v="CPM"/>
    <n v="25"/>
    <s v="3P Imps"/>
    <n v="597074"/>
    <n v="14926.85"/>
    <m/>
    <m/>
    <s v=" "/>
    <n v="0"/>
    <m/>
    <m/>
    <n v="597074"/>
    <n v="597074"/>
    <n v="0"/>
    <n v="0"/>
    <n v="1"/>
    <n v="0"/>
    <n v="0"/>
    <n v="0"/>
    <s v="Bill on Actuals - 3rd Party Performance"/>
    <n v="6637.29"/>
    <n v="2000000"/>
    <n v="50000"/>
    <s v="Google/2026/Scatter/Digital/MWC - Search -NEW"/>
    <n v="94716052"/>
    <s v="P2+"/>
    <n v="225686"/>
    <m/>
    <s v="Colleen Cahill"/>
    <s v="Guaranteed"/>
    <s v="DIO - SFV - FSEN - Pre - ROS - DT/MB/CTV - non-CoV"/>
    <n v="131040"/>
    <d v="2026-06-30T00:00:00"/>
    <d v="2026-06-11T00:00:00"/>
    <d v="2026-07-19T00:00:00"/>
    <s v="Direct SFV"/>
    <m/>
    <d v="2026-07-05T12:53:18"/>
  </r>
  <r>
    <s v="ESSENCEMEDIACOM"/>
    <n v="18559"/>
    <n v="8738"/>
    <s v="GOOGLE"/>
    <s v="Google/2026/Scatter/Digital/MWC - Search -NEW"/>
    <x v="42"/>
    <s v="Google - Search -Run of FOX Sports Video - Package"/>
    <n v="589778"/>
    <s v="Google - Search -DIO - ROV - FS - Pre/Mid - ROS - DT/MB/CTV"/>
    <n v="94716066"/>
    <s v="FOX Sports"/>
    <s v="CPM"/>
    <n v="25"/>
    <s v="3P CoView Imps"/>
    <n v="544963"/>
    <n v="13624.08"/>
    <m/>
    <m/>
    <s v=" "/>
    <s v=""/>
    <m/>
    <m/>
    <n v="514257"/>
    <n v="514257"/>
    <n v="544963"/>
    <n v="544963"/>
    <n v="1"/>
    <n v="1.0597097628407779"/>
    <n v="0"/>
    <n v="0"/>
    <s v="Bill on Actuals - 3rd Party Performance"/>
    <n v="2123.9299999999998"/>
    <n v="640000"/>
    <n v="16000"/>
    <s v="Google/2026/Scatter/Digital/MWC - Search -NEW"/>
    <n v="94716052"/>
    <s v="P2+"/>
    <n v="225686"/>
    <m/>
    <s v="Colleen Cahill"/>
    <s v="Guaranteed"/>
    <s v="DIO - ROV - FS - Pre/Mid - ROS - DT/MB/CTV"/>
    <n v="131040"/>
    <d v="2026-06-30T00:00:00"/>
    <d v="2026-06-11T00:00:00"/>
    <d v="2026-07-19T00:00:00"/>
    <s v="Direct ROV"/>
    <m/>
    <d v="2026-07-05T12:53:18"/>
  </r>
  <r>
    <s v="ESSENCEMEDIACOM"/>
    <n v="18559"/>
    <n v="8738"/>
    <s v="GOOGLE"/>
    <s v="Google/2026/Scatter/Digital/MWC - Search -NEW"/>
    <x v="42"/>
    <s v="Google - Search -Run of AllFOX Sports Bundle Package"/>
    <n v="589780"/>
    <s v="Google - Search -DIO - LFV - 1F - Tubi Sports Bundle - Pre/Mid - ROS - DT/MB/CTV - FW - SXD"/>
    <n v="94716063"/>
    <s v="OneFOX"/>
    <s v="CPM"/>
    <n v="23"/>
    <s v="3P Imps"/>
    <n v="10027687"/>
    <n v="230636.79999999999"/>
    <m/>
    <m/>
    <s v=" "/>
    <n v="0"/>
    <m/>
    <m/>
    <n v="10027687"/>
    <n v="10027687"/>
    <n v="0"/>
    <n v="0"/>
    <n v="1"/>
    <n v="0"/>
    <n v="0"/>
    <n v="0"/>
    <s v="Bill on Actuals - 3rd Party Performance"/>
    <n v="122150.73"/>
    <n v="18539131"/>
    <n v="426400.01"/>
    <s v="Google/2026/Scatter/Digital/MWC - Search -NEW"/>
    <n v="94716052"/>
    <s v="P2+"/>
    <n v="225686"/>
    <m/>
    <s v="Colleen Cahill"/>
    <s v="Guaranteed"/>
    <s v="DIO - LFV - 1F - Tubi Sports Bundle - Pre/Mid - ROS - DT/MB/CTV - FW - SXD"/>
    <n v="131040"/>
    <d v="2026-06-30T00:00:00"/>
    <d v="2026-06-11T00:00:00"/>
    <d v="2026-07-19T00:00:00"/>
    <s v="Direct LFV"/>
    <m/>
    <d v="2026-07-05T12:53:18"/>
  </r>
  <r>
    <s v="ESSENCEMEDIACOM"/>
    <n v="18559"/>
    <n v="8738"/>
    <s v="GOOGLE"/>
    <s v="Google/2026/Scatter/Digital/MWC - Search -NEW"/>
    <x v="42"/>
    <s v="Google - Search -Run of AllFOX Sports Bundle Package"/>
    <n v="589780"/>
    <s v="Google - Search -DIO - ROV - 1F - FS - Pre/Mid - ROS - DT/MB/CTV - FW - SXD"/>
    <n v="94716074"/>
    <s v="OneFOX"/>
    <s v="CPM"/>
    <n v="23"/>
    <s v="3P Imps"/>
    <n v="3680512"/>
    <n v="84651.78"/>
    <m/>
    <m/>
    <s v=" "/>
    <s v=""/>
    <m/>
    <m/>
    <n v="3680512"/>
    <n v="3680512"/>
    <n v="0"/>
    <n v="0"/>
    <n v="1"/>
    <n v="0"/>
    <n v="0"/>
    <n v="0"/>
    <s v="Bill on Actuals - 3rd Party Performance"/>
    <n v="45147.64"/>
    <n v="6852174"/>
    <n v="157600"/>
    <s v="Google/2026/Scatter/Digital/MWC - Search -NEW"/>
    <n v="94716052"/>
    <s v="P2+"/>
    <n v="225686"/>
    <m/>
    <s v="Colleen Cahill"/>
    <s v="Guaranteed"/>
    <s v="DIO - ROV - 1F - FS - Pre/Mid - ROS - DT/MB/CTV - FW - SXD"/>
    <n v="131040"/>
    <d v="2026-06-30T00:00:00"/>
    <d v="2026-06-11T00:00:00"/>
    <d v="2026-07-19T00:00:00"/>
    <s v="Direct ROV"/>
    <m/>
    <d v="2026-07-05T12:53:18"/>
  </r>
  <r>
    <s v="ESSENCEMEDIACOM"/>
    <n v="18559"/>
    <n v="8738"/>
    <s v="GOOGLE"/>
    <s v="Google/2026/Scatter/Digital/MWC - Search -NEW"/>
    <x v="42"/>
    <s v="Google - Search -World Cup Social Sponsorship Content - Package"/>
    <n v="589784"/>
    <s v="Google - Search -DIO - SOC - FOX Sports - Facebook/Instagram - MWC"/>
    <n v="589785"/>
    <s v="FOX Sports - FB-Inst"/>
    <s v="Flat Rate"/>
    <n v="133333"/>
    <s v="Bill on Contract"/>
    <n v="0"/>
    <n v="34187.949999999997"/>
    <m/>
    <m/>
    <s v=" "/>
    <n v="0"/>
    <m/>
    <m/>
    <n v="0"/>
    <n v="0"/>
    <n v="0"/>
    <n v="0"/>
    <n v="1"/>
    <n v="0"/>
    <n v="0"/>
    <n v="0"/>
    <s v="Bill on Contract - Pro-rated"/>
    <n v="34187.949999999997"/>
    <n v="0"/>
    <n v="133333"/>
    <s v="Google/2026/Scatter/Digital/MWC - Search -NEW"/>
    <n v="269909"/>
    <s v="P2+"/>
    <n v="225686"/>
    <m/>
    <s v="Colleen Cahill"/>
    <s v="Guaranteed"/>
    <s v="DIO - SOC - FOX Sports - Facebook/Instagram - MWC"/>
    <n v="131040"/>
    <d v="2026-06-30T00:00:00"/>
    <d v="2026-06-11T00:00:00"/>
    <d v="2026-07-19T00:00:00"/>
    <s v="Social Facebook/Instagram"/>
    <m/>
    <d v="2026-07-05T12:53:18"/>
  </r>
  <r>
    <s v="ESSENCEMEDIACOM"/>
    <n v="18559"/>
    <n v="8738"/>
    <s v="GOOGLE"/>
    <s v="Google/2026/Scatter/Digital/MWC - Search -NEW"/>
    <x v="42"/>
    <s v="Google - Search -World Cup Social Sponsorship Content - Package"/>
    <n v="589784"/>
    <s v="Google - Search -DIO - SOC - FOX Sports - TikTok - MWC"/>
    <n v="589788"/>
    <s v="FOX Sports - TikTok"/>
    <s v="Flat Rate"/>
    <n v="133334"/>
    <s v="Bill on Contract"/>
    <n v="0"/>
    <n v="34188.21"/>
    <m/>
    <m/>
    <s v=" "/>
    <s v=""/>
    <m/>
    <m/>
    <n v="0"/>
    <n v="0"/>
    <n v="0"/>
    <n v="0"/>
    <n v="1"/>
    <n v="0"/>
    <n v="0"/>
    <n v="0"/>
    <s v="Bill on Contract - Pro-rated"/>
    <n v="34188.21"/>
    <n v="0"/>
    <n v="133334"/>
    <s v="Google/2026/Scatter/Digital/MWC - Search -NEW"/>
    <n v="269909"/>
    <s v="P2+"/>
    <n v="225686"/>
    <m/>
    <s v="Colleen Cahill"/>
    <s v="Guaranteed"/>
    <s v="DIO - SOC - FOX Sports - TikTok - MWC"/>
    <n v="131040"/>
    <d v="2026-06-30T00:00:00"/>
    <d v="2026-06-11T00:00:00"/>
    <d v="2026-07-19T00:00:00"/>
    <s v="Social TikTok"/>
    <m/>
    <d v="2026-07-05T12:53:18"/>
  </r>
  <r>
    <s v="ESSENCEMEDIACOM"/>
    <n v="18559"/>
    <n v="8738"/>
    <s v="GOOGLE"/>
    <s v="Google/2026/Scatter/Digital/MWC - Search -NEW"/>
    <x v="42"/>
    <s v="Google - Search -World Cup Social Sponsorship Content - Package"/>
    <n v="589784"/>
    <s v="Google - Search -DIO - SOC - FOX Sports - Youtube - Custom Content - MWC"/>
    <n v="589787"/>
    <s v="FOX Sports"/>
    <s v="Flat Rate"/>
    <n v="133333"/>
    <s v="Bill on Contract"/>
    <n v="0"/>
    <n v="34187.949999999997"/>
    <m/>
    <m/>
    <s v=" "/>
    <s v=""/>
    <m/>
    <m/>
    <n v="0"/>
    <n v="0"/>
    <n v="0"/>
    <n v="0"/>
    <n v="1"/>
    <n v="0"/>
    <n v="0"/>
    <n v="0"/>
    <s v="Bill on Contract - Pro-rated"/>
    <n v="34187.949999999997"/>
    <n v="0"/>
    <n v="133333"/>
    <s v="Google/2026/Scatter/Digital/MWC - Search -NEW"/>
    <n v="269909"/>
    <s v="P2+"/>
    <n v="225686"/>
    <m/>
    <s v="Colleen Cahill"/>
    <s v="Guaranteed"/>
    <s v="DIO - SOC - FOX Sports - Youtube - Custom Content - MWC"/>
    <n v="131040"/>
    <d v="2026-06-30T00:00:00"/>
    <d v="2026-06-11T00:00:00"/>
    <d v="2026-07-19T00:00:00"/>
    <s v="Social"/>
    <m/>
    <d v="2026-07-05T12:53:18"/>
  </r>
  <r>
    <s v="ESSENCEMEDIACOM"/>
    <n v="18559"/>
    <n v="8738"/>
    <s v="GOOGLE"/>
    <s v="Google/2026/Scatter/Digital/MWC - Search -NEW"/>
    <x v="42"/>
    <s v="Google - Search -World Cup ROSTER REVEAL Social Sponsorship Content - Package"/>
    <n v="590261"/>
    <s v="Google - Search -DIO - SOC - FOX Sports - Facebook/Instagram - MWC ROSTER REVEAL"/>
    <n v="590262"/>
    <s v="FOX Sports - FB-Inst"/>
    <s v="Flat Rate"/>
    <n v="66666"/>
    <s v="Bill on Contract"/>
    <n v="0"/>
    <n v="19047.43"/>
    <m/>
    <m/>
    <s v=" "/>
    <n v="0"/>
    <m/>
    <m/>
    <n v="0"/>
    <n v="0"/>
    <n v="0"/>
    <n v="0"/>
    <n v="1"/>
    <n v="0"/>
    <n v="0"/>
    <n v="0"/>
    <s v="Bill on Contract - Pro-rated"/>
    <n v="19047.43"/>
    <n v="0"/>
    <n v="66666"/>
    <s v="Google/2026/Scatter/Digital/MWC - Search -NEW"/>
    <n v="269909"/>
    <s v="P2+"/>
    <n v="225686"/>
    <m/>
    <s v="Colleen Cahill"/>
    <s v="Guaranteed"/>
    <s v="DIO - SOC - FOX Sports - Facebook/Instagram - MWC"/>
    <n v="131040"/>
    <d v="2026-06-30T00:00:00"/>
    <d v="2026-05-26T00:00:00"/>
    <d v="2026-06-08T00:00:00"/>
    <s v="Social Facebook/Instagram"/>
    <m/>
    <d v="2026-07-05T12:53:18"/>
  </r>
  <r>
    <s v="ESSENCEMEDIACOM"/>
    <n v="18559"/>
    <n v="8738"/>
    <s v="GOOGLE"/>
    <s v="Google/2026/Scatter/Digital/MWC - Search -NEW"/>
    <x v="42"/>
    <s v="Google - Search -World Cup ROSTER REVEAL Social Sponsorship Content - Package"/>
    <n v="590261"/>
    <s v="Google - Search -DIO - SOC - FOX Sports - TikTok - MWC ROSTER REVEAL"/>
    <n v="590265"/>
    <s v="FOX Sports - TikTok"/>
    <s v="Flat Rate"/>
    <n v="66667"/>
    <s v="Bill on Contract"/>
    <n v="0"/>
    <n v="19047.71"/>
    <m/>
    <m/>
    <s v=" "/>
    <s v=""/>
    <m/>
    <m/>
    <n v="0"/>
    <n v="0"/>
    <n v="0"/>
    <n v="0"/>
    <n v="1"/>
    <n v="0"/>
    <n v="0"/>
    <n v="0"/>
    <s v="Bill on Contract - Pro-rated"/>
    <n v="19047.71"/>
    <n v="0"/>
    <n v="66667"/>
    <s v="Google/2026/Scatter/Digital/MWC - Search -NEW"/>
    <n v="269909"/>
    <s v="P2+"/>
    <n v="225686"/>
    <m/>
    <s v="Colleen Cahill"/>
    <s v="Guaranteed"/>
    <s v="DIO - SOC - FOX Sports - TikTok - MWC"/>
    <n v="131040"/>
    <d v="2026-06-30T00:00:00"/>
    <d v="2026-05-26T00:00:00"/>
    <d v="2026-06-08T00:00:00"/>
    <s v="Social TikTok"/>
    <m/>
    <d v="2026-07-05T12:53:18"/>
  </r>
  <r>
    <s v="ESSENCEMEDIACOM"/>
    <n v="18559"/>
    <n v="8738"/>
    <s v="GOOGLE"/>
    <s v="Google/2026/Scatter/Digital/MWC - Search -NEW"/>
    <x v="42"/>
    <s v="Google - Search -World Cup ROSTER REVEAL Social Sponsorship Content - Package"/>
    <n v="590261"/>
    <s v="Google - Search -DIO - SOC - FOX Sports - Youtube - Custom Content - MWC ROSTER REVEAL"/>
    <n v="590264"/>
    <s v="FOX Sports"/>
    <s v="Flat Rate"/>
    <n v="66667"/>
    <s v="Bill on Contract"/>
    <n v="0"/>
    <n v="19047.71"/>
    <m/>
    <m/>
    <s v=" "/>
    <s v=""/>
    <m/>
    <m/>
    <n v="0"/>
    <n v="0"/>
    <n v="0"/>
    <n v="0"/>
    <n v="1"/>
    <n v="0"/>
    <n v="0"/>
    <n v="0"/>
    <s v="Bill on Contract - Pro-rated"/>
    <n v="19047.71"/>
    <n v="0"/>
    <n v="66667"/>
    <s v="Google/2026/Scatter/Digital/MWC - Search -NEW"/>
    <n v="269909"/>
    <s v="P2+"/>
    <n v="225686"/>
    <m/>
    <s v="Colleen Cahill"/>
    <s v="Guaranteed"/>
    <s v="DIO - SOC - FOX Sports - Youtube - Custom Content - MWC"/>
    <n v="131040"/>
    <d v="2026-06-30T00:00:00"/>
    <d v="2026-05-26T00:00:00"/>
    <d v="2026-06-08T00:00:00"/>
    <s v="Social"/>
    <m/>
    <d v="2026-07-05T12:53:18"/>
  </r>
  <r>
    <s v="ESSENCEMEDIACOM"/>
    <n v="18559"/>
    <n v="8738"/>
    <s v="GOOGLE"/>
    <s v="Google/2026/Scatter/Digital/MWC - Search -NEW"/>
    <x v="42"/>
    <s v="Google - Search -World Cup Social Sponsorship Content - X Amplify - Package"/>
    <n v="593395"/>
    <s v="Google - Search -DIO - SOC - FOX Sports - X Amplify - MWC"/>
    <n v="593397"/>
    <s v="FOX Sports - Twitter"/>
    <s v="Flat Rate"/>
    <n v="1000000"/>
    <s v="Bill on Contract"/>
    <n v="0"/>
    <n v="256410.26"/>
    <m/>
    <m/>
    <s v=" "/>
    <n v="0"/>
    <m/>
    <m/>
    <n v="0"/>
    <n v="0"/>
    <n v="0"/>
    <n v="0"/>
    <n v="1"/>
    <n v="0"/>
    <n v="0"/>
    <n v="0"/>
    <s v="Bill on Contract - Pro-rated"/>
    <n v="256410.26"/>
    <n v="0"/>
    <n v="1000000"/>
    <s v="Google/2026/Scatter/Digital/MWC - Search -NEW"/>
    <n v="269909"/>
    <s v="P2+"/>
    <n v="225686"/>
    <m/>
    <s v="Colleen Cahill"/>
    <s v="Guaranteed"/>
    <s v="DIO - SOC - FOX Sports - X - MWC"/>
    <n v="131040"/>
    <d v="2026-06-30T00:00:00"/>
    <d v="2026-06-11T00:00:00"/>
    <d v="2026-07-19T00:00:00"/>
    <s v="Social X"/>
    <m/>
    <d v="2026-07-05T12:53:18"/>
  </r>
  <r>
    <s v="ESSENCEMEDIACOM"/>
    <n v="18559"/>
    <n v="8738"/>
    <s v="GOOGLE"/>
    <s v="Google/2026/Scatter/Digital/MWC - Youtube"/>
    <x v="43"/>
    <s v="Google - YouTube_Run of World Cup Video - Package"/>
    <n v="587647"/>
    <s v="Google - YouTube_DIO - LFV - TUB - Pre/Mid - MWC - DT/MB/CTV"/>
    <n v="94526053"/>
    <s v="Fox Sold Tubi"/>
    <s v="CPM"/>
    <n v="40"/>
    <s v="3P Imps"/>
    <n v="2765849"/>
    <n v="110633.96"/>
    <m/>
    <m/>
    <s v=" "/>
    <n v="0"/>
    <m/>
    <m/>
    <n v="2765849"/>
    <n v="2765849"/>
    <n v="0"/>
    <n v="0"/>
    <n v="1"/>
    <n v="0"/>
    <n v="0"/>
    <n v="0"/>
    <s v="Bill on Actuals - 3rd Party Performance"/>
    <n v="56003.58"/>
    <n v="4207500"/>
    <n v="168300"/>
    <s v="Google/2026/Scatter/Digital/MWC - Youtube"/>
    <n v="94526050"/>
    <s v="P2+"/>
    <n v="226068"/>
    <m/>
    <s v="Colleen Cahill"/>
    <s v="Guaranteed"/>
    <s v="DIO - LFV - TUB - Pre/Mid - MWC - DT/MB/CTV"/>
    <n v="130639"/>
    <d v="2026-06-30T00:00:00"/>
    <d v="2026-06-11T00:00:00"/>
    <d v="2026-07-19T00:00:00"/>
    <s v="Direct LFV"/>
    <m/>
    <d v="2026-07-05T12:53:18"/>
  </r>
  <r>
    <s v="ESSENCEMEDIACOM"/>
    <n v="18559"/>
    <n v="8738"/>
    <s v="GOOGLE"/>
    <s v="Google/2026/Scatter/Digital/MWC - Youtube"/>
    <x v="43"/>
    <s v="Google - YouTube_Run of World Cup Video - Package"/>
    <n v="587647"/>
    <s v="Google - YouTube_DIO - ROV - FS - Pre/Mid - MWC - DT/MB/CTV"/>
    <n v="94526056"/>
    <s v="FOX Sports"/>
    <s v="CPM"/>
    <n v="40"/>
    <s v="3P Imps"/>
    <n v="1898045"/>
    <n v="75921.8"/>
    <m/>
    <m/>
    <s v=" "/>
    <s v=""/>
    <m/>
    <m/>
    <n v="1898045"/>
    <n v="1898045"/>
    <n v="0"/>
    <n v="0"/>
    <n v="1"/>
    <n v="0"/>
    <n v="0"/>
    <n v="0"/>
    <s v="Bill on Actuals - 3rd Party Performance"/>
    <n v="37335.72"/>
    <n v="2805000"/>
    <n v="112200"/>
    <s v="Google/2026/Scatter/Digital/MWC - Youtube"/>
    <n v="94526050"/>
    <s v="P2+"/>
    <n v="226068"/>
    <m/>
    <s v="Colleen Cahill"/>
    <s v="Guaranteed"/>
    <s v="DIO - ROV - FS - Pre/Mid - MWC - DT/MB/CTV"/>
    <n v="130639"/>
    <d v="2026-06-30T00:00:00"/>
    <d v="2026-06-11T00:00:00"/>
    <d v="2026-07-19T00:00:00"/>
    <s v="Direct ROV"/>
    <m/>
    <d v="2026-07-05T12:53:18"/>
  </r>
  <r>
    <s v="ESSENCEMEDIACOM"/>
    <n v="18559"/>
    <n v="8738"/>
    <s v="GOOGLE"/>
    <s v="Google/2026/Scatter/Digital/MWC - Youtube"/>
    <x v="43"/>
    <s v="Google - YouTube_World Cup Social Sponsorship Content - Package"/>
    <n v="587655"/>
    <s v="Google - YouTube_DIO - SOC - FOX Sports - Facebook/Instagram - MWC"/>
    <n v="587656"/>
    <s v="FOX Sports - FB-Inst"/>
    <s v="Flat Rate"/>
    <n v="145167"/>
    <s v="Bill on Contract"/>
    <n v="0"/>
    <n v="37222.31"/>
    <m/>
    <m/>
    <s v=" "/>
    <n v="0"/>
    <m/>
    <m/>
    <n v="0"/>
    <n v="0"/>
    <n v="0"/>
    <n v="0"/>
    <n v="1"/>
    <n v="0"/>
    <n v="0"/>
    <n v="0"/>
    <s v="Bill on Contract - Pro-rated"/>
    <n v="37222.31"/>
    <n v="0"/>
    <n v="145167"/>
    <s v="Google/2026/Scatter/Digital/MWC - Youtube"/>
    <n v="269280"/>
    <s v="P2+"/>
    <n v="226068"/>
    <m/>
    <s v="Colleen Cahill"/>
    <s v="Guaranteed"/>
    <s v="DIO - SOC - FOX Sports - Facebook/Instagram - MWC"/>
    <n v="130639"/>
    <d v="2026-06-30T00:00:00"/>
    <d v="2026-06-11T00:00:00"/>
    <d v="2026-07-19T00:00:00"/>
    <s v="Social Facebook/Instagram"/>
    <m/>
    <d v="2026-07-05T12:53:18"/>
  </r>
  <r>
    <s v="ESSENCEMEDIACOM"/>
    <n v="18559"/>
    <n v="8738"/>
    <s v="GOOGLE"/>
    <s v="Google/2026/Scatter/Digital/MWC - Youtube"/>
    <x v="43"/>
    <s v="Google - YouTube_World Cup Social Sponsorship Content - Package"/>
    <n v="587655"/>
    <s v="Google - YouTube_DIO - SOC - FOX Sports - TikTok - MWC"/>
    <n v="587659"/>
    <s v="FOX Sports - TikTok"/>
    <s v="Flat Rate"/>
    <n v="145167"/>
    <s v="Bill on Contract"/>
    <n v="0"/>
    <n v="37222.31"/>
    <m/>
    <m/>
    <s v=" "/>
    <s v=""/>
    <m/>
    <m/>
    <n v="0"/>
    <n v="0"/>
    <n v="0"/>
    <n v="0"/>
    <n v="1"/>
    <n v="0"/>
    <n v="0"/>
    <n v="0"/>
    <s v="Bill on Contract - Pro-rated"/>
    <n v="37222.31"/>
    <n v="0"/>
    <n v="145167"/>
    <s v="Google/2026/Scatter/Digital/MWC - Youtube"/>
    <n v="269280"/>
    <s v="P2+"/>
    <n v="226068"/>
    <m/>
    <s v="Colleen Cahill"/>
    <s v="Guaranteed"/>
    <s v="DIO - SOC - FOX Sports - TikTok - MWC"/>
    <n v="130639"/>
    <d v="2026-06-30T00:00:00"/>
    <d v="2026-06-11T00:00:00"/>
    <d v="2026-07-19T00:00:00"/>
    <s v="Social TikTok"/>
    <m/>
    <d v="2026-07-05T12:53:18"/>
  </r>
  <r>
    <s v="ESSENCEMEDIACOM"/>
    <n v="18559"/>
    <n v="8738"/>
    <s v="GOOGLE"/>
    <s v="Google/2026/Scatter/Digital/MWC - Youtube"/>
    <x v="43"/>
    <s v="Google - YouTube_World Cup Social Sponsorship Content - Package"/>
    <n v="587655"/>
    <s v="Google - YouTube_DIO - SOC - FOX Sports - Youtube - Custom Content - MWC"/>
    <n v="587658"/>
    <s v="FOX Sports"/>
    <s v="Flat Rate"/>
    <n v="145166"/>
    <s v="Bill on Contract"/>
    <n v="0"/>
    <n v="37222.050000000003"/>
    <m/>
    <m/>
    <s v=" "/>
    <s v=""/>
    <m/>
    <m/>
    <n v="0"/>
    <n v="0"/>
    <n v="0"/>
    <n v="0"/>
    <n v="1"/>
    <n v="0"/>
    <n v="0"/>
    <n v="0"/>
    <s v="Bill on Contract - Pro-rated"/>
    <n v="37222.050000000003"/>
    <n v="0"/>
    <n v="145166"/>
    <s v="Google/2026/Scatter/Digital/MWC - Youtube"/>
    <n v="269280"/>
    <s v="P2+"/>
    <n v="226068"/>
    <m/>
    <s v="Colleen Cahill"/>
    <s v="Guaranteed"/>
    <s v="DIO - SOC - FOX Sports - Youtube - Custom Content - MWC"/>
    <n v="130639"/>
    <d v="2026-06-30T00:00:00"/>
    <d v="2026-06-11T00:00:00"/>
    <d v="2026-07-19T00:00:00"/>
    <s v="Social"/>
    <m/>
    <d v="2026-07-05T12:53:18"/>
  </r>
  <r>
    <s v="ESSENCEMEDIACOM"/>
    <n v="18559"/>
    <n v="8738"/>
    <s v="GOOGLE"/>
    <s v="Google/2026/Scatter/Digital/MWC - Youtube"/>
    <x v="43"/>
    <s v="Google - YouTube_World Cup Social Sponsorship Content - X Amplify - Package"/>
    <n v="592837"/>
    <s v="Google - YouTube_DIO - SOC - FOX Sports - X Amplify - MWC"/>
    <n v="592841"/>
    <s v="FOX Sports - Twitter"/>
    <s v="Flat Rate"/>
    <n v="334000"/>
    <s v="Bill on Contract"/>
    <n v="0"/>
    <n v="85641.03"/>
    <m/>
    <m/>
    <s v=" "/>
    <n v="0"/>
    <m/>
    <m/>
    <n v="0"/>
    <n v="0"/>
    <n v="0"/>
    <n v="0"/>
    <n v="1"/>
    <n v="0"/>
    <n v="0"/>
    <n v="0"/>
    <s v="Bill on Contract - Pro-rated"/>
    <n v="85641.03"/>
    <n v="0"/>
    <n v="334000"/>
    <s v="Google/2026/Scatter/Digital/MWC - Youtube"/>
    <n v="269280"/>
    <s v="P2+"/>
    <n v="226068"/>
    <m/>
    <s v="Colleen Cahill"/>
    <s v="Guaranteed"/>
    <s v="DIO - SOC - FOX Sports - X - MWC"/>
    <n v="130639"/>
    <d v="2026-06-30T00:00:00"/>
    <d v="2026-06-11T00:00:00"/>
    <d v="2026-07-19T00:00:00"/>
    <s v="Social X"/>
    <m/>
    <d v="2026-07-05T12:53:18"/>
  </r>
  <r>
    <s v="ESSENCEMEDIACOM"/>
    <n v="18559"/>
    <n v="8738"/>
    <s v="GOOGLE"/>
    <s v="Google/2026/Scatter/Digital/MWC/Tubi &amp; FS"/>
    <x v="44"/>
    <s v="Google Search (TUBI) Run of World Cup Video - Package - 2Q'26"/>
    <n v="592925"/>
    <s v="Google Search (TUBI) DIO - LFV - TUB - Pre/Mid - MWC - DT/MB/CTV"/>
    <n v="94748310"/>
    <s v="Fox Sold Tubi"/>
    <s v="CPM"/>
    <n v="40"/>
    <s v="3P Imps"/>
    <n v="4754917"/>
    <n v="186666.68"/>
    <m/>
    <m/>
    <s v=" "/>
    <n v="0"/>
    <m/>
    <m/>
    <n v="4754917"/>
    <n v="4754917"/>
    <n v="0"/>
    <n v="0"/>
    <n v="1"/>
    <n v="0"/>
    <n v="0"/>
    <n v="0"/>
    <s v="Bill on Actuals - 3rd Party Performance"/>
    <n v="93333.34"/>
    <n v="4666667"/>
    <n v="186666.68"/>
    <s v="Google/2026/Scatter/Digital/MWC/Tubi &amp; FS"/>
    <n v="94748288"/>
    <s v="P2+"/>
    <m/>
    <m/>
    <s v="Colleen Cahill"/>
    <s v="Guaranteed"/>
    <s v="DIO - LFV - TUB - Pre/Mid - MWC - DT/MB/CTV"/>
    <n v="131257"/>
    <d v="2026-06-30T00:00:00"/>
    <d v="2026-06-10T00:00:00"/>
    <d v="2026-06-30T00:00:00"/>
    <s v="Direct LFV"/>
    <m/>
    <d v="2026-07-05T12:53:18"/>
  </r>
  <r>
    <s v="ESSENCEMEDIACOM"/>
    <n v="18559"/>
    <n v="8738"/>
    <s v="GOOGLE"/>
    <s v="Google/2026/Scatter/Digital/MWC/Tubi &amp; FS"/>
    <x v="44"/>
    <s v="Google Search (TUBI) Run of World Cup Video - Package - 2Q'26"/>
    <n v="592925"/>
    <s v="Google Search (TUBI) DIO - ROV - FS - Pre/Mid - MWC - DT/MB/CTV"/>
    <n v="94748291"/>
    <s v="FOX Sports"/>
    <s v="CPM"/>
    <n v="40"/>
    <s v="3P Imps"/>
    <n v="2043120"/>
    <n v="80000"/>
    <m/>
    <m/>
    <s v=" "/>
    <s v=""/>
    <m/>
    <m/>
    <n v="2043120"/>
    <n v="2043120"/>
    <n v="0"/>
    <n v="0"/>
    <n v="1"/>
    <n v="0"/>
    <n v="0"/>
    <n v="0"/>
    <s v="Bill on Actuals - 3rd Party Performance"/>
    <n v="40000"/>
    <n v="2000000"/>
    <n v="80000"/>
    <s v="Google/2026/Scatter/Digital/MWC/Tubi &amp; FS"/>
    <n v="94748288"/>
    <s v="P2+"/>
    <m/>
    <m/>
    <s v="Colleen Cahill"/>
    <s v="Guaranteed"/>
    <s v="DIO - ROV - FS - Pre/Mid - MWC - DT/MB/CTV"/>
    <n v="131257"/>
    <d v="2026-06-30T00:00:00"/>
    <d v="2026-06-10T00:00:00"/>
    <d v="2026-06-30T00:00:00"/>
    <s v="Direct ROV"/>
    <m/>
    <d v="2026-07-05T12:53:18"/>
  </r>
  <r>
    <s v="ESSENCEMEDIACOM"/>
    <n v="18559"/>
    <n v="8738"/>
    <s v="GOOGLE"/>
    <s v="Google/2026/Scatter/Digital/MWC/Tubi &amp; FS"/>
    <x v="44"/>
    <s v="Google Search (TUBI) Run of AllFOX Video - Package  - 2Q'26"/>
    <n v="592969"/>
    <s v="Google Search (TUBI) DIO - LFV - 1F - Tubi - Pre/Mid - ROS - DT/MB/CTV - FW - SXD"/>
    <n v="94748316"/>
    <s v="Fox Sold Tubi"/>
    <s v="CPM"/>
    <n v="20"/>
    <s v="3P Imps"/>
    <n v="1029510"/>
    <n v="19999.98"/>
    <m/>
    <m/>
    <s v=" "/>
    <n v="0"/>
    <m/>
    <m/>
    <n v="1029510"/>
    <n v="1029510"/>
    <n v="0"/>
    <n v="0"/>
    <n v="1"/>
    <n v="0"/>
    <n v="0"/>
    <n v="0"/>
    <s v="Bill on Actuals - 3rd Party Performance"/>
    <n v="9999.99"/>
    <n v="999999"/>
    <n v="19999.98"/>
    <s v="Google/2026/Scatter/Digital/MWC/Tubi &amp; FS"/>
    <n v="94748288"/>
    <s v="P2+"/>
    <m/>
    <m/>
    <s v="Colleen Cahill"/>
    <s v="Guaranteed"/>
    <s v="DIO - LFV - 1F - Tubi - Pre/Mid - ROS - DT/MB/CTV - FW - SXD"/>
    <n v="131257"/>
    <d v="2026-06-30T00:00:00"/>
    <d v="2026-06-10T00:00:00"/>
    <d v="2026-06-30T00:00:00"/>
    <s v="Direct LFV"/>
    <m/>
    <d v="2026-07-05T12:53:18"/>
  </r>
  <r>
    <s v="ESSENCEMEDIACOM"/>
    <n v="18559"/>
    <n v="8738"/>
    <s v="GOOGLE"/>
    <s v="Google/2026/Scatter/Digital/MWC/Tubi &amp; FS"/>
    <x v="44"/>
    <s v="Google Search (TUBI) Run of AllFOX Video - Package  - 2Q'26"/>
    <n v="592969"/>
    <s v="Google Search (TUBI) DIO - ROV - 1F - SEN - Pre/Mid - ROS - DT/MB/CTV - SXD"/>
    <n v="94748295"/>
    <s v="OneFOX"/>
    <s v="CPM"/>
    <n v="20"/>
    <s v="3P Imps"/>
    <n v="665321"/>
    <n v="13306.42"/>
    <m/>
    <m/>
    <s v=" "/>
    <s v=""/>
    <m/>
    <m/>
    <n v="665321"/>
    <n v="665321"/>
    <n v="0"/>
    <n v="0"/>
    <n v="1"/>
    <n v="0"/>
    <n v="0"/>
    <n v="0"/>
    <s v="Bill on Actuals - 3rd Party Performance"/>
    <n v="6666.68"/>
    <n v="666668"/>
    <n v="13333.36"/>
    <s v="Google/2026/Scatter/Digital/MWC/Tubi &amp; FS"/>
    <n v="94748288"/>
    <s v="P2+"/>
    <m/>
    <m/>
    <s v="Colleen Cahill"/>
    <s v="Guaranteed"/>
    <s v="DIO - ROV - 1F - SEN - Pre/Mid - ROS - DT/MB/CTV - SXD"/>
    <n v="131257"/>
    <d v="2026-06-30T00:00:00"/>
    <d v="2026-06-10T00:00:00"/>
    <d v="2026-06-30T00:00:00"/>
    <s v="Direct ROV"/>
    <m/>
    <d v="2026-07-05T12:53:18"/>
  </r>
  <r>
    <s v="ESSENCEMEDIACOM"/>
    <n v="18559"/>
    <n v="6731"/>
    <s v="INDEED.COM"/>
    <s v="Indeed/2026/Scatter/Digital/MWC"/>
    <x v="45"/>
    <s v="Indeed - Run of World Cup Display"/>
    <n v="582775"/>
    <s v="Indeed - DIS - FS - Display Unit - MWC - 728x90/300x250/320x50"/>
    <n v="7318561389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9014.35"/>
    <n v="20281667"/>
    <n v="121690"/>
    <s v="Indeed/2026/Scatter/Digital/MWC"/>
    <n v="259462"/>
    <s v="P2+"/>
    <s v="O-D2VDHBK-R5"/>
    <m/>
    <s v="Colleen Cahill"/>
    <s v="Guaranteed"/>
    <s v="DIS - FS - Display Unit - MWC"/>
    <n v="129257"/>
    <d v="2026-06-30T00:00:00"/>
    <d v="2026-06-03T00:00:00"/>
    <d v="2026-07-19T00:00:00"/>
    <s v="Direct Display"/>
    <m/>
    <d v="2026-07-05T12:53:18"/>
  </r>
  <r>
    <s v="ESSENCEMEDIACOM"/>
    <n v="18559"/>
    <n v="6731"/>
    <s v="INDEED.COM"/>
    <s v="Indeed/2026/Scatter/Digital/MWC"/>
    <x v="45"/>
    <s v="Indeed - Run of World Cup Video"/>
    <n v="582776"/>
    <s v="Indeed - DIO - LFV - TUB - Pre/Mid - MWC - DT/MB/CTV"/>
    <n v="94265477"/>
    <s v="Fox Sold Tubi"/>
    <s v="CPM"/>
    <n v="36.5"/>
    <s v="3P Imps"/>
    <n v="4377486"/>
    <n v="159778.23999999999"/>
    <m/>
    <m/>
    <s v=" "/>
    <n v="0"/>
    <m/>
    <m/>
    <n v="4377486"/>
    <n v="4377486"/>
    <n v="0"/>
    <n v="0"/>
    <n v="1"/>
    <n v="0"/>
    <n v="0"/>
    <n v="0"/>
    <s v="Bill on Actuals - 3rd Party Performance"/>
    <n v="80595.45"/>
    <n v="6610877"/>
    <n v="241297.01"/>
    <s v="Indeed/2026/Scatter/Digital/MWC"/>
    <n v="94265471"/>
    <s v="P2+"/>
    <s v="O-D2VDHBK-R5"/>
    <m/>
    <s v="Colleen Cahill"/>
    <s v="Guaranteed"/>
    <s v="DIO - LFV - TUB - Pre/Mid - MWC - DT/MB/CTV"/>
    <n v="129257"/>
    <d v="2026-06-30T00:00:00"/>
    <d v="2026-06-03T00:00:00"/>
    <d v="2026-07-19T00:00:00"/>
    <s v="Direct LFV"/>
    <m/>
    <d v="2026-07-05T12:53:18"/>
  </r>
  <r>
    <s v="ESSENCEMEDIACOM"/>
    <n v="18559"/>
    <n v="6731"/>
    <s v="INDEED.COM"/>
    <s v="Indeed/2026/Scatter/Digital/MWC"/>
    <x v="45"/>
    <s v="Indeed - Run of World Cup Video"/>
    <n v="582776"/>
    <s v="Indeed - DIO - ROV - FS - Pre/Mid - MWC - DT/MB/CTV"/>
    <n v="94265474"/>
    <s v="FOX Sports"/>
    <s v="CPM"/>
    <n v="36.5"/>
    <s v="3P Imps"/>
    <n v="4154991"/>
    <n v="151657.17000000001"/>
    <m/>
    <m/>
    <s v=" "/>
    <s v=""/>
    <m/>
    <m/>
    <n v="4154991"/>
    <n v="4154991"/>
    <n v="0"/>
    <n v="0"/>
    <n v="1"/>
    <n v="0"/>
    <n v="0"/>
    <n v="0"/>
    <s v="Bill on Actuals - 3rd Party Performance"/>
    <n v="75186.509999999995"/>
    <n v="6167206"/>
    <n v="225103.02"/>
    <s v="Indeed/2026/Scatter/Digital/MWC"/>
    <n v="94265471"/>
    <s v="P2+"/>
    <s v="O-D2VDHBK-R5"/>
    <m/>
    <s v="Colleen Cahill"/>
    <s v="Guaranteed"/>
    <s v="DIO - ROV - FS - Pre/Mid - MWC - DT/MB/CTV"/>
    <n v="129257"/>
    <d v="2026-06-30T00:00:00"/>
    <d v="2026-06-03T00:00:00"/>
    <d v="2026-07-19T00:00:00"/>
    <s v="Direct ROV"/>
    <m/>
    <d v="2026-07-05T12:53:18"/>
  </r>
  <r>
    <s v="ESSENCEMEDIACOM"/>
    <n v="18559"/>
    <n v="6731"/>
    <s v="INDEED.COM"/>
    <s v="Indeed/2026/Scatter/Digital/MWC"/>
    <x v="45"/>
    <s v="Indeed - World Cup Social Sponsorship Content"/>
    <n v="582777"/>
    <s v="Indeed - DIO - SOC - FOX Sports - Facebook/Instagram - MWC"/>
    <n v="582781"/>
    <s v="FOX Sports - FB-Inst"/>
    <s v="Flat Rate"/>
    <n v="129803"/>
    <s v="Bill on Contract"/>
    <n v="0"/>
    <n v="38664.720000000001"/>
    <m/>
    <m/>
    <s v=" "/>
    <n v="0"/>
    <m/>
    <m/>
    <n v="0"/>
    <n v="0"/>
    <n v="0"/>
    <n v="0"/>
    <n v="1"/>
    <n v="0"/>
    <n v="0"/>
    <n v="0"/>
    <s v="Bill on Contract - Pro-rated"/>
    <n v="38664.720000000001"/>
    <n v="1"/>
    <n v="129803"/>
    <s v="Indeed/2026/Scatter/Digital/MWC"/>
    <n v="259462"/>
    <s v="P2+"/>
    <s v="O-D2VDHBK-R5"/>
    <m/>
    <s v="Colleen Cahill"/>
    <s v="Guaranteed"/>
    <s v="DIO - SOC - FOX Sports - Facebook/Instagram - MWC"/>
    <n v="129257"/>
    <d v="2026-06-30T00:00:00"/>
    <d v="2026-06-03T00:00:00"/>
    <d v="2026-07-19T00:00:00"/>
    <s v="Social Facebook/Instagram"/>
    <m/>
    <d v="2026-07-05T12:53:18"/>
  </r>
  <r>
    <s v="ESSENCEMEDIACOM"/>
    <n v="18559"/>
    <n v="6731"/>
    <s v="INDEED.COM"/>
    <s v="Indeed/2026/Scatter/Digital/MWC"/>
    <x v="45"/>
    <s v="Indeed - World Cup Social Sponsorship Content"/>
    <n v="582777"/>
    <s v="Indeed - DIO - SOC - FOX Sports - TikTok - MWC"/>
    <n v="582784"/>
    <s v="FOX Sports - TikTok"/>
    <s v="Flat Rate"/>
    <n v="129802"/>
    <s v="Bill on Contract"/>
    <n v="0"/>
    <n v="38664.43"/>
    <m/>
    <m/>
    <s v=" "/>
    <s v=""/>
    <m/>
    <m/>
    <n v="0"/>
    <n v="0"/>
    <n v="0"/>
    <n v="0"/>
    <n v="1"/>
    <n v="0"/>
    <n v="0"/>
    <n v="0"/>
    <s v="Bill on Contract - Pro-rated"/>
    <n v="38664.43"/>
    <n v="1"/>
    <n v="129802"/>
    <s v="Indeed/2026/Scatter/Digital/MWC"/>
    <n v="259462"/>
    <s v="P2+"/>
    <s v="O-D2VDHBK-R5"/>
    <m/>
    <s v="Colleen Cahill"/>
    <s v="Guaranteed"/>
    <s v="DIO - SOC - FOX Sports - TikTok - MWC"/>
    <n v="129257"/>
    <d v="2026-06-30T00:00:00"/>
    <d v="2026-06-03T00:00:00"/>
    <d v="2026-07-19T00:00:00"/>
    <s v="Social TikTok"/>
    <m/>
    <d v="2026-07-05T12:53:18"/>
  </r>
  <r>
    <s v="ESSENCEMEDIACOM"/>
    <n v="18559"/>
    <n v="6731"/>
    <s v="INDEED.COM"/>
    <s v="Indeed/2026/Scatter/Digital/MWC"/>
    <x v="45"/>
    <s v="Indeed - World Cup Social Sponsorship Content"/>
    <n v="582777"/>
    <s v="Indeed - DIO - SOC - FOX Sports - Youtube - Custom Content - MWC"/>
    <n v="582783"/>
    <s v="FOX Sports"/>
    <s v="Flat Rate"/>
    <n v="129803"/>
    <s v="Bill on Contract"/>
    <n v="0"/>
    <n v="38664.720000000001"/>
    <m/>
    <m/>
    <s v=" "/>
    <s v=""/>
    <m/>
    <m/>
    <n v="0"/>
    <n v="0"/>
    <n v="0"/>
    <n v="0"/>
    <n v="1"/>
    <n v="0"/>
    <n v="0"/>
    <n v="0"/>
    <s v="Bill on Contract - Pro-rated"/>
    <n v="38664.720000000001"/>
    <n v="1"/>
    <n v="129803"/>
    <s v="Indeed/2026/Scatter/Digital/MWC"/>
    <n v="259462"/>
    <s v="P2+"/>
    <s v="O-D2VDHBK-R5"/>
    <m/>
    <s v="Colleen Cahill"/>
    <s v="Guaranteed"/>
    <s v="DIO - SOC - FOX Sports - Youtube - Custom Content - MWC"/>
    <n v="129257"/>
    <d v="2026-06-30T00:00:00"/>
    <d v="2026-06-03T00:00:00"/>
    <d v="2026-07-19T00:00:00"/>
    <s v="Social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 DIS - FS - Blank - ROS - Sponsorship - 6/27"/>
    <n v="7318557267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Indeed/2026/Scatter/Digital/MWC"/>
    <n v="259462"/>
    <s v="P2+"/>
    <s v="O-D2VDHBK-R5"/>
    <m/>
    <s v="Colleen Cahill"/>
    <s v="Guaranteed"/>
    <s v="DIS - FS - Blank - ROS - Sponsorship"/>
    <n v="129257"/>
    <d v="2026-06-30T00:00:00"/>
    <d v="2026-06-27T00:00:00"/>
    <d v="2026-06-27T00:00:00"/>
    <s v="Direct Display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 DIS - FS - High Impact - ROS - Sponsorship - 300x250 - 6/27"/>
    <n v="7318560876"/>
    <s v="FOX Sports"/>
    <s v="Flat Rate"/>
    <n v="50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50000"/>
    <s v="Indeed/2026/Scatter/Digital/MWC"/>
    <n v="259462"/>
    <s v="P2+"/>
    <s v="O-D2VDHBK-R5"/>
    <m/>
    <s v="Colleen Cahill"/>
    <s v="Guaranteed"/>
    <s v="DIS - FS - High Impact - ROS - Sponsorship"/>
    <n v="129257"/>
    <d v="2026-06-30T00:00:00"/>
    <d v="2026-06-27T00:00:00"/>
    <d v="2026-06-27T00:00:00"/>
    <s v="Direct Display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DIS - FS - Display Unit - ROS - Sponsorship - 300x600 - 6/27"/>
    <n v="7318560882"/>
    <s v="FOX Sports"/>
    <s v="Flat Rate"/>
    <n v="50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50000"/>
    <s v="Indeed/2026/Scatter/Digital/MWC"/>
    <n v="259462"/>
    <s v="P2+"/>
    <s v="O-D2VDHBK-R5"/>
    <m/>
    <s v="Colleen Cahill"/>
    <s v="Guaranteed"/>
    <s v="DIS - FS - Display Unit - ROS - Sponsorship"/>
    <n v="129257"/>
    <d v="2026-06-30T00:00:00"/>
    <d v="2026-06-27T00:00:00"/>
    <d v="2026-06-27T00:00:00"/>
    <s v="Direct Display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DIS - FS - Display Unit - ROS - Sponsorship - 320x50 - 6/27"/>
    <n v="7318561377"/>
    <s v="FOX Sports"/>
    <s v="Flat Rate"/>
    <n v="50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50000"/>
    <s v="Indeed/2026/Scatter/Digital/MWC"/>
    <n v="259462"/>
    <s v="P2+"/>
    <s v="O-D2VDHBK-R5"/>
    <m/>
    <s v="Colleen Cahill"/>
    <s v="Guaranteed"/>
    <s v="DIS - FS - Display Unit - ROS - Sponsorship"/>
    <n v="129257"/>
    <d v="2026-06-30T00:00:00"/>
    <d v="2026-06-27T00:00:00"/>
    <d v="2026-06-27T00:00:00"/>
    <s v="Direct Display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DIS - FS - Display Unit - ROS - Sponsorship - 728x90 - 6/27"/>
    <n v="7318561365"/>
    <s v="FOX Sports"/>
    <s v="Flat Rate"/>
    <n v="50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50000"/>
    <s v="Indeed/2026/Scatter/Digital/MWC"/>
    <n v="259462"/>
    <s v="P2+"/>
    <s v="O-D2VDHBK-R5"/>
    <m/>
    <s v="Colleen Cahill"/>
    <s v="Guaranteed"/>
    <s v="DIS - FS - Display Unit - ROS - Sponsorship"/>
    <n v="129257"/>
    <d v="2026-06-30T00:00:00"/>
    <d v="2026-06-27T00:00:00"/>
    <d v="2026-06-27T00:00:00"/>
    <s v="Direct Display"/>
    <m/>
    <d v="2026-07-05T12:53:18"/>
  </r>
  <r>
    <s v="ESSENCEMEDIACOM"/>
    <n v="18559"/>
    <n v="6731"/>
    <s v="INDEED.COM"/>
    <s v="Indeed/2026/Scatter/Digital/MWC"/>
    <x v="45"/>
    <s v="Indeed - World Cup FOX Sports Site &amp; App Takeover- 6/27"/>
    <n v="587938"/>
    <s v="Indeed -DIS - FS - Display Unit - ROS - Sponsorship Skybox - 6/27"/>
    <n v="7320940009"/>
    <s v="FOX Sports"/>
    <s v="Flat Rate"/>
    <n v="50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50000"/>
    <s v="Indeed/2026/Scatter/Digital/MWC"/>
    <n v="259462"/>
    <s v="P2+"/>
    <s v="O-D2VDHBK-R5"/>
    <m/>
    <s v="Colleen Cahill"/>
    <s v="Guaranteed"/>
    <s v="DIS - FS - Display Unit - ROS - Sponsorship"/>
    <n v="129257"/>
    <d v="2026-06-30T00:00:00"/>
    <d v="2026-06-27T00:00:00"/>
    <d v="2026-06-27T00:00:00"/>
    <s v="Direct Display"/>
    <m/>
    <d v="2026-07-05T12:53:18"/>
  </r>
  <r>
    <s v="GALE PARTNERS LLC"/>
    <n v="12675"/>
    <n v="23507"/>
    <s v="WAYMO"/>
    <s v="Waymo/Digital/Scatter/Sports/MWC"/>
    <x v="46"/>
    <s v="Waymo - Run of World Cup Video - 2026 MWC Package"/>
    <n v="588744"/>
    <s v="Waymo - DIO - LFV - TUB - Pre/Mid - MWC - DT/MB/CTV - 2026"/>
    <n v="94685234"/>
    <s v="Fox Sold Tubi"/>
    <s v="CPM"/>
    <n v="42"/>
    <s v="3P Imps"/>
    <n v="1661779"/>
    <n v="69794.720000000001"/>
    <m/>
    <m/>
    <s v=" "/>
    <n v="0"/>
    <m/>
    <m/>
    <n v="1661779"/>
    <n v="1661779"/>
    <n v="0"/>
    <n v="0"/>
    <n v="1"/>
    <n v="0"/>
    <n v="0"/>
    <n v="0"/>
    <s v="Bill on Actuals - 3rd Party Performance"/>
    <n v="35161.85"/>
    <n v="2500000"/>
    <n v="105000"/>
    <s v="Waymo/Digital/Scatter/Sports/MWC"/>
    <n v="94685196"/>
    <s v="P2+"/>
    <s v="O-D31VRMC-R3"/>
    <m/>
    <s v="Tom Cecil"/>
    <s v="Guaranteed"/>
    <s v="DIO - LFV - TUB - Pre/Mid - MWC - DT/MB/CTV"/>
    <n v="130953"/>
    <d v="2026-06-30T00:00:00"/>
    <d v="2026-06-12T00:00:00"/>
    <d v="2026-07-19T00:00:00"/>
    <s v="Direct LFV"/>
    <m/>
    <d v="2026-07-05T12:53:18"/>
  </r>
  <r>
    <s v="GALE PARTNERS LLC"/>
    <n v="12675"/>
    <n v="23507"/>
    <s v="WAYMO"/>
    <s v="Waymo/Digital/Scatter/Sports/MWC"/>
    <x v="46"/>
    <s v="Waymo - Run of World Cup Video - 2026 MWC Package"/>
    <n v="588744"/>
    <s v="Waymo - DIO - ROV - FS - Pre/Mid - MWC - DT/MB/CTV - 2026"/>
    <n v="94685241"/>
    <s v="FOX Sports"/>
    <s v="CPM"/>
    <n v="42"/>
    <s v="3P Imps"/>
    <n v="729086"/>
    <n v="30621.61"/>
    <m/>
    <m/>
    <s v=" "/>
    <s v=""/>
    <m/>
    <m/>
    <n v="729086"/>
    <n v="729086"/>
    <n v="0"/>
    <n v="0"/>
    <n v="1"/>
    <n v="0"/>
    <n v="0"/>
    <n v="0"/>
    <s v="Bill on Actuals - 3rd Party Performance"/>
    <n v="15069.37"/>
    <n v="1071429"/>
    <n v="45000.02"/>
    <s v="Waymo/Digital/Scatter/Sports/MWC"/>
    <n v="94685196"/>
    <s v="P2+"/>
    <s v="O-D31VRMC-R3"/>
    <m/>
    <s v="Tom Cecil"/>
    <s v="Guaranteed"/>
    <s v="DIO - ROV - FS - Pre/Mid - MWC - DT/MB/CTV"/>
    <n v="130953"/>
    <d v="2026-06-30T00:00:00"/>
    <d v="2026-06-12T00:00:00"/>
    <d v="2026-07-19T00:00:00"/>
    <s v="Direct ROV"/>
    <m/>
    <d v="2026-07-05T12:53:18"/>
  </r>
  <r>
    <s v="GALE PARTNERS LLC"/>
    <n v="12675"/>
    <n v="23507"/>
    <s v="WAYMO"/>
    <s v="Waymo/Digital/Scatter/Sports/MWC"/>
    <x v="46"/>
    <s v="Waymo - Run of AllFOX Video - 2026 MWC Package"/>
    <n v="588753"/>
    <s v="Waymo - DIO - LFV - 1F - Tubi - Pre/Mid - ROS - DT/MB/CTV - FW - SXD - 2026"/>
    <n v="94685211"/>
    <s v="Fox Sold Tubi"/>
    <s v="CPM"/>
    <n v="20"/>
    <s v="3P Audience Target"/>
    <n v="1136663"/>
    <n v="22733.26"/>
    <m/>
    <m/>
    <s v=" "/>
    <n v="0"/>
    <m/>
    <m/>
    <n v="1136663"/>
    <n v="1136663"/>
    <n v="0"/>
    <n v="0"/>
    <n v="1"/>
    <n v="0"/>
    <n v="0"/>
    <n v="0"/>
    <s v="Bill on Actuals - 3rd Party Performance"/>
    <n v="11339.63"/>
    <n v="2250000"/>
    <n v="45000"/>
    <s v="Waymo/Digital/Scatter/Sports/MWC"/>
    <n v="94685196"/>
    <s v="Audience Target"/>
    <s v="O-D31VRMC-R3"/>
    <m/>
    <s v="Tom Cecil"/>
    <s v="Guaranteed"/>
    <s v="DIO - LFV - 1F - Tubi - Pre/Mid - ROS - DT/MB/CTV - FW - SXD"/>
    <n v="130953"/>
    <d v="2026-06-30T00:00:00"/>
    <d v="2026-06-12T00:00:00"/>
    <d v="2026-07-19T00:00:00"/>
    <s v="Direct LFV"/>
    <m/>
    <d v="2026-07-05T12:53:18"/>
  </r>
  <r>
    <s v="GALE PARTNERS LLC"/>
    <n v="12675"/>
    <n v="23507"/>
    <s v="WAYMO"/>
    <s v="Waymo/Digital/Scatter/Sports/MWC"/>
    <x v="46"/>
    <s v="Waymo - Run of AllFOX Video - 2026 MWC Package"/>
    <n v="588753"/>
    <s v="Waymo - DIO - ROV - 1F - SEN - Pre/Mid - ROS - DT/MB/CTV - SXD - 2026"/>
    <n v="94685203"/>
    <s v="OneFOX"/>
    <s v="CPM"/>
    <n v="20"/>
    <s v="3P Audience Target"/>
    <n v="720368"/>
    <n v="14407.36"/>
    <m/>
    <m/>
    <s v=" "/>
    <s v=""/>
    <m/>
    <m/>
    <n v="720368"/>
    <n v="720368"/>
    <n v="0"/>
    <n v="0"/>
    <n v="1"/>
    <n v="0"/>
    <n v="0"/>
    <n v="0"/>
    <s v="Bill on Actuals - 3rd Party Performance"/>
    <n v="7559.75"/>
    <n v="1500000"/>
    <n v="30000"/>
    <s v="Waymo/Digital/Scatter/Sports/MWC"/>
    <n v="94685196"/>
    <s v="Audience Target"/>
    <s v="O-D31VRMC-R3"/>
    <m/>
    <s v="Tom Cecil"/>
    <s v="Guaranteed"/>
    <s v="DIO - ROV - 1F - SEN - Pre/Mid - ROS - DT/MB/CTV - SXD"/>
    <n v="130953"/>
    <d v="2026-06-30T00:00:00"/>
    <d v="2026-06-12T00:00:00"/>
    <d v="2026-07-19T00:00:00"/>
    <s v="Direct ROV"/>
    <m/>
    <d v="2026-07-05T12:53:18"/>
  </r>
  <r>
    <s v="GALE PARTNERS LLC"/>
    <n v="12675"/>
    <n v="23507"/>
    <s v="WAYMO"/>
    <s v="Waymo/Digital/Scatter/Sports/MWC"/>
    <x v="46"/>
    <s v="Waymo - Run of World Cup Video - 2026 MWC :60s Package"/>
    <n v="593843"/>
    <s v="Waymo - DIO - LFV - TUB - Pre/Mid - MWC - DT/MB/CTV - :60s - 2026"/>
    <n v="94803621"/>
    <s v="Fox Sold Tubi"/>
    <s v="CPM"/>
    <n v="84"/>
    <s v="3P Imps"/>
    <n v="304415"/>
    <n v="25570.86"/>
    <m/>
    <m/>
    <s v=" "/>
    <n v="0"/>
    <m/>
    <m/>
    <n v="304415"/>
    <n v="304415"/>
    <n v="0"/>
    <n v="0"/>
    <n v="1"/>
    <n v="0"/>
    <n v="0"/>
    <n v="0"/>
    <s v="Bill on Actuals - 3rd Party Performance"/>
    <n v="12768.03"/>
    <n v="416667"/>
    <n v="35000.03"/>
    <s v="Waymo/Digital/Scatter/Sports/MWC"/>
    <n v="94685196"/>
    <s v="P2+"/>
    <s v="O-D31VRMC-R3"/>
    <m/>
    <s v="Tom Cecil"/>
    <s v="Guaranteed"/>
    <s v="DIO - LFV - TUB - Pre/Mid - MWC - DT/MB/CTV"/>
    <n v="130953"/>
    <d v="2026-06-30T00:00:00"/>
    <d v="2026-06-16T00:00:00"/>
    <d v="2026-07-19T00:00:00"/>
    <s v="Direct LFV"/>
    <m/>
    <d v="2026-07-05T12:53:18"/>
  </r>
  <r>
    <s v="GALE PARTNERS LLC"/>
    <n v="12675"/>
    <n v="23507"/>
    <s v="WAYMO"/>
    <s v="Waymo/Digital/Scatter/Sports/MWC"/>
    <x v="46"/>
    <s v="Waymo - Run of World Cup Video - 2026 MWC :60s Package"/>
    <n v="593843"/>
    <s v="Waymo - DIO - ROV - FS - Pre/Mid - MWC - DT/MB/CTV - :60s - 2026"/>
    <n v="94803625"/>
    <s v="FOX Sports"/>
    <s v="CPM"/>
    <n v="84"/>
    <s v="3P Imps"/>
    <n v="128761"/>
    <n v="10815.92"/>
    <m/>
    <m/>
    <s v=" "/>
    <s v=""/>
    <m/>
    <m/>
    <n v="128761"/>
    <n v="128761"/>
    <n v="0"/>
    <n v="0"/>
    <n v="1"/>
    <n v="0"/>
    <n v="0"/>
    <n v="0"/>
    <s v="Bill on Actuals - 3rd Party Performance"/>
    <n v="5472.03"/>
    <n v="178572"/>
    <n v="15000.05"/>
    <s v="Waymo/Digital/Scatter/Sports/MWC"/>
    <n v="94685196"/>
    <s v="P2+"/>
    <s v="O-D31VRMC-R3"/>
    <m/>
    <s v="Tom Cecil"/>
    <s v="Guaranteed"/>
    <s v="DIO - ROV - FS - Pre/Mid - MWC - DT/MB/CTV"/>
    <n v="130953"/>
    <d v="2026-06-30T00:00:00"/>
    <d v="2026-06-16T00:00:00"/>
    <d v="2026-07-19T00:00:00"/>
    <s v="Direct ROV"/>
    <m/>
    <d v="2026-07-05T12:53:18"/>
  </r>
  <r>
    <s v="GALE PARTNERS LLC"/>
    <n v="12675"/>
    <n v="23507"/>
    <s v="WAYMO"/>
    <s v="Waymo/Digital/Scatter/Sports/MWC"/>
    <x v="46"/>
    <s v="Waymo - Run of AllFOX Video - 2026 MWC :60s Package"/>
    <n v="593846"/>
    <s v="Waymo - DIO - LFV - 1F - Tubi - Pre/Mid - ROS - DT/MB/CTV - FW - SXD - :60s - 2026"/>
    <n v="94803591"/>
    <s v="Fox Sold Tubi"/>
    <s v="CPM"/>
    <n v="40"/>
    <s v="3P Audience Target"/>
    <n v="181454"/>
    <n v="7258.16"/>
    <m/>
    <m/>
    <s v=" "/>
    <n v="0"/>
    <m/>
    <m/>
    <n v="181454"/>
    <n v="181454"/>
    <n v="0"/>
    <n v="0"/>
    <n v="1"/>
    <n v="0"/>
    <n v="0"/>
    <n v="0"/>
    <s v="Bill on Actuals - 3rd Party Performance"/>
    <n v="3550.33"/>
    <n v="375000"/>
    <n v="15000"/>
    <s v="Waymo/Digital/Scatter/Sports/MWC"/>
    <n v="94685196"/>
    <s v="Audience Target"/>
    <s v="O-D31VRMC-R3"/>
    <m/>
    <s v="Tom Cecil"/>
    <s v="Guaranteed"/>
    <s v="DIO - LFV - 1F - Tubi - Pre/Mid - ROS - DT/MB/CTV - FW - SXD"/>
    <n v="130953"/>
    <d v="2026-06-30T00:00:00"/>
    <d v="2026-06-16T00:00:00"/>
    <d v="2026-07-19T00:00:00"/>
    <s v="Direct LFV"/>
    <m/>
    <d v="2026-07-05T12:53:18"/>
  </r>
  <r>
    <s v="GALE PARTNERS LLC"/>
    <n v="12675"/>
    <n v="23507"/>
    <s v="WAYMO"/>
    <s v="Waymo/Digital/Scatter/Sports/MWC"/>
    <x v="46"/>
    <s v="Waymo - Run of AllFOX Video - 2026 MWC :60s Package"/>
    <n v="593846"/>
    <s v="Waymo - DIO - ROV - 1F - SEN - Pre/Mid - ROS - DT/MB/CTV - SXD - :60s - 2026"/>
    <n v="94803610"/>
    <s v="OneFOX"/>
    <s v="CPM"/>
    <n v="40"/>
    <s v="3P Audience Target"/>
    <n v="111355"/>
    <n v="4454.2"/>
    <m/>
    <m/>
    <s v=" "/>
    <s v=""/>
    <m/>
    <m/>
    <n v="111355"/>
    <n v="111355"/>
    <n v="0"/>
    <n v="0"/>
    <n v="1"/>
    <n v="0"/>
    <n v="0"/>
    <n v="0"/>
    <s v="Bill on Actuals - 3rd Party Performance"/>
    <n v="2366.89"/>
    <n v="250000"/>
    <n v="10000"/>
    <s v="Waymo/Digital/Scatter/Sports/MWC"/>
    <n v="94685196"/>
    <s v="Audience Target"/>
    <s v="O-D31VRMC-R3"/>
    <m/>
    <s v="Tom Cecil"/>
    <s v="Guaranteed"/>
    <s v="DIO - ROV - 1F - SEN - Pre/Mid - ROS - DT/MB/CTV - SXD"/>
    <n v="130953"/>
    <d v="2026-06-30T00:00:00"/>
    <d v="2026-06-16T00:00:00"/>
    <d v="2026-07-19T00:00:00"/>
    <s v="Direct ROV"/>
    <m/>
    <d v="2026-07-05T12:53:18"/>
  </r>
  <r>
    <s v="GROUPM HOLDINGS INC"/>
    <n v="10720"/>
    <n v="3323"/>
    <s v="DOORDASH"/>
    <s v="Fuhrmann | Health Check - S&amp;E Direct- 2026.4"/>
    <x v="47"/>
    <s v="DIO - LFV - FSLS - Pre/Mid - CBB - DT/MB/CTV"/>
    <n v="587185"/>
    <s v="DIO - LFV - FSLS - Pre/Mid - CBB - DT/MB/CTV"/>
    <n v="93752033"/>
    <s v="FOX Sports Streaming"/>
    <s v="CPM"/>
    <n v="31.76"/>
    <s v="3P CoView Imps"/>
    <n v="0"/>
    <n v="0"/>
    <m/>
    <m/>
    <s v=" "/>
    <n v="0"/>
    <m/>
    <s v="Show Only Net; NONE"/>
    <n v="0"/>
    <n v="0"/>
    <n v="0"/>
    <n v="0"/>
    <n v="1"/>
    <n v="0"/>
    <n v="0"/>
    <n v="0"/>
    <s v="Bill on Actuals - 3rd Party Performance"/>
    <n v="0"/>
    <n v="100"/>
    <n v="3.18"/>
    <s v="Fuhrmann | Health Check - S&amp;E Direct- 2026.4"/>
    <n v="268444"/>
    <s v="P2+"/>
    <n v="192837"/>
    <m/>
    <s v="Gina Rodarte"/>
    <s v="Guaranteed"/>
    <s v="DIO - LFV - FSLS - Pre/Mid - CBB - DT/MB/CTV"/>
    <n v="127363"/>
    <d v="2026-06-30T00:00:00"/>
    <d v="2026-06-01T00:00:00"/>
    <d v="2026-06-30T00:00:00"/>
    <s v="Direct LFV"/>
    <m/>
    <d v="2026-07-05T12:53:18"/>
  </r>
  <r>
    <s v="HEARTS &amp; SCIENCE"/>
    <n v="10969"/>
    <n v="2153"/>
    <s v="AT&amp;T ENTERTAINMENT GROUP"/>
    <s v="AT&amp;T/Digital/Direct/Scatter/Sports/MWC/2026"/>
    <x v="48"/>
    <s v="AT&amp;T - Run of World Cup Video - Package"/>
    <n v="581721"/>
    <s v="AT&amp;T - DIO - LFV - TUB - Pre/Mid - MWC - DT/MB/CTV"/>
    <n v="93879812"/>
    <s v="Fox Sold Tubi"/>
    <s v="CPM"/>
    <n v="33.75"/>
    <s v="3P Imps"/>
    <n v="9637670"/>
    <n v="325271.36"/>
    <m/>
    <m/>
    <s v=" "/>
    <n v="0"/>
    <m/>
    <m/>
    <n v="9637670"/>
    <n v="9637670"/>
    <n v="0"/>
    <n v="0"/>
    <n v="1"/>
    <n v="0"/>
    <n v="0"/>
    <n v="0"/>
    <s v="Bill on Actuals - 3rd Party Performance"/>
    <n v="175631.51"/>
    <n v="14622222"/>
    <n v="493499.99"/>
    <s v="AT&amp;T/Digital/Direct/Scatter/Sports/MWC/2026"/>
    <n v="93879806"/>
    <s v="P2+"/>
    <s v="O-D2TEMNJ-R5"/>
    <m/>
    <s v="Nicole Gamache"/>
    <s v="Guaranteed"/>
    <s v="DIO - LFV - TUB - Pre/Mid - MWC - DT/MB/CTV"/>
    <n v="127769"/>
    <d v="2026-06-30T00:00:00"/>
    <d v="2026-06-11T00:00:00"/>
    <d v="2026-07-19T00:00:00"/>
    <s v="Direct LFV"/>
    <m/>
    <d v="2026-07-05T12:53:18"/>
  </r>
  <r>
    <s v="HEARTS &amp; SCIENCE"/>
    <n v="10969"/>
    <n v="2153"/>
    <s v="AT&amp;T ENTERTAINMENT GROUP"/>
    <s v="AT&amp;T/Digital/Direct/Scatter/Sports/MWC/2026"/>
    <x v="48"/>
    <s v="AT&amp;T - Run of World Cup Video - Package"/>
    <n v="581721"/>
    <s v="AT&amp;T - DIO - ROV - FS - Pre/Mid - MWC - DT/MB/CTV"/>
    <n v="93879809"/>
    <s v="FOX Sports"/>
    <s v="CPM"/>
    <n v="33.75"/>
    <s v="3P Imps"/>
    <n v="5196744"/>
    <n v="175390.11"/>
    <m/>
    <m/>
    <s v=" "/>
    <s v=""/>
    <m/>
    <m/>
    <n v="5196744"/>
    <n v="5196744"/>
    <n v="0"/>
    <n v="0"/>
    <n v="1"/>
    <n v="0"/>
    <n v="0"/>
    <n v="0"/>
    <s v="Bill on Actuals - 3rd Party Performance"/>
    <n v="75270.649999999994"/>
    <n v="6266667"/>
    <n v="211500.01"/>
    <s v="AT&amp;T/Digital/Direct/Scatter/Sports/MWC/2026"/>
    <n v="93879806"/>
    <s v="P2+"/>
    <s v="O-D2TEMNJ-R5"/>
    <m/>
    <s v="Nicole Gamache"/>
    <s v="Guaranteed"/>
    <s v="DIO - ROV - FS - Pre/Mid - MWC - DT/MB/CTV"/>
    <n v="127769"/>
    <d v="2026-06-30T00:00:00"/>
    <d v="2026-06-11T00:00:00"/>
    <d v="2026-07-19T00:00:00"/>
    <s v="Direct ROV"/>
    <m/>
    <d v="2026-07-05T12:53:18"/>
  </r>
  <r>
    <s v="HEARTS &amp; SCIENCE"/>
    <n v="10969"/>
    <n v="2153"/>
    <s v="AT&amp;T ENTERTAINMENT GROUP"/>
    <s v="AT&amp;T/Digital/Direct/Scatter/Sports/MWC/2026"/>
    <x v="48"/>
    <s v="AT&amp;T - Run of World Cup Display - Package"/>
    <n v="581872"/>
    <s v="AT&amp;T - DIS - FS - Display Unit - MWC - 300x250, 320x50, 728x90"/>
    <n v="7306811510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8729.1299999999992"/>
    <n v="7500000"/>
    <n v="45000"/>
    <s v="AT&amp;T/Digital/Direct/Scatter/Sports/MWC/2026"/>
    <n v="261387"/>
    <s v="P2+"/>
    <s v="O-D2TEMNJ-R5"/>
    <m/>
    <s v="Nicole Gamache"/>
    <s v="Guaranteed"/>
    <s v="DIS - FS - Display Unit - MWC"/>
    <n v="127769"/>
    <d v="2026-06-30T00:00:00"/>
    <d v="2026-06-11T00:00:00"/>
    <d v="2026-07-19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Social Sponsorship Content - Package"/>
    <n v="581894"/>
    <s v="AT&amp;T - DIO - SOC - FOX Sports - X - MWC"/>
    <n v="581896"/>
    <s v="FOX Sports - Twitter"/>
    <s v="Flat Rate"/>
    <n v="1000000"/>
    <s v="Bill on Contract"/>
    <n v="0"/>
    <n v="256410.26"/>
    <m/>
    <m/>
    <s v=" "/>
    <n v="0"/>
    <m/>
    <m/>
    <n v="0"/>
    <n v="0"/>
    <n v="0"/>
    <n v="0"/>
    <n v="1"/>
    <n v="0"/>
    <n v="0"/>
    <n v="0"/>
    <s v="Bill on Contract - Pro-rated"/>
    <n v="256410.26"/>
    <n v="1"/>
    <n v="1000000"/>
    <s v="AT&amp;T/Digital/Direct/Scatter/Sports/MWC/2026"/>
    <n v="261387"/>
    <s v="P2+"/>
    <s v="O-D2TEMNJ-R5"/>
    <m/>
    <s v="Nicole Gamache"/>
    <s v="Guaranteed"/>
    <s v="DIO - SOC - FOX Sports - X - MWC"/>
    <n v="127769"/>
    <d v="2026-06-30T00:00:00"/>
    <d v="2026-06-11T00:00:00"/>
    <d v="2026-07-19T00:00:00"/>
    <s v="Social X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Blank - ROS - Sponsorship"/>
    <n v="7305086875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AT&amp;T/Digital/Direct/Scatter/Sports/MWC/2026"/>
    <n v="261387"/>
    <s v="P2+"/>
    <s v="O-D2TEMNJ-R5"/>
    <m/>
    <s v="Nicole Gamache"/>
    <s v="Guaranteed"/>
    <s v="DIS - FS - Blank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Display Unit - ROS - Sponsorship - 300x250 Medium Rectangle - [6/18]"/>
    <n v="7305087001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AT&amp;T/Digital/Direct/Scatter/Sports/MWC/2026"/>
    <n v="261387"/>
    <s v="P2+"/>
    <s v="O-D2TEMNJ-R5"/>
    <m/>
    <s v="Nicole Gamache"/>
    <s v="Guaranteed"/>
    <s v="DIS - FS - Display Unit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Display Unit - ROS - Sponsorship - 300x600 Half Page - [6/18]"/>
    <n v="7306811645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AT&amp;T/Digital/Direct/Scatter/Sports/MWC/2026"/>
    <n v="261387"/>
    <s v="P2+"/>
    <s v="O-D2TEMNJ-R5"/>
    <m/>
    <s v="Nicole Gamache"/>
    <s v="Guaranteed"/>
    <s v="DIS - FS - Display Unit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Display Unit - ROS - Sponsorship - 320x50 Mobile Banner - [6/18]"/>
    <n v="7306811675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AT&amp;T/Digital/Direct/Scatter/Sports/MWC/2026"/>
    <n v="261387"/>
    <s v="P2+"/>
    <s v="O-D2TEMNJ-R5"/>
    <m/>
    <s v="Nicole Gamache"/>
    <s v="Guaranteed"/>
    <s v="DIS - FS - Display Unit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Display Unit - ROS - Sponsorship - 728x90 Leaderboard - [ 6/18]"/>
    <n v="7305087280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AT&amp;T/Digital/Direct/Scatter/Sports/MWC/2026"/>
    <n v="261387"/>
    <s v="P2+"/>
    <s v="O-D2TEMNJ-R5"/>
    <m/>
    <s v="Nicole Gamache"/>
    <s v="Guaranteed"/>
    <s v="DIS - FS - Display Unit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AT&amp;T - World Cup FOX Sports Site &amp; App Takeover - Package - 6/18"/>
    <n v="581899"/>
    <s v="AT&amp;T - DIS - FS - High Impact - ROS - Sponsorship - [6/18]"/>
    <n v="7306811516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AT&amp;T/Digital/Direct/Scatter/Sports/MWC/2026"/>
    <n v="261387"/>
    <s v="P2+"/>
    <s v="O-D2TEMNJ-R5"/>
    <m/>
    <s v="Nicole Gamache"/>
    <s v="Guaranteed"/>
    <s v="DIS - FS - High Impact - ROS - Sponsorship"/>
    <n v="127769"/>
    <d v="2026-06-30T00:00:00"/>
    <d v="2026-06-18T00:00:00"/>
    <d v="2026-06-18T00:00:00"/>
    <s v="Direct Display"/>
    <m/>
    <d v="2026-07-05T12:53:18"/>
  </r>
  <r>
    <s v="HEARTS &amp; SCIENCE"/>
    <n v="10969"/>
    <n v="2153"/>
    <s v="AT&amp;T ENTERTAINMENT GROUP"/>
    <s v="AT&amp;T/Digital/Direct/Scatter/Sports/MWC/2026"/>
    <x v="48"/>
    <s v="MG -  AT&amp;T - Run of World Cup Video - Package"/>
    <n v="595194"/>
    <s v="MG -  AT&amp;T - DIO - LFV - TUB - Pre/Mid - MWC - DT/MB/CTV"/>
    <n v="94925545"/>
    <s v="Fox Sold Tubi"/>
    <s v="CPM"/>
    <n v="33.75"/>
    <s v="3P Imps"/>
    <n v="1314724"/>
    <n v="0"/>
    <m/>
    <m/>
    <s v=" "/>
    <n v="0"/>
    <m/>
    <m/>
    <n v="1314724"/>
    <n v="1314724"/>
    <n v="0"/>
    <n v="0"/>
    <n v="1"/>
    <n v="0"/>
    <n v="0"/>
    <n v="0"/>
    <s v="Bill on Actuals - 3rd Party Performance"/>
    <n v="0"/>
    <n v="1997541"/>
    <n v="0"/>
    <s v="AT&amp;T/Digital/Direct/Scatter/Sports/MWC/2026"/>
    <n v="93879806"/>
    <s v="P2+"/>
    <s v="O-D2TEMNJ-R5"/>
    <m/>
    <s v="Nicole Gamache"/>
    <s v="Make Good"/>
    <s v="DIO - LFV - TUB - Pre/Mid - MWC - DT/MB/CTV"/>
    <n v="127769"/>
    <d v="2026-06-30T00:00:00"/>
    <d v="2026-06-22T00:00:00"/>
    <d v="2026-07-19T00:00:00"/>
    <s v="Direct LFV"/>
    <m/>
    <d v="2026-07-05T12:53:18"/>
  </r>
  <r>
    <s v="HEARTS &amp; SCIENCE"/>
    <n v="10969"/>
    <n v="2153"/>
    <s v="AT&amp;T ENTERTAINMENT GROUP"/>
    <s v="AT&amp;T/Digital/Direct/Scatter/Sports/MWC/2026"/>
    <x v="48"/>
    <s v="MG -  AT&amp;T - Run of World Cup Video - Package"/>
    <n v="595194"/>
    <s v="MG - AT&amp;T - DIO - ROV - FS - Pre/Mid - MWC - DT/MB/CTV"/>
    <n v="94925541"/>
    <s v="FOX Sports"/>
    <s v="CPM"/>
    <n v="33.75"/>
    <s v="3P Imps"/>
    <n v="581817"/>
    <n v="0"/>
    <m/>
    <m/>
    <s v=" "/>
    <s v=""/>
    <m/>
    <m/>
    <n v="581817"/>
    <n v="581817"/>
    <n v="0"/>
    <n v="0"/>
    <n v="1"/>
    <n v="0"/>
    <n v="0"/>
    <n v="0"/>
    <s v="Bill on Actuals - 3rd Party Performance"/>
    <n v="0"/>
    <n v="856089"/>
    <n v="0"/>
    <s v="AT&amp;T/Digital/Direct/Scatter/Sports/MWC/2026"/>
    <n v="93879806"/>
    <s v="P2+"/>
    <s v="O-D2TEMNJ-R5"/>
    <m/>
    <s v="Nicole Gamache"/>
    <s v="Make Good"/>
    <s v="DIO - ROV - FS - Pre/Mid - MWC - DT/MB/CTV"/>
    <n v="127769"/>
    <d v="2026-06-30T00:00:00"/>
    <d v="2026-06-22T00:00:00"/>
    <d v="2026-07-19T00:00:00"/>
    <s v="Direct ROV"/>
    <m/>
    <d v="2026-07-05T12:53:18"/>
  </r>
  <r>
    <s v="HEARTS &amp; SCIENCE"/>
    <n v="10969"/>
    <n v="2942"/>
    <s v="AUTOTRADER"/>
    <s v="Autotrader/Digital/Direct/Upfront/Sports/25-26/2Q'26"/>
    <x v="49"/>
    <s v="Autotrader - DIO - ROV - FS - Pre/Mid - SOCCER - DT/MB/CTV - 2Q'26"/>
    <n v="577035"/>
    <s v="Autotrader - DIO - ROV - FS - Pre/Mid - SOCCER - DT/MB/CTV - 2Q'26"/>
    <n v="93054458"/>
    <s v="FOX Sports"/>
    <s v="CPM"/>
    <n v="25.7"/>
    <s v="3P CoView Imps"/>
    <n v="280381"/>
    <n v="7205.79"/>
    <m/>
    <m/>
    <s v=" "/>
    <n v="0"/>
    <m/>
    <s v="Show Only Net; NONE"/>
    <n v="259586"/>
    <n v="225242"/>
    <n v="323132"/>
    <n v="280381"/>
    <n v="1"/>
    <n v="1.244799907605243"/>
    <n v="0"/>
    <n v="0"/>
    <s v="Bill on Actuals - 3rd Party Performance"/>
    <n v="6666.7"/>
    <n v="778211"/>
    <n v="20000.02"/>
    <s v="Autotrader/Digital/Direct/Upfront/Sports/25-26/2Q'26"/>
    <n v="93054385"/>
    <s v="P2+"/>
    <s v="O-D2P6QBH-R1"/>
    <m/>
    <s v="Nicole Gamache"/>
    <s v="Guaranteed"/>
    <s v="DIO - ROV - FS - Pre/Mid - SOCCER - DT/MB/CTV"/>
    <n v="123965"/>
    <d v="2026-06-30T00:00:00"/>
    <d v="2026-04-01T00:00:00"/>
    <d v="2026-06-28T00:00:00"/>
    <s v="Direct ROV"/>
    <m/>
    <d v="2026-07-05T12:53:18"/>
  </r>
  <r>
    <s v="HILL HOLLIDAY"/>
    <n v="11500"/>
    <n v="8811"/>
    <s v="INSULET CORPORATION"/>
    <s v="Insulet: Omnipod/AllFOX/Scatter/2Q26"/>
    <x v="50"/>
    <s v="Insulet - Omnipod - Run of AllFOX Video - 2Q26 - Crossix"/>
    <n v="583352"/>
    <s v="Insulet - Omnipod - DIO - LFV - 1F - Tubi - Pre/Mid - ROS - DT/MB/CTV - FW - SXD - Crossix"/>
    <n v="93653578"/>
    <s v="Fox Sold Tubi"/>
    <s v="CPM"/>
    <n v="21.25"/>
    <s v="3P Audience Target"/>
    <n v="383876"/>
    <n v="8157.36"/>
    <m/>
    <m/>
    <s v=" "/>
    <n v="0"/>
    <m/>
    <m/>
    <n v="268466"/>
    <n v="383876"/>
    <n v="0"/>
    <n v="0"/>
    <n v="1"/>
    <n v="0"/>
    <n v="0"/>
    <n v="0"/>
    <s v="Bill on Actuals - 3rd Party Performance"/>
    <n v="2648.1"/>
    <n v="705882"/>
    <n v="14999.99"/>
    <s v="Insulet: Omnipod/AllFOX/Scatter/2Q26"/>
    <n v="93653565"/>
    <s v="Audience Target"/>
    <n v="32013"/>
    <m/>
    <s v="Tierney Flynn"/>
    <s v="Guaranteed"/>
    <s v="DIO - LFV - 1F - Tubi - Pre/Mid - ROS - DT/MB/CTV - FW - SXD"/>
    <n v="126667"/>
    <d v="2026-06-30T00:00:00"/>
    <d v="2026-04-20T00:00:00"/>
    <d v="2026-06-30T00:00:00"/>
    <s v="Direct LFV"/>
    <m/>
    <d v="2026-07-05T12:53:18"/>
  </r>
  <r>
    <s v="HILL HOLLIDAY"/>
    <n v="11500"/>
    <n v="8811"/>
    <s v="INSULET CORPORATION"/>
    <s v="Insulet: Omnipod/AllFOX/Scatter/2Q26"/>
    <x v="50"/>
    <s v="Insulet - Omnipod - Run of AllFOX Video - 2Q26 - Crossix"/>
    <n v="583352"/>
    <s v="Insulet - Omnipod - DIO - ROV - 1F - SEN - Pre/Mid - ROS - DT/MB/CTV - SXD - Crossix"/>
    <n v="93653574"/>
    <s v="OneFOX"/>
    <s v="CPM"/>
    <n v="21.25"/>
    <s v="3P Audience Target"/>
    <n v="884939"/>
    <n v="18804.95"/>
    <m/>
    <m/>
    <s v=" "/>
    <s v=""/>
    <m/>
    <m/>
    <n v="619407"/>
    <n v="884939"/>
    <n v="0"/>
    <n v="0"/>
    <n v="1"/>
    <n v="0"/>
    <n v="0"/>
    <n v="0"/>
    <s v="Bill on Actuals - 3rd Party Performance"/>
    <n v="6178.91"/>
    <n v="1647060"/>
    <n v="35000.03"/>
    <s v="Insulet: Omnipod/AllFOX/Scatter/2Q26"/>
    <n v="93653565"/>
    <s v="Audience Target"/>
    <n v="32013"/>
    <m/>
    <s v="Tierney Flynn"/>
    <s v="Guaranteed"/>
    <s v="DIO - ROV - 1F - SEN - Pre/Mid - ROS - DT/MB/CTV - SXD"/>
    <n v="126667"/>
    <d v="2026-06-30T00:00:00"/>
    <d v="2026-04-20T00:00:00"/>
    <d v="2026-06-30T00:00:00"/>
    <s v="Direct ROV"/>
    <m/>
    <d v="2026-07-05T12:53:18"/>
  </r>
  <r>
    <s v="HILL HOLLIDAY"/>
    <n v="11500"/>
    <n v="8811"/>
    <s v="INSULET CORPORATION"/>
    <s v="Insulet: Omnipod/AllFOX/Scatter/2Q26"/>
    <x v="50"/>
    <s v="Insulet - Omnipod - Run of AllFOX Video - 2Q26 - Swoop"/>
    <n v="583356"/>
    <s v="Insulet - Omnipod - DIO - LFV - 1F - Tubi - Pre/Mid - ROS - DT/MB/CTV - FW - SXD - Swoop"/>
    <n v="93653597"/>
    <s v="Fox Sold Tubi"/>
    <s v="CPM"/>
    <n v="21.25"/>
    <s v="3P Audience Target"/>
    <n v="385316"/>
    <n v="8187.97"/>
    <m/>
    <m/>
    <s v=" "/>
    <n v="0"/>
    <m/>
    <m/>
    <n v="267348"/>
    <n v="385316"/>
    <n v="0"/>
    <n v="0"/>
    <n v="1"/>
    <n v="0"/>
    <n v="0"/>
    <n v="0"/>
    <s v="Bill on Actuals - 3rd Party Performance"/>
    <n v="2649.82"/>
    <n v="705882"/>
    <n v="14999.99"/>
    <s v="Insulet: Omnipod/AllFOX/Scatter/2Q26"/>
    <n v="93653565"/>
    <s v="Audience Target"/>
    <n v="32013"/>
    <m/>
    <s v="Tierney Flynn"/>
    <s v="Guaranteed"/>
    <s v="DIO - LFV - 1F - Tubi - Pre/Mid - ROS - DT/MB/CTV - FW - SXD"/>
    <n v="126667"/>
    <d v="2026-06-30T00:00:00"/>
    <d v="2026-04-20T00:00:00"/>
    <d v="2026-06-30T00:00:00"/>
    <s v="Direct LFV"/>
    <m/>
    <d v="2026-07-05T12:53:18"/>
  </r>
  <r>
    <s v="HILL HOLLIDAY"/>
    <n v="11500"/>
    <n v="8811"/>
    <s v="INSULET CORPORATION"/>
    <s v="Insulet: Omnipod/AllFOX/Scatter/2Q26"/>
    <x v="50"/>
    <s v="Insulet - Omnipod - Run of AllFOX Video - 2Q26 - Swoop"/>
    <n v="583356"/>
    <s v="Insulet - Omnipod - DIO - ROV - 1F - SEN - Pre/Mid - ROS - DT/MB/CTV - SXD - Swoop"/>
    <n v="93653581"/>
    <s v="OneFOX"/>
    <s v="CPM"/>
    <n v="21.25"/>
    <s v="3P Audience Target"/>
    <n v="876803"/>
    <n v="18632.060000000001"/>
    <m/>
    <m/>
    <s v=" "/>
    <s v=""/>
    <m/>
    <m/>
    <n v="618752"/>
    <n v="876803"/>
    <n v="0"/>
    <n v="0"/>
    <n v="1"/>
    <n v="0"/>
    <n v="0"/>
    <n v="0"/>
    <s v="Bill on Actuals - 3rd Party Performance"/>
    <n v="6182.92"/>
    <n v="1647060"/>
    <n v="35000.03"/>
    <s v="Insulet: Omnipod/AllFOX/Scatter/2Q26"/>
    <n v="93653565"/>
    <s v="Audience Target"/>
    <n v="32013"/>
    <m/>
    <s v="Tierney Flynn"/>
    <s v="Guaranteed"/>
    <s v="DIO - ROV - 1F - SEN - Pre/Mid - ROS - DT/MB/CTV - SXD"/>
    <n v="126667"/>
    <d v="2026-06-30T00:00:00"/>
    <d v="2026-04-20T00:00:00"/>
    <d v="2026-06-30T00:00:00"/>
    <s v="Direct ROV"/>
    <m/>
    <d v="2026-07-05T12:53:18"/>
  </r>
  <r>
    <s v="HORIZON MEDIA - NY"/>
    <n v="10562"/>
    <n v="7735"/>
    <s v="CAPITAL ONE"/>
    <s v=" Capital One/Bank/Digital/BYUF/Entertainment/UF2526_2Q'26"/>
    <x v="51"/>
    <s v="CAPITAL ONE - BANK - LFV - RON Ent - ROS - Pre/Mid - DT/MB/CTV- A1849_2Q'26"/>
    <n v="573327"/>
    <s v="CAPITAL ONE - BANK - LFV - RON Ent - Pre/Mid - ROS - DT/MB/CTV_A1849_2Q'26"/>
    <n v="92612619"/>
    <s v="RON - Ent"/>
    <s v="CPM"/>
    <n v="25.21"/>
    <s v="3P CoView Imps"/>
    <n v="4725488"/>
    <n v="119129.55"/>
    <m/>
    <m/>
    <s v=" "/>
    <n v="0"/>
    <m/>
    <s v="Show Only Net; NONE"/>
    <n v="6881088"/>
    <n v="6658293"/>
    <n v="4883609"/>
    <n v="4725488"/>
    <n v="1"/>
    <n v="0.70971474782458821"/>
    <n v="0"/>
    <n v="0"/>
    <s v="Bill on Actuals - 3rd Party Performance"/>
    <n v="114375.67999999999"/>
    <n v="20735819"/>
    <n v="522750"/>
    <s v=" Capital One/Bank/Digital/BYUF/Entertainment/UF2526_2Q'26"/>
    <n v="92612615"/>
    <s v="P18-49"/>
    <s v="O-D2NF6UO-R0"/>
    <m/>
    <s v="Sydney Stipanovich"/>
    <s v="Guaranteed"/>
    <s v="LFV - RON Ent - Pre/Mid - ROS - DT/MB/CTV/STB"/>
    <n v="120470"/>
    <d v="2026-06-30T00:00:00"/>
    <d v="2026-03-30T00:00:00"/>
    <d v="2026-06-28T00:00:00"/>
    <s v="Direct LFV"/>
    <m/>
    <d v="2026-07-05T12:53:18"/>
  </r>
  <r>
    <s v="HORIZON MEDIA - NY"/>
    <n v="10562"/>
    <n v="7735"/>
    <s v="CAPITAL ONE"/>
    <s v=" Capital One/Bank/Digital/BYUF/Entertainment/UF2526_3Q26"/>
    <x v="52"/>
    <s v="CAPITAL ONE - BANK - LFV - RON Ent - ROS - Pre/Mid - DT/MB/CTV- A1849_3Q'26"/>
    <n v="595020"/>
    <s v="CAPITAL ONE - BANK - LFV - RON Ent - Pre/Mid - ROS - DT/MB/CTV_A1849_3Q'26"/>
    <n v="94978471"/>
    <s v="RON - Ent"/>
    <s v="CPM"/>
    <n v="25.21"/>
    <s v="3P CoView Imps"/>
    <n v="45910"/>
    <n v="1157.3900000000001"/>
    <m/>
    <m/>
    <s v=" "/>
    <n v="0"/>
    <m/>
    <s v="Show Only Net; NONE"/>
    <n v="147622"/>
    <n v="147622"/>
    <n v="45910"/>
    <n v="45910"/>
    <n v="1"/>
    <n v="0.31100090289318377"/>
    <n v="0"/>
    <n v="0"/>
    <s v="Bill on Actuals - 3rd Party Performance"/>
    <n v="1201.81"/>
    <n v="10286214"/>
    <n v="259315.45"/>
    <s v=" Capital One/Bank/Digital/BYUF/Entertainment/UF2526_3Q26"/>
    <n v="94978468"/>
    <s v="P18-49"/>
    <s v="O-D31VLU7-R1"/>
    <m/>
    <s v="Sydney Stipanovich"/>
    <s v="Guaranteed"/>
    <s v="LFV - RON Ent - Pre/Mid - ROS - DT/MB/CTV/STB"/>
    <n v="132902"/>
    <d v="2026-06-30T00:00:00"/>
    <d v="2026-06-29T00:00:00"/>
    <d v="2026-09-06T00:00:00"/>
    <s v="Direct LFV"/>
    <m/>
    <d v="2026-07-05T12:53:18"/>
  </r>
  <r>
    <s v="HORIZON MEDIA - NY"/>
    <n v="10562"/>
    <n v="7735"/>
    <s v="CAPITAL ONE"/>
    <s v="Capital One/BANK/25-26/Upfront/Digital/MLB/WS -  UF 2025/26"/>
    <x v="53"/>
    <s v="Capital One - BANK - DIO - LFV - FSLS - Pre/Mid - ROS - DT/MB/CTV - Regular Season"/>
    <n v="574553"/>
    <s v="Capital One - BANK - DIO - LFV - FSLS - Pre/Mid - MLB - DT/MB/CTV - Regular Season"/>
    <n v="92798793"/>
    <s v="FOX Sports Streaming"/>
    <s v="CPM"/>
    <n v="32.25"/>
    <s v="3P CoView Imps"/>
    <n v="38005"/>
    <n v="618.78"/>
    <m/>
    <m/>
    <s v=" "/>
    <n v="0"/>
    <m/>
    <m/>
    <n v="202"/>
    <n v="32257"/>
    <n v="238"/>
    <n v="38005"/>
    <n v="1"/>
    <n v="1.1782178217821779"/>
    <n v="0"/>
    <n v="0"/>
    <s v="Bill on Contract - Straightline"/>
    <n v="618.78"/>
    <n v="241953"/>
    <n v="7802.98"/>
    <s v="Capital One/BANK/25-26/Upfront/Digital/MLB/WS -  UF 2025/26"/>
    <n v="92798790"/>
    <s v="P2+"/>
    <s v="O-D2ONA2K-R1"/>
    <m/>
    <s v="Dylan Giordano"/>
    <s v="Guaranteed"/>
    <s v="DIO - LFV - FSLS - Pre/Mid - MLB - DT/MB/CTV"/>
    <n v="121802"/>
    <d v="2026-06-30T00:00:00"/>
    <d v="2026-03-25T00:00:00"/>
    <d v="2026-09-27T00:00:00"/>
    <s v="Direct LFV"/>
    <m/>
    <d v="2026-07-05T12:53:18"/>
  </r>
  <r>
    <s v="HORIZON MEDIA - NY"/>
    <n v="10562"/>
    <n v="7735"/>
    <s v="CAPITAL ONE"/>
    <s v="Capital One/Bank/Digital/BYUF/Entertainment/2Q'26/SCT"/>
    <x v="54"/>
    <s v="Capital One - Bank - Incremental -  Destination - DIO - LFV - Entertainment ROS - 2Q'26"/>
    <n v="587212"/>
    <s v="Capital One - Bank - Incremental -  Destination - DIO - LFV - RON Ent - Pre/Mid - ROS - DT/MB/CTV/STB_2Q"/>
    <n v="93849548"/>
    <s v="RON - Ent"/>
    <s v="CPM"/>
    <n v="25.21"/>
    <s v="3P CoView Imps"/>
    <n v="3259305"/>
    <n v="82167.08"/>
    <m/>
    <m/>
    <s v=" "/>
    <n v="0"/>
    <m/>
    <s v="Show Only Net; NONE"/>
    <n v="4391183"/>
    <n v="4657136"/>
    <n v="3073178"/>
    <n v="3259305"/>
    <n v="1"/>
    <n v="0.69985195881928752"/>
    <n v="0"/>
    <n v="0"/>
    <s v="Bill on Actuals - 3rd Party Performance"/>
    <n v="76849.38"/>
    <n v="6743356"/>
    <n v="170000"/>
    <s v="Capital One/Bank/Digital/BYUF/Entertainment/2Q'26/SCT"/>
    <n v="93849545"/>
    <s v="P18-49"/>
    <s v="O-D2TGR70-R0"/>
    <m/>
    <s v="Sydney Stipanovich"/>
    <s v="Guaranteed"/>
    <s v="DIO - LFV - RON Ent - Pre/Mid - ROS - DT/MB/CTV/STB"/>
    <n v="127692"/>
    <d v="2026-06-30T00:00:00"/>
    <d v="2026-05-11T00:00:00"/>
    <d v="2026-06-28T00:00:00"/>
    <s v="Direct LFV"/>
    <m/>
    <d v="2026-07-05T12:53:18"/>
  </r>
  <r>
    <s v="HORIZON MEDIA - NY"/>
    <n v="10562"/>
    <n v="7735"/>
    <s v="CAPITAL ONE"/>
    <s v="Capital One/Bank/Digital/BYUF/Entertainment/3Q'26/SCT"/>
    <x v="55"/>
    <s v="Capital One - Bank - Incremental - DIO - LFV - Entertainment ROS - 3Q'26"/>
    <n v="595079"/>
    <s v="Capital One - Bank - Incremental - DIO - LFV - RON Ent - Pre/Mid - ROS - DT/MB/CTV/STB - 3Q'26"/>
    <n v="95040251"/>
    <s v="RON - Ent"/>
    <s v="CPM"/>
    <n v="25.21"/>
    <s v="3P CoView Imps"/>
    <n v="51624"/>
    <n v="1301.44"/>
    <m/>
    <m/>
    <s v=" "/>
    <n v="0"/>
    <m/>
    <s v="Show Only Net; NONE"/>
    <n v="89924"/>
    <n v="89924"/>
    <n v="51624"/>
    <n v="51624"/>
    <n v="1"/>
    <n v="0.57408975444538524"/>
    <n v="0"/>
    <n v="0"/>
    <s v="Bill on Actuals - 3rd Party Performance"/>
    <n v="1420.28"/>
    <n v="6743357"/>
    <n v="170000.03"/>
    <s v="Capital One/Bank/Digital/BYUF/Entertainment/3Q'26/SCT"/>
    <n v="95040242"/>
    <s v="P18-49"/>
    <s v="O-D3204BO-R2"/>
    <m/>
    <s v="Sydney Stipanovich"/>
    <s v="Guaranteed"/>
    <s v="DIO - LFV - RON Ent - Pre/Mid - ROS - DT/MB/CTV/STB"/>
    <n v="133123"/>
    <d v="2026-06-30T00:00:00"/>
    <d v="2026-06-29T00:00:00"/>
    <d v="2026-09-06T00:00:00"/>
    <s v="Direct LFV"/>
    <m/>
    <d v="2026-07-05T12:53:18"/>
  </r>
  <r>
    <s v="HORIZON MEDIA - NY"/>
    <n v="10562"/>
    <n v="7735"/>
    <s v="CAPITAL ONE"/>
    <s v="Capital One/CARD/25-26/Upfront/Digital/MLB/WS -  UF 2025/26 "/>
    <x v="56"/>
    <s v="Capital One - CARD - DIO - LFV - FSLS - Pre/Mid - ROS - DT/MB/CTV - Regular Season"/>
    <n v="574576"/>
    <s v="Capital One - CARD - DIO - LFV - FSLS - Pre/Mid - MLB - DT/MB/CTV - Regular Season"/>
    <n v="92798772"/>
    <s v="FOX Sports Streaming"/>
    <s v="CPM"/>
    <n v="32.25"/>
    <s v="3P CoView Imps"/>
    <n v="37553"/>
    <n v="1211.08"/>
    <m/>
    <m/>
    <s v=" "/>
    <n v="0"/>
    <m/>
    <m/>
    <n v="195"/>
    <n v="31978"/>
    <n v="229"/>
    <n v="37553"/>
    <n v="1"/>
    <n v="1.174358974358974"/>
    <n v="0"/>
    <n v="0"/>
    <s v="Bill on Actuals - 3rd Party Performance"/>
    <n v="3.37"/>
    <n v="241953"/>
    <n v="7802.98"/>
    <s v="Capital One/CARD/25-26/Upfront/Digital/MLB/WS -  UF 2025/26 "/>
    <n v="92798769"/>
    <s v="P2+"/>
    <s v="O-D2ONAKJ-R0"/>
    <m/>
    <s v="Dylan Giordano"/>
    <s v="Guaranteed"/>
    <s v="DIO - LFV - FSLS - Pre/Mid - MLB - DT/MB/CTV"/>
    <n v="121817"/>
    <d v="2026-06-30T00:00:00"/>
    <d v="2026-03-25T00:00:00"/>
    <d v="2026-09-27T00:00:00"/>
    <s v="Direct LFV"/>
    <m/>
    <d v="2026-07-05T12:53:18"/>
  </r>
  <r>
    <s v="HORIZON MEDIA - NY"/>
    <n v="10562"/>
    <n v="7735"/>
    <s v="CAPITAL ONE"/>
    <s v="Capital One/Card/Digital/BYUF/Entertainment/UF2526_2Q'26"/>
    <x v="57"/>
    <s v="Capital One - Consumer Card - LFV - RON Ent - ROS - Pre/Mid - DT/MB/CTV/VOD - 1Q'26"/>
    <n v="573368"/>
    <s v="Capital One - Consumer  Card- LFV - RON Ent - Pre/Mid - ROS - DT/MB/CTV_A2554_2Q'26"/>
    <n v="92612560"/>
    <s v="RON - Ent"/>
    <s v="CPM"/>
    <n v="27.6"/>
    <s v="3P CoView Imps"/>
    <n v="3765033"/>
    <n v="95610.65"/>
    <m/>
    <m/>
    <s v=" "/>
    <n v="0"/>
    <m/>
    <s v="Show Only Net; NONE"/>
    <n v="5005708"/>
    <n v="5254513"/>
    <n v="3586756"/>
    <n v="3765033"/>
    <n v="1"/>
    <n v="0.71653332684872217"/>
    <n v="0"/>
    <n v="0"/>
    <s v="Bill on Contract - Straightline"/>
    <n v="95610.65"/>
    <n v="9042029"/>
    <n v="249560"/>
    <s v="Capital One/Card/Digital/BYUF/Entertainment/UF2526_2Q'26"/>
    <n v="92612554"/>
    <s v="P25-54"/>
    <s v="O-D2MRV53-R0"/>
    <m/>
    <s v="Sydney Stipanovich"/>
    <s v="Guaranteed"/>
    <s v="LFV - RON Ent - Pre/Mid - ROS - DT/MB/CTV/STB"/>
    <n v="120477"/>
    <d v="2026-06-30T00:00:00"/>
    <d v="2026-04-13T00:00:00"/>
    <d v="2026-06-28T00:00:00"/>
    <s v="Direct LFV"/>
    <m/>
    <d v="2026-07-05T12:53:18"/>
  </r>
  <r>
    <s v="HORIZON MEDIA - NY"/>
    <n v="10562"/>
    <n v="7735"/>
    <s v="CAPITAL ONE"/>
    <s v="Capital One/Card/Digital/BYUF/Entertainment/UF2526_2Q'26"/>
    <x v="57"/>
    <s v="Capital One - Consumer Card - LFV - RON Ent - ROS - Pre/Mid - DT/MB/CTV/VOD - 1Q'26"/>
    <n v="573368"/>
    <s v="Capital One - Consumer Card - LFV - FOX - Pre/Mid - STB VOD - ROS - A2554_2Q'26"/>
    <n v="92612557"/>
    <s v="FOX DAI VOD"/>
    <s v="CPM"/>
    <n v="27.6"/>
    <s v="1P CoView Imps"/>
    <n v="187926"/>
    <n v="4780.54"/>
    <m/>
    <m/>
    <s v=" "/>
    <s v=""/>
    <m/>
    <m/>
    <n v="325383"/>
    <n v="325383"/>
    <n v="187926"/>
    <n v="187926"/>
    <n v="1"/>
    <n v="0.57755577840658678"/>
    <n v="1"/>
    <n v="325383"/>
    <s v="Bill on Contract - Straightline"/>
    <n v="4780.54"/>
    <n v="452102"/>
    <n v="12478.02"/>
    <s v="Capital One/Card/Digital/BYUF/Entertainment/UF2526_2Q'26"/>
    <n v="92612554"/>
    <s v="P25-54"/>
    <s v="O-D2MRV53-R0"/>
    <m/>
    <s v="Sydney Stipanovich"/>
    <s v="Guaranteed"/>
    <s v="LFV - FOX - Pre/Mid - STB VOD - ROS - Demo"/>
    <n v="120477"/>
    <d v="2026-06-30T00:00:00"/>
    <d v="2026-04-13T00:00:00"/>
    <d v="2026-06-28T00:00:00"/>
    <s v="Direct LFV"/>
    <m/>
    <d v="2026-07-05T12:53:18"/>
  </r>
  <r>
    <s v="HORIZON MEDIA - NY"/>
    <n v="10562"/>
    <n v="7735"/>
    <s v="CAPITAL ONE"/>
    <s v="Capital One/Card/Digital/BYUF/Entertainment/UF2526_3Q'26"/>
    <x v="58"/>
    <s v="Capital One - Consumer Card - LFV - RON Ent - ROS - Pre/Mid - DT/MB/CTV/VOD - 3Q'26"/>
    <n v="595073"/>
    <s v="Capital One - Consumer  Card- LFV - RON Ent - Pre/Mid - ROS - DT/MB/CTV_A2554_3Q'26"/>
    <n v="95097760"/>
    <s v="RON - Ent"/>
    <s v="CPM"/>
    <n v="27.6"/>
    <s v="3P CoView Imps"/>
    <n v="60414"/>
    <n v="40842.639999999999"/>
    <m/>
    <m/>
    <s v=" "/>
    <n v="0"/>
    <m/>
    <s v="Show Only Net; NONE"/>
    <n v="99466"/>
    <n v="99466"/>
    <n v="60414"/>
    <n v="60414"/>
    <n v="1"/>
    <n v="0.60739290605049467"/>
    <n v="0"/>
    <n v="0"/>
    <s v="Bill on Contract - Straightline"/>
    <n v="40842.639999999999"/>
    <n v="5919224"/>
    <n v="163370.57999999999"/>
    <s v="Capital One/Card/Digital/BYUF/Entertainment/UF2526_3Q'26"/>
    <n v="95097754"/>
    <s v="P25-54"/>
    <s v="O-D326JT3-R1"/>
    <m/>
    <s v="Sydney Stipanovich"/>
    <s v="Guaranteed"/>
    <s v="LFV - RON Ent - Pre/Mid - ROS - DT/MB/CTV/STB"/>
    <n v="133943"/>
    <d v="2026-06-30T00:00:00"/>
    <d v="2026-06-29T00:00:00"/>
    <d v="2026-09-27T00:00:00"/>
    <s v="Direct LFV"/>
    <m/>
    <d v="2026-07-05T12:53:18"/>
  </r>
  <r>
    <s v="HORIZON MEDIA - NY"/>
    <n v="10562"/>
    <n v="7735"/>
    <s v="CAPITAL ONE"/>
    <s v="Capital One/Card/Digital/BYUF/Entertainment/UF2526_3Q'26"/>
    <x v="58"/>
    <s v="Capital One - Consumer Card - LFV - RON Ent - ROS - Pre/Mid - DT/MB/CTV/VOD - 3Q'26"/>
    <n v="595073"/>
    <s v="Capital One - Consumer Card - LFV - FOX - Pre/Mid - STB VOD - ROS - A2554_3Q'26"/>
    <n v="95097757"/>
    <s v="FOX DAI VOD"/>
    <s v="CPM"/>
    <n v="27.6"/>
    <s v="1P CoView Imps"/>
    <n v="3354"/>
    <n v="2149.61"/>
    <m/>
    <m/>
    <s v=" "/>
    <s v=""/>
    <m/>
    <m/>
    <n v="7490"/>
    <n v="7490"/>
    <n v="3354"/>
    <n v="3354"/>
    <n v="1"/>
    <n v="0.44790681224138867"/>
    <n v="1"/>
    <n v="7490"/>
    <s v="Bill on Contract - Straightline"/>
    <n v="2149.61"/>
    <n v="311538"/>
    <n v="8598.4500000000007"/>
    <s v="Capital One/Card/Digital/BYUF/Entertainment/UF2526_3Q'26"/>
    <n v="95097754"/>
    <s v="P25-54"/>
    <s v="O-D326JT3-R1"/>
    <m/>
    <s v="Sydney Stipanovich"/>
    <s v="Guaranteed"/>
    <s v="LFV - FOX - Pre/Mid - STB VOD - ROS - Demo"/>
    <n v="133943"/>
    <d v="2026-06-30T00:00:00"/>
    <d v="2026-06-29T00:00:00"/>
    <d v="2026-09-27T00:00:00"/>
    <s v="Direct LFV"/>
    <m/>
    <d v="2026-07-05T12:53:18"/>
  </r>
  <r>
    <s v="HORIZON MEDIA - NY"/>
    <n v="10562"/>
    <n v="7732"/>
    <s v="DISCOVER FINANCIAL SERVICES"/>
    <s v="DISCOVER CARD/Digital/Upfront/Entertainment/ADDRESSABLE/UF 2Q'26"/>
    <x v="59"/>
    <s v="Discover Card - DIO - LFV - Entertainment ROS - 2Q26"/>
    <n v="575165"/>
    <s v="Discover Card - DIO - LFV - RON Ent - Pre/Mid - ROS - DT/MB/CTV/STB_2Q'26"/>
    <n v="92873150"/>
    <s v="RON - Ent"/>
    <s v="CPM"/>
    <n v="17.87"/>
    <s v="3P Audience Target"/>
    <n v="1190021"/>
    <n v="21265.68"/>
    <m/>
    <m/>
    <s v=" "/>
    <n v="0"/>
    <m/>
    <s v="Show Only Net; NONE"/>
    <n v="949348"/>
    <n v="1190021"/>
    <n v="0"/>
    <n v="0"/>
    <n v="1"/>
    <n v="0"/>
    <n v="0"/>
    <n v="0"/>
    <s v="Bill on Actuals - 3rd Party Performance"/>
    <n v="15162.18"/>
    <n v="3357583"/>
    <n v="60000.01"/>
    <s v="DISCOVER CARD/Digital/Upfront/Entertainment/ADDRESSABLE/UF 2Q'26"/>
    <n v="92873089"/>
    <s v="Audience Target"/>
    <n v="1"/>
    <m/>
    <s v="Sydney Stipanovich"/>
    <s v="Guaranteed"/>
    <s v="DIO - LFV - RON Ent - Pre/Mid - ROS - DT/MB/CTV/STB"/>
    <n v="122543"/>
    <d v="2026-06-30T00:00:00"/>
    <d v="2026-03-30T00:00:00"/>
    <d v="2026-06-28T00:00:00"/>
    <s v="Direct LFV"/>
    <m/>
    <d v="2026-07-05T12:53:18"/>
  </r>
  <r>
    <s v="HORIZON NEXT"/>
    <n v="11185"/>
    <n v="486"/>
    <s v="CHARTER SPECTRUM"/>
    <s v="Charter/Spectrum Residential/Digital/NASCAR - 2Q'26"/>
    <x v="60"/>
    <s v="Charter - Spectrum - DIO - ROV - FS - Pre/Mid - ROS - DT/MB/CTV - 2Q'26 NASCAR"/>
    <n v="576210"/>
    <s v="Charter - DIO - ROV - FS - Pre/Mid - NASCAR - DT/MB/CTV - 2Q'26"/>
    <n v="92822873"/>
    <s v="FOX Sports"/>
    <s v="CPM"/>
    <n v="28.75"/>
    <s v="3P CoView Imps"/>
    <n v="394126"/>
    <n v="11331.12"/>
    <m/>
    <m/>
    <s v=" "/>
    <n v="0"/>
    <m/>
    <m/>
    <n v="660"/>
    <n v="320744"/>
    <n v="811"/>
    <n v="394126"/>
    <n v="1"/>
    <n v="1.228787878787879"/>
    <n v="0"/>
    <n v="0"/>
    <s v="Bill on Actuals - 3rd Party Performance"/>
    <n v="11.54"/>
    <n v="695652"/>
    <n v="20000"/>
    <s v="Charter/Spectrum Residential/Digital/NASCAR - 2Q'26"/>
    <n v="92822870"/>
    <s v="P2+"/>
    <s v="O-D2P0MBF-R2"/>
    <m/>
    <s v="Dylan Giordano"/>
    <s v="Guaranteed"/>
    <s v="DIO - ROV - FS - Pre/Mid - NASCAR - DT/MB/CTV"/>
    <n v="121997"/>
    <d v="2026-06-30T00:00:00"/>
    <d v="2026-04-01T00:00:00"/>
    <d v="2026-06-30T00:00:00"/>
    <s v="Direct ROV"/>
    <m/>
    <d v="2026-07-05T12:53:18"/>
  </r>
  <r>
    <s v="HORIZON NEXT"/>
    <n v="11185"/>
    <n v="6935"/>
    <s v="CREDIT KARMA INC"/>
    <s v="Credit Karma/2Q'26/Digital/Scatter/Preempt/HorizonMX"/>
    <x v="61"/>
    <s v="Credit Karma - DIO - LFV - Entertainment ROS Preemptible - 2Q'26 MX"/>
    <n v="586794"/>
    <s v="Credit Karma - DIO - LFV - RON Ent - Pre/Mid - ROS - DT/MB/CTV/STB - Preemptible - 2Q'26"/>
    <n v="93727553"/>
    <s v="RON - Ent"/>
    <s v="CPM"/>
    <n v="8.5"/>
    <s v="3P CoView Imps"/>
    <n v="1230363"/>
    <n v="10054"/>
    <m/>
    <m/>
    <s v=" "/>
    <n v="0"/>
    <m/>
    <m/>
    <n v="978834"/>
    <n v="978834"/>
    <n v="1230363"/>
    <n v="1230363"/>
    <n v="1"/>
    <n v="1.2569683280097379"/>
    <n v="0"/>
    <n v="0"/>
    <s v="Bill on Actuals - 3rd Party Performance"/>
    <n v="5027"/>
    <n v="1182824"/>
    <n v="10054"/>
    <s v="Credit Karma/2Q'26/Digital/Scatter/Preempt/HorizonMX"/>
    <n v="93727535"/>
    <s v="P2+"/>
    <n v="1"/>
    <m/>
    <s v="Sydney Stipanovich"/>
    <s v="Guaranteed"/>
    <s v="DIO - LFV - RON Ent - Pre/Mid - ROS - DT/MB/CTV/STB - Preemptible"/>
    <n v="127106"/>
    <d v="2026-06-30T00:00:00"/>
    <d v="2026-06-01T00:00:00"/>
    <d v="2026-06-07T00:00:00"/>
    <s v="Direct LFV"/>
    <m/>
    <d v="2026-07-05T12:53:18"/>
  </r>
  <r>
    <s v="HORIZON NEXT"/>
    <n v="11185"/>
    <n v="6935"/>
    <s v="CREDIT KARMA INC"/>
    <s v="Credit Karma/2Q'26/Digital/Scatter/Preempt/HorizonMX"/>
    <x v="61"/>
    <s v="Credit Karma - DIO - LFV - Entertainment ROS Preemptible - 2Q'26 MX"/>
    <n v="586796"/>
    <s v="Credit Karma - DIO - LFV - RON Ent - Pre/Mid - ROS - DT/MB/CTV/STB - Preemptible - 2Q'26"/>
    <n v="93727538"/>
    <s v="RON - Ent"/>
    <s v="CPM"/>
    <n v="8.5"/>
    <s v="3P CoView Imps"/>
    <n v="1222159"/>
    <n v="10054"/>
    <m/>
    <m/>
    <s v=" "/>
    <n v="0"/>
    <m/>
    <m/>
    <n v="967015"/>
    <n v="967015"/>
    <n v="1222159"/>
    <n v="1222159"/>
    <n v="1"/>
    <n v="1.263847641572333"/>
    <n v="0"/>
    <n v="0"/>
    <s v="Bill on Actuals - 3rd Party Performance"/>
    <n v="5027"/>
    <n v="1182824"/>
    <n v="10054"/>
    <s v="Credit Karma/2Q'26/Digital/Scatter/Preempt/HorizonMX"/>
    <n v="93727535"/>
    <s v="P2+"/>
    <n v="1"/>
    <m/>
    <s v="Sydney Stipanovich"/>
    <s v="Guaranteed"/>
    <s v="DIO - LFV - RON Ent - Pre/Mid - ROS - DT/MB/CTV/STB - Preemptible"/>
    <n v="127106"/>
    <d v="2026-06-30T00:00:00"/>
    <d v="2026-06-08T00:00:00"/>
    <d v="2026-06-14T00:00:00"/>
    <s v="Direct LFV"/>
    <m/>
    <d v="2026-07-05T12:53:18"/>
  </r>
  <r>
    <s v="HORIZON NEXT"/>
    <n v="11185"/>
    <n v="6935"/>
    <s v="CREDIT KARMA INC"/>
    <s v="Credit Karma/2Q'26/Digital/Scatter/Preempt/HorizonMX"/>
    <x v="61"/>
    <s v="Credit Karma - DIO - LFV - Entertainment ROS Preemptible - 2Q'26 MX"/>
    <n v="586798"/>
    <s v="Credit Karma - DIO - LFV - RON Ent - Pre/Mid - ROS - DT/MB/CTV/STB - Preemptible - 2Q'26"/>
    <n v="93727544"/>
    <s v="RON - Ent"/>
    <s v="CPM"/>
    <n v="8.5"/>
    <s v="3P CoView Imps"/>
    <n v="529921"/>
    <n v="4504.33"/>
    <m/>
    <m/>
    <s v=" "/>
    <n v="0"/>
    <m/>
    <m/>
    <n v="414826"/>
    <n v="414826"/>
    <n v="529921"/>
    <n v="529921"/>
    <n v="1"/>
    <n v="1.277454673972366"/>
    <n v="0"/>
    <n v="0"/>
    <s v="Bill on Actuals - 3rd Party Performance"/>
    <n v="2010"/>
    <n v="1182824"/>
    <n v="10054"/>
    <s v="Credit Karma/2Q'26/Digital/Scatter/Preempt/HorizonMX"/>
    <n v="93727535"/>
    <s v="P2+"/>
    <n v="1"/>
    <m/>
    <s v="Sydney Stipanovich"/>
    <s v="Guaranteed"/>
    <s v="DIO - LFV - RON Ent - Pre/Mid - ROS - DT/MB/CTV/STB - Preemptible"/>
    <n v="127106"/>
    <d v="2026-06-30T00:00:00"/>
    <d v="2026-06-15T00:00:00"/>
    <d v="2026-06-21T00:00:00"/>
    <s v="Direct LFV"/>
    <m/>
    <d v="2026-07-05T12:53:18"/>
  </r>
  <r>
    <s v="HORIZON NEXT"/>
    <n v="11185"/>
    <n v="6935"/>
    <s v="CREDIT KARMA INC"/>
    <s v="Credit Karma/2Q'26/Digital/Scatter/Preempt/HorizonMX"/>
    <x v="61"/>
    <s v="Credit Karma - DIO - LFV - Entertainment ROS Preemptible - 2Q'26 MX"/>
    <n v="586800"/>
    <s v="Credit Karma - DIO - LFV - RON Ent - Pre/Mid - ROS - DT/MB/CTV/STB - Preemptible - 2Q'26"/>
    <n v="93727550"/>
    <s v="RON - Ent"/>
    <s v="CPM"/>
    <n v="8.5"/>
    <s v="3P CoView Imps"/>
    <n v="650450"/>
    <n v="5528.82"/>
    <m/>
    <m/>
    <s v=" "/>
    <n v="0"/>
    <m/>
    <m/>
    <n v="518842"/>
    <n v="518842"/>
    <n v="650450"/>
    <n v="650450"/>
    <n v="1"/>
    <n v="1.253657242619669"/>
    <n v="0"/>
    <n v="0"/>
    <s v="Bill on Actuals - 3rd Party Performance"/>
    <n v="2388.48"/>
    <n v="1182824"/>
    <n v="10054"/>
    <s v="Credit Karma/2Q'26/Digital/Scatter/Preempt/HorizonMX"/>
    <n v="93727535"/>
    <s v="P2+"/>
    <n v="1"/>
    <m/>
    <s v="Sydney Stipanovich"/>
    <s v="Guaranteed"/>
    <s v="DIO - LFV - RON Ent - Pre/Mid - ROS - DT/MB/CTV/STB - Preemptible"/>
    <n v="127106"/>
    <d v="2026-06-30T00:00:00"/>
    <d v="2026-06-22T00:00:00"/>
    <d v="2026-06-28T00:00:00"/>
    <s v="Direct LFV"/>
    <m/>
    <d v="2026-07-05T12:53:18"/>
  </r>
  <r>
    <s v="HORIZON NEXT"/>
    <n v="11185"/>
    <n v="6935"/>
    <s v="CREDIT KARMA INC"/>
    <s v="Credit Karma/2Q'26/Digital/Scatter/Preempt/HorizonMX"/>
    <x v="61"/>
    <s v="Credit Karma - DIO - LFV - Entertainment ROS Preemptible - 2Q'26 MX"/>
    <n v="586802"/>
    <s v="Credit Karma - DIO - LFV - RON Ent - Pre/Mid - ROS - DT/MB/CTV/STB - Preemptible - 2Q'26"/>
    <n v="93727564"/>
    <s v="RON - Ent"/>
    <s v="CPM"/>
    <n v="8.5"/>
    <s v="3P CoView Imps"/>
    <n v="103745"/>
    <n v="881.83"/>
    <m/>
    <m/>
    <s v=" "/>
    <n v="0"/>
    <m/>
    <m/>
    <n v="137381"/>
    <n v="137381"/>
    <n v="103745"/>
    <n v="103745"/>
    <n v="1"/>
    <n v="0.7551658390993552"/>
    <n v="0"/>
    <n v="0"/>
    <s v="Bill on Actuals - 3rd Party Performance"/>
    <n v="439.42"/>
    <n v="322588"/>
    <n v="2742"/>
    <s v="Credit Karma/2Q'26/Digital/Scatter/Preempt/HorizonMX"/>
    <n v="93727535"/>
    <s v="P2+"/>
    <n v="1"/>
    <m/>
    <s v="Sydney Stipanovich"/>
    <s v="Guaranteed"/>
    <s v="DIO - LFV - RON Ent - Pre/Mid - ROS - DT/MB/CTV/STB - Preemptible"/>
    <n v="127106"/>
    <d v="2026-06-30T00:00:00"/>
    <d v="2026-06-29T00:00:00"/>
    <d v="2026-06-30T00:00:00"/>
    <s v="Direct LFV"/>
    <m/>
    <d v="2026-07-05T12:53:18"/>
  </r>
  <r>
    <s v="INFINITE ROAR"/>
    <n v="11514"/>
    <n v="2079"/>
    <s v="NATIONAL VISION INC"/>
    <s v="National Vision/Digital/Upfront/ONEFOX/UF 2025/26/2Q'26"/>
    <x v="62"/>
    <s v="National Vision - OneFOX - A25-54 - 2Q'26 Package"/>
    <n v="578272"/>
    <s v="National Vision - DIO - ROV - 1F - SEN Soft News - Pre/Mid - ROS - DT/MB/CTV - SXD - A25-54 - 1Q'26"/>
    <n v="92916124"/>
    <s v="OneFOX"/>
    <s v="CPM"/>
    <n v="19.46"/>
    <s v="3P Audience Target"/>
    <n v="3500742"/>
    <n v="68124.44"/>
    <m/>
    <m/>
    <s v=" "/>
    <n v="0"/>
    <m/>
    <m/>
    <n v="2730075"/>
    <n v="3500742"/>
    <n v="0"/>
    <n v="0"/>
    <n v="1"/>
    <n v="0"/>
    <n v="0"/>
    <n v="0"/>
    <s v="Bill on Actuals - 3rd Party Performance"/>
    <n v="43314.83"/>
    <n v="9819478"/>
    <n v="191087.04"/>
    <s v="National Vision/Digital/Upfront/ONEFOX/UF 2025/26/2Q'26"/>
    <n v="92916106"/>
    <s v="Audience Target"/>
    <s v="O-D2OK9DP"/>
    <m/>
    <s v="Tim Wodzisz"/>
    <s v="Guaranteed"/>
    <s v="DIO - ROV - 1F - SEN Soft News - Pre/Mid - ROS - DT/MB/CTV - SXD"/>
    <n v="122827"/>
    <d v="2026-06-30T00:00:00"/>
    <d v="2026-03-30T00:00:00"/>
    <d v="2026-06-28T00:00:00"/>
    <s v="Direct ROV"/>
    <m/>
    <d v="2026-07-05T12:53:18"/>
  </r>
  <r>
    <s v="INFINITE ROAR"/>
    <n v="11514"/>
    <n v="2079"/>
    <s v="NATIONAL VISION INC"/>
    <s v="National Vision/Digital/Upfront/ONEFOX/UF 2025/26/2Q'26"/>
    <x v="62"/>
    <s v="National Vision - OneFOX - A25-54 - 2Q'26 Package"/>
    <n v="578272"/>
    <s v="National Vision - LFV - 1F - Tubi - Pre/Mid - ROS - DT/MB/CTV - FW - AAT A25-54 - SXD - 1Q'26"/>
    <n v="92916109"/>
    <s v="OneFOX"/>
    <s v="CPM"/>
    <n v="19.46"/>
    <s v="3P Audience Target"/>
    <n v="1716149"/>
    <n v="33396.26"/>
    <m/>
    <m/>
    <s v=" "/>
    <s v=""/>
    <m/>
    <s v="Show Only Net; NONE"/>
    <n v="994704"/>
    <n v="1716149"/>
    <n v="0"/>
    <n v="0"/>
    <n v="1"/>
    <n v="0"/>
    <n v="0"/>
    <n v="0"/>
    <s v="Bill on Actuals - 3rd Party Performance"/>
    <n v="19021.04"/>
    <n v="4312074"/>
    <n v="83912.960000000006"/>
    <s v="National Vision/Digital/Upfront/ONEFOX/UF 2025/26/2Q'26"/>
    <n v="92916106"/>
    <s v="Audience Target"/>
    <s v="O-D2OK9DP"/>
    <m/>
    <s v="Tim Wodzisz"/>
    <s v="Guaranteed"/>
    <s v="LFV - 1F - Tubi - Pre/Mid - ROS - DT/MB/CTV - FW - SXD"/>
    <n v="122827"/>
    <d v="2026-06-30T00:00:00"/>
    <d v="2026-03-30T00:00:00"/>
    <d v="2026-06-28T00:00:00"/>
    <s v="Direct LFV"/>
    <m/>
    <d v="2026-07-05T12:53:18"/>
  </r>
  <r>
    <s v="INFINITE ROAR"/>
    <n v="11514"/>
    <n v="2079"/>
    <s v="NATIONAL VISION INC"/>
    <s v="National Vision/Digital/Upfront/ONEFOX/UF 2025/26/2Q'26"/>
    <x v="62"/>
    <s v="National Vision - Brightline - Overlay - FOX on Hulu - P2+ - 2Q'26 Package"/>
    <n v="578275"/>
    <s v="National Vision - Brightline - DIO - LFV - FOH - Pre/Mid - INTERACTIVE - ROS - CTV - 1Q'26"/>
    <n v="92916118"/>
    <s v="FOX on Hulu"/>
    <s v="CPM"/>
    <n v="24"/>
    <s v="3P Imps"/>
    <n v="414521"/>
    <n v="9948.5"/>
    <m/>
    <m/>
    <s v=" "/>
    <n v="0"/>
    <m/>
    <m/>
    <n v="260282"/>
    <n v="414521"/>
    <n v="0"/>
    <n v="0"/>
    <n v="1"/>
    <n v="0"/>
    <n v="0"/>
    <n v="0"/>
    <s v="Bill on Actuals - 3rd Party Performance"/>
    <n v="5192.66"/>
    <n v="1041667"/>
    <n v="25000.01"/>
    <s v="National Vision/Digital/Upfront/ONEFOX/UF 2025/26/2Q'26"/>
    <n v="92916106"/>
    <s v="P2+"/>
    <s v="O-D2OK9DP"/>
    <m/>
    <s v="Tim Wodzisz"/>
    <s v="Guaranteed"/>
    <s v="DIO - LFV - FOH - Pre/Mid - INTERACTIVE - ROS - CTV"/>
    <n v="122827"/>
    <d v="2026-06-30T00:00:00"/>
    <d v="2026-03-30T00:00:00"/>
    <d v="2026-06-28T00:00:00"/>
    <s v="Direct LFV"/>
    <m/>
    <d v="2026-07-05T12:53:18"/>
  </r>
  <r>
    <s v="INFINITE ROAR"/>
    <n v="11514"/>
    <n v="23743"/>
    <s v="POLYMARKET"/>
    <s v="Infinite Roar/Polymarket/Digital/MWC/Scatter/2025/26"/>
    <x v="63"/>
    <s v="Polymarket - Run of World Cup Display - Package - 320x50, 300x250, 728x90"/>
    <n v="591846"/>
    <s v="Polymarket - DIS - FS - Display Unit - MWC - 320x50, 300x250, 728x90"/>
    <n v="7330903612"/>
    <s v="FOX Sports"/>
    <s v="CPM"/>
    <n v="6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9129.0400000000009"/>
    <n v="6250000"/>
    <n v="37500"/>
    <s v="Infinite Roar/Polymarket/Digital/MWC/Scatter/2025/26"/>
    <n v="270497"/>
    <s v="P2+"/>
    <s v="O-D31AAUT-R1"/>
    <m/>
    <s v="Dylan Giordano"/>
    <s v="Guaranteed"/>
    <s v="DIS - FS - Display Unit - MWC"/>
    <n v="130472"/>
    <d v="2026-06-30T00:00:00"/>
    <d v="2026-06-12T00:00:00"/>
    <d v="2026-07-19T00:00:00"/>
    <s v="Direct Display"/>
    <m/>
    <d v="2026-07-05T12:53:18"/>
  </r>
  <r>
    <s v="INFINITE ROAR"/>
    <n v="11514"/>
    <n v="23743"/>
    <s v="POLYMARKET"/>
    <s v="Infinite Roar/Polymarket/Digital/MWC/Scatter/2025/26"/>
    <x v="63"/>
    <s v="Polymarket - Run of World Cup Video - Package"/>
    <n v="591847"/>
    <s v="Polymarket - DIO - LFV - TUB - Pre/Mid - MWC - DT/MB/CTV"/>
    <n v="94485763"/>
    <s v="Fox Sold Tubi"/>
    <s v="CPM"/>
    <n v="44"/>
    <s v="1P Imps"/>
    <n v="3348"/>
    <n v="147.31"/>
    <m/>
    <m/>
    <s v=" "/>
    <n v="0"/>
    <m/>
    <m/>
    <n v="3348"/>
    <n v="3348"/>
    <n v="0"/>
    <n v="0"/>
    <n v="1"/>
    <n v="0"/>
    <n v="0"/>
    <n v="0"/>
    <s v="Bill on Actuals - 3rd Party Performance"/>
    <n v="16001.63"/>
    <n v="3579545"/>
    <n v="157499.98000000001"/>
    <s v="Infinite Roar/Polymarket/Digital/MWC/Scatter/2025/26"/>
    <n v="94485750"/>
    <s v="P2+"/>
    <s v="O-D31AAUT-R1"/>
    <m/>
    <s v="Dylan Giordano"/>
    <s v="Guaranteed"/>
    <s v="DIO - LFV - TUB - Pre/Mid - MWC - DT/MB/CTV"/>
    <n v="130472"/>
    <d v="2026-06-30T00:00:00"/>
    <d v="2026-06-12T00:00:00"/>
    <d v="2026-07-19T00:00:00"/>
    <s v="Direct LFV"/>
    <m/>
    <d v="2026-07-05T12:53:18"/>
  </r>
  <r>
    <s v="INFINITE ROAR"/>
    <n v="11514"/>
    <n v="23743"/>
    <s v="POLYMARKET"/>
    <s v="Infinite Roar/Polymarket/Digital/MWC/Scatter/2025/26"/>
    <x v="63"/>
    <s v="Polymarket - Run of World Cup Video - Package"/>
    <n v="591847"/>
    <s v="Polymarket - DIO - ROV - FS - Pre/Mid - MWC - DT/MB/CTV"/>
    <n v="94485755"/>
    <s v="FOX Sports"/>
    <s v="CPM"/>
    <n v="44"/>
    <s v="1P Imps"/>
    <n v="1035719"/>
    <n v="45571.64"/>
    <m/>
    <m/>
    <s v=" "/>
    <s v=""/>
    <m/>
    <m/>
    <n v="1035719"/>
    <n v="1035719"/>
    <n v="0"/>
    <n v="0"/>
    <n v="1"/>
    <n v="0"/>
    <n v="0"/>
    <n v="0"/>
    <s v="Bill on Actuals - 3rd Party Performance"/>
    <n v="6857.85"/>
    <n v="1534092"/>
    <n v="67500.05"/>
    <s v="Infinite Roar/Polymarket/Digital/MWC/Scatter/2025/26"/>
    <n v="94485750"/>
    <s v="P2+"/>
    <s v="O-D31AAUT-R1"/>
    <m/>
    <s v="Dylan Giordano"/>
    <s v="Guaranteed"/>
    <s v="DIO - ROV - FS - Pre/Mid - MWC - DT/MB/CTV"/>
    <n v="130472"/>
    <d v="2026-06-30T00:00:00"/>
    <d v="2026-06-12T00:00:00"/>
    <d v="2026-07-19T00:00:00"/>
    <s v="Direct ROV"/>
    <m/>
    <d v="2026-07-05T12:53:18"/>
  </r>
  <r>
    <s v="INFINITE ROAR"/>
    <n v="11514"/>
    <n v="23743"/>
    <s v="POLYMARKET"/>
    <s v="Infinite Roar/Polymarket/Digital/MWC/Scatter/2025/26"/>
    <x v="63"/>
    <s v="Polymarket - World Cup Social Sponsorship Content - Package"/>
    <n v="591848"/>
    <s v="Polymarket - DIO - SOC - FOX Sports - Facebook/Instagram - MWC"/>
    <n v="591852"/>
    <s v="FOX Sports - FB-Inst"/>
    <s v="Flat Rate"/>
    <n v="0.15"/>
    <s v="Bill on Contract"/>
    <n v="270833267"/>
    <n v="40624.99"/>
    <m/>
    <m/>
    <s v=" "/>
    <n v="0"/>
    <m/>
    <m/>
    <n v="0"/>
    <n v="0"/>
    <n v="0"/>
    <n v="0"/>
    <n v="1"/>
    <n v="0"/>
    <n v="0"/>
    <n v="0"/>
    <s v="Bill on Contract - Straightline"/>
    <n v="40624.99"/>
    <n v="1083333"/>
    <n v="162499.95000000001"/>
    <s v="Infinite Roar/Polymarket/Digital/MWC/Scatter/2025/26"/>
    <n v="270497"/>
    <s v="P2+"/>
    <s v="O-D31AAUT-R1"/>
    <m/>
    <s v="Dylan Giordano"/>
    <s v="Guaranteed"/>
    <s v="DIO - SOC - FOX Sports - Facebook/Instagram - MWC"/>
    <n v="130472"/>
    <d v="2026-06-30T00:00:00"/>
    <d v="2026-06-12T00:00:00"/>
    <d v="2026-07-19T00:00:00"/>
    <s v="Social Facebook/Instagram"/>
    <m/>
    <d v="2026-07-05T12:53:18"/>
  </r>
  <r>
    <s v="INFINITE ROAR"/>
    <n v="11514"/>
    <n v="23743"/>
    <s v="POLYMARKET"/>
    <s v="Infinite Roar/Polymarket/Digital/MWC/Scatter/2025/26"/>
    <x v="63"/>
    <s v="Polymarket - World Cup Social Sponsorship Content - Package"/>
    <n v="591848"/>
    <s v="Polymarket - DIO - SOC - FOX Sports - TikTok - MWC"/>
    <n v="591855"/>
    <s v="FOX Sports - TikTok"/>
    <s v="Flat Rate"/>
    <n v="0.15"/>
    <s v="Bill on Contract"/>
    <n v="270833267"/>
    <n v="40624.99"/>
    <m/>
    <m/>
    <s v=" "/>
    <s v=""/>
    <m/>
    <m/>
    <n v="0"/>
    <n v="0"/>
    <n v="0"/>
    <n v="0"/>
    <n v="1"/>
    <n v="0"/>
    <n v="0"/>
    <n v="0"/>
    <s v="Bill on Contract - Straightline"/>
    <n v="40624.99"/>
    <n v="1083333"/>
    <n v="162499.95000000001"/>
    <s v="Infinite Roar/Polymarket/Digital/MWC/Scatter/2025/26"/>
    <n v="270497"/>
    <s v="P2+"/>
    <s v="O-D31AAUT-R1"/>
    <m/>
    <s v="Dylan Giordano"/>
    <s v="Guaranteed"/>
    <s v="DIO - SOC - FOX Sports - TikTok - MWC"/>
    <n v="130472"/>
    <d v="2026-06-30T00:00:00"/>
    <d v="2026-06-12T00:00:00"/>
    <d v="2026-07-19T00:00:00"/>
    <s v="Social TikTok"/>
    <m/>
    <d v="2026-07-05T12:53:18"/>
  </r>
  <r>
    <s v="INFINITE ROAR"/>
    <n v="11514"/>
    <n v="23743"/>
    <s v="POLYMARKET"/>
    <s v="Infinite Roar/Polymarket/Digital/MWC/Scatter/2025/26"/>
    <x v="63"/>
    <s v="Polymarket - World Cup Social Sponsorship Content - Package"/>
    <n v="591848"/>
    <s v="Polymarket - DIO - SOC - FOX Sports - Youtube - Custom Content - MWC"/>
    <n v="591854"/>
    <s v="FOX Sports"/>
    <s v="Flat Rate"/>
    <n v="0.15"/>
    <s v="Bill on Contract"/>
    <n v="270833533"/>
    <n v="40625.03"/>
    <m/>
    <m/>
    <s v=" "/>
    <s v=""/>
    <m/>
    <m/>
    <n v="0"/>
    <n v="0"/>
    <n v="0"/>
    <n v="0"/>
    <n v="1"/>
    <n v="0"/>
    <n v="0"/>
    <n v="0"/>
    <s v="Bill on Contract - Straightline"/>
    <n v="40625.03"/>
    <n v="1083334"/>
    <n v="162500.1"/>
    <s v="Infinite Roar/Polymarket/Digital/MWC/Scatter/2025/26"/>
    <n v="270497"/>
    <s v="P2+"/>
    <s v="O-D31AAUT-R1"/>
    <m/>
    <s v="Dylan Giordano"/>
    <s v="Guaranteed"/>
    <s v="DIO - SOC - FOX Sports - Youtube - Custom Content - MWC"/>
    <n v="130472"/>
    <d v="2026-06-30T00:00:00"/>
    <d v="2026-06-12T00:00:00"/>
    <d v="2026-07-19T00:00:00"/>
    <s v="Social"/>
    <m/>
    <d v="2026-07-05T12:53:18"/>
  </r>
  <r>
    <s v="INITIATIVE MEDIA - LA"/>
    <n v="11640"/>
    <n v="21282"/>
    <s v="AMAZON ALEXA+"/>
    <s v="Amazon Alexa+/Digital/Scatter/Sports/MWC/2Q-3Q26 (NEW)"/>
    <x v="64"/>
    <s v="Amazon Alexa+ - Run of World Cup Video - Package"/>
    <n v="591579"/>
    <s v="Amazon Alexa+ - DIO - LFV - TUB - Pre/Mid - MWC - DT/MB/CTV (:15)"/>
    <n v="94376505"/>
    <s v="Fox Sold Tubi"/>
    <s v="CPM"/>
    <n v="42"/>
    <s v="3P Imps"/>
    <n v="2311845"/>
    <n v="97097.49"/>
    <m/>
    <m/>
    <s v=" "/>
    <n v="0"/>
    <m/>
    <m/>
    <n v="2311845"/>
    <n v="2311845"/>
    <n v="0"/>
    <n v="0"/>
    <n v="1"/>
    <n v="0"/>
    <n v="0"/>
    <n v="0"/>
    <s v="Bill on Actuals - 3rd Party Performance"/>
    <n v="45290.67"/>
    <n v="3000000"/>
    <n v="126000"/>
    <s v="Amazon Alexa+/Digital/Scatter/Sports/MWC/2Q-3Q26 (NEW)"/>
    <n v="94376491"/>
    <s v="P2+"/>
    <s v="O-D2VI5BG-R1"/>
    <m/>
    <s v="Kimberly Caraig"/>
    <s v="Guaranteed"/>
    <s v="DIO - LFV - TUB - Pre/Mid - MWC - DT/MB/CTV"/>
    <n v="129941"/>
    <d v="2026-06-30T00:00:00"/>
    <d v="2026-06-02T00:00:00"/>
    <d v="2026-07-19T00:00:00"/>
    <s v="Direct LFV"/>
    <m/>
    <d v="2026-07-05T12:53:18"/>
  </r>
  <r>
    <s v="INITIATIVE MEDIA - LA"/>
    <n v="11640"/>
    <n v="21282"/>
    <s v="AMAZON ALEXA+"/>
    <s v="Amazon Alexa+/Digital/Scatter/Sports/MWC/2Q-3Q26 (NEW)"/>
    <x v="64"/>
    <s v="Amazon Alexa+ - Run of World Cup Video - Package"/>
    <n v="591579"/>
    <s v="Amazon Alexa+ - DIO - LFV - TUB - Pre/Mid - MWC - DT/MB/CTV (:30)"/>
    <n v="94376498"/>
    <s v="Fox Sold Tubi"/>
    <s v="CPM"/>
    <n v="42"/>
    <s v="3P Imps"/>
    <n v="1354894"/>
    <n v="56905.55"/>
    <m/>
    <m/>
    <s v=" "/>
    <s v=""/>
    <m/>
    <m/>
    <n v="1354894"/>
    <n v="1354894"/>
    <n v="0"/>
    <n v="0"/>
    <n v="1"/>
    <n v="0"/>
    <n v="0"/>
    <n v="0"/>
    <s v="Bill on Actuals - 3rd Party Performance"/>
    <n v="30193.78"/>
    <n v="2000000"/>
    <n v="84000"/>
    <s v="Amazon Alexa+/Digital/Scatter/Sports/MWC/2Q-3Q26 (NEW)"/>
    <n v="94376491"/>
    <s v="P2+"/>
    <s v="O-D2VI5BG-R1"/>
    <m/>
    <s v="Kimberly Caraig"/>
    <s v="Guaranteed"/>
    <s v="DIO - LFV - TUB - Pre/Mid - MWC - DT/MB/CTV"/>
    <n v="129941"/>
    <d v="2026-06-30T00:00:00"/>
    <d v="2026-06-02T00:00:00"/>
    <d v="2026-07-19T00:00:00"/>
    <s v="Direct LFV"/>
    <m/>
    <d v="2026-07-05T12:53:18"/>
  </r>
  <r>
    <s v="INITIATIVE MEDIA - LA"/>
    <n v="11640"/>
    <n v="21282"/>
    <s v="AMAZON ALEXA+"/>
    <s v="Amazon Alexa+/Digital/Scatter/Sports/MWC/2Q-3Q26 (NEW)"/>
    <x v="64"/>
    <s v="Amazon Alexa+ - Run of World Cup Video - Package"/>
    <n v="591579"/>
    <s v="Amazon Alexa+ - DIO - ROV - FS - Pre/Mid - MWC - DT/MB/CTV (:15)"/>
    <n v="94376501"/>
    <s v="FOX Sports"/>
    <s v="CPM"/>
    <n v="42"/>
    <s v="3P Imps"/>
    <n v="892056"/>
    <n v="37466.35"/>
    <m/>
    <m/>
    <s v=" "/>
    <s v=""/>
    <m/>
    <m/>
    <n v="892056"/>
    <n v="892056"/>
    <n v="0"/>
    <n v="0"/>
    <n v="1"/>
    <n v="0"/>
    <n v="0"/>
    <n v="0"/>
    <s v="Bill on Actuals - 3rd Party Performance"/>
    <n v="19410.3"/>
    <n v="1285715"/>
    <n v="54000.03"/>
    <s v="Amazon Alexa+/Digital/Scatter/Sports/MWC/2Q-3Q26 (NEW)"/>
    <n v="94376491"/>
    <s v="P2+"/>
    <s v="O-D2VI5BG-R1"/>
    <m/>
    <s v="Kimberly Caraig"/>
    <s v="Guaranteed"/>
    <s v="DIO - ROV - FS - Pre/Mid - MWC - DT/MB/CTV"/>
    <n v="129941"/>
    <d v="2026-06-30T00:00:00"/>
    <d v="2026-06-02T00:00:00"/>
    <d v="2026-07-19T00:00:00"/>
    <s v="Direct ROV"/>
    <m/>
    <d v="2026-07-05T12:53:18"/>
  </r>
  <r>
    <s v="INITIATIVE MEDIA - LA"/>
    <n v="11640"/>
    <n v="21282"/>
    <s v="AMAZON ALEXA+"/>
    <s v="Amazon Alexa+/Digital/Scatter/Sports/MWC/2Q-3Q26 (NEW)"/>
    <x v="64"/>
    <s v="Amazon Alexa+ - Run of World Cup Video - Package"/>
    <n v="591579"/>
    <s v="Amazon Alexa+ - DIO - ROV - FS - Pre/Mid - MWC - DT/MB/CTV (:30)"/>
    <n v="94376494"/>
    <s v="FOX Sports"/>
    <s v="CPM"/>
    <n v="42"/>
    <s v="3P Imps"/>
    <n v="590098"/>
    <n v="24784.12"/>
    <m/>
    <m/>
    <s v=" "/>
    <s v=""/>
    <m/>
    <m/>
    <n v="590098"/>
    <n v="590098"/>
    <n v="0"/>
    <n v="0"/>
    <n v="1"/>
    <n v="0"/>
    <n v="0"/>
    <n v="0"/>
    <s v="Bill on Actuals - 3rd Party Performance"/>
    <n v="12940.19"/>
    <n v="857143"/>
    <n v="36000.01"/>
    <s v="Amazon Alexa+/Digital/Scatter/Sports/MWC/2Q-3Q26 (NEW)"/>
    <n v="94376491"/>
    <s v="P2+"/>
    <s v="O-D2VI5BG-R1"/>
    <m/>
    <s v="Kimberly Caraig"/>
    <s v="Guaranteed"/>
    <s v="DIO - ROV - FS - Pre/Mid - MWC - DT/MB/CTV"/>
    <n v="129941"/>
    <d v="2026-06-30T00:00:00"/>
    <d v="2026-06-02T00:00:00"/>
    <d v="2026-07-19T00:00:00"/>
    <s v="Direct ROV"/>
    <m/>
    <d v="2026-07-05T12:53:18"/>
  </r>
  <r>
    <s v="INITIATIVE MEDIA - NY"/>
    <n v="11563"/>
    <n v="4806"/>
    <s v="CARNIVAL CRUISE LINES"/>
    <s v="Carnival/2026/Scatter/Digital/MWC"/>
    <x v="65"/>
    <s v="CARNIVAL/S/SPORTS/25-26/MWC/Run of WC Video"/>
    <n v="580820"/>
    <s v="CARNIVAL/S/SPORTS/25-26/MWC/Run of WC Video/FS"/>
    <n v="93819867"/>
    <s v="FOX Sports"/>
    <s v="CPM"/>
    <n v="35"/>
    <s v="3P Imps"/>
    <n v="699810"/>
    <n v="24493.35"/>
    <m/>
    <m/>
    <s v=" "/>
    <n v="0"/>
    <m/>
    <m/>
    <n v="699810"/>
    <n v="699810"/>
    <n v="0"/>
    <n v="0"/>
    <n v="1"/>
    <n v="0"/>
    <n v="0"/>
    <n v="0"/>
    <s v="Bill on Actuals - 3rd Party Performance"/>
    <n v="12747.64"/>
    <n v="1620000"/>
    <n v="56700"/>
    <s v="Carnival/2026/Scatter/Digital/MWC"/>
    <n v="93819864"/>
    <s v="P2+"/>
    <s v="O-D2QJCT0-R7"/>
    <m/>
    <s v="Colleen Cahill"/>
    <s v="Guaranteed"/>
    <s v="DIO - ROV - FS - Pre/Mid - MWC - DT/MB/CTV"/>
    <n v="127378"/>
    <d v="2026-06-30T00:00:00"/>
    <d v="2026-06-01T00:00:00"/>
    <d v="2026-07-19T00:00:00"/>
    <s v="Direct ROV"/>
    <m/>
    <d v="2026-07-05T12:53:18"/>
  </r>
  <r>
    <s v="INITIATIVE MEDIA - NY"/>
    <n v="11563"/>
    <n v="4806"/>
    <s v="CARNIVAL CRUISE LINES"/>
    <s v="Carnival/2026/Scatter/Digital/MWC"/>
    <x v="65"/>
    <s v="CARNIVAL/S/SPORTS/25-26/MWC/Run of WC Video"/>
    <n v="580820"/>
    <s v="CARNIVAL/S/SPORTS/25-26/MWC/Run of WC Video/Tubi"/>
    <n v="93934717"/>
    <s v="Fox Sold Tubi"/>
    <s v="CPM"/>
    <n v="35"/>
    <s v="3P Imps"/>
    <n v="1729347"/>
    <n v="60527.14"/>
    <m/>
    <m/>
    <s v=" "/>
    <s v=""/>
    <m/>
    <m/>
    <n v="1729347"/>
    <n v="1729347"/>
    <n v="0"/>
    <n v="0"/>
    <n v="1"/>
    <n v="0"/>
    <n v="0"/>
    <n v="0"/>
    <s v="Bill on Actuals - 3rd Party Performance"/>
    <n v="29744.48"/>
    <n v="3780000"/>
    <n v="132300"/>
    <s v="Carnival/2026/Scatter/Digital/MWC"/>
    <n v="93819864"/>
    <s v="P2+"/>
    <s v="O-D2QJCT0-R7"/>
    <m/>
    <s v="Colleen Cahill"/>
    <s v="Guaranteed"/>
    <s v="DIO - LFV - TUB - Pre/Mid - MWC - DT/MB/CTV"/>
    <n v="127378"/>
    <d v="2026-06-30T00:00:00"/>
    <d v="2026-06-01T00:00:00"/>
    <d v="2026-07-19T00:00:00"/>
    <s v="Direct LFV"/>
    <m/>
    <d v="2026-07-05T12:53:18"/>
  </r>
  <r>
    <s v="INITIATIVE MEDIA - NY"/>
    <n v="11563"/>
    <n v="4806"/>
    <s v="CARNIVAL CRUISE LINES"/>
    <s v="Carnival/2026/Scatter/Digital/MWC"/>
    <x v="65"/>
    <s v="CARNIVAL/S/SPORTS/25-26/MWC/Run of FS Video"/>
    <n v="580823"/>
    <s v="CARNIVAL/S/SPORTS/25-26/ROV"/>
    <n v="93820067"/>
    <s v="FOX Sports"/>
    <s v="CPM"/>
    <n v="25"/>
    <s v="3P CoView Imps"/>
    <n v="498841"/>
    <n v="12471.02"/>
    <m/>
    <m/>
    <s v=" "/>
    <n v="0"/>
    <m/>
    <m/>
    <n v="425246"/>
    <n v="425246"/>
    <n v="498841"/>
    <n v="498841"/>
    <n v="1"/>
    <n v="1.1730666710504991"/>
    <n v="0"/>
    <n v="0"/>
    <s v="Bill on Actuals - 3rd Party Performance"/>
    <n v="5198.0200000000004"/>
    <n v="1000000"/>
    <n v="25000"/>
    <s v="Carnival/2026/Scatter/Digital/MWC"/>
    <n v="93819864"/>
    <s v="P2+"/>
    <s v="O-D2QJCT0-R7"/>
    <m/>
    <s v="Colleen Cahill"/>
    <s v="Guaranteed"/>
    <s v="DIO - ROV - FS - Pre/Mid - ROS - DT/MB/CTV"/>
    <n v="127378"/>
    <d v="2026-06-30T00:00:00"/>
    <d v="2026-06-01T00:00:00"/>
    <d v="2026-07-19T00:00:00"/>
    <s v="Direct ROV"/>
    <m/>
    <d v="2026-07-05T12:53:18"/>
  </r>
  <r>
    <s v="INITIATIVE MEDIA - NY"/>
    <n v="11563"/>
    <n v="4806"/>
    <s v="CARNIVAL CRUISE LINES"/>
    <s v="Carnival/2026/Scatter/Digital/MWC"/>
    <x v="65"/>
    <s v="CARNIVAL/S/SPORTS/25-26/MWC/Run of WC Display"/>
    <n v="580825"/>
    <s v="CARNIVAL/S/SPORTS/25-26/MWC/Display/ 320x50, 300x250, 728x90"/>
    <n v="7299167181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8183.080000000002"/>
    <n v="8333333"/>
    <n v="50000"/>
    <s v="Carnival/2026/Scatter/Digital/MWC"/>
    <n v="257594"/>
    <s v="P2+"/>
    <s v="O-D2QJCT0-R7"/>
    <m/>
    <s v="Colleen Cahill"/>
    <s v="Guaranteed"/>
    <s v="DIS - FS - Display Unit - MWC"/>
    <n v="127378"/>
    <d v="2026-06-30T00:00:00"/>
    <d v="2026-06-01T00:00:00"/>
    <d v="2026-07-19T00:00:00"/>
    <s v="Direct Display"/>
    <m/>
    <d v="2026-07-05T12:53:18"/>
  </r>
  <r>
    <s v="INITIATIVE MEDIA - NY"/>
    <n v="11563"/>
    <n v="4806"/>
    <s v="CARNIVAL CRUISE LINES"/>
    <s v="Carnival/2026/Scatter/Digital/MWC"/>
    <x v="65"/>
    <s v="CARNIVAL/S/SPORTS/25-26/MWC/SOCIAL"/>
    <n v="580840"/>
    <s v="CARNIVAL/S/SPORTS/25-26/MWC/SOCIAL/FB/IG"/>
    <n v="580841"/>
    <s v="FOX Sports - FB-Inst"/>
    <s v="Flat Rate"/>
    <n v="60000"/>
    <s v="Bill on Contract"/>
    <n v="0"/>
    <n v="18367.349999999999"/>
    <m/>
    <m/>
    <s v=" "/>
    <n v="0"/>
    <m/>
    <m/>
    <n v="0"/>
    <n v="0"/>
    <n v="0"/>
    <n v="0"/>
    <n v="1"/>
    <n v="0"/>
    <n v="0"/>
    <n v="0"/>
    <s v="Bill on Contract - Pro-rated"/>
    <n v="18367.349999999999"/>
    <n v="1"/>
    <n v="60000"/>
    <s v="Carnival/2026/Scatter/Digital/MWC"/>
    <n v="257594"/>
    <s v="P2+"/>
    <s v="O-D2QJCT0-R7"/>
    <m/>
    <s v="Colleen Cahill"/>
    <s v="Guaranteed"/>
    <s v="DIO - SOC - FOX Sports - Facebook/Instagram - MWC"/>
    <n v="127378"/>
    <d v="2026-06-30T00:00:00"/>
    <d v="2026-06-01T00:00:00"/>
    <d v="2026-07-19T00:00:00"/>
    <s v="Social Facebook/Instagram"/>
    <m/>
    <d v="2026-07-05T12:53:18"/>
  </r>
  <r>
    <s v="INITIATIVE MEDIA - NY"/>
    <n v="11563"/>
    <n v="4806"/>
    <s v="CARNIVAL CRUISE LINES"/>
    <s v="Carnival/2026/Scatter/Digital/MWC"/>
    <x v="65"/>
    <s v="CARNIVAL/S/SPORTS/25-26/MWC/SOCIAL"/>
    <n v="580840"/>
    <s v="CARNIVAL/S/SPORTS/25-26/MWC/SOCIAL/TT"/>
    <n v="580844"/>
    <s v="FOX Sports - TikTok"/>
    <s v="Flat Rate"/>
    <n v="60000"/>
    <s v="Bill on Contract"/>
    <n v="0"/>
    <n v="18367.349999999999"/>
    <m/>
    <m/>
    <s v=" "/>
    <s v=""/>
    <m/>
    <m/>
    <n v="0"/>
    <n v="0"/>
    <n v="0"/>
    <n v="0"/>
    <n v="1"/>
    <n v="0"/>
    <n v="0"/>
    <n v="0"/>
    <s v="Bill on Contract - Pro-rated"/>
    <n v="18367.349999999999"/>
    <n v="1"/>
    <n v="60000"/>
    <s v="Carnival/2026/Scatter/Digital/MWC"/>
    <n v="257594"/>
    <s v="P2+"/>
    <s v="O-D2QJCT0-R7"/>
    <m/>
    <s v="Colleen Cahill"/>
    <s v="Guaranteed"/>
    <s v="DIO - SOC - FOX Sports - TikTok - MWC"/>
    <n v="127378"/>
    <d v="2026-06-30T00:00:00"/>
    <d v="2026-06-01T00:00:00"/>
    <d v="2026-07-19T00:00:00"/>
    <s v="Social TikTok"/>
    <m/>
    <d v="2026-07-05T12:53:18"/>
  </r>
  <r>
    <s v="INITIATIVE MEDIA - NY"/>
    <n v="11563"/>
    <n v="4806"/>
    <s v="CARNIVAL CRUISE LINES"/>
    <s v="Carnival/2026/Scatter/Digital/MWC"/>
    <x v="65"/>
    <s v="CARNIVAL/S/SPORTS/25-26/MWC/SOCIAL"/>
    <n v="580840"/>
    <s v="CARNIVAL/S/SPORTS/25-26/MWC/SOCIAL/YOUTUBE"/>
    <n v="580843"/>
    <s v="FOX Sports"/>
    <s v="Flat Rate"/>
    <n v="60000"/>
    <s v="Bill on Contract"/>
    <n v="0"/>
    <n v="18367.349999999999"/>
    <m/>
    <m/>
    <s v=" "/>
    <s v=""/>
    <m/>
    <m/>
    <n v="0"/>
    <n v="0"/>
    <n v="0"/>
    <n v="0"/>
    <n v="1"/>
    <n v="0"/>
    <n v="0"/>
    <n v="0"/>
    <s v="Bill on Contract - Pro-rated"/>
    <n v="18367.349999999999"/>
    <n v="1"/>
    <n v="60000"/>
    <s v="Carnival/2026/Scatter/Digital/MWC"/>
    <n v="257594"/>
    <s v="P2+"/>
    <s v="O-D2QJCT0-R7"/>
    <m/>
    <s v="Colleen Cahill"/>
    <s v="Guaranteed"/>
    <s v="DIO - SOC - FOX Sports - Youtube - Custom Content - MWC"/>
    <n v="127378"/>
    <d v="2026-06-30T00:00:00"/>
    <d v="2026-06-01T00:00:00"/>
    <d v="2026-07-19T00:00:00"/>
    <s v="Social"/>
    <m/>
    <d v="2026-07-05T12:53:18"/>
  </r>
  <r>
    <s v="INITIATIVE MEDIA - NY"/>
    <n v="11563"/>
    <n v="4806"/>
    <s v="CARNIVAL CRUISE LINES"/>
    <s v="Carnival/2026/Scatter/Digital/MWC"/>
    <x v="65"/>
    <s v="CARNIVAL/S/SPORTS/25-26/ALLFOX/AAT"/>
    <n v="582660"/>
    <s v="CARNIVAL/S/SPORTS/25-26/ALLFOX/AAT/SEN"/>
    <n v="93820103"/>
    <s v="OneFOX"/>
    <s v="CPM"/>
    <n v="21"/>
    <s v="3P Audience Target"/>
    <n v="1943544"/>
    <n v="40814.42"/>
    <m/>
    <m/>
    <s v=" "/>
    <n v="0"/>
    <m/>
    <m/>
    <n v="1943544"/>
    <n v="1943544"/>
    <n v="0"/>
    <n v="0"/>
    <n v="1"/>
    <n v="0"/>
    <n v="0"/>
    <n v="0"/>
    <s v="Bill on Actuals - 3rd Party Performance"/>
    <n v="20534.07"/>
    <n v="2952380"/>
    <n v="61999.98"/>
    <s v="Carnival/2026/Scatter/Digital/MWC"/>
    <n v="93819864"/>
    <s v="Audience Target"/>
    <s v="O-D2QJCT0-R7"/>
    <m/>
    <s v="Colleen Cahill"/>
    <s v="Guaranteed"/>
    <s v="DIO - ROV - 1F - SEN - Pre/Mid - ROS - DT/MB/CTV - SXD"/>
    <n v="127378"/>
    <d v="2026-06-30T00:00:00"/>
    <d v="2026-06-01T00:00:00"/>
    <d v="2026-07-19T00:00:00"/>
    <s v="Direct ROV"/>
    <m/>
    <d v="2026-07-05T12:53:18"/>
  </r>
  <r>
    <s v="INITIATIVE MEDIA - NY"/>
    <n v="11563"/>
    <n v="4806"/>
    <s v="CARNIVAL CRUISE LINES"/>
    <s v="Carnival/2026/Scatter/Digital/MWC"/>
    <x v="65"/>
    <s v="CARNIVAL/S/SPORTS/25-26/ALLFOX/AAT"/>
    <n v="582660"/>
    <s v="CARNIVAL/S/SPORTS/25-26/ALLFOX/AAT/TUBI"/>
    <n v="93820094"/>
    <s v="Fox Sold Tubi"/>
    <s v="CPM"/>
    <n v="21"/>
    <s v="3P Audience Target"/>
    <n v="2938078"/>
    <n v="61699.64"/>
    <m/>
    <m/>
    <s v=" "/>
    <s v=""/>
    <m/>
    <m/>
    <n v="2938078"/>
    <n v="2938078"/>
    <n v="0"/>
    <n v="0"/>
    <n v="1"/>
    <n v="0"/>
    <n v="0"/>
    <n v="0"/>
    <s v="Bill on Actuals - 3rd Party Performance"/>
    <n v="30801.13"/>
    <n v="4428573"/>
    <n v="93000.03"/>
    <s v="Carnival/2026/Scatter/Digital/MWC"/>
    <n v="93819864"/>
    <s v="Audience Target"/>
    <s v="O-D2QJCT0-R7"/>
    <m/>
    <s v="Colleen Cahill"/>
    <s v="Guaranteed"/>
    <s v="DIO - LFV - 1F - Tubi - Pre/Mid - ROS - DT/MB/CTV - FW - SXD"/>
    <n v="127378"/>
    <d v="2026-06-30T00:00:00"/>
    <d v="2026-06-01T00:00:00"/>
    <d v="2026-07-19T00:00:00"/>
    <s v="Direct LFV"/>
    <m/>
    <d v="2026-07-05T12:53:18"/>
  </r>
  <r>
    <s v="INITIATIVE MEDIA - NY"/>
    <n v="11563"/>
    <n v="4806"/>
    <s v="CARNIVAL CRUISE LINES"/>
    <s v="Carnival/2026/Scatter/Digital/MWC"/>
    <x v="65"/>
    <s v="CARNIVAL/S/SPORTS/25-26/Run of FOX Sports Display"/>
    <n v="587925"/>
    <s v="CARNIVAL/S/SPORTS/25-26Display/300x600"/>
    <n v="7309213366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08.99"/>
    <n v="166667"/>
    <n v="1000"/>
    <s v="Carnival/2026/Scatter/Digital/MWC"/>
    <n v="257594"/>
    <s v="P2+"/>
    <s v="O-D2QJCT0-R7"/>
    <m/>
    <s v="Colleen Cahill"/>
    <s v="Guaranteed"/>
    <s v="DIS - FS - Display Unit - ROS"/>
    <n v="127378"/>
    <d v="2026-06-30T00:00:00"/>
    <d v="2026-06-01T00:00:00"/>
    <d v="2026-07-19T00:00:00"/>
    <s v="Direct Display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Run of FS Video"/>
    <n v="581023"/>
    <s v="CONSTELLATION BRANDS/S/SPORTS/25-26/ROV"/>
    <n v="93933372"/>
    <s v="FOX Sports"/>
    <s v="CPM"/>
    <n v="25"/>
    <s v="1P CoView Imps"/>
    <n v="548881"/>
    <n v="13722.02"/>
    <m/>
    <m/>
    <s v=" "/>
    <n v="0"/>
    <m/>
    <m/>
    <n v="444031"/>
    <n v="444031"/>
    <n v="548881"/>
    <n v="548881"/>
    <n v="1"/>
    <n v="1.236132455218625"/>
    <n v="0"/>
    <n v="0"/>
    <s v="Bill on Actuals - 3rd Party Performance"/>
    <n v="6860.83"/>
    <n v="1000000"/>
    <n v="25000"/>
    <s v="Constellation/2026/Scatter/Digital/MWC"/>
    <n v="93933353"/>
    <s v="P2+"/>
    <s v="O-D2UAT38-R1"/>
    <m/>
    <s v="Colleen Cahill"/>
    <s v="Guaranteed"/>
    <s v="DIO - ROV - FS - Pre/Mid - ROS - DT/MB/CTV"/>
    <n v="128041"/>
    <d v="2026-06-30T00:00:00"/>
    <d v="2026-06-01T00:00:00"/>
    <d v="2026-07-19T00:00:00"/>
    <s v="Direct ROV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Run of WC Display"/>
    <n v="581025"/>
    <s v="CONSTELLATION BRANDS/S/SPORTS/25-26/MWC/Display/ 320x50, 300x250, 728x90"/>
    <n v="7310117465"/>
    <s v="FOX Sports"/>
    <s v="CPM"/>
    <n v="6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47687.09"/>
    <n v="45833333"/>
    <n v="275000"/>
    <s v="Constellation/2026/Scatter/Digital/MWC"/>
    <n v="258950"/>
    <s v="P2+"/>
    <s v="O-D2UAT38-R1"/>
    <m/>
    <s v="Colleen Cahill"/>
    <s v="Guaranteed"/>
    <s v="DIS - FS - Display Unit - MWC"/>
    <n v="128041"/>
    <d v="2026-06-30T00:00:00"/>
    <d v="2026-06-01T00:00:00"/>
    <d v="2026-07-19T00:00:00"/>
    <s v="Direct Display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Run of WC Video"/>
    <n v="581027"/>
    <s v="CONSTELLATION BRANDS/S/SPORTS/25-26/MWC/Run of WC Video/FS"/>
    <n v="93933360"/>
    <s v="FOX Sports"/>
    <s v="CPM"/>
    <n v="30"/>
    <s v="1P Imps"/>
    <n v="1852091"/>
    <n v="55562.73"/>
    <m/>
    <m/>
    <s v=" "/>
    <n v="0"/>
    <m/>
    <m/>
    <n v="1852091"/>
    <n v="1852091"/>
    <n v="0"/>
    <n v="0"/>
    <n v="1"/>
    <n v="0"/>
    <n v="0"/>
    <n v="0"/>
    <s v="Bill on Actuals - 3rd Party Performance"/>
    <n v="27375.41"/>
    <n v="2750000"/>
    <n v="82500"/>
    <s v="Constellation/2026/Scatter/Digital/MWC"/>
    <n v="93933353"/>
    <s v="P2+"/>
    <s v="O-D2UAT38-R1"/>
    <m/>
    <s v="Colleen Cahill"/>
    <s v="Guaranteed"/>
    <s v="DIO - ROV - FS - Pre/Mid - MWC - DT/MB/CTV"/>
    <n v="128041"/>
    <d v="2026-06-30T00:00:00"/>
    <d v="2026-06-01T00:00:00"/>
    <d v="2026-07-19T00:00:00"/>
    <s v="Direct ROV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Run of WC Video"/>
    <n v="581027"/>
    <s v="CONSTELLATION BRANDS/S/SPORTS/25-26/MWC/Run of WC Video/TUBI"/>
    <n v="93943468"/>
    <s v="Fox Sold Tubi"/>
    <s v="CPM"/>
    <n v="30"/>
    <s v="1P Imps"/>
    <n v="4231334"/>
    <n v="126940.02"/>
    <m/>
    <m/>
    <s v=" "/>
    <s v=""/>
    <m/>
    <m/>
    <n v="4231334"/>
    <n v="4231334"/>
    <n v="0"/>
    <n v="0"/>
    <n v="1"/>
    <n v="0"/>
    <n v="0"/>
    <n v="0"/>
    <s v="Bill on Actuals - 3rd Party Performance"/>
    <n v="63875.96"/>
    <n v="6416667"/>
    <n v="192500.01"/>
    <s v="Constellation/2026/Scatter/Digital/MWC"/>
    <n v="93933353"/>
    <s v="P2+"/>
    <s v="O-D2UAT38-R1"/>
    <m/>
    <s v="Colleen Cahill"/>
    <s v="Guaranteed"/>
    <s v="DIO - LFV - TUB - Pre/Mid - MWC - DT/MB/CTV"/>
    <n v="128041"/>
    <d v="2026-06-30T00:00:00"/>
    <d v="2026-06-01T00:00:00"/>
    <d v="2026-07-19T00:00:00"/>
    <s v="Direct LFV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SOCIAL"/>
    <n v="581030"/>
    <s v="CONSTELLATION BRANDS/S/SPORTS/25-26/MWC/SOCIAL/FB/IG"/>
    <n v="581031"/>
    <s v="FOX Sports - FB-Inst"/>
    <s v="Flat Rate"/>
    <n v="100000"/>
    <s v="Bill on Contract"/>
    <n v="0"/>
    <n v="30612.240000000002"/>
    <m/>
    <m/>
    <s v=" "/>
    <n v="0"/>
    <m/>
    <m/>
    <n v="0"/>
    <n v="0"/>
    <n v="0"/>
    <n v="0"/>
    <n v="1"/>
    <n v="0"/>
    <n v="0"/>
    <n v="0"/>
    <s v="Bill on Contract - Pro-rated"/>
    <n v="30612.240000000002"/>
    <n v="1"/>
    <n v="100000"/>
    <s v="Constellation/2026/Scatter/Digital/MWC"/>
    <n v="258950"/>
    <s v="P2+"/>
    <s v="O-D2UAT38-R1"/>
    <m/>
    <s v="Colleen Cahill"/>
    <s v="Guaranteed"/>
    <s v="DIO - SOC - FOX Sports - Facebook/Instagram - MWC"/>
    <n v="128041"/>
    <d v="2026-06-30T00:00:00"/>
    <d v="2026-06-01T00:00:00"/>
    <d v="2026-07-19T00:00:00"/>
    <s v="Social Facebook/Instagram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SOCIAL"/>
    <n v="581030"/>
    <s v="CONSTELLATION BRANDS/S/SPORTS/25-26/MWC/SOCIAL/TT"/>
    <n v="581034"/>
    <s v="FOX Sports - TikTok"/>
    <s v="Flat Rate"/>
    <n v="100000"/>
    <s v="Bill on Contract"/>
    <n v="0"/>
    <n v="30612.240000000002"/>
    <m/>
    <m/>
    <s v=" "/>
    <s v=""/>
    <m/>
    <m/>
    <n v="0"/>
    <n v="0"/>
    <n v="0"/>
    <n v="0"/>
    <n v="1"/>
    <n v="0"/>
    <n v="0"/>
    <n v="0"/>
    <s v="Bill on Contract - Pro-rated"/>
    <n v="30612.240000000002"/>
    <n v="1"/>
    <n v="100000"/>
    <s v="Constellation/2026/Scatter/Digital/MWC"/>
    <n v="258950"/>
    <s v="P2+"/>
    <s v="O-D2UAT38-R1"/>
    <m/>
    <s v="Colleen Cahill"/>
    <s v="Guaranteed"/>
    <s v="DIO - SOC - FOX Sports - TikTok - MWC"/>
    <n v="128041"/>
    <d v="2026-06-30T00:00:00"/>
    <d v="2026-06-01T00:00:00"/>
    <d v="2026-07-19T00:00:00"/>
    <s v="Social TikTok"/>
    <m/>
    <d v="2026-07-05T12:53:18"/>
  </r>
  <r>
    <s v="INITIATIVE MEDIA - NY"/>
    <n v="11563"/>
    <n v="8592"/>
    <s v="CONSTELLATION BRANDS"/>
    <s v="Constellation/2026/Scatter/Digital/MWC"/>
    <x v="66"/>
    <s v="CONSTELLATION BRANDS/S/SPORTS/25-26/MWC/SOCIAL"/>
    <n v="581030"/>
    <s v="CONSTELLATION BRANDS/S/SPORTS/25-26/MWC/SOCIAL/YOUTUBE"/>
    <n v="581033"/>
    <s v="FOX Sports"/>
    <s v="Flat Rate"/>
    <n v="100000"/>
    <s v="Bill on Contract"/>
    <n v="0"/>
    <n v="30612.240000000002"/>
    <m/>
    <m/>
    <s v=" "/>
    <s v=""/>
    <m/>
    <m/>
    <n v="0"/>
    <n v="0"/>
    <n v="0"/>
    <n v="0"/>
    <n v="1"/>
    <n v="0"/>
    <n v="0"/>
    <n v="0"/>
    <s v="Bill on Contract - Pro-rated"/>
    <n v="30612.240000000002"/>
    <n v="1"/>
    <n v="100000"/>
    <s v="Constellation/2026/Scatter/Digital/MWC"/>
    <n v="258950"/>
    <s v="P2+"/>
    <s v="O-D2UAT38-R1"/>
    <m/>
    <s v="Colleen Cahill"/>
    <s v="Guaranteed"/>
    <s v="DIO - SOC - FOX Sports - Youtube - Custom Content - MWC"/>
    <n v="128041"/>
    <d v="2026-06-30T00:00:00"/>
    <d v="2026-06-01T00:00:00"/>
    <d v="2026-07-19T00:00:00"/>
    <s v="Social"/>
    <m/>
    <d v="2026-07-05T12:53:18"/>
  </r>
  <r>
    <s v="INITIATIVE MEDIA - NY"/>
    <n v="11563"/>
    <n v="8592"/>
    <s v="CONSTELLATION BRANDS"/>
    <s v="Constellation/2026/Scatter/Digital/MWC"/>
    <x v="66"/>
    <s v="CONSTELLATION BRANDS/S/SPORTS/25-26/ALLFOX/AAT"/>
    <n v="582669"/>
    <s v="CONSTELLATION BRANDS/S/SPORTS/25-26/ALLFOX/AAT/SEN"/>
    <n v="93933384"/>
    <s v="OneFOX"/>
    <s v="CPM"/>
    <n v="23.53"/>
    <s v="1P Audience Target"/>
    <n v="1262126"/>
    <n v="29697.82"/>
    <m/>
    <m/>
    <s v=" "/>
    <n v="0"/>
    <m/>
    <m/>
    <n v="1262126"/>
    <n v="1262126"/>
    <n v="0"/>
    <n v="0"/>
    <n v="1"/>
    <n v="0"/>
    <n v="0"/>
    <n v="0"/>
    <s v="Bill on Actuals - 3rd Party Performance"/>
    <n v="14998.93"/>
    <n v="1938512"/>
    <n v="45613.19"/>
    <s v="Constellation/2026/Scatter/Digital/MWC"/>
    <n v="93933353"/>
    <s v="Audience Target"/>
    <s v="O-D2UAT38-R1"/>
    <m/>
    <s v="Colleen Cahill"/>
    <s v="Guaranteed"/>
    <s v="DIO - ROV - 1F - SEN - Pre/Mid - ROS - DT/MB/CTV - SXD"/>
    <n v="128041"/>
    <d v="2026-06-30T00:00:00"/>
    <d v="2026-06-01T00:00:00"/>
    <d v="2026-07-19T00:00:00"/>
    <s v="Direct ROV"/>
    <m/>
    <d v="2026-07-05T12:53:18"/>
  </r>
  <r>
    <s v="INITIATIVE MEDIA - NY"/>
    <n v="11563"/>
    <n v="8592"/>
    <s v="CONSTELLATION BRANDS"/>
    <s v="Constellation/2026/Scatter/Digital/MWC"/>
    <x v="66"/>
    <s v="CONSTELLATION BRANDS/S/SPORTS/25-26/ALLFOX/AAT"/>
    <n v="582669"/>
    <s v="CONSTELLATION BRANDS/S/SPORTS/25-26/ALLFOX/AAT/TUBI"/>
    <n v="93933356"/>
    <s v="Fox Sold Tubi"/>
    <s v="CPM"/>
    <n v="23.53"/>
    <s v="1P Audience Target"/>
    <n v="1925068"/>
    <n v="45296.85"/>
    <m/>
    <m/>
    <s v=" "/>
    <s v=""/>
    <m/>
    <m/>
    <n v="1925068"/>
    <n v="1925068"/>
    <n v="0"/>
    <n v="0"/>
    <n v="1"/>
    <n v="0"/>
    <n v="0"/>
    <n v="0"/>
    <s v="Bill on Actuals - 3rd Party Performance"/>
    <n v="22498.41"/>
    <n v="2907770"/>
    <n v="68419.83"/>
    <s v="Constellation/2026/Scatter/Digital/MWC"/>
    <n v="93933353"/>
    <s v="Audience Target"/>
    <s v="O-D2UAT38-R1"/>
    <m/>
    <s v="Colleen Cahill"/>
    <s v="Guaranteed"/>
    <s v="DIO - LFV - 1F - Tubi - Pre/Mid - ROS - DT/MB/CTV - FW - SXD"/>
    <n v="128041"/>
    <d v="2026-06-30T00:00:00"/>
    <d v="2026-06-01T00:00:00"/>
    <d v="2026-07-19T00:00:00"/>
    <s v="Direct LFV"/>
    <m/>
    <d v="2026-07-05T12:53:18"/>
  </r>
  <r>
    <s v="INITIATIVE MEDIA - NY"/>
    <n v="11563"/>
    <n v="8592"/>
    <s v="CONSTELLATION BRANDS"/>
    <s v="Constellation/Modelo/25-26/Upfront/Digital/Sports/Streaming"/>
    <x v="67"/>
    <s v="MODELO/UF/SPORTS/D/25-26/P2+/2Q'26"/>
    <n v="534730"/>
    <s v="MODELO/UF/SPORTS/D/25-26/P2+/ROV/2Q'26/JUNE"/>
    <n v="93476181"/>
    <s v="FOX Sports"/>
    <s v="CPM"/>
    <n v="25"/>
    <s v="1P CoView Imps"/>
    <n v="206503"/>
    <n v="5101.58"/>
    <m/>
    <m/>
    <s v=" "/>
    <n v="0"/>
    <m/>
    <s v="Show Only Net; NONE"/>
    <n v="169926"/>
    <n v="169926"/>
    <n v="206503"/>
    <n v="206503"/>
    <n v="1"/>
    <n v="1.215257525870179"/>
    <n v="0"/>
    <n v="0"/>
    <s v="Bill on Actuals - 3rd Party Performance"/>
    <n v="2277.27"/>
    <n v="204063"/>
    <n v="5101.58"/>
    <s v="Constellation/Modelo/25-26/Upfront/Digital/Sports/Streaming"/>
    <n v="88709807"/>
    <s v="P2+"/>
    <s v="O-D2M77FN-R2"/>
    <m/>
    <s v="Colleen Cahill"/>
    <s v="Guaranteed"/>
    <s v="ROV - FS - Pre/Mid - ROS - DT/MB/CTV"/>
    <n v="96408"/>
    <d v="2026-06-30T00:00:00"/>
    <d v="2026-04-01T00:00:00"/>
    <d v="2026-06-30T00:00:00"/>
    <s v="Direct ROV"/>
    <m/>
    <d v="2026-07-05T12:53:18"/>
  </r>
  <r>
    <s v="INITIATIVE MEDIA - NY"/>
    <n v="11563"/>
    <n v="8592"/>
    <s v="CONSTELLATION BRANDS"/>
    <s v="Constellation/Modelo/25-26/Upfront/Digital/Sports/Streaming"/>
    <x v="67"/>
    <s v="MODELO/UF/SPORTS/D/25-26/P2+/2Q'26"/>
    <n v="534730"/>
    <s v="MODELO/UF/SPORTS/D/25-26/P2+/SFV/FSEN/2Q'26/JUNE"/>
    <n v="94376472"/>
    <s v="FSEN"/>
    <s v="CPM"/>
    <n v="25"/>
    <s v="1P Imps"/>
    <n v="409207"/>
    <n v="10000"/>
    <m/>
    <m/>
    <s v=" "/>
    <s v=""/>
    <m/>
    <m/>
    <n v="409207"/>
    <n v="409207"/>
    <n v="0"/>
    <n v="0"/>
    <n v="1"/>
    <n v="0.99297504015996041"/>
    <n v="0"/>
    <n v="0"/>
    <s v="Bill on Actuals - 3rd Party Performance"/>
    <n v="4463.8500000000004"/>
    <n v="400000"/>
    <n v="10000"/>
    <s v="Constellation/Modelo/25-26/Upfront/Digital/Sports/Streaming"/>
    <n v="88709807"/>
    <s v="P2+"/>
    <s v="O-D2M77FN-R2"/>
    <m/>
    <s v="Colleen Cahill"/>
    <s v="Guaranteed"/>
    <s v="DIO - SFV - FSEN - Pre - ROS - DT/MB/CTV - non-CoV"/>
    <n v="96408"/>
    <d v="2026-06-30T00:00:00"/>
    <d v="2026-04-01T00:00:00"/>
    <d v="2026-06-30T00:00:00"/>
    <s v="Direct SFV"/>
    <m/>
    <d v="2026-07-05T12:53:18"/>
  </r>
  <r>
    <s v="INITIATIVE MEDIA - NY"/>
    <n v="11563"/>
    <n v="9010"/>
    <s v="EGGLANDS FOOD COMPANY"/>
    <s v="Eggland's Best/Digital/Scatter/Entertainment/2Q-3Q26"/>
    <x v="68"/>
    <s v="EGGLAND'S BEST/D/ENT/SCATTER/RON/2-3Q'26"/>
    <n v="549546"/>
    <s v="EGGLAND'S BEST/D/ENT/SCATTER/RON/P2+/2-3Q'26"/>
    <n v="90185501"/>
    <s v="RON - Ent"/>
    <s v="CPM"/>
    <n v="20.100000000000001"/>
    <s v="3P CoView Imps"/>
    <n v="2241805"/>
    <n v="45060.28"/>
    <m/>
    <m/>
    <s v=" "/>
    <n v="0"/>
    <m/>
    <s v="Show Only Net; NONE"/>
    <n v="400572"/>
    <n v="1680988"/>
    <n v="534212"/>
    <n v="2241805"/>
    <n v="1"/>
    <n v="1.33362370425098"/>
    <n v="0"/>
    <n v="0"/>
    <s v="Bill on Actuals - 3rd Party Performance"/>
    <n v="9809.91"/>
    <n v="9950249"/>
    <n v="200000"/>
    <s v="Eggland's Best/Digital/Scatter/Entertainment/2Q-3Q26"/>
    <n v="90185496"/>
    <s v="P2+"/>
    <s v="O-D2NU8VF-R4"/>
    <m/>
    <s v="Jeanne Feeley"/>
    <s v="Guaranteed"/>
    <s v="DIO - LFV - RON Ent - Pre/Mid - ROS - DT/MB/CTV/STB"/>
    <n v="105784"/>
    <d v="2026-06-30T00:00:00"/>
    <d v="2026-04-13T00:00:00"/>
    <d v="2026-09-30T00:00:00"/>
    <s v="Direct LFV"/>
    <m/>
    <d v="2026-07-05T12:53:18"/>
  </r>
  <r>
    <s v="INITIATIVE MEDIA - NY"/>
    <n v="11563"/>
    <n v="9010"/>
    <s v="EGGLANDS FOOD COMPANY"/>
    <s v="Eggland's Best/Digital/Scatter/Entertainment/2Q-3Q26"/>
    <x v="68"/>
    <s v="EGGLAND'S BEST/LFV/Amplified Absolute A Show Mix /P2+/2-3Q'26"/>
    <n v="549549"/>
    <s v="EGGLAND'S BEST/LFV/Amplified Absolute A Show Mix /RON/P2+/2-3Q'26"/>
    <n v="90185499"/>
    <s v="RON - Ent"/>
    <s v="CPM"/>
    <n v="34"/>
    <s v="Absolute A"/>
    <n v="264776"/>
    <n v="9002.4"/>
    <m/>
    <m/>
    <s v=" "/>
    <n v="0"/>
    <m/>
    <m/>
    <n v="220647"/>
    <n v="220647"/>
    <n v="264776"/>
    <n v="264776"/>
    <n v="1"/>
    <n v="1.2"/>
    <n v="0"/>
    <n v="0"/>
    <s v="Bill on Actuals - 3rd Party Performance"/>
    <n v="7518.83"/>
    <n v="1470589"/>
    <n v="50000.03"/>
    <s v="Eggland's Best/Digital/Scatter/Entertainment/2Q-3Q26"/>
    <n v="90185496"/>
    <s v="P2+"/>
    <s v="O-D2NU8VF-R4"/>
    <m/>
    <s v="Jeanne Feeley"/>
    <s v="Guaranteed"/>
    <s v="DIO - LFV - RON Ent - Amplified Absolute A - Show Mix - DT/MB/CTV/STB"/>
    <n v="105784"/>
    <d v="2026-06-30T00:00:00"/>
    <d v="2026-05-20T00:00:00"/>
    <d v="2026-06-04T00:00:00"/>
    <s v="Direct LFV"/>
    <m/>
    <d v="2026-07-05T12:53:18"/>
  </r>
  <r>
    <s v="INITIATIVE MEDIA - NY"/>
    <n v="11563"/>
    <n v="9010"/>
    <s v="EGGLANDS FOOD COMPANY"/>
    <s v="Eggland's Best/Digital/Scatter/Entertainment/2Q-3Q26"/>
    <x v="68"/>
    <s v="EGGLAND'S BEST/D/ENT/SCATTER/SOCIAL/@Foodclubfox"/>
    <n v="549554"/>
    <s v="EGGLAND'S BEST/D/ENT/SCATTER/SOCIAL/@Foodclubfox"/>
    <n v="549554"/>
    <s v="Fox - FB-Insta"/>
    <s v="Flat Rate"/>
    <n v="50000"/>
    <s v="Bill on Contract"/>
    <n v="0"/>
    <n v="18181.82"/>
    <m/>
    <m/>
    <s v=" "/>
    <n v="0"/>
    <m/>
    <m/>
    <n v="0"/>
    <n v="0"/>
    <n v="0"/>
    <n v="0"/>
    <n v="1"/>
    <n v="0"/>
    <n v="0"/>
    <n v="0"/>
    <s v="Bill on Contract - Pro-rated"/>
    <n v="18181.82"/>
    <n v="1"/>
    <n v="50000"/>
    <s v="Eggland's Best/Digital/Scatter/Entertainment/2Q-3Q26"/>
    <n v="257492"/>
    <s v="P2+"/>
    <s v="O-D2NU8VF-R4"/>
    <m/>
    <s v="Jeanne Feeley"/>
    <s v="Guaranteed"/>
    <s v="DIO - SOC - FOX Ent - Facebook/Instagram"/>
    <n v="105784"/>
    <d v="2026-06-30T00:00:00"/>
    <d v="2026-05-18T00:00:00"/>
    <d v="2026-06-08T00:00:00"/>
    <s v="Social Facebook/Instagram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PrePaid"/>
    <n v="582543"/>
    <s v="T-MOBILE/S/SPORTS/25-26/MWC/Run of WC Video/FS/2Q'26/PrePaid"/>
    <n v="93956985"/>
    <s v="FOX Sports"/>
    <s v="CPM"/>
    <n v="30"/>
    <s v="3P Imps"/>
    <n v="1132847"/>
    <n v="33750"/>
    <m/>
    <m/>
    <s v=" "/>
    <n v="0"/>
    <m/>
    <m/>
    <n v="1132847"/>
    <n v="1132847"/>
    <n v="0"/>
    <n v="0"/>
    <n v="1"/>
    <n v="0"/>
    <n v="0"/>
    <n v="0"/>
    <s v="Bill on Actuals - 3rd Party Performance"/>
    <n v="16875"/>
    <n v="1125000"/>
    <n v="33750"/>
    <s v="T-Mobile/2026/Scatter/Digital/MWC/2Q'26"/>
    <n v="93956943"/>
    <s v="P2+"/>
    <s v="O-D2T2IF5-R6"/>
    <m/>
    <s v="Colleen Cahill"/>
    <s v="Guaranteed"/>
    <s v="DIO - ROV - FS - Pre/Mid - MWC - DT/MB/CTV"/>
    <n v="128160"/>
    <d v="2026-06-30T00:00:00"/>
    <d v="2026-06-01T00:00:00"/>
    <d v="2026-06-30T00:00:00"/>
    <s v="Direct ROV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PrePaid"/>
    <n v="582543"/>
    <s v="T-MOBILE/S/SPORTS/25-26/MWC/Run of WC Video/Tubi/2Q'26/PrePaid"/>
    <n v="93956961"/>
    <s v="Fox Sold Tubi"/>
    <s v="CPM"/>
    <n v="30"/>
    <s v="3P Imps"/>
    <n v="2699673"/>
    <n v="78750"/>
    <m/>
    <m/>
    <s v=" "/>
    <s v=""/>
    <m/>
    <m/>
    <n v="2699673"/>
    <n v="2699673"/>
    <n v="0"/>
    <n v="0"/>
    <n v="1"/>
    <n v="0"/>
    <n v="0"/>
    <n v="0"/>
    <s v="Bill on Actuals - 3rd Party Performance"/>
    <n v="39375"/>
    <n v="2625000"/>
    <n v="78750"/>
    <s v="T-Mobile/2026/Scatter/Digital/MWC/2Q'26"/>
    <n v="93956943"/>
    <s v="P2+"/>
    <s v="O-D2T2IF5-R6"/>
    <m/>
    <s v="Colleen Cahill"/>
    <s v="Guaranteed"/>
    <s v="DIO - LFV - TUB - Pre/Mid - MWC - DT/MB/CTV"/>
    <n v="128160"/>
    <d v="2026-06-30T00:00:00"/>
    <d v="2026-06-01T00:00:00"/>
    <d v="2026-06-30T00:00:00"/>
    <s v="Direct LFV"/>
    <m/>
    <d v="2026-07-05T12:53:18"/>
  </r>
  <r>
    <s v="INITIATIVE MEDIA - NY"/>
    <n v="11563"/>
    <n v="3802"/>
    <s v="T-MOBILE"/>
    <s v="T-Mobile/2026/Scatter/Digital/MWC/2Q'26"/>
    <x v="69"/>
    <s v="T-MOBILE/S/SPORTS/25-26/MWC/SOCIAL/2Q'26/PostPaid"/>
    <n v="582735"/>
    <s v="T-MOBILE/S/SPORTS/25-26/MWC/SOCIAL/FB/IG/2Q'26/PostPaid"/>
    <n v="582736"/>
    <s v="FOX Sports - FB-Inst"/>
    <s v="Flat Rate"/>
    <n v="150000"/>
    <s v="Bill on Contract"/>
    <n v="0"/>
    <n v="75000"/>
    <m/>
    <m/>
    <s v=" "/>
    <n v="0"/>
    <m/>
    <m/>
    <n v="0"/>
    <n v="0"/>
    <n v="0"/>
    <n v="0"/>
    <n v="1"/>
    <n v="0"/>
    <n v="0"/>
    <n v="0"/>
    <s v="Bill on Contract - Pro-rated"/>
    <n v="75000"/>
    <n v="1"/>
    <n v="150000"/>
    <s v="T-Mobile/2026/Scatter/Digital/MWC/2Q'26"/>
    <n v="258952"/>
    <s v="P2+"/>
    <s v="O-D2T2IF5-R6"/>
    <m/>
    <s v="Colleen Cahill"/>
    <s v="Guaranteed"/>
    <s v="DIO - SOC - FOX Sports - Facebook/Instagram - MWC"/>
    <n v="128160"/>
    <d v="2026-06-30T00:00:00"/>
    <d v="2026-06-01T00:00:00"/>
    <d v="2026-06-30T00:00:00"/>
    <s v="Social Facebook/Instagram"/>
    <m/>
    <d v="2026-07-05T12:53:18"/>
  </r>
  <r>
    <s v="INITIATIVE MEDIA - NY"/>
    <n v="11563"/>
    <n v="3802"/>
    <s v="T-MOBILE"/>
    <s v="T-Mobile/2026/Scatter/Digital/MWC/2Q'26"/>
    <x v="69"/>
    <s v="T-MOBILE/S/SPORTS/25-26/MWC/SOCIAL/2Q'26/PostPaid"/>
    <n v="582735"/>
    <s v="T-MOBILE/S/SPORTS/25-26/MWC/SOCIAL/TT/2Q'26/PostPaid"/>
    <n v="582739"/>
    <s v="FOX Sports - TikTok"/>
    <s v="Flat Rate"/>
    <n v="150000"/>
    <s v="Bill on Contract"/>
    <n v="0"/>
    <n v="75000"/>
    <m/>
    <m/>
    <s v=" "/>
    <s v=""/>
    <m/>
    <m/>
    <n v="0"/>
    <n v="0"/>
    <n v="0"/>
    <n v="0"/>
    <n v="1"/>
    <n v="0"/>
    <n v="0"/>
    <n v="0"/>
    <s v="Bill on Contract - Pro-rated"/>
    <n v="75000"/>
    <n v="1"/>
    <n v="150000"/>
    <s v="T-Mobile/2026/Scatter/Digital/MWC/2Q'26"/>
    <n v="258952"/>
    <s v="P2+"/>
    <s v="O-D2T2IF5-R6"/>
    <m/>
    <s v="Colleen Cahill"/>
    <s v="Guaranteed"/>
    <s v="DIO - SOC - FOX Sports - TikTok - MWC"/>
    <n v="128160"/>
    <d v="2026-06-30T00:00:00"/>
    <d v="2026-06-01T00:00:00"/>
    <d v="2026-06-30T00:00:00"/>
    <s v="Social TikTok"/>
    <m/>
    <d v="2026-07-05T12:53:18"/>
  </r>
  <r>
    <s v="INITIATIVE MEDIA - NY"/>
    <n v="11563"/>
    <n v="3802"/>
    <s v="T-MOBILE"/>
    <s v="T-Mobile/2026/Scatter/Digital/MWC/2Q'26"/>
    <x v="69"/>
    <s v="T-MOBILE/S/SPORTS/25-26/MWC/SOCIAL/2Q'26/PostPaid"/>
    <n v="582735"/>
    <s v="T-MOBILE/S/SPORTS/25-26/MWC/SOCIAL/YOUTUBE/2Q'26/PostPaid"/>
    <n v="582738"/>
    <s v="FOX Sports"/>
    <s v="Flat Rate"/>
    <n v="150000"/>
    <s v="Bill on Contract"/>
    <n v="0"/>
    <n v="75000"/>
    <m/>
    <m/>
    <s v=" "/>
    <s v=""/>
    <m/>
    <m/>
    <n v="0"/>
    <n v="0"/>
    <n v="0"/>
    <n v="0"/>
    <n v="1"/>
    <n v="0"/>
    <n v="0"/>
    <n v="0"/>
    <s v="Bill on Contract - Pro-rated"/>
    <n v="75000"/>
    <n v="1"/>
    <n v="150000"/>
    <s v="T-Mobile/2026/Scatter/Digital/MWC/2Q'26"/>
    <n v="258952"/>
    <s v="P2+"/>
    <s v="O-D2T2IF5-R6"/>
    <m/>
    <s v="Colleen Cahill"/>
    <s v="Guaranteed"/>
    <s v="DIO - SOC - FOX Sports - Youtube - Custom Content - MWC"/>
    <n v="128160"/>
    <d v="2026-06-30T00:00:00"/>
    <d v="2026-06-01T00:00:00"/>
    <d v="2026-06-30T00:00:00"/>
    <s v="Social"/>
    <m/>
    <d v="2026-07-05T12:53:18"/>
  </r>
  <r>
    <s v="INITIATIVE MEDIA - NY"/>
    <n v="11563"/>
    <n v="3802"/>
    <s v="T-MOBILE"/>
    <s v="T-Mobile/2026/Scatter/Digital/MWC/2Q'26"/>
    <x v="69"/>
    <s v="T-MOBILE/S/SPORTS/25-26/MWC ON X/2Q'26/PostPaid"/>
    <n v="582741"/>
    <s v="T-MOBILE/S/SPORTS/25-26/MWC/SOCIAL/X/2Q'26/PostPaid"/>
    <n v="582743"/>
    <s v="FOX Sports - Twitter"/>
    <s v="Flat Rate"/>
    <n v="425000"/>
    <s v="Bill on Contract"/>
    <n v="0"/>
    <n v="212500"/>
    <m/>
    <m/>
    <s v=" "/>
    <n v="0"/>
    <m/>
    <m/>
    <n v="0"/>
    <n v="0"/>
    <n v="0"/>
    <n v="0"/>
    <n v="1"/>
    <n v="0"/>
    <n v="0"/>
    <n v="0"/>
    <s v="Bill on Contract - Pro-rated"/>
    <n v="212500"/>
    <n v="1"/>
    <n v="425000"/>
    <s v="T-Mobile/2026/Scatter/Digital/MWC/2Q'26"/>
    <n v="258952"/>
    <s v="P2+"/>
    <s v="O-D2T2IF5-R6"/>
    <m/>
    <s v="Colleen Cahill"/>
    <s v="Guaranteed"/>
    <s v="DIO - SOC - FOX Sports - X - MWC"/>
    <n v="128160"/>
    <d v="2026-06-30T00:00:00"/>
    <d v="2026-06-01T00:00:00"/>
    <d v="2026-06-30T00:00:00"/>
    <s v="Social X"/>
    <m/>
    <d v="2026-07-05T12:53:18"/>
  </r>
  <r>
    <s v="INITIATIVE MEDIA - NY"/>
    <n v="11563"/>
    <n v="3802"/>
    <s v="T-MOBILE"/>
    <s v="T-Mobile/2026/Scatter/Digital/MWC/2Q'26"/>
    <x v="69"/>
    <s v="T-MOBILE/S/SPORTS/25-26/MWC/YOUTUBE/2Q'26/PrePaid"/>
    <n v="582751"/>
    <s v="T-MOBILE/S/SPORTS/25-26/MWC- Targeted YOUTUBE/2Q'26/PrePaid"/>
    <n v="93956991"/>
    <s v="FOX Sports"/>
    <s v="CPM"/>
    <n v="28"/>
    <s v="3P Imps"/>
    <n v="1348134"/>
    <n v="37500.01"/>
    <m/>
    <m/>
    <s v=" "/>
    <n v="0"/>
    <m/>
    <m/>
    <n v="1348134"/>
    <n v="1348134"/>
    <n v="0"/>
    <n v="0"/>
    <n v="1"/>
    <n v="0"/>
    <n v="0"/>
    <n v="0"/>
    <s v="Bill on Actuals - 3rd Party Performance"/>
    <n v="18750.009999999998"/>
    <n v="1339286"/>
    <n v="37500.01"/>
    <s v="T-Mobile/2026/Scatter/Digital/MWC/2Q'26"/>
    <n v="93956943"/>
    <s v="P2+"/>
    <s v="O-D2T2IF5-R6"/>
    <m/>
    <s v="Colleen Cahill"/>
    <s v="Guaranteed"/>
    <s v="DIO - ROV - FS - Pre/Mid - MWC - DT/MB/CTV"/>
    <n v="128160"/>
    <d v="2026-06-30T00:00:00"/>
    <d v="2026-06-01T00:00:00"/>
    <d v="2026-06-30T00:00:00"/>
    <s v="Direct ROV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PostPaid"/>
    <n v="587736"/>
    <s v="T-MOBILE/S/SPORTS/25-26/MWC/Run of WC Video/FS/2Q'26/PostPaid"/>
    <n v="93956955"/>
    <s v="FOX Sports"/>
    <s v="CPM"/>
    <n v="30"/>
    <s v="3P Imps"/>
    <n v="1809329"/>
    <n v="54000"/>
    <m/>
    <m/>
    <s v=" "/>
    <n v="0"/>
    <m/>
    <m/>
    <n v="1809329"/>
    <n v="1809329"/>
    <n v="0"/>
    <n v="0"/>
    <n v="1"/>
    <n v="0"/>
    <n v="0"/>
    <n v="0"/>
    <s v="Bill on Actuals - 3rd Party Performance"/>
    <n v="27000"/>
    <n v="1800000"/>
    <n v="54000"/>
    <s v="T-Mobile/2026/Scatter/Digital/MWC/2Q'26"/>
    <n v="93956943"/>
    <s v="P2+"/>
    <s v="O-D2T2IF5-R6"/>
    <m/>
    <s v="Colleen Cahill"/>
    <s v="Guaranteed"/>
    <s v="DIO - ROV - FS - Pre/Mid - MWC - DT/MB/CTV"/>
    <n v="128160"/>
    <d v="2026-06-30T00:00:00"/>
    <d v="2026-06-01T00:00:00"/>
    <d v="2026-06-30T00:00:00"/>
    <s v="Direct ROV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PostPaid"/>
    <n v="587736"/>
    <s v="T-MOBILE/S/SPORTS/25-26/MWC/Run of WC Video/Tubi/2Q'26/PostPaid"/>
    <n v="93956997"/>
    <s v="Fox Sold Tubi"/>
    <s v="CPM"/>
    <n v="30"/>
    <s v="3P Imps"/>
    <n v="4321470"/>
    <n v="126000"/>
    <m/>
    <m/>
    <s v=" "/>
    <s v=""/>
    <m/>
    <m/>
    <n v="4321470"/>
    <n v="4321470"/>
    <n v="0"/>
    <n v="0"/>
    <n v="1"/>
    <n v="0"/>
    <n v="0"/>
    <n v="0"/>
    <s v="Bill on Actuals - 3rd Party Performance"/>
    <n v="63000"/>
    <n v="4200000"/>
    <n v="126000"/>
    <s v="T-Mobile/2026/Scatter/Digital/MWC/2Q'26"/>
    <n v="93956943"/>
    <s v="P2+"/>
    <s v="O-D2T2IF5-R6"/>
    <m/>
    <s v="Colleen Cahill"/>
    <s v="Guaranteed"/>
    <s v="DIO - LFV - TUB - Pre/Mid - MWC - DT/MB/CTV"/>
    <n v="128160"/>
    <d v="2026-06-30T00:00:00"/>
    <d v="2026-06-01T00:00:00"/>
    <d v="2026-06-30T00:00:00"/>
    <s v="Direct LFV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Broadband"/>
    <n v="587739"/>
    <s v="T-MOBILE/S/SPORTS/25-26/MWC/Run of WC Video/FS/2Q'26/Broadband"/>
    <n v="93956949"/>
    <s v="FOX Sports"/>
    <s v="CPM"/>
    <n v="30"/>
    <s v="3P Imps"/>
    <n v="1584248"/>
    <n v="47250"/>
    <m/>
    <m/>
    <s v=" "/>
    <n v="0"/>
    <m/>
    <m/>
    <n v="1584248"/>
    <n v="1584248"/>
    <n v="0"/>
    <n v="0"/>
    <n v="1"/>
    <n v="0"/>
    <n v="0"/>
    <n v="0"/>
    <s v="Bill on Actuals - 3rd Party Performance"/>
    <n v="23625"/>
    <n v="1575000"/>
    <n v="47250"/>
    <s v="T-Mobile/2026/Scatter/Digital/MWC/2Q'26"/>
    <n v="93956943"/>
    <s v="P2+"/>
    <s v="O-D2T2IF5-R6"/>
    <m/>
    <s v="Colleen Cahill"/>
    <s v="Guaranteed"/>
    <s v="DIO - ROV - FS - Pre/Mid - MWC - DT/MB/CTV"/>
    <n v="128160"/>
    <d v="2026-06-30T00:00:00"/>
    <d v="2026-06-01T00:00:00"/>
    <d v="2026-06-30T00:00:00"/>
    <s v="Direct ROV"/>
    <m/>
    <d v="2026-07-05T12:53:18"/>
  </r>
  <r>
    <s v="INITIATIVE MEDIA - NY"/>
    <n v="11563"/>
    <n v="3802"/>
    <s v="T-MOBILE"/>
    <s v="T-Mobile/2026/Scatter/Digital/MWC/2Q'26"/>
    <x v="69"/>
    <s v="T-MOBILE/S/SPORTS/25-26/MWC/Run of WC Video/2Q'26/Broadband"/>
    <n v="587739"/>
    <s v="T-MOBILE/S/SPORTS/25-26/MWC/Run of WC Video/Tubi/2Q'26/Broadband"/>
    <n v="93956973"/>
    <s v="Fox Sold Tubi"/>
    <s v="CPM"/>
    <n v="30"/>
    <s v="3P Imps"/>
    <n v="3781094"/>
    <n v="110250"/>
    <m/>
    <m/>
    <s v=" "/>
    <s v=""/>
    <m/>
    <m/>
    <n v="3781094"/>
    <n v="3781094"/>
    <n v="0"/>
    <n v="0"/>
    <n v="1"/>
    <n v="0"/>
    <n v="0"/>
    <n v="0"/>
    <s v="Bill on Actuals - 3rd Party Performance"/>
    <n v="55125"/>
    <n v="3675000"/>
    <n v="110250"/>
    <s v="T-Mobile/2026/Scatter/Digital/MWC/2Q'26"/>
    <n v="93956943"/>
    <s v="P2+"/>
    <s v="O-D2T2IF5-R6"/>
    <m/>
    <s v="Colleen Cahill"/>
    <s v="Guaranteed"/>
    <s v="DIO - LFV - TUB - Pre/Mid - MWC - DT/MB/CTV"/>
    <n v="128160"/>
    <d v="2026-06-30T00:00:00"/>
    <d v="2026-06-01T00:00:00"/>
    <d v="2026-06-30T00:00:00"/>
    <s v="Direct LFV"/>
    <m/>
    <d v="2026-07-05T12:53:18"/>
  </r>
  <r>
    <s v="INITIATIVE MEDIA - NY"/>
    <n v="11563"/>
    <n v="3802"/>
    <s v="T-MOBILE"/>
    <s v="T-Mobile/2026/Scatter/Digital/MWC/2Q'26"/>
    <x v="69"/>
    <s v="T-MOBILE/S/SPORTS/25-26/MWC/YOUTUBE/2Q'26/Broadband"/>
    <n v="587885"/>
    <s v="T-MOBILE/S/SPORTS/25-26/MWC- Targeted YOUTUBE/2Q'26/Broadband"/>
    <n v="93956979"/>
    <s v="FOX Sports"/>
    <s v="CPM"/>
    <n v="28"/>
    <s v="3P Imps"/>
    <n v="1348316"/>
    <n v="37500.01"/>
    <m/>
    <m/>
    <s v=" "/>
    <n v="0"/>
    <m/>
    <m/>
    <n v="1348316"/>
    <n v="1348316"/>
    <n v="0"/>
    <n v="0"/>
    <n v="1"/>
    <n v="0"/>
    <n v="0"/>
    <n v="0"/>
    <s v="Bill on Actuals - 3rd Party Performance"/>
    <n v="18750.009999999998"/>
    <n v="1339286"/>
    <n v="37500.01"/>
    <s v="T-Mobile/2026/Scatter/Digital/MWC/2Q'26"/>
    <n v="93956943"/>
    <s v="P2+"/>
    <s v="O-D2T2IF5-R6"/>
    <m/>
    <s v="Colleen Cahill"/>
    <s v="Guaranteed"/>
    <s v="DIO - ROV - FS - Pre/Mid - MWC - DT/MB/CTV"/>
    <n v="128160"/>
    <d v="2026-06-30T00:00:00"/>
    <d v="2026-06-01T00:00:00"/>
    <d v="2026-06-30T00:00:00"/>
    <s v="Direct ROV"/>
    <m/>
    <d v="2026-07-05T12:53:18"/>
  </r>
  <r>
    <s v="INVOLVED MEDIA"/>
    <n v="11121"/>
    <n v="6177"/>
    <s v="OMAHA STEAKS"/>
    <s v="OmahaSteaks/MWC/Digital/DR"/>
    <x v="70"/>
    <s v="Omaha Steaks - Run of World Cup Video - Package"/>
    <n v="596793"/>
    <s v="Omaha Steaks - DIO - LFV - TUB - Pre/Mid - MWC - DT/MB/CTV"/>
    <n v="95103578"/>
    <s v="Fox Sports Sold Tubi"/>
    <s v="CPM"/>
    <n v="55"/>
    <s v="3P Imps"/>
    <n v="163084"/>
    <n v="8969.6200000000008"/>
    <m/>
    <m/>
    <s v=" "/>
    <n v="0"/>
    <m/>
    <m/>
    <n v="163084"/>
    <n v="163084"/>
    <n v="0"/>
    <n v="0"/>
    <n v="1"/>
    <n v="0"/>
    <n v="0"/>
    <n v="0"/>
    <s v="Bill on Actuals - 3rd Party Performance"/>
    <n v="4486.6400000000003"/>
    <n v="3471109"/>
    <n v="190911"/>
    <s v="OmahaSteaks/MWC/Digital/DR"/>
    <n v="95103571"/>
    <s v="P2+"/>
    <s v="n/a"/>
    <m/>
    <s v="Nunzio Belfiore"/>
    <s v="Guaranteed"/>
    <s v="DIO - LFV - TUB - Pre/Mid - MWC - DT/MB/CTV"/>
    <n v="133902"/>
    <d v="2026-06-30T00:00:00"/>
    <d v="2026-06-30T00:00:00"/>
    <d v="2026-07-19T00:00:00"/>
    <s v="Direct LFV"/>
    <m/>
    <d v="2026-07-05T12:53:18"/>
  </r>
  <r>
    <s v="INVOLVED MEDIA"/>
    <n v="11121"/>
    <n v="6177"/>
    <s v="OMAHA STEAKS"/>
    <s v="OmahaSteaks/MWC/Digital/DR"/>
    <x v="70"/>
    <s v="Omaha Steaks - Run of World Cup Video - Package"/>
    <n v="596793"/>
    <s v="Omaha Steaks - DIO - ROV - FS - Pre/Mid - MWC - DT/MB/CTV"/>
    <n v="95103574"/>
    <s v="FOX Sports"/>
    <s v="CPM"/>
    <n v="55"/>
    <s v="3P Imps"/>
    <n v="70998"/>
    <n v="3904.89"/>
    <m/>
    <m/>
    <s v=" "/>
    <s v=""/>
    <m/>
    <m/>
    <n v="70998"/>
    <n v="70998"/>
    <n v="0"/>
    <n v="0"/>
    <n v="1"/>
    <n v="0"/>
    <n v="0"/>
    <n v="0"/>
    <s v="Bill on Actuals - 3rd Party Performance"/>
    <n v="1922.84"/>
    <n v="1487619"/>
    <n v="81819.05"/>
    <s v="OmahaSteaks/MWC/Digital/DR"/>
    <n v="95103571"/>
    <s v="P2+"/>
    <s v="n/a"/>
    <m/>
    <s v="Nunzio Belfiore"/>
    <s v="Guaranteed"/>
    <s v="DIO - ROV - FS - Pre/Mid - MWC - DT/MB/CTV"/>
    <n v="133902"/>
    <d v="2026-06-30T00:00:00"/>
    <d v="2026-06-30T00:00:00"/>
    <d v="2026-07-19T00:00:00"/>
    <s v="Direct ROV"/>
    <m/>
    <d v="2026-07-05T12:53:18"/>
  </r>
  <r>
    <s v="IPROSPECT"/>
    <n v="12215"/>
    <n v="19443"/>
    <s v="FERRARA CANDY COMPANY"/>
    <s v="Ferrara/Digital/Scatter/World Cup/25-26"/>
    <x v="71"/>
    <s v="Ferrara - Nerds - Run of World Cup Video - Package"/>
    <n v="581781"/>
    <s v="Nerds - DIO - LFV - TUB - Pre/Mid - MWC - DT/MB/CTV"/>
    <n v="93986099"/>
    <s v="Fox Sold Tubi"/>
    <s v="CPM"/>
    <n v="40"/>
    <s v="3P Imps"/>
    <n v="1204091"/>
    <n v="48163.64"/>
    <m/>
    <m/>
    <s v=" "/>
    <n v="0"/>
    <m/>
    <m/>
    <n v="1204091"/>
    <n v="1204091"/>
    <n v="0"/>
    <n v="0"/>
    <n v="1"/>
    <n v="0"/>
    <n v="0"/>
    <n v="0"/>
    <s v="Bill on Actuals - 3rd Party Performance"/>
    <n v="24349.9"/>
    <n v="1816665"/>
    <n v="72666.600000000006"/>
    <s v="Ferrara/Digital/Scatter/World Cup/25-26"/>
    <n v="93986073"/>
    <s v="P2+"/>
    <m/>
    <m/>
    <s v="Mike Maresca"/>
    <s v="Guaranteed"/>
    <s v="DIO - LFV - TUB - Pre/Mid - MWC - DT/MB/CTV"/>
    <n v="127993"/>
    <d v="2026-06-30T00:00:00"/>
    <d v="2026-06-01T00:00:00"/>
    <d v="2026-07-19T00:00:00"/>
    <s v="Direct LFV"/>
    <m/>
    <d v="2026-07-05T12:53:18"/>
  </r>
  <r>
    <s v="IPROSPECT"/>
    <n v="12215"/>
    <n v="19443"/>
    <s v="FERRARA CANDY COMPANY"/>
    <s v="Ferrara/Digital/Scatter/World Cup/25-26"/>
    <x v="71"/>
    <s v="Ferrara - Nerds - Run of World Cup Video - Package"/>
    <n v="581781"/>
    <s v="Nerds - DIO - ROV - FS - Pre/Mid - MWC - DT/MB/CTV"/>
    <n v="93986096"/>
    <s v="FOX Sports"/>
    <s v="CPM"/>
    <n v="40"/>
    <s v="3P Imps"/>
    <n v="2855632"/>
    <n v="114225.28"/>
    <m/>
    <m/>
    <s v=" "/>
    <s v=""/>
    <m/>
    <m/>
    <n v="2855632"/>
    <n v="2855632"/>
    <n v="0"/>
    <n v="0"/>
    <n v="1"/>
    <n v="0"/>
    <n v="0"/>
    <n v="0"/>
    <s v="Bill on Actuals - 3rd Party Performance"/>
    <n v="56816.42"/>
    <n v="4238885"/>
    <n v="169555.4"/>
    <s v="Ferrara/Digital/Scatter/World Cup/25-26"/>
    <n v="93986073"/>
    <s v="P2+"/>
    <m/>
    <m/>
    <s v="Mike Maresca"/>
    <s v="Guaranteed"/>
    <s v="DIO - ROV - FS - Pre/Mid - MWC - DT/MB/CTV"/>
    <n v="127993"/>
    <d v="2026-06-30T00:00:00"/>
    <d v="2026-06-01T00:00:00"/>
    <d v="2026-07-19T00:00:00"/>
    <s v="Direct ROV"/>
    <m/>
    <d v="2026-07-05T12:53:18"/>
  </r>
  <r>
    <s v="IPROSPECT"/>
    <n v="12215"/>
    <n v="19443"/>
    <s v="FERRARA CANDY COMPANY"/>
    <s v="Ferrara/Digital/Scatter/World Cup/25-26"/>
    <x v="71"/>
    <s v="Ferrara - Nerds - Run of AllFOX Video - Package"/>
    <n v="581784"/>
    <s v="Nerds - DIO - LFV - 1F - Tubi - Pre/Mid - ROS - DT/MB/CTV - FW - SXD"/>
    <n v="93986079"/>
    <s v="Fox Sold Tubi"/>
    <s v="CPM"/>
    <n v="15.85"/>
    <s v="3P Imps"/>
    <n v="1036907"/>
    <n v="16434.98"/>
    <m/>
    <m/>
    <s v=" "/>
    <n v="0"/>
    <m/>
    <m/>
    <n v="1036907"/>
    <n v="1036907"/>
    <n v="0"/>
    <n v="0"/>
    <n v="1"/>
    <n v="0"/>
    <n v="0"/>
    <n v="0"/>
    <s v="Bill on Actuals - 3rd Party Performance"/>
    <n v="8116.99"/>
    <n v="1514195"/>
    <n v="23999.99"/>
    <s v="Ferrara/Digital/Scatter/World Cup/25-26"/>
    <n v="93986073"/>
    <s v="P2+"/>
    <m/>
    <m/>
    <s v="Mike Maresca"/>
    <s v="Guaranteed"/>
    <s v="DIO - LFV - 1F - Tubi - Pre/Mid - ROS - DT/MB/CTV - FW - SXD"/>
    <n v="127993"/>
    <d v="2026-06-30T00:00:00"/>
    <d v="2026-06-01T00:00:00"/>
    <d v="2026-07-19T00:00:00"/>
    <s v="Direct LFV"/>
    <m/>
    <d v="2026-07-05T12:53:18"/>
  </r>
  <r>
    <s v="IPROSPECT"/>
    <n v="12215"/>
    <n v="19443"/>
    <s v="FERRARA CANDY COMPANY"/>
    <s v="Ferrara/Digital/Scatter/World Cup/25-26"/>
    <x v="71"/>
    <s v="Ferrara - Nerds - Run of AllFOX Video - Package"/>
    <n v="581784"/>
    <s v="Nerds - DIO - ROV - 1F - SEN - Pre/Mid - ROS - DT/MB/CTV - SXD"/>
    <n v="93986092"/>
    <s v="OneFOX"/>
    <s v="CPM"/>
    <n v="15.85"/>
    <s v="3P Imps"/>
    <n v="2388128"/>
    <n v="37851.83"/>
    <m/>
    <m/>
    <s v=" "/>
    <s v=""/>
    <m/>
    <m/>
    <n v="2388128"/>
    <n v="2388128"/>
    <n v="0"/>
    <n v="0"/>
    <n v="1"/>
    <n v="0"/>
    <n v="0"/>
    <n v="0"/>
    <s v="Bill on Actuals - 3rd Party Performance"/>
    <n v="18939.650000000001"/>
    <n v="3533124"/>
    <n v="56000.02"/>
    <s v="Ferrara/Digital/Scatter/World Cup/25-26"/>
    <n v="93986073"/>
    <s v="P2+"/>
    <m/>
    <m/>
    <s v="Mike Maresca"/>
    <s v="Guaranteed"/>
    <s v="DIO - ROV - 1F - SEN - Pre/Mid - ROS - DT/MB/CTV - SXD"/>
    <n v="127993"/>
    <d v="2026-06-30T00:00:00"/>
    <d v="2026-06-01T00:00:00"/>
    <d v="2026-07-19T00:00:00"/>
    <s v="Direct ROV"/>
    <m/>
    <d v="2026-07-05T12:53:18"/>
  </r>
  <r>
    <s v="IPROSPECT"/>
    <n v="12215"/>
    <n v="19443"/>
    <s v="FERRARA CANDY COMPANY"/>
    <s v="Ferrara/Digital/Scatter/World Cup/25-26"/>
    <x v="71"/>
    <s v="Ferrara - Black Forest - Run of World Cup Video - Package"/>
    <n v="587864"/>
    <s v="Black Forest - DIO - LFV - TUB - Pre/Mid - MWC - DT/MB/CTV"/>
    <n v="93986076"/>
    <s v="Fox Sold Tubi"/>
    <s v="CPM"/>
    <n v="40"/>
    <s v="3P Imps"/>
    <n v="6113640"/>
    <n v="244545.6"/>
    <m/>
    <m/>
    <s v=" "/>
    <n v="0"/>
    <m/>
    <m/>
    <n v="6113640"/>
    <n v="6113640"/>
    <n v="0"/>
    <n v="0"/>
    <n v="1"/>
    <n v="0"/>
    <n v="0"/>
    <n v="0"/>
    <s v="Bill on Actuals - 3rd Party Performance"/>
    <n v="119726"/>
    <n v="8477805"/>
    <n v="339112.2"/>
    <s v="Ferrara/Digital/Scatter/World Cup/25-26"/>
    <n v="93986073"/>
    <s v="P2+"/>
    <m/>
    <m/>
    <s v="Mike Maresca"/>
    <s v="Guaranteed"/>
    <s v="DIO - LFV - TUB - Pre/Mid - MWC - DT/MB/CTV"/>
    <n v="127993"/>
    <d v="2026-06-30T00:00:00"/>
    <d v="2026-06-01T00:00:00"/>
    <d v="2026-07-19T00:00:00"/>
    <s v="Direct LFV"/>
    <m/>
    <d v="2026-07-05T12:53:18"/>
  </r>
  <r>
    <s v="IPROSPECT"/>
    <n v="12215"/>
    <n v="19443"/>
    <s v="FERRARA CANDY COMPANY"/>
    <s v="Ferrara/Digital/Scatter/World Cup/25-26"/>
    <x v="71"/>
    <s v="Ferrara - Black Forest - Run of World Cup Video - Package"/>
    <n v="587864"/>
    <s v="Black Forest - DIO - ROV - FS - Pre/Mid - MWC - DT/MB/CTV"/>
    <n v="93986089"/>
    <s v="FOX Sports"/>
    <s v="CPM"/>
    <n v="40"/>
    <s v="3P Imps"/>
    <n v="2457338"/>
    <n v="98293.52"/>
    <m/>
    <m/>
    <s v=" "/>
    <s v=""/>
    <m/>
    <m/>
    <n v="2457338"/>
    <n v="2457338"/>
    <n v="0"/>
    <n v="0"/>
    <n v="1"/>
    <n v="0"/>
    <n v="0"/>
    <n v="0"/>
    <s v="Bill on Actuals - 3rd Party Performance"/>
    <n v="51311.14"/>
    <n v="3633345"/>
    <n v="145333.79999999999"/>
    <s v="Ferrara/Digital/Scatter/World Cup/25-26"/>
    <n v="93986073"/>
    <s v="P2+"/>
    <m/>
    <m/>
    <s v="Mike Maresca"/>
    <s v="Guaranteed"/>
    <s v="DIO - ROV - FS - Pre/Mid - MWC - DT/MB/CTV"/>
    <n v="127993"/>
    <d v="2026-06-30T00:00:00"/>
    <d v="2026-06-01T00:00:00"/>
    <d v="2026-07-19T00:00:00"/>
    <s v="Direct ROV"/>
    <m/>
    <d v="2026-07-05T12:53:18"/>
  </r>
  <r>
    <s v="IPROSPECT"/>
    <n v="12215"/>
    <n v="19443"/>
    <s v="FERRARA CANDY COMPANY"/>
    <s v="Ferrara/Digital/Scatter/World Cup/25-26"/>
    <x v="71"/>
    <s v="Ferrara - Black Forest - Run of AllFOX Video - Package"/>
    <n v="587867"/>
    <s v="Black Forest - DIO - LFV - 1F - Tubi - Pre/Mid - ROS - DT/MB/CTV - FW - SXD"/>
    <n v="93986102"/>
    <s v="Fox Sold Tubi"/>
    <s v="CPM"/>
    <n v="15.85"/>
    <s v="3P Imps"/>
    <n v="2008149"/>
    <n v="31829.16"/>
    <m/>
    <m/>
    <s v=" "/>
    <n v="0"/>
    <m/>
    <m/>
    <n v="2008149"/>
    <n v="2008149"/>
    <n v="0"/>
    <n v="0"/>
    <n v="1"/>
    <n v="0"/>
    <n v="0"/>
    <n v="0"/>
    <s v="Bill on Actuals - 3rd Party Performance"/>
    <n v="15703.82"/>
    <n v="3028391"/>
    <n v="48000"/>
    <s v="Ferrara/Digital/Scatter/World Cup/25-26"/>
    <n v="93986073"/>
    <s v="P2+"/>
    <m/>
    <m/>
    <s v="Mike Maresca"/>
    <s v="Guaranteed"/>
    <s v="DIO - LFV - 1F - Tubi - Pre/Mid - ROS - DT/MB/CTV - FW - SXD"/>
    <n v="127993"/>
    <d v="2026-06-30T00:00:00"/>
    <d v="2026-06-01T00:00:00"/>
    <d v="2026-07-19T00:00:00"/>
    <s v="Direct LFV"/>
    <m/>
    <d v="2026-07-05T12:53:18"/>
  </r>
  <r>
    <s v="IPROSPECT"/>
    <n v="12215"/>
    <n v="19443"/>
    <s v="FERRARA CANDY COMPANY"/>
    <s v="Ferrara/Digital/Scatter/World Cup/25-26"/>
    <x v="71"/>
    <s v="Ferrara - Black Forest - Run of AllFOX Video - Package"/>
    <n v="587867"/>
    <s v="Black Forest - DIO - ROV - 1F - SEN - Pre/Mid - ROS - DT/MB/CTV - SXD"/>
    <n v="93986105"/>
    <s v="OneFOX"/>
    <s v="CPM"/>
    <n v="15.85"/>
    <s v="3P Imps"/>
    <n v="4637080"/>
    <n v="73497.72"/>
    <m/>
    <m/>
    <s v=" "/>
    <s v=""/>
    <m/>
    <m/>
    <n v="4637080"/>
    <n v="4637080"/>
    <n v="0"/>
    <n v="0"/>
    <n v="1"/>
    <n v="0"/>
    <n v="0"/>
    <n v="0"/>
    <s v="Bill on Actuals - 3rd Party Performance"/>
    <n v="36642.25"/>
    <n v="7066246"/>
    <n v="112000"/>
    <s v="Ferrara/Digital/Scatter/World Cup/25-26"/>
    <n v="93986073"/>
    <s v="P2+"/>
    <m/>
    <m/>
    <s v="Mike Maresca"/>
    <s v="Guaranteed"/>
    <s v="DIO - ROV - 1F - SEN - Pre/Mid - ROS - DT/MB/CTV - SXD"/>
    <n v="127993"/>
    <d v="2026-06-30T00:00:00"/>
    <d v="2026-06-01T00:00:00"/>
    <d v="2026-07-19T00:00:00"/>
    <s v="Direct ROV"/>
    <m/>
    <d v="2026-07-05T12:53:18"/>
  </r>
  <r>
    <s v="IPROSPECT"/>
    <n v="12215"/>
    <n v="19443"/>
    <s v="FERRARA CANDY COMPANY"/>
    <s v="Ferrara/Digital/Scatter/World Cup/25-26"/>
    <x v="71"/>
    <s v="Ferrara - Nerds - World Cup Social Sponsorship Content - Package"/>
    <n v="587870"/>
    <s v="Nerds - DIO - SOC - FOX Sports - Facebook/Instagram - MWC"/>
    <n v="587871"/>
    <s v="FOX Sports - FB-Inst"/>
    <s v="Flat Rate"/>
    <n v="0.15"/>
    <s v="Bill on Contract"/>
    <n v="129629733"/>
    <n v="19444.46"/>
    <m/>
    <m/>
    <s v=" "/>
    <n v="0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Facebook/Instagram - MWC"/>
    <n v="127993"/>
    <d v="2026-06-30T00:00:00"/>
    <d v="2026-06-01T00:00:00"/>
    <d v="2026-07-19T00:00:00"/>
    <s v="Social Facebook/Instagram"/>
    <m/>
    <d v="2026-07-05T12:53:18"/>
  </r>
  <r>
    <s v="IPROSPECT"/>
    <n v="12215"/>
    <n v="19443"/>
    <s v="FERRARA CANDY COMPANY"/>
    <s v="Ferrara/Digital/Scatter/World Cup/25-26"/>
    <x v="71"/>
    <s v="Ferrara - Nerds - World Cup Social Sponsorship Content - Package"/>
    <n v="587870"/>
    <s v="Nerds - DIO - SOC - FOX Sports - TikTok - MWC"/>
    <n v="587874"/>
    <s v="FOX Sports - TikTok"/>
    <s v="Flat Rate"/>
    <n v="0.15"/>
    <s v="Bill on Contract"/>
    <n v="129629733"/>
    <n v="19444.46"/>
    <m/>
    <m/>
    <s v=" "/>
    <s v="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TikTok - MWC"/>
    <n v="127993"/>
    <d v="2026-06-30T00:00:00"/>
    <d v="2026-06-01T00:00:00"/>
    <d v="2026-07-19T00:00:00"/>
    <s v="Social TikTok"/>
    <m/>
    <d v="2026-07-05T12:53:18"/>
  </r>
  <r>
    <s v="IPROSPECT"/>
    <n v="12215"/>
    <n v="19443"/>
    <s v="FERRARA CANDY COMPANY"/>
    <s v="Ferrara/Digital/Scatter/World Cup/25-26"/>
    <x v="71"/>
    <s v="Ferrara - Nerds - World Cup Social Sponsorship Content - Package"/>
    <n v="587870"/>
    <s v="Nerds - DIO - SOC - FOX Sports - Youtube - Custom Content - MWC"/>
    <n v="587873"/>
    <s v="FOX Sports"/>
    <s v="Flat Rate"/>
    <n v="0.15"/>
    <s v="Bill on Contract"/>
    <n v="129629533"/>
    <n v="19444.43"/>
    <m/>
    <m/>
    <s v=" "/>
    <s v=""/>
    <m/>
    <m/>
    <n v="0"/>
    <n v="0"/>
    <n v="0"/>
    <n v="0"/>
    <n v="1"/>
    <n v="0"/>
    <n v="0"/>
    <n v="0"/>
    <s v="Bill on Contract - Straightline"/>
    <n v="19444.43"/>
    <n v="518518"/>
    <n v="77777.7"/>
    <s v="Ferrara/Digital/Scatter/World Cup/25-26"/>
    <n v="267002"/>
    <s v="P2+"/>
    <m/>
    <m/>
    <s v="Mike Maresca"/>
    <s v="Guaranteed"/>
    <s v="DIO - SOC - FOX Sports - Youtube - Custom Content - MWC"/>
    <n v="127993"/>
    <d v="2026-06-30T00:00:00"/>
    <d v="2026-06-01T00:00:00"/>
    <d v="2026-07-19T00:00:00"/>
    <s v="Social"/>
    <m/>
    <d v="2026-07-05T12:53:18"/>
  </r>
  <r>
    <s v="IPROSPECT"/>
    <n v="12215"/>
    <n v="19443"/>
    <s v="FERRARA CANDY COMPANY"/>
    <s v="Ferrara/Digital/Scatter/World Cup/25-26"/>
    <x v="71"/>
    <s v="Ferrara - Trolli - World Cup Social Sponsorship Content - Package"/>
    <n v="587876"/>
    <s v="Trolli - DIO - SOC - FOX Sports - Facebook/Instagram - MWC"/>
    <n v="587877"/>
    <s v="FOX Sports - FB-Inst"/>
    <s v="Flat Rate"/>
    <n v="0.15"/>
    <s v="Bill on Contract"/>
    <n v="129629733"/>
    <n v="19444.46"/>
    <m/>
    <m/>
    <s v=" "/>
    <n v="0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Facebook/Instagram - MWC"/>
    <n v="127993"/>
    <d v="2026-06-30T00:00:00"/>
    <d v="2026-06-01T00:00:00"/>
    <d v="2026-07-19T00:00:00"/>
    <s v="Social Facebook/Instagram"/>
    <m/>
    <d v="2026-07-05T12:53:18"/>
  </r>
  <r>
    <s v="IPROSPECT"/>
    <n v="12215"/>
    <n v="19443"/>
    <s v="FERRARA CANDY COMPANY"/>
    <s v="Ferrara/Digital/Scatter/World Cup/25-26"/>
    <x v="71"/>
    <s v="Ferrara - Trolli - World Cup Social Sponsorship Content - Package"/>
    <n v="587876"/>
    <s v="Trolli - DIO - SOC - FOX Sports - TikTok - MWC"/>
    <n v="587879"/>
    <s v="FOX Sports - TikTok"/>
    <s v="Flat Rate"/>
    <n v="0.15"/>
    <s v="Bill on Contract"/>
    <n v="129629733"/>
    <n v="19444.46"/>
    <m/>
    <m/>
    <s v=" "/>
    <s v="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TikTok - MWC"/>
    <n v="127993"/>
    <d v="2026-06-30T00:00:00"/>
    <d v="2026-06-01T00:00:00"/>
    <d v="2026-07-19T00:00:00"/>
    <s v="Social TikTok"/>
    <m/>
    <d v="2026-07-05T12:53:18"/>
  </r>
  <r>
    <s v="IPROSPECT"/>
    <n v="12215"/>
    <n v="19443"/>
    <s v="FERRARA CANDY COMPANY"/>
    <s v="Ferrara/Digital/Scatter/World Cup/25-26"/>
    <x v="71"/>
    <s v="Ferrara - Trolli - World Cup Social Sponsorship Content - Package"/>
    <n v="587876"/>
    <s v="Trolli - DIO - SOC - FOX Sports - Youtube - Custom Content - MWC"/>
    <n v="587878"/>
    <s v="FOX Sports"/>
    <s v="Flat Rate"/>
    <n v="0.15"/>
    <s v="Bill on Contract"/>
    <n v="129629533"/>
    <n v="19444.43"/>
    <m/>
    <m/>
    <s v=" "/>
    <s v=""/>
    <m/>
    <m/>
    <n v="0"/>
    <n v="0"/>
    <n v="0"/>
    <n v="0"/>
    <n v="1"/>
    <n v="0"/>
    <n v="0"/>
    <n v="0"/>
    <s v="Bill on Contract - Straightline"/>
    <n v="19444.43"/>
    <n v="518518"/>
    <n v="77777.7"/>
    <s v="Ferrara/Digital/Scatter/World Cup/25-26"/>
    <n v="267002"/>
    <s v="P2+"/>
    <m/>
    <m/>
    <s v="Mike Maresca"/>
    <s v="Guaranteed"/>
    <s v="DIO - SOC - FOX Sports - Youtube - Custom Content - MWC"/>
    <n v="127993"/>
    <d v="2026-06-30T00:00:00"/>
    <d v="2026-06-01T00:00:00"/>
    <d v="2026-07-19T00:00:00"/>
    <s v="Social"/>
    <m/>
    <d v="2026-07-05T12:53:18"/>
  </r>
  <r>
    <s v="IPROSPECT"/>
    <n v="12215"/>
    <n v="19443"/>
    <s v="FERRARA CANDY COMPANY"/>
    <s v="Ferrara/Digital/Scatter/World Cup/25-26"/>
    <x v="71"/>
    <s v="Ferrara - Sweetarts - World Cup Social Sponsorship Content - Package"/>
    <n v="587880"/>
    <s v="Sweetarts - DIO - SOC - FOX Sports - Facebook/Instagram - MWC"/>
    <n v="587881"/>
    <s v="FOX Sports - FB-Inst"/>
    <s v="Flat Rate"/>
    <n v="0.15"/>
    <s v="Bill on Contract"/>
    <n v="129629733"/>
    <n v="19444.46"/>
    <m/>
    <m/>
    <s v=" "/>
    <n v="0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Facebook/Instagram - MWC"/>
    <n v="127993"/>
    <d v="2026-06-30T00:00:00"/>
    <d v="2026-06-01T00:00:00"/>
    <d v="2026-07-19T00:00:00"/>
    <s v="Social Facebook/Instagram"/>
    <m/>
    <d v="2026-07-05T12:53:18"/>
  </r>
  <r>
    <s v="IPROSPECT"/>
    <n v="12215"/>
    <n v="19443"/>
    <s v="FERRARA CANDY COMPANY"/>
    <s v="Ferrara/Digital/Scatter/World Cup/25-26"/>
    <x v="71"/>
    <s v="Ferrara - Sweetarts - World Cup Social Sponsorship Content - Package"/>
    <n v="587880"/>
    <s v="Sweetarts - DIO - SOC - FOX Sports - TikTok - MWC"/>
    <n v="587883"/>
    <s v="FOX Sports - TikTok"/>
    <s v="Flat Rate"/>
    <n v="0.15"/>
    <s v="Bill on Contract"/>
    <n v="129629733"/>
    <n v="19444.46"/>
    <m/>
    <m/>
    <s v=" "/>
    <s v=""/>
    <m/>
    <m/>
    <n v="0"/>
    <n v="0"/>
    <n v="0"/>
    <n v="0"/>
    <n v="1"/>
    <n v="0"/>
    <n v="0"/>
    <n v="0"/>
    <s v="Bill on Contract - Straightline"/>
    <n v="19444.46"/>
    <n v="518519"/>
    <n v="77777.850000000006"/>
    <s v="Ferrara/Digital/Scatter/World Cup/25-26"/>
    <n v="267002"/>
    <s v="P2+"/>
    <m/>
    <m/>
    <s v="Mike Maresca"/>
    <s v="Guaranteed"/>
    <s v="DIO - SOC - FOX Sports - TikTok - MWC"/>
    <n v="127993"/>
    <d v="2026-06-30T00:00:00"/>
    <d v="2026-06-01T00:00:00"/>
    <d v="2026-07-19T00:00:00"/>
    <s v="Social TikTok"/>
    <m/>
    <d v="2026-07-05T12:53:18"/>
  </r>
  <r>
    <s v="IPROSPECT"/>
    <n v="12215"/>
    <n v="19443"/>
    <s v="FERRARA CANDY COMPANY"/>
    <s v="Ferrara/Digital/Scatter/World Cup/25-26"/>
    <x v="71"/>
    <s v="Ferrara - Sweetarts - World Cup Social Sponsorship Content - Package"/>
    <n v="587880"/>
    <s v="Sweetarts - DIO - SOC - FOX Sports - Youtube - Custom Content - MWC"/>
    <n v="587882"/>
    <s v="FOX Sports"/>
    <s v="Flat Rate"/>
    <n v="0.15"/>
    <s v="Bill on Contract"/>
    <n v="129629533"/>
    <n v="19444.43"/>
    <m/>
    <m/>
    <s v=" "/>
    <s v=""/>
    <m/>
    <m/>
    <n v="0"/>
    <n v="0"/>
    <n v="0"/>
    <n v="0"/>
    <n v="1"/>
    <n v="0"/>
    <n v="0"/>
    <n v="0"/>
    <s v="Bill on Contract - Straightline"/>
    <n v="19444.43"/>
    <n v="518518"/>
    <n v="77777.7"/>
    <s v="Ferrara/Digital/Scatter/World Cup/25-26"/>
    <n v="267002"/>
    <s v="P2+"/>
    <m/>
    <m/>
    <s v="Mike Maresca"/>
    <s v="Guaranteed"/>
    <s v="DIO - SOC - FOX Sports - Youtube - Custom Content - MWC"/>
    <n v="127993"/>
    <d v="2026-06-30T00:00:00"/>
    <d v="2026-06-01T00:00:00"/>
    <d v="2026-07-19T00:00:00"/>
    <s v="Social"/>
    <m/>
    <d v="2026-07-05T12:53:18"/>
  </r>
  <r>
    <s v="IPROSPECT"/>
    <n v="12215"/>
    <n v="7358"/>
    <s v="FERRERO"/>
    <s v="Ferrero/Digital/Scatter/World Cup/25-26/Social/Video"/>
    <x v="72"/>
    <s v="Ferrero - Nutella - World Cup Social Sponsorship Content - Package"/>
    <n v="581882"/>
    <s v="Ferrero - Nutella - DIO - SOC - FOX Sports - Facebook/Instagram - MWC"/>
    <n v="581883"/>
    <s v="FOX Sports - FB-Inst"/>
    <s v="Flat Rate"/>
    <n v="0.15"/>
    <s v="Bill on Contract"/>
    <n v="69444733"/>
    <n v="10416.709999999999"/>
    <m/>
    <m/>
    <s v=" "/>
    <n v="0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Facebook/Instagram - MWC"/>
    <n v="127990"/>
    <d v="2026-06-30T00:00:00"/>
    <d v="2026-06-01T00:00:00"/>
    <d v="2026-07-19T00:00:00"/>
    <s v="Social Facebook/Instagram"/>
    <m/>
    <d v="2026-07-05T12:53:18"/>
  </r>
  <r>
    <s v="IPROSPECT"/>
    <n v="12215"/>
    <n v="7358"/>
    <s v="FERRERO"/>
    <s v="Ferrero/Digital/Scatter/World Cup/25-26/Social/Video"/>
    <x v="72"/>
    <s v="Ferrero - Nutella - World Cup Social Sponsorship Content - Package"/>
    <n v="581882"/>
    <s v="Ferrero - Nutella - DIO - SOC - FOX Sports - TikTok - MWC"/>
    <n v="581886"/>
    <s v="FOX Sports - TikTok"/>
    <s v="Flat Rate"/>
    <n v="0.15"/>
    <s v="Bill on Contract"/>
    <n v="69444733"/>
    <n v="10416.709999999999"/>
    <m/>
    <m/>
    <s v=" "/>
    <s v="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TikTok - MWC"/>
    <n v="127990"/>
    <d v="2026-06-30T00:00:00"/>
    <d v="2026-06-01T00:00:00"/>
    <d v="2026-07-19T00:00:00"/>
    <s v="Social TikTok"/>
    <m/>
    <d v="2026-07-05T12:53:18"/>
  </r>
  <r>
    <s v="IPROSPECT"/>
    <n v="12215"/>
    <n v="7358"/>
    <s v="FERRERO"/>
    <s v="Ferrero/Digital/Scatter/World Cup/25-26/Social/Video"/>
    <x v="72"/>
    <s v="Ferrero - Nutella - World Cup Social Sponsorship Content - Package"/>
    <n v="581882"/>
    <s v="Ferrero - Nutella - DIO - SOC - FOX Sports - X - MWC"/>
    <n v="581884"/>
    <s v="FOX Sports - Twitter"/>
    <s v="Flat Rate"/>
    <n v="0.15"/>
    <s v="Bill on Contract"/>
    <n v="69444467"/>
    <n v="10416.67"/>
    <m/>
    <m/>
    <s v=" "/>
    <s v="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X - MWC"/>
    <n v="127990"/>
    <d v="2026-06-30T00:00:00"/>
    <d v="2026-06-01T00:00:00"/>
    <d v="2026-07-19T00:00:00"/>
    <s v="Social X"/>
    <m/>
    <d v="2026-07-05T12:53:18"/>
  </r>
  <r>
    <s v="IPROSPECT"/>
    <n v="12215"/>
    <n v="7358"/>
    <s v="FERRERO"/>
    <s v="Ferrero/Digital/Scatter/World Cup/25-26/Social/Video"/>
    <x v="72"/>
    <s v="Ferrero - Nutella - World Cup Social Sponsorship Content - Package"/>
    <n v="581882"/>
    <s v="Ferrero - Nutella - DIO - SOC - FOX Sports - Youtube - Custom Content - MWC"/>
    <n v="581885"/>
    <s v="FOX Sports"/>
    <s v="Flat Rate"/>
    <n v="0.15"/>
    <s v="Bill on Contract"/>
    <n v="69444467"/>
    <n v="10416.67"/>
    <m/>
    <m/>
    <s v=" "/>
    <s v="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Youtube - Custom Content - MWC"/>
    <n v="127990"/>
    <d v="2026-06-30T00:00:00"/>
    <d v="2026-06-01T00:00:00"/>
    <d v="2026-07-19T00:00:00"/>
    <s v="Social"/>
    <m/>
    <d v="2026-07-05T12:53:18"/>
  </r>
  <r>
    <s v="IPROSPECT"/>
    <n v="12215"/>
    <n v="7358"/>
    <s v="FERRERO"/>
    <s v="Ferrero/Digital/Scatter/World Cup/25-26/Social/Video"/>
    <x v="72"/>
    <s v="Ferrero - Nutella - Run of World Cup Video - Package"/>
    <n v="581887"/>
    <s v="Ferrero - Nutella - DIO - LFV - TUB - Pre/Mid - MWC - DT/MB/CTV"/>
    <n v="94330606"/>
    <s v="Fox Sold Tubi"/>
    <s v="CPM"/>
    <n v="40"/>
    <s v="3P Imps"/>
    <n v="3165754"/>
    <n v="126630.16"/>
    <m/>
    <m/>
    <s v=" "/>
    <n v="0"/>
    <m/>
    <m/>
    <n v="3165754"/>
    <n v="3165754"/>
    <n v="0"/>
    <n v="0"/>
    <n v="1"/>
    <n v="0"/>
    <n v="0"/>
    <n v="0"/>
    <s v="Bill on Actuals - 3rd Party Performance"/>
    <n v="62132.95"/>
    <n v="4386165"/>
    <n v="175446.6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Nutella - Run of World Cup Video - Package"/>
    <n v="581887"/>
    <s v="Ferrero - Nutella - DIO - ROV - FS - Pre/Mid - MWC - DT/MB/CTV"/>
    <n v="94330559"/>
    <s v="FOX Sports"/>
    <s v="CPM"/>
    <n v="40"/>
    <s v="3P Imps"/>
    <n v="1278440"/>
    <n v="51137.599999999999"/>
    <m/>
    <m/>
    <s v=" "/>
    <s v=""/>
    <m/>
    <m/>
    <n v="1278440"/>
    <n v="1278440"/>
    <n v="0"/>
    <n v="0"/>
    <n v="1"/>
    <n v="0"/>
    <n v="0"/>
    <n v="0"/>
    <s v="Bill on Actuals - 3rd Party Performance"/>
    <n v="26628.41"/>
    <n v="1879785"/>
    <n v="75191.399999999994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Crunch - Run of World Cup Video - Package"/>
    <n v="587519"/>
    <s v="Ferrero - Crunch - DIO - LFV - TUB - Pre/Mid - MWC - DT/MB/CTV"/>
    <n v="94330600"/>
    <s v="Fox Sold Tubi"/>
    <s v="CPM"/>
    <n v="40"/>
    <s v="3P Imps"/>
    <n v="2278170"/>
    <n v="91126.8"/>
    <m/>
    <m/>
    <s v=" "/>
    <n v="0"/>
    <m/>
    <m/>
    <n v="2278170"/>
    <n v="2278170"/>
    <n v="0"/>
    <n v="0"/>
    <n v="1"/>
    <n v="0"/>
    <n v="0"/>
    <n v="0"/>
    <s v="Bill on Actuals - 3rd Party Performance"/>
    <n v="44660.95"/>
    <n v="3154305"/>
    <n v="126172.2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Crunch - Run of World Cup Video - Package"/>
    <n v="587519"/>
    <s v="Ferrero - Crunch - DIO - ROV - FS - Pre/Mid - MWC - DT/MB/CTV"/>
    <n v="94330547"/>
    <s v="FOX Sports"/>
    <s v="CPM"/>
    <n v="40"/>
    <s v="3P Imps"/>
    <n v="917051"/>
    <n v="36682.04"/>
    <m/>
    <m/>
    <s v=" "/>
    <s v=""/>
    <m/>
    <m/>
    <n v="917051"/>
    <n v="917051"/>
    <n v="0"/>
    <n v="0"/>
    <n v="1"/>
    <n v="0"/>
    <n v="0"/>
    <n v="0"/>
    <s v="Bill on Actuals - 3rd Party Performance"/>
    <n v="19140.41"/>
    <n v="1351845"/>
    <n v="54073.8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Crunch - World Cup Social Sponsorship Content - Package"/>
    <n v="587522"/>
    <s v="Ferrero - Crunch - DIO - SOC - FOX Sports - Facebook/Instagram - MWC"/>
    <n v="587523"/>
    <s v="FOX Sports - FB-Inst"/>
    <s v="Flat Rate"/>
    <n v="0.15"/>
    <s v="Bill on Contract"/>
    <n v="69444467"/>
    <n v="10416.67"/>
    <m/>
    <m/>
    <s v=" "/>
    <n v="0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Facebook/Instagram - MWC"/>
    <n v="127990"/>
    <d v="2026-06-30T00:00:00"/>
    <d v="2026-06-01T00:00:00"/>
    <d v="2026-07-19T00:00:00"/>
    <s v="Social Facebook/Instagram"/>
    <m/>
    <d v="2026-07-05T12:53:18"/>
  </r>
  <r>
    <s v="IPROSPECT"/>
    <n v="12215"/>
    <n v="7358"/>
    <s v="FERRERO"/>
    <s v="Ferrero/Digital/Scatter/World Cup/25-26/Social/Video"/>
    <x v="72"/>
    <s v="Ferrero - Crunch - World Cup Social Sponsorship Content - Package"/>
    <n v="587522"/>
    <s v="Ferrero - Crunch - DIO - SOC - FOX Sports - TikTok - MWC"/>
    <n v="587526"/>
    <s v="FOX Sports - TikTok"/>
    <s v="Flat Rate"/>
    <n v="0.15"/>
    <s v="Bill on Contract"/>
    <n v="69444467"/>
    <n v="10416.67"/>
    <m/>
    <m/>
    <s v=" "/>
    <s v="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TikTok - MWC"/>
    <n v="127990"/>
    <d v="2026-06-30T00:00:00"/>
    <d v="2026-06-01T00:00:00"/>
    <d v="2026-07-19T00:00:00"/>
    <s v="Social TikTok"/>
    <m/>
    <d v="2026-07-05T12:53:18"/>
  </r>
  <r>
    <s v="IPROSPECT"/>
    <n v="12215"/>
    <n v="7358"/>
    <s v="FERRERO"/>
    <s v="Ferrero/Digital/Scatter/World Cup/25-26/Social/Video"/>
    <x v="72"/>
    <s v="Ferrero - Crunch - World Cup Social Sponsorship Content - Package"/>
    <n v="587522"/>
    <s v="Ferrero - Crunch - DIO - SOC - FOX Sports - X - MWC"/>
    <n v="587524"/>
    <s v="FOX Sports - Twitter"/>
    <s v="Flat Rate"/>
    <n v="0.15"/>
    <s v="Bill on Contract"/>
    <n v="69444733"/>
    <n v="10416.709999999999"/>
    <m/>
    <m/>
    <s v=" "/>
    <s v="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X - MWC"/>
    <n v="127990"/>
    <d v="2026-06-30T00:00:00"/>
    <d v="2026-06-01T00:00:00"/>
    <d v="2026-07-19T00:00:00"/>
    <s v="Social X"/>
    <m/>
    <d v="2026-07-05T12:53:18"/>
  </r>
  <r>
    <s v="IPROSPECT"/>
    <n v="12215"/>
    <n v="7358"/>
    <s v="FERRERO"/>
    <s v="Ferrero/Digital/Scatter/World Cup/25-26/Social/Video"/>
    <x v="72"/>
    <s v="Ferrero - Crunch - World Cup Social Sponsorship Content - Package"/>
    <n v="587522"/>
    <s v="Ferrero - Crunch - DIO - SOC - FOX Sports - Youtube - Custom Content - MWC"/>
    <n v="587525"/>
    <s v="FOX Sports"/>
    <s v="Flat Rate"/>
    <n v="0.15"/>
    <s v="Bill on Contract"/>
    <n v="69444733"/>
    <n v="10416.709999999999"/>
    <m/>
    <m/>
    <s v=" "/>
    <s v="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Youtube - Custom Content - MWC"/>
    <n v="127990"/>
    <d v="2026-06-30T00:00:00"/>
    <d v="2026-06-01T00:00:00"/>
    <d v="2026-07-19T00:00:00"/>
    <s v="Social"/>
    <m/>
    <d v="2026-07-05T12:53:18"/>
  </r>
  <r>
    <s v="IPROSPECT"/>
    <n v="12215"/>
    <n v="7358"/>
    <s v="FERRERO"/>
    <s v="Ferrero/Digital/Scatter/World Cup/25-26/Social/Video"/>
    <x v="72"/>
    <s v="Ferrero - Butterfinger - Run of World Cup Video - Package"/>
    <n v="587527"/>
    <s v="Ferrero - Butterfinger - DIO - LFV - TUB - Pre/Mid - MWC - DT/MB/CTV"/>
    <n v="94330571"/>
    <s v="Fox Sold Tubi"/>
    <s v="CPM"/>
    <n v="40"/>
    <s v="3P Imps"/>
    <n v="1488953"/>
    <n v="59558.12"/>
    <m/>
    <m/>
    <s v=" "/>
    <n v="0"/>
    <m/>
    <m/>
    <n v="1488953"/>
    <n v="1488953"/>
    <n v="0"/>
    <n v="0"/>
    <n v="1"/>
    <n v="0"/>
    <n v="0"/>
    <n v="0"/>
    <s v="Bill on Actuals - 3rd Party Performance"/>
    <n v="29209.68"/>
    <n v="2061307"/>
    <n v="82452.2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Butterfinger - Run of World Cup Video - Package"/>
    <n v="587527"/>
    <s v="Ferrero - Butterfinger - DIO - ROV - FS - Pre/Mid - MWC - DT/MB/CTV"/>
    <n v="94330531"/>
    <s v="FOX Sports"/>
    <s v="CPM"/>
    <n v="40"/>
    <s v="3P Imps"/>
    <n v="600447"/>
    <n v="24017.88"/>
    <m/>
    <m/>
    <s v=" "/>
    <s v=""/>
    <m/>
    <m/>
    <n v="600447"/>
    <n v="600447"/>
    <n v="0"/>
    <n v="0"/>
    <n v="1"/>
    <n v="0"/>
    <n v="0"/>
    <n v="0"/>
    <s v="Bill on Actuals - 3rd Party Performance"/>
    <n v="12518.44"/>
    <n v="883418"/>
    <n v="35336.720000000001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Butterfinger - World Cup Social Sponsorship Content - Package"/>
    <n v="587530"/>
    <s v="Ferrero - Butterfinger - DIO - SOC - FOX Sports - Facebook/Instagram - MWC"/>
    <n v="587531"/>
    <s v="FOX Sports - FB-Inst"/>
    <s v="Flat Rate"/>
    <n v="0.15"/>
    <s v="Bill on Contract"/>
    <n v="69444467"/>
    <n v="10416.67"/>
    <m/>
    <m/>
    <s v=" "/>
    <n v="0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Facebook/Instagram - MWC"/>
    <n v="127990"/>
    <d v="2026-06-30T00:00:00"/>
    <d v="2026-06-01T00:00:00"/>
    <d v="2026-07-19T00:00:00"/>
    <s v="Social Facebook/Instagram"/>
    <m/>
    <d v="2026-07-05T12:53:18"/>
  </r>
  <r>
    <s v="IPROSPECT"/>
    <n v="12215"/>
    <n v="7358"/>
    <s v="FERRERO"/>
    <s v="Ferrero/Digital/Scatter/World Cup/25-26/Social/Video"/>
    <x v="72"/>
    <s v="Ferrero - Butterfinger - World Cup Social Sponsorship Content - Package"/>
    <n v="587530"/>
    <s v="Ferrero - Butterfinger - DIO - SOC - FOX Sports - TikTok - MWC"/>
    <n v="587534"/>
    <s v="FOX Sports - TikTok"/>
    <s v="Flat Rate"/>
    <n v="0.15"/>
    <s v="Bill on Contract"/>
    <n v="69444733"/>
    <n v="10416.709999999999"/>
    <m/>
    <m/>
    <s v=" "/>
    <s v="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TikTok - MWC"/>
    <n v="127990"/>
    <d v="2026-06-30T00:00:00"/>
    <d v="2026-06-01T00:00:00"/>
    <d v="2026-07-19T00:00:00"/>
    <s v="Social TikTok"/>
    <m/>
    <d v="2026-07-05T12:53:18"/>
  </r>
  <r>
    <s v="IPROSPECT"/>
    <n v="12215"/>
    <n v="7358"/>
    <s v="FERRERO"/>
    <s v="Ferrero/Digital/Scatter/World Cup/25-26/Social/Video"/>
    <x v="72"/>
    <s v="Ferrero - Butterfinger - World Cup Social Sponsorship Content - Package"/>
    <n v="587530"/>
    <s v="Ferrero - Butterfinger - DIO - SOC - FOX Sports - X - MWC"/>
    <n v="587532"/>
    <s v="FOX Sports - Twitter"/>
    <s v="Flat Rate"/>
    <n v="0.15"/>
    <s v="Bill on Contract"/>
    <n v="69444733"/>
    <n v="10416.709999999999"/>
    <m/>
    <m/>
    <s v=" "/>
    <s v=""/>
    <m/>
    <m/>
    <n v="0"/>
    <n v="0"/>
    <n v="0"/>
    <n v="0"/>
    <n v="1"/>
    <n v="0"/>
    <n v="0"/>
    <n v="0"/>
    <s v="Bill on Contract - Straightline"/>
    <n v="10416.709999999999"/>
    <n v="277779"/>
    <n v="41666.85"/>
    <s v="Ferrero/Digital/Scatter/World Cup/25-26/Social/Video"/>
    <n v="257491"/>
    <s v="P2+"/>
    <s v="tbd"/>
    <m/>
    <s v="Mike Maresca"/>
    <s v="Guaranteed"/>
    <s v="DIO - SOC - FOX Sports - X - MWC"/>
    <n v="127990"/>
    <d v="2026-06-30T00:00:00"/>
    <d v="2026-06-01T00:00:00"/>
    <d v="2026-07-19T00:00:00"/>
    <s v="Social X"/>
    <m/>
    <d v="2026-07-05T12:53:18"/>
  </r>
  <r>
    <s v="IPROSPECT"/>
    <n v="12215"/>
    <n v="7358"/>
    <s v="FERRERO"/>
    <s v="Ferrero/Digital/Scatter/World Cup/25-26/Social/Video"/>
    <x v="72"/>
    <s v="Ferrero - Butterfinger - World Cup Social Sponsorship Content - Package"/>
    <n v="587530"/>
    <s v="Ferrero - Butterfinger - DIO - SOC - FOX Sports - Youtube - Custom Content - MWC"/>
    <n v="587533"/>
    <s v="FOX Sports"/>
    <s v="Flat Rate"/>
    <n v="0.15"/>
    <s v="Bill on Contract"/>
    <n v="69444467"/>
    <n v="10416.67"/>
    <m/>
    <m/>
    <s v=" "/>
    <s v=""/>
    <m/>
    <m/>
    <n v="0"/>
    <n v="0"/>
    <n v="0"/>
    <n v="0"/>
    <n v="1"/>
    <n v="0"/>
    <n v="0"/>
    <n v="0"/>
    <s v="Bill on Contract - Straightline"/>
    <n v="10416.67"/>
    <n v="277778"/>
    <n v="41666.699999999997"/>
    <s v="Ferrero/Digital/Scatter/World Cup/25-26/Social/Video"/>
    <n v="257491"/>
    <s v="P2+"/>
    <s v="tbd"/>
    <m/>
    <s v="Mike Maresca"/>
    <s v="Guaranteed"/>
    <s v="DIO - SOC - FOX Sports - Youtube - Custom Content - MWC"/>
    <n v="127990"/>
    <d v="2026-06-30T00:00:00"/>
    <d v="2026-06-01T00:00:00"/>
    <d v="2026-07-19T00:00:00"/>
    <s v="Social"/>
    <m/>
    <d v="2026-07-05T12:53:18"/>
  </r>
  <r>
    <s v="IPROSPECT"/>
    <n v="12215"/>
    <n v="7358"/>
    <s v="FERRERO"/>
    <s v="Ferrero/Digital/Scatter/World Cup/25-26/Social/Video"/>
    <x v="72"/>
    <s v="Ferrero - Keebler - Run of World Cup Video - Package"/>
    <n v="587535"/>
    <s v="Ferrero - Keebler - DIO - LFV - TUB - Pre/Mid - MWC - DT/MB/CTV"/>
    <n v="94330574"/>
    <s v="Fox Sold Tubi"/>
    <s v="CPM"/>
    <n v="40"/>
    <s v="3P Imps"/>
    <n v="2299161"/>
    <n v="91966.44"/>
    <m/>
    <m/>
    <s v=" "/>
    <n v="0"/>
    <m/>
    <m/>
    <n v="2299161"/>
    <n v="2299161"/>
    <n v="0"/>
    <n v="0"/>
    <n v="1"/>
    <n v="0"/>
    <n v="0"/>
    <n v="0"/>
    <s v="Bill on Actuals - 3rd Party Performance"/>
    <n v="45052.36"/>
    <n v="3185193"/>
    <n v="127407.72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Keebler - Run of World Cup Video - Package"/>
    <n v="587535"/>
    <s v="Ferrero - Keebler - DIO - ROV - FS - Pre/Mid - MWC - DT/MB/CTV"/>
    <n v="94330563"/>
    <s v="FOX Sports"/>
    <s v="CPM"/>
    <n v="40"/>
    <s v="3P Imps"/>
    <n v="925917"/>
    <n v="37036.68"/>
    <m/>
    <m/>
    <s v=" "/>
    <s v=""/>
    <m/>
    <m/>
    <n v="925917"/>
    <n v="925917"/>
    <n v="0"/>
    <n v="0"/>
    <n v="1"/>
    <n v="0"/>
    <n v="0"/>
    <n v="0"/>
    <s v="Bill on Actuals - 3rd Party Performance"/>
    <n v="19308.14"/>
    <n v="1365082"/>
    <n v="54603.28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Kinder Chocolate - Run of World Cup Video - Package"/>
    <n v="587538"/>
    <s v="Ferrero - Kinder Chocolate - DIO - LFV - TUB - Pre/Mid - MWC - DT/MB/CTV"/>
    <n v="94330582"/>
    <s v="Fox Sold Tubi"/>
    <s v="CPM"/>
    <n v="40"/>
    <s v="3P Imps"/>
    <n v="1488097"/>
    <n v="59523.88"/>
    <m/>
    <m/>
    <s v=" "/>
    <n v="0"/>
    <m/>
    <m/>
    <n v="1488097"/>
    <n v="1488097"/>
    <n v="0"/>
    <n v="0"/>
    <n v="1"/>
    <n v="0"/>
    <n v="0"/>
    <n v="0"/>
    <s v="Bill on Actuals - 3rd Party Performance"/>
    <n v="29217.48"/>
    <n v="2059225"/>
    <n v="82369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Kinder Chocolate - Run of World Cup Video - Package"/>
    <n v="587538"/>
    <s v="Ferrero - Kinder Chocolate - DIO - ROV - FS - Pre/Mid - MWC - DT/MB/CTV"/>
    <n v="94330613"/>
    <s v="FOX Sports"/>
    <s v="CPM"/>
    <n v="40"/>
    <s v="3P Imps"/>
    <n v="600482"/>
    <n v="24019.279999999999"/>
    <m/>
    <m/>
    <s v=" "/>
    <s v=""/>
    <m/>
    <m/>
    <n v="600482"/>
    <n v="600482"/>
    <n v="0"/>
    <n v="0"/>
    <n v="1"/>
    <n v="0"/>
    <n v="0"/>
    <n v="0"/>
    <s v="Bill on Actuals - 3rd Party Performance"/>
    <n v="12521.78"/>
    <n v="882525"/>
    <n v="35301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Blue Bunny - Run of World Cup Video - Package"/>
    <n v="587541"/>
    <s v="Ferrero - Blue Bunny - DIO - LFV - TUB - Pre/Mid - MWC - DT/MB/CTV"/>
    <n v="94330555"/>
    <s v="Fox Sold Tubi"/>
    <s v="CPM"/>
    <n v="40"/>
    <s v="3P Imps"/>
    <n v="1524201"/>
    <n v="60968.04"/>
    <m/>
    <m/>
    <s v=" "/>
    <n v="0"/>
    <m/>
    <m/>
    <n v="1524201"/>
    <n v="1524201"/>
    <n v="0"/>
    <n v="0"/>
    <n v="1"/>
    <n v="0"/>
    <n v="0"/>
    <n v="0"/>
    <s v="Bill on Actuals - 3rd Party Performance"/>
    <n v="29889.15"/>
    <n v="2108645"/>
    <n v="84345.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Blue Bunny - Run of World Cup Video - Package"/>
    <n v="587541"/>
    <s v="Ferrero - Blue Bunny - DIO - ROV - FS - Pre/Mid - MWC - DT/MB/CTV"/>
    <n v="94330567"/>
    <s v="FOX Sports"/>
    <s v="CPM"/>
    <n v="40"/>
    <s v="3P Imps"/>
    <n v="614140"/>
    <n v="24565.599999999999"/>
    <m/>
    <m/>
    <s v=" "/>
    <s v=""/>
    <m/>
    <m/>
    <n v="614140"/>
    <n v="614140"/>
    <n v="0"/>
    <n v="0"/>
    <n v="1"/>
    <n v="0"/>
    <n v="0"/>
    <n v="0"/>
    <s v="Bill on Actuals - 3rd Party Performance"/>
    <n v="12809.63"/>
    <n v="903705"/>
    <n v="36148.199999999997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Ferrero Rocher - Run of World Cup Video - Package"/>
    <n v="587544"/>
    <s v="Ferrero - Ferrero Rocher - DIO - LFV - TUB - Pre/Mid - MWC - DT/MB/CTV"/>
    <n v="94330603"/>
    <s v="Fox Sold Tubi"/>
    <s v="CPM"/>
    <n v="40"/>
    <s v="3P Imps"/>
    <n v="1445355"/>
    <n v="57814.2"/>
    <m/>
    <m/>
    <s v=" "/>
    <n v="0"/>
    <m/>
    <m/>
    <n v="1445355"/>
    <n v="1445355"/>
    <n v="0"/>
    <n v="0"/>
    <n v="1"/>
    <n v="0"/>
    <n v="0"/>
    <n v="0"/>
    <s v="Bill on Actuals - 3rd Party Performance"/>
    <n v="28370.43"/>
    <n v="1998377"/>
    <n v="79935.0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Ferrero Rocher - Run of World Cup Video - Package"/>
    <n v="587544"/>
    <s v="Ferrero - Ferrero Rocher - DIO - ROV - FS - Pre/Mid - MWC - DT/MB/CTV"/>
    <n v="94330586"/>
    <s v="FOX Sports"/>
    <s v="CPM"/>
    <n v="40"/>
    <s v="3P Imps"/>
    <n v="582734"/>
    <n v="23309.360000000001"/>
    <m/>
    <m/>
    <s v=" "/>
    <s v=""/>
    <m/>
    <m/>
    <n v="582734"/>
    <n v="582734"/>
    <n v="0"/>
    <n v="0"/>
    <n v="1"/>
    <n v="0"/>
    <n v="0"/>
    <n v="0"/>
    <s v="Bill on Actuals - 3rd Party Performance"/>
    <n v="12158.77"/>
    <n v="856448"/>
    <n v="34257.919999999998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Kinder Bueno - Run of World Cup Video - Package"/>
    <n v="587547"/>
    <s v="Ferrero - Kinder Bueno - DIO - LFV - TUB - Pre/Mid - MWC - DT/MB/CTV"/>
    <n v="94330597"/>
    <s v="Fox Sold Tubi"/>
    <s v="CPM"/>
    <n v="40"/>
    <s v="3P Imps"/>
    <n v="1076222"/>
    <n v="43048.88"/>
    <m/>
    <m/>
    <s v=" "/>
    <n v="0"/>
    <m/>
    <m/>
    <n v="1076222"/>
    <n v="1076222"/>
    <n v="0"/>
    <n v="0"/>
    <n v="1"/>
    <n v="0"/>
    <n v="0"/>
    <n v="0"/>
    <s v="Bill on Actuals - 3rd Party Performance"/>
    <n v="21587.17"/>
    <n v="1638472"/>
    <n v="65538.880000000005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22T00:00:00"/>
    <d v="2026-07-05T00:00:00"/>
    <s v="Direct LFV"/>
    <m/>
    <d v="2026-07-05T12:53:18"/>
  </r>
  <r>
    <s v="IPROSPECT"/>
    <n v="12215"/>
    <n v="7358"/>
    <s v="FERRERO"/>
    <s v="Ferrero/Digital/Scatter/World Cup/25-26/Social/Video"/>
    <x v="72"/>
    <s v="Ferrero - Kinder Bueno - Run of World Cup Video - Package"/>
    <n v="587547"/>
    <s v="Ferrero - Kinder Bueno - DIO - ROV - FS - Pre/Mid - MWC - DT/MB/CTV"/>
    <n v="94330543"/>
    <s v="FOX Sports"/>
    <s v="CPM"/>
    <n v="40"/>
    <s v="3P Imps"/>
    <n v="463232"/>
    <n v="18529.28"/>
    <m/>
    <m/>
    <s v=" "/>
    <s v=""/>
    <m/>
    <m/>
    <n v="463232"/>
    <n v="463232"/>
    <n v="0"/>
    <n v="0"/>
    <n v="1"/>
    <n v="0"/>
    <n v="0"/>
    <n v="0"/>
    <s v="Bill on Actuals - 3rd Party Performance"/>
    <n v="9251.65"/>
    <n v="702203"/>
    <n v="28088.1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22T00:00:00"/>
    <d v="2026-07-05T00:00:00"/>
    <s v="Direct ROV"/>
    <m/>
    <d v="2026-07-05T12:53:18"/>
  </r>
  <r>
    <s v="IPROSPECT"/>
    <n v="12215"/>
    <n v="7358"/>
    <s v="FERRERO"/>
    <s v="Ferrero/Digital/Scatter/World Cup/25-26/Social/Video"/>
    <x v="72"/>
    <s v="Ferrero - TicTac - Run of World Cup Video - Package"/>
    <n v="587550"/>
    <s v="Ferrero - TicTac - DIO - LFV - TUB - Pre/Mid - MWC - DT/MB/CTV"/>
    <n v="94330309"/>
    <s v="Fox Sold Tubi"/>
    <s v="CPM"/>
    <n v="40"/>
    <s v="3P Imps"/>
    <n v="1455127"/>
    <n v="56633.48"/>
    <m/>
    <m/>
    <s v=" "/>
    <n v="0"/>
    <m/>
    <m/>
    <n v="1455127"/>
    <n v="1455127"/>
    <n v="0"/>
    <n v="0"/>
    <n v="1"/>
    <n v="0"/>
    <n v="0"/>
    <n v="0"/>
    <s v="Bill on Actuals - 3rd Party Performance"/>
    <n v="28316.74"/>
    <n v="1415837"/>
    <n v="56633.4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8T00:00:00"/>
    <d v="2026-06-22T00:00:00"/>
    <s v="Direct LFV"/>
    <m/>
    <d v="2026-07-05T12:53:18"/>
  </r>
  <r>
    <s v="IPROSPECT"/>
    <n v="12215"/>
    <n v="7358"/>
    <s v="FERRERO"/>
    <s v="Ferrero/Digital/Scatter/World Cup/25-26/Social/Video"/>
    <x v="72"/>
    <s v="Ferrero - TicTac - Run of World Cup Video - Package"/>
    <n v="587550"/>
    <s v="Ferrero - TicTac - DIO - ROV - FS - Pre/Mid - MWC - DT/MB/CTV"/>
    <n v="94330337"/>
    <s v="FOX Sports"/>
    <s v="CPM"/>
    <n v="40"/>
    <s v="3P Imps"/>
    <n v="619460"/>
    <n v="24271.52"/>
    <m/>
    <m/>
    <s v=" "/>
    <s v=""/>
    <m/>
    <m/>
    <n v="619460"/>
    <n v="619460"/>
    <n v="0"/>
    <n v="0"/>
    <n v="1"/>
    <n v="0"/>
    <n v="0"/>
    <n v="0"/>
    <s v="Bill on Actuals - 3rd Party Performance"/>
    <n v="12135.76"/>
    <n v="606788"/>
    <n v="24271.5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8T00:00:00"/>
    <d v="2026-06-22T00:00:00"/>
    <s v="Direct ROV"/>
    <m/>
    <d v="2026-07-05T12:53:18"/>
  </r>
  <r>
    <s v="IPROSPECT"/>
    <n v="12215"/>
    <n v="7358"/>
    <s v="FERRERO"/>
    <s v="Ferrero/Digital/Scatter/World Cup/25-26/Social/Video"/>
    <x v="72"/>
    <s v="Ferrero - Halo Top - Run of World Cup Video - Package"/>
    <n v="587553"/>
    <s v="Ferrero - Halo Top - DIO - LFV - TUB - Pre/Mid - MWC - DT/MB/CTV"/>
    <n v="94330298"/>
    <s v="Fox Sold Tubi"/>
    <s v="CPM"/>
    <n v="40"/>
    <s v="3P Imps"/>
    <n v="1359135"/>
    <n v="52933.279999999999"/>
    <m/>
    <m/>
    <s v=" "/>
    <n v="0"/>
    <m/>
    <m/>
    <n v="1359135"/>
    <n v="1359135"/>
    <n v="0"/>
    <n v="0"/>
    <n v="1"/>
    <n v="0"/>
    <n v="0"/>
    <n v="0"/>
    <s v="Bill on Actuals - 3rd Party Performance"/>
    <n v="26466.639999999999"/>
    <n v="1323332"/>
    <n v="52933.279999999999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8T00:00:00"/>
    <d v="2026-06-28T00:00:00"/>
    <s v="Direct LFV"/>
    <m/>
    <d v="2026-07-05T12:53:18"/>
  </r>
  <r>
    <s v="IPROSPECT"/>
    <n v="12215"/>
    <n v="7358"/>
    <s v="FERRERO"/>
    <s v="Ferrero/Digital/Scatter/World Cup/25-26/Social/Video"/>
    <x v="72"/>
    <s v="Ferrero - Halo Top - Run of World Cup Video - Package"/>
    <n v="587553"/>
    <s v="Ferrero - Halo Top - DIO - ROV - FS - Pre/Mid - MWC - DT/MB/CTV"/>
    <n v="94330341"/>
    <s v="FOX Sports"/>
    <s v="CPM"/>
    <n v="40"/>
    <s v="3P Imps"/>
    <n v="579610"/>
    <n v="22685.72"/>
    <m/>
    <m/>
    <s v=" "/>
    <s v=""/>
    <m/>
    <m/>
    <n v="579610"/>
    <n v="579610"/>
    <n v="0"/>
    <n v="0"/>
    <n v="1"/>
    <n v="0"/>
    <n v="0"/>
    <n v="0"/>
    <s v="Bill on Actuals - 3rd Party Performance"/>
    <n v="11342.86"/>
    <n v="567143"/>
    <n v="22685.7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8T00:00:00"/>
    <d v="2026-06-28T00:00:00"/>
    <s v="Direct ROV"/>
    <m/>
    <d v="2026-07-05T12:53:18"/>
  </r>
  <r>
    <s v="IPROSPECT"/>
    <n v="12215"/>
    <n v="7358"/>
    <s v="FERRERO"/>
    <s v="Ferrero/Digital/Scatter/World Cup/25-26/Social/Video"/>
    <x v="72"/>
    <s v="Ferrero - Kinder Bueno Ice Cream - Run of World Cup Video - Package"/>
    <n v="587559"/>
    <s v="Ferrero - Kinder Bueno Ice Cream - DIO - LFV - TUB - Pre/Mid - MWC - DT/MB/CTV"/>
    <n v="94330345"/>
    <s v="Fox Sold Tubi"/>
    <s v="CPM"/>
    <n v="40"/>
    <s v="3P Imps"/>
    <n v="506465"/>
    <n v="19764.48"/>
    <m/>
    <m/>
    <s v=" "/>
    <n v="0"/>
    <m/>
    <m/>
    <n v="506465"/>
    <n v="506465"/>
    <n v="0"/>
    <n v="0"/>
    <n v="1"/>
    <n v="0"/>
    <n v="0"/>
    <n v="0"/>
    <s v="Bill on Actuals - 3rd Party Performance"/>
    <n v="9882.24"/>
    <n v="494112"/>
    <n v="19764.4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8T00:00:00"/>
    <d v="2026-06-22T00:00:00"/>
    <s v="Direct LFV"/>
    <m/>
    <d v="2026-07-05T12:53:18"/>
  </r>
  <r>
    <s v="IPROSPECT"/>
    <n v="12215"/>
    <n v="7358"/>
    <s v="FERRERO"/>
    <s v="Ferrero/Digital/Scatter/World Cup/25-26/Social/Video"/>
    <x v="72"/>
    <s v="Ferrero - Kinder Bueno Ice Cream - Run of World Cup Video - Package"/>
    <n v="587559"/>
    <s v="Ferrero - Kinder Bueno Ice Cream - DIO - ROV - FS - Pre/Mid - MWC - DT/MB/CTV"/>
    <n v="94330333"/>
    <s v="FOX Sports"/>
    <s v="CPM"/>
    <n v="40"/>
    <s v="3P Imps"/>
    <n v="215999"/>
    <n v="8470.52"/>
    <m/>
    <m/>
    <s v=" "/>
    <s v=""/>
    <m/>
    <m/>
    <n v="215999"/>
    <n v="215999"/>
    <n v="0"/>
    <n v="0"/>
    <n v="1"/>
    <n v="0"/>
    <n v="0"/>
    <n v="0"/>
    <s v="Bill on Actuals - 3rd Party Performance"/>
    <n v="4235.26"/>
    <n v="211763"/>
    <n v="8470.5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8T00:00:00"/>
    <d v="2026-06-22T00:00:00"/>
    <s v="Direct ROV"/>
    <m/>
    <d v="2026-07-05T12:53:18"/>
  </r>
  <r>
    <s v="IPROSPECT"/>
    <n v="12215"/>
    <n v="7358"/>
    <s v="FERRERO"/>
    <s v="Ferrero/Digital/Scatter/World Cup/25-26/Social/Video"/>
    <x v="72"/>
    <s v="Ferrero - Kinder Joy - Run of World Cup Video - Package"/>
    <n v="587570"/>
    <s v="Ferrero - Kinder Joy - DIO - LFV - TUB - Pre/Mid - MWC - DT/MB/CTV"/>
    <n v="94342600"/>
    <s v="Fox Sold Tubi"/>
    <s v="CPM"/>
    <n v="40"/>
    <s v="3P Imps"/>
    <n v="1272340"/>
    <n v="50893.599999999999"/>
    <m/>
    <m/>
    <s v=" "/>
    <n v="0"/>
    <m/>
    <m/>
    <n v="1272340"/>
    <n v="1272340"/>
    <n v="0"/>
    <n v="0"/>
    <n v="1"/>
    <n v="0"/>
    <n v="0"/>
    <n v="0"/>
    <s v="Bill on Actuals - 3rd Party Performance"/>
    <n v="24961.59"/>
    <n v="1759782"/>
    <n v="70391.2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01T00:00:00"/>
    <d v="2026-07-19T00:00:00"/>
    <s v="Direct LFV"/>
    <m/>
    <d v="2026-07-05T12:53:18"/>
  </r>
  <r>
    <s v="IPROSPECT"/>
    <n v="12215"/>
    <n v="7358"/>
    <s v="FERRERO"/>
    <s v="Ferrero/Digital/Scatter/World Cup/25-26/Social/Video"/>
    <x v="72"/>
    <s v="Ferrero - Kinder Joy - Run of World Cup Video - Package"/>
    <n v="587570"/>
    <s v="Ferrero - Kinder Joy - DIO - ROV - FS - Pre/Mid - MWC - DT/MB/CTV"/>
    <n v="94330578"/>
    <s v="FOX Sports"/>
    <s v="CPM"/>
    <n v="40"/>
    <s v="3P Imps"/>
    <n v="512884"/>
    <n v="20515.36"/>
    <m/>
    <m/>
    <s v=" "/>
    <s v=""/>
    <m/>
    <m/>
    <n v="512884"/>
    <n v="512884"/>
    <n v="0"/>
    <n v="0"/>
    <n v="1"/>
    <n v="0"/>
    <n v="0"/>
    <n v="0"/>
    <s v="Bill on Actuals - 3rd Party Performance"/>
    <n v="10697.83"/>
    <n v="754193"/>
    <n v="30167.7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01T00:00:00"/>
    <d v="2026-07-19T00:00:00"/>
    <s v="Direct ROV"/>
    <m/>
    <d v="2026-07-05T12:53:18"/>
  </r>
  <r>
    <s v="IPROSPECT"/>
    <n v="12215"/>
    <n v="7358"/>
    <s v="FERRERO"/>
    <s v="Ferrero/Digital/Scatter/World Cup/25-26/Social/Video"/>
    <x v="72"/>
    <s v="Ferrero - FMC Ice Cream - Run of World Cup Video - Package"/>
    <n v="593053"/>
    <s v="Ferrero - FMC Ice Cream - DIO - LFV - TUB - Pre/Mid - MWC - DT/MB/CTV"/>
    <n v="94548895"/>
    <s v="Fox Sold Tubi"/>
    <s v="CPM"/>
    <n v="40"/>
    <s v="3P Imps"/>
    <n v="233126"/>
    <n v="9325.0400000000009"/>
    <m/>
    <m/>
    <s v=" "/>
    <n v="0"/>
    <m/>
    <m/>
    <n v="233126"/>
    <n v="233126"/>
    <n v="0"/>
    <n v="0"/>
    <n v="1"/>
    <n v="0"/>
    <n v="0"/>
    <n v="0"/>
    <s v="Bill on Actuals - 3rd Party Performance"/>
    <n v="4579.6099999999997"/>
    <n v="250950"/>
    <n v="10038"/>
    <s v="Ferrero/Digital/Scatter/World Cup/25-26/Social/Video"/>
    <n v="94330290"/>
    <s v="P2+"/>
    <s v="tbd"/>
    <m/>
    <s v="Mike Maresca"/>
    <s v="Guaranteed"/>
    <s v="DIO - LFV - TUB - Pre/Mid - MWC - DT/MB/CTV"/>
    <n v="127990"/>
    <d v="2026-06-30T00:00:00"/>
    <d v="2026-06-22T00:00:00"/>
    <d v="2026-07-05T00:00:00"/>
    <s v="Direct LFV"/>
    <m/>
    <d v="2026-07-05T12:53:18"/>
  </r>
  <r>
    <s v="IPROSPECT"/>
    <n v="12215"/>
    <n v="7358"/>
    <s v="FERRERO"/>
    <s v="Ferrero/Digital/Scatter/World Cup/25-26/Social/Video"/>
    <x v="72"/>
    <s v="Ferrero - FMC Ice Cream - Run of World Cup Video - Package"/>
    <n v="593053"/>
    <s v="Ferrero - FMC Ice Cream - DIO - ROV - FS - Pre/Mid - MWC - DT/MB/CTV"/>
    <n v="94548891"/>
    <s v="FOX Sports"/>
    <s v="CPM"/>
    <n v="40"/>
    <s v="3P Imps"/>
    <n v="93939"/>
    <n v="3757.56"/>
    <m/>
    <m/>
    <s v=" "/>
    <s v=""/>
    <m/>
    <m/>
    <n v="93939"/>
    <n v="93939"/>
    <n v="0"/>
    <n v="0"/>
    <n v="1"/>
    <n v="0"/>
    <n v="0"/>
    <n v="0"/>
    <s v="Bill on Actuals - 3rd Party Performance"/>
    <n v="1962.69"/>
    <n v="107550"/>
    <n v="4302"/>
    <s v="Ferrero/Digital/Scatter/World Cup/25-26/Social/Video"/>
    <n v="94330290"/>
    <s v="P2+"/>
    <s v="tbd"/>
    <m/>
    <s v="Mike Maresca"/>
    <s v="Guaranteed"/>
    <s v="DIO - ROV - FS - Pre/Mid - MWC - DT/MB/CTV"/>
    <n v="127990"/>
    <d v="2026-06-30T00:00:00"/>
    <d v="2026-06-22T00:00:00"/>
    <d v="2026-07-05T00:00:00"/>
    <s v="Direct ROV"/>
    <m/>
    <d v="2026-07-05T12:53:18"/>
  </r>
  <r>
    <s v="JUNCTION 37"/>
    <n v="13577"/>
    <n v="18384"/>
    <s v="HEARTLAND FOOD PRODUCTS"/>
    <s v="JavaHouse/SCT/Indy/Social/25-26"/>
    <x v="73"/>
    <s v="Java House - Indy - DIO - SOC - FOX Sports - Package - FB/IG/TT"/>
    <n v="570374"/>
    <s v="Java House - Indy - DIO - SOC - FOX Sports - Facebook/Instagram"/>
    <n v="570386"/>
    <s v="FOX Sports - FB-Inst"/>
    <s v="Flat Rate"/>
    <n v="0.15"/>
    <s v="Bill on Contract"/>
    <n v="23809267"/>
    <n v="3571.39"/>
    <m/>
    <m/>
    <s v=" "/>
    <n v="0"/>
    <m/>
    <m/>
    <n v="0"/>
    <n v="0"/>
    <n v="0"/>
    <n v="0"/>
    <n v="1"/>
    <n v="0"/>
    <n v="0"/>
    <n v="0"/>
    <s v="Bill on Contract - Straightline"/>
    <n v="3571.39"/>
    <n v="333334"/>
    <n v="50000.1"/>
    <s v="JavaHouse/SCT/Indy/Social/25-26"/>
    <n v="262498"/>
    <s v="P2+"/>
    <n v="1"/>
    <m/>
    <s v="Nicole Joscelyn"/>
    <s v="Guaranteed"/>
    <s v="DIO - SOC - FOX Sports - Facebook/Instagram - INDY"/>
    <n v="118690"/>
    <d v="2026-06-30T00:00:00"/>
    <d v="2026-03-01T00:00:00"/>
    <d v="2026-09-13T00:00:00"/>
    <s v="Social Facebook/Instagram"/>
    <m/>
    <d v="2026-07-05T12:53:18"/>
  </r>
  <r>
    <s v="JUNCTION 37"/>
    <n v="13577"/>
    <n v="18384"/>
    <s v="HEARTLAND FOOD PRODUCTS"/>
    <s v="JavaHouse/SCT/Indy/Social/25-26"/>
    <x v="73"/>
    <s v="Java House - Indy - DIO - SOC - FOX Sports - Package - FB/IG/TT"/>
    <n v="570374"/>
    <s v="Java House - Indy - DIO - SOC - FOX Sports - TikTok"/>
    <n v="570384"/>
    <s v="FOX Sports - TikTok"/>
    <s v="Flat Rate"/>
    <n v="0.15"/>
    <s v="Bill on Contract"/>
    <n v="23809267"/>
    <n v="3571.39"/>
    <m/>
    <m/>
    <s v=" "/>
    <s v=""/>
    <m/>
    <m/>
    <n v="0"/>
    <n v="0"/>
    <n v="0"/>
    <n v="0"/>
    <n v="1"/>
    <n v="0"/>
    <n v="0"/>
    <n v="0"/>
    <s v="Bill on Contract - Straightline"/>
    <n v="3571.39"/>
    <n v="333334"/>
    <n v="50000.1"/>
    <s v="JavaHouse/SCT/Indy/Social/25-26"/>
    <n v="262498"/>
    <s v="P2+"/>
    <n v="1"/>
    <m/>
    <s v="Nicole Joscelyn"/>
    <s v="Guaranteed"/>
    <s v="DIO - SOC - FOX Sports - TikTok - INDY"/>
    <n v="118690"/>
    <d v="2026-06-30T00:00:00"/>
    <d v="2026-03-01T00:00:00"/>
    <d v="2026-09-13T00:00:00"/>
    <s v="Social TikTok"/>
    <m/>
    <d v="2026-07-05T12:53:18"/>
  </r>
  <r>
    <s v="LENOVO"/>
    <n v="23599"/>
    <n v="5986"/>
    <s v="LENOVO"/>
    <s v="Lenovo/OMP/Digital/Scatter/Sports/MWC"/>
    <x v="74"/>
    <s v="Lenovo - OMP - Run of World Cup Video - 2026 MWC Package"/>
    <n v="590257"/>
    <s v="Lenovo - OMP - DIO - LFV - TUB - Pre/Mid - MWC - DT/MB/CTV"/>
    <n v="94546804"/>
    <s v="Fox Sold Tubi"/>
    <s v="CPM"/>
    <n v="44"/>
    <s v="1P Imps"/>
    <n v="5240008"/>
    <n v="230560.35"/>
    <m/>
    <m/>
    <s v=" "/>
    <n v="0"/>
    <m/>
    <m/>
    <n v="5240008"/>
    <n v="5240008"/>
    <n v="0"/>
    <n v="0"/>
    <n v="1"/>
    <n v="0"/>
    <n v="0"/>
    <n v="0"/>
    <s v="Bill on Actuals - 3rd Party Performance"/>
    <n v="116254.12"/>
    <n v="7954546"/>
    <n v="350000.02"/>
    <s v="Lenovo/OMP/Digital/Scatter/Sports/MWC"/>
    <n v="94546791"/>
    <s v="P2+"/>
    <m/>
    <m/>
    <s v="Tom Cecil"/>
    <s v="Guaranteed"/>
    <s v="DIO - LFV - TUB - Pre/Mid - MWC - DT/MB/CTV"/>
    <n v="130767"/>
    <d v="2026-06-30T00:00:00"/>
    <d v="2026-06-01T00:00:00"/>
    <d v="2026-07-31T00:00:00"/>
    <s v="Direct LFV"/>
    <m/>
    <d v="2026-07-05T12:53:18"/>
  </r>
  <r>
    <s v="LENOVO"/>
    <n v="23599"/>
    <n v="5986"/>
    <s v="LENOVO"/>
    <s v="Lenovo/OMP/Digital/Scatter/Sports/MWC"/>
    <x v="74"/>
    <s v="Lenovo - OMP - Run of World Cup Video - 2026 MWC Package"/>
    <n v="590257"/>
    <s v="Lenovo - OMP - DIO - ROV - FS - Pre/Mid - MWC - DT/MB/CTV"/>
    <n v="94546796"/>
    <s v="FOX Sports"/>
    <s v="CPM"/>
    <n v="44"/>
    <s v="1P Imps"/>
    <n v="2308961"/>
    <n v="101594.28"/>
    <m/>
    <m/>
    <s v=" "/>
    <s v=""/>
    <m/>
    <m/>
    <n v="2308961"/>
    <n v="2308961"/>
    <n v="0"/>
    <n v="0"/>
    <n v="1"/>
    <n v="0"/>
    <n v="0"/>
    <n v="0"/>
    <s v="Bill on Actuals - 3rd Party Performance"/>
    <n v="49823.19"/>
    <n v="3409091"/>
    <n v="150000"/>
    <s v="Lenovo/OMP/Digital/Scatter/Sports/MWC"/>
    <n v="94546791"/>
    <s v="P2+"/>
    <m/>
    <m/>
    <s v="Tom Cecil"/>
    <s v="Guaranteed"/>
    <s v="DIO - ROV - FS - Pre/Mid - MWC - DT/MB/CTV"/>
    <n v="130767"/>
    <d v="2026-06-30T00:00:00"/>
    <d v="2026-06-01T00:00:00"/>
    <d v="2026-07-31T00:00:00"/>
    <s v="Direct ROV"/>
    <m/>
    <d v="2026-07-05T12:53:18"/>
  </r>
  <r>
    <s v="LENOVO"/>
    <n v="23599"/>
    <n v="5986"/>
    <s v="LENOVO"/>
    <s v="Lenovo/OMP/Digital/Scatter/Sports/MWC"/>
    <x v="74"/>
    <s v="Lenovo - OMP - Run of AllFOX Video - AAT Soccer Fans - MWC 2026 Package"/>
    <n v="593358"/>
    <s v="Lenovo - OMP - DIO - LFV - 1F - Tubi - Pre/Mid - ROS - DT/MB/CTV - FW - SXD - AAT Soccer Fans"/>
    <n v="94716652"/>
    <s v="Fox Sold Tubi"/>
    <s v="CPM"/>
    <n v="20"/>
    <s v="1P Audience Target"/>
    <n v="8569591"/>
    <n v="171391.82"/>
    <m/>
    <m/>
    <s v=" "/>
    <n v="0"/>
    <m/>
    <m/>
    <n v="8569591"/>
    <n v="8569591"/>
    <n v="0"/>
    <n v="0"/>
    <n v="1"/>
    <n v="0"/>
    <n v="0"/>
    <n v="0"/>
    <s v="Bill on Actuals - 3rd Party Performance"/>
    <n v="84985.16"/>
    <n v="13500000"/>
    <n v="270000"/>
    <s v="Lenovo/OMP/Digital/Scatter/Sports/MWC"/>
    <n v="94546791"/>
    <s v="Audience Target"/>
    <m/>
    <m/>
    <s v="Tom Cecil"/>
    <s v="Guaranteed"/>
    <s v="DIO - LFV - 1F - Tubi - Pre/Mid - ROS - DT/MB/CTV - FW - SXD"/>
    <n v="130767"/>
    <d v="2026-06-30T00:00:00"/>
    <d v="2026-06-10T00:00:00"/>
    <d v="2026-07-19T00:00:00"/>
    <s v="Direct LFV"/>
    <m/>
    <d v="2026-07-05T12:53:18"/>
  </r>
  <r>
    <s v="LENOVO"/>
    <n v="23599"/>
    <n v="5986"/>
    <s v="LENOVO"/>
    <s v="Lenovo/OMP/Digital/Scatter/Sports/MWC"/>
    <x v="74"/>
    <s v="Lenovo - OMP - Run of AllFOX Video - AAT Soccer Fans - MWC 2026 Package"/>
    <n v="593358"/>
    <s v="Lenovo - OMP - DIO - ROV - 1F - SEN - Pre/Mid - ROS - DT/MB/CTV - SXD - AAT Soccer Fans"/>
    <n v="94716655"/>
    <s v="OneFOX"/>
    <s v="CPM"/>
    <n v="20"/>
    <s v="1P Audience Target"/>
    <n v="5594603"/>
    <n v="111892.06"/>
    <m/>
    <m/>
    <s v=" "/>
    <s v=""/>
    <m/>
    <m/>
    <n v="5594603"/>
    <n v="5594603"/>
    <n v="0"/>
    <n v="0"/>
    <n v="1"/>
    <n v="0"/>
    <n v="0"/>
    <n v="0"/>
    <s v="Bill on Actuals - 3rd Party Performance"/>
    <n v="56656.78"/>
    <n v="9000000"/>
    <n v="180000"/>
    <s v="Lenovo/OMP/Digital/Scatter/Sports/MWC"/>
    <n v="94546791"/>
    <s v="Audience Target"/>
    <m/>
    <m/>
    <s v="Tom Cecil"/>
    <s v="Guaranteed"/>
    <s v="DIO - ROV - 1F - SEN - Pre/Mid - ROS - DT/MB/CTV - SXD"/>
    <n v="130767"/>
    <d v="2026-06-30T00:00:00"/>
    <d v="2026-06-10T00:00:00"/>
    <d v="2026-07-19T00:00:00"/>
    <s v="Direct ROV"/>
    <m/>
    <d v="2026-07-05T12:53:18"/>
  </r>
  <r>
    <s v="LERMA"/>
    <n v="12676"/>
    <n v="16016"/>
    <s v="HE GETS US"/>
    <s v="He Gets Us/25-26/Digital/Scatter/Sports/Men's World Cup "/>
    <x v="75"/>
    <s v="HGU - Run of World Cup Video - Package"/>
    <n v="582343"/>
    <s v="HGU - DIO - LFV - TUB - Pre/Mid - MWC - DT/MB/CTV"/>
    <n v="93850348"/>
    <s v="Fox Sold Tubi"/>
    <s v="CPM"/>
    <n v="40"/>
    <s v="1P Imps"/>
    <n v="4622288"/>
    <n v="184891.51999999999"/>
    <m/>
    <m/>
    <s v=" "/>
    <n v="0"/>
    <m/>
    <m/>
    <n v="4622288"/>
    <n v="4622288"/>
    <n v="0"/>
    <n v="0"/>
    <n v="1"/>
    <n v="0"/>
    <n v="0"/>
    <n v="0"/>
    <s v="Bill on Actuals - 3rd Party Performance"/>
    <n v="93451.56"/>
    <n v="7000000"/>
    <n v="280000"/>
    <s v="He Gets Us/25-26/Digital/Scatter/Sports/Men's World Cup "/>
    <n v="93850342"/>
    <s v="P2+"/>
    <s v="O-D2SD35G"/>
    <m/>
    <s v="Carly Sartwell"/>
    <s v="Guaranteed"/>
    <s v="DIO - LFV - TUB - Pre/Mid - MWC - DT/MB/CTV"/>
    <n v="127799"/>
    <d v="2026-06-30T00:00:00"/>
    <d v="2026-06-01T00:00:00"/>
    <d v="2026-07-19T00:00:00"/>
    <s v="Direct LFV"/>
    <m/>
    <d v="2026-07-05T12:53:18"/>
  </r>
  <r>
    <s v="LERMA"/>
    <n v="12676"/>
    <n v="16016"/>
    <s v="HE GETS US"/>
    <s v="He Gets Us/25-26/Digital/Scatter/Sports/Men's World Cup "/>
    <x v="75"/>
    <s v="HGU - Run of World Cup Video - Package"/>
    <n v="582343"/>
    <s v="HGU - DIO - ROV - FS - Pre/Mid - MWC - DT/MB/CTV"/>
    <n v="93850345"/>
    <s v="FOX Sports"/>
    <s v="CPM"/>
    <n v="40"/>
    <s v="1P Imps"/>
    <n v="5390379"/>
    <n v="215615.16"/>
    <m/>
    <m/>
    <s v=" "/>
    <s v=""/>
    <m/>
    <m/>
    <n v="5390379"/>
    <n v="5390379"/>
    <n v="0"/>
    <n v="0"/>
    <n v="1"/>
    <n v="0"/>
    <n v="0"/>
    <n v="0"/>
    <s v="Bill on Actuals - 3rd Party Performance"/>
    <n v="106801.78"/>
    <n v="8000000"/>
    <n v="320000"/>
    <s v="He Gets Us/25-26/Digital/Scatter/Sports/Men's World Cup "/>
    <n v="93850342"/>
    <s v="P2+"/>
    <s v="O-D2SD35G"/>
    <m/>
    <s v="Carly Sartwell"/>
    <s v="Guaranteed"/>
    <s v="DIO - ROV - FS - Pre/Mid - MWC - DT/MB/CTV"/>
    <n v="127799"/>
    <d v="2026-06-30T00:00:00"/>
    <d v="2026-06-01T00:00:00"/>
    <d v="2026-07-19T00:00:00"/>
    <s v="Direct ROV"/>
    <m/>
    <d v="2026-07-05T12:53:18"/>
  </r>
  <r>
    <s v="LERMA"/>
    <n v="12676"/>
    <n v="16016"/>
    <s v="HE GETS US"/>
    <s v="He Gets Us/25-26/Digital/Scatter/Sports/Men's World Cup "/>
    <x v="75"/>
    <s v="HGU - Run of World Cup Display - Package"/>
    <n v="582348"/>
    <s v="HGU - DIS - FS - Display Unit - MWC - 728x90/300x250/320x50"/>
    <n v="7305356284"/>
    <s v="FOX Sports"/>
    <s v="Flat Rate"/>
    <n v="6"/>
    <s v="Bill on Contract"/>
    <n v="10204082"/>
    <n v="61224.49"/>
    <m/>
    <m/>
    <s v=" "/>
    <n v="0"/>
    <m/>
    <m/>
    <n v="0"/>
    <n v="0"/>
    <n v="0"/>
    <n v="0"/>
    <n v="1"/>
    <n v="0"/>
    <n v="0"/>
    <n v="0"/>
    <s v="Bill on Contract - Pro-rated"/>
    <n v="61224.49"/>
    <n v="33333334"/>
    <n v="200000"/>
    <s v="He Gets Us/25-26/Digital/Scatter/Sports/Men's World Cup "/>
    <n v="262576"/>
    <s v="P2+"/>
    <s v="O-D2SD35G"/>
    <m/>
    <s v="Carly Sartwell"/>
    <s v="Guaranteed"/>
    <s v="DIS - FS - Display Unit - MWC"/>
    <n v="127799"/>
    <d v="2026-06-30T00:00:00"/>
    <d v="2026-06-01T00:00:00"/>
    <d v="2026-07-19T00:00:00"/>
    <s v="Direct Display"/>
    <m/>
    <d v="2026-07-05T12:53:18"/>
  </r>
  <r>
    <s v="LERMA"/>
    <n v="12676"/>
    <n v="16016"/>
    <s v="HE GETS US"/>
    <s v="He Gets Us/25-26/Digital/Scatter/Sports/Men's World Cup "/>
    <x v="75"/>
    <s v="HGU - Run of FOX Sports Video - Package"/>
    <n v="582415"/>
    <s v="HGU - DIO - ROV - FS - Pre/Mid - ROS - DT/MB/CTV"/>
    <n v="93850376"/>
    <s v="FOX Sports"/>
    <s v="CPM"/>
    <n v="25"/>
    <s v="1P CoView Imps"/>
    <n v="448462"/>
    <n v="11211.55"/>
    <m/>
    <m/>
    <s v=" "/>
    <n v="0"/>
    <m/>
    <m/>
    <n v="379616"/>
    <n v="379616"/>
    <n v="448462"/>
    <n v="448462"/>
    <n v="1"/>
    <n v="1.181356961945415"/>
    <n v="0"/>
    <n v="0"/>
    <s v="Bill on Actuals - 3rd Party Performance"/>
    <n v="3811.78"/>
    <n v="680000"/>
    <n v="17000"/>
    <s v="He Gets Us/25-26/Digital/Scatter/Sports/Men's World Cup "/>
    <n v="93850342"/>
    <s v="P2+"/>
    <s v="O-D2SD35G"/>
    <m/>
    <s v="Carly Sartwell"/>
    <s v="Guaranteed"/>
    <s v="DIO - ROV - FS - Pre/Mid - ROS - DT/MB/CTV"/>
    <n v="127799"/>
    <d v="2026-06-30T00:00:00"/>
    <d v="2026-06-01T00:00:00"/>
    <d v="2026-07-19T00:00:00"/>
    <s v="Direct ROV"/>
    <m/>
    <d v="2026-07-05T12:53:18"/>
  </r>
  <r>
    <s v="LERMA"/>
    <n v="12676"/>
    <n v="16016"/>
    <s v="HE GETS US"/>
    <s v="He Gets Us/25-26/Digital/Scatter/Sports/Men's World Cup "/>
    <x v="75"/>
    <s v="HGU - Run of FOX Sports Video - Package"/>
    <n v="582415"/>
    <s v="HGU - DIO - SFV - FSEN - Pre - ROS - DT/MB/CTV - non-CoV"/>
    <n v="94976425"/>
    <s v="FSEN"/>
    <s v="CPM"/>
    <n v="25"/>
    <s v="1P Imps"/>
    <n v="105775"/>
    <n v="2644.38"/>
    <m/>
    <m/>
    <s v=" "/>
    <s v=""/>
    <m/>
    <m/>
    <n v="105775"/>
    <n v="105775"/>
    <n v="0"/>
    <n v="0"/>
    <n v="1"/>
    <n v="0"/>
    <n v="0"/>
    <n v="0"/>
    <s v="Bill on Actuals - 3rd Party Performance"/>
    <n v="1793.78"/>
    <n v="320000"/>
    <n v="8000"/>
    <s v="He Gets Us/25-26/Digital/Scatter/Sports/Men's World Cup "/>
    <n v="93850342"/>
    <s v="P2+"/>
    <s v="O-D2SD35G"/>
    <m/>
    <s v="Carly Sartwell"/>
    <s v="Guaranteed"/>
    <s v="DIO - SFV - FSEN - Pre - ROS - DT/MB/CTV - non-CoV"/>
    <n v="127799"/>
    <d v="2026-06-30T00:00:00"/>
    <d v="2026-06-01T00:00:00"/>
    <d v="2026-07-19T00:00:00"/>
    <s v="Direct SFV"/>
    <m/>
    <d v="2026-07-05T12:53:18"/>
  </r>
  <r>
    <s v="LERMA"/>
    <n v="12676"/>
    <n v="16016"/>
    <s v="HE GETS US"/>
    <s v="He Gets Us/25-26/Digital/Scatter/Sports/Men's World Cup "/>
    <x v="75"/>
    <s v="HGU - Run of AllFOX Video - Package"/>
    <n v="582417"/>
    <s v="HGU - DIO - LFV - 1F - Tubi - Pre/Mid - ROS - DT/MB/CTV - FW - SXD"/>
    <n v="93850354"/>
    <s v="Fox Sold Tubi"/>
    <s v="CPM"/>
    <n v="20"/>
    <s v="1P Audience Target"/>
    <n v="10019492"/>
    <n v="200389.84"/>
    <m/>
    <m/>
    <s v=" "/>
    <n v="0"/>
    <m/>
    <m/>
    <n v="10019492"/>
    <n v="10019492"/>
    <n v="0"/>
    <n v="0"/>
    <n v="1"/>
    <n v="0"/>
    <n v="0"/>
    <n v="0"/>
    <s v="Bill on Actuals - 3rd Party Performance"/>
    <n v="100489.1"/>
    <n v="14250000"/>
    <n v="285000"/>
    <s v="He Gets Us/25-26/Digital/Scatter/Sports/Men's World Cup "/>
    <n v="93850342"/>
    <s v="Audience Target"/>
    <s v="O-D2SD35G"/>
    <m/>
    <s v="Carly Sartwell"/>
    <s v="Guaranteed"/>
    <s v="DIO - LFV - 1F - Tubi - Pre/Mid - ROS - DT/MB/CTV - FW - SXD"/>
    <n v="127799"/>
    <d v="2026-06-30T00:00:00"/>
    <d v="2026-06-01T00:00:00"/>
    <d v="2026-07-19T00:00:00"/>
    <s v="Direct LFV"/>
    <m/>
    <d v="2026-07-05T12:53:18"/>
  </r>
  <r>
    <s v="LERMA"/>
    <n v="12676"/>
    <n v="16016"/>
    <s v="HE GETS US"/>
    <s v="He Gets Us/25-26/Digital/Scatter/Sports/Men's World Cup "/>
    <x v="75"/>
    <s v="HGU - Run of AllFOX Video - Package"/>
    <n v="582417"/>
    <s v="HGU - DIO - ROV - 1F - SEN - Pre/Mid - ROS - DT/MB/CTV - SXD"/>
    <n v="93850369"/>
    <s v="OneFOX"/>
    <s v="CPM"/>
    <n v="20"/>
    <s v="1P Audience Target"/>
    <n v="6728691"/>
    <n v="134573.82"/>
    <m/>
    <m/>
    <s v=" "/>
    <s v=""/>
    <m/>
    <m/>
    <n v="6728691"/>
    <n v="6728691"/>
    <n v="0"/>
    <n v="0"/>
    <n v="1"/>
    <n v="0"/>
    <n v="0"/>
    <n v="0"/>
    <s v="Bill on Actuals - 3rd Party Performance"/>
    <n v="66992.73"/>
    <n v="9500000"/>
    <n v="190000"/>
    <s v="He Gets Us/25-26/Digital/Scatter/Sports/Men's World Cup "/>
    <n v="93850342"/>
    <s v="Audience Target"/>
    <s v="O-D2SD35G"/>
    <m/>
    <s v="Carly Sartwell"/>
    <s v="Guaranteed"/>
    <s v="DIO - ROV - 1F - SEN - Pre/Mid - ROS - DT/MB/CTV - SXD"/>
    <n v="127799"/>
    <d v="2026-06-30T00:00:00"/>
    <d v="2026-06-01T00:00:00"/>
    <d v="2026-07-19T00:00:00"/>
    <s v="Direct ROV"/>
    <m/>
    <d v="2026-07-05T12:53:18"/>
  </r>
  <r>
    <s v="LERMA"/>
    <n v="12676"/>
    <n v="16016"/>
    <s v="HE GETS US"/>
    <s v="He Gets Us/25-26/Digital/Scatter/Sports/Men's World Cup "/>
    <x v="75"/>
    <s v="HGU - World Cup Social Sponsorship Content - Package"/>
    <n v="582420"/>
    <s v="HGU - DIO - SOC - FOX Sports - Facebook/Instagram - MWC"/>
    <n v="582421"/>
    <s v="FOX Sports - FB-Inst"/>
    <s v="Flat Rate"/>
    <n v="0.15"/>
    <s v="Bill on Contract"/>
    <n v="204081733"/>
    <n v="30612.26"/>
    <m/>
    <m/>
    <s v=" "/>
    <n v="0"/>
    <m/>
    <m/>
    <n v="0"/>
    <n v="0"/>
    <n v="0"/>
    <n v="0"/>
    <n v="1"/>
    <n v="0"/>
    <n v="0"/>
    <n v="0"/>
    <s v="Bill on Contract - Pro-rated"/>
    <n v="30612.26"/>
    <n v="666667"/>
    <n v="100000.05"/>
    <s v="He Gets Us/25-26/Digital/Scatter/Sports/Men's World Cup "/>
    <n v="262576"/>
    <s v="P2+"/>
    <s v="O-D2SD35G"/>
    <m/>
    <s v="Carly Sartwell"/>
    <s v="Guaranteed"/>
    <s v="DIO - SOC - FOX Sports - Facebook/Instagram - MWC"/>
    <n v="127799"/>
    <d v="2026-06-30T00:00:00"/>
    <d v="2026-06-01T00:00:00"/>
    <d v="2026-07-19T00:00:00"/>
    <s v="Social Facebook/Instagram"/>
    <m/>
    <d v="2026-07-05T12:53:18"/>
  </r>
  <r>
    <s v="LERMA"/>
    <n v="12676"/>
    <n v="16016"/>
    <s v="HE GETS US"/>
    <s v="He Gets Us/25-26/Digital/Scatter/Sports/Men's World Cup "/>
    <x v="75"/>
    <s v="HGU - World Cup Social Sponsorship Content - Package"/>
    <n v="582420"/>
    <s v="HGU - DIO - SOC - FOX Sports - TikTok - MWC"/>
    <n v="582424"/>
    <s v="FOX Sports - TikTok"/>
    <s v="Flat Rate"/>
    <n v="0.15"/>
    <s v="Bill on Contract"/>
    <n v="204081400"/>
    <n v="30612.21"/>
    <m/>
    <m/>
    <s v=" "/>
    <s v=""/>
    <m/>
    <m/>
    <n v="0"/>
    <n v="0"/>
    <n v="0"/>
    <n v="0"/>
    <n v="1"/>
    <n v="0"/>
    <n v="0"/>
    <n v="0"/>
    <s v="Bill on Contract - Pro-rated"/>
    <n v="30612.21"/>
    <n v="666666"/>
    <n v="99999.9"/>
    <s v="He Gets Us/25-26/Digital/Scatter/Sports/Men's World Cup "/>
    <n v="262576"/>
    <s v="P2+"/>
    <s v="O-D2SD35G"/>
    <m/>
    <s v="Carly Sartwell"/>
    <s v="Guaranteed"/>
    <s v="DIO - SOC - FOX Sports - TikTok - MWC"/>
    <n v="127799"/>
    <d v="2026-06-30T00:00:00"/>
    <d v="2026-06-01T00:00:00"/>
    <d v="2026-07-19T00:00:00"/>
    <s v="Social TikTok"/>
    <m/>
    <d v="2026-07-05T12:53:18"/>
  </r>
  <r>
    <s v="LERMA"/>
    <n v="12676"/>
    <n v="16016"/>
    <s v="HE GETS US"/>
    <s v="He Gets Us/25-26/Digital/Scatter/Sports/Men's World Cup "/>
    <x v="75"/>
    <s v="HGU - World Cup Social Sponsorship Content - Package"/>
    <n v="582420"/>
    <s v="HGU - DIO - SOC - FOX Sports - Youtube - Custom Content - MWC"/>
    <n v="582423"/>
    <s v="FOX Sports"/>
    <s v="Flat Rate"/>
    <n v="0.15"/>
    <s v="Bill on Contract"/>
    <n v="204081733"/>
    <n v="30612.26"/>
    <m/>
    <m/>
    <s v=" "/>
    <s v=""/>
    <m/>
    <m/>
    <n v="0"/>
    <n v="0"/>
    <n v="0"/>
    <n v="0"/>
    <n v="1"/>
    <n v="0"/>
    <n v="0"/>
    <n v="0"/>
    <s v="Bill on Contract - Pro-rated"/>
    <n v="30612.26"/>
    <n v="666667"/>
    <n v="100000.05"/>
    <s v="He Gets Us/25-26/Digital/Scatter/Sports/Men's World Cup "/>
    <n v="262576"/>
    <s v="P2+"/>
    <s v="O-D2SD35G"/>
    <m/>
    <s v="Carly Sartwell"/>
    <s v="Guaranteed"/>
    <s v="DIO - SOC - FOX Sports - Youtube - Custom Content - MWC"/>
    <n v="127799"/>
    <d v="2026-06-30T00:00:00"/>
    <d v="2026-06-01T00:00:00"/>
    <d v="2026-07-19T00:00:00"/>
    <s v="Social"/>
    <m/>
    <d v="2026-07-05T12:53:18"/>
  </r>
  <r>
    <s v="LIVING ESSENTIALS"/>
    <n v="10647"/>
    <n v="8960"/>
    <s v="5 HOUR ENERGY"/>
    <s v="5HR/Digital/Streaming/ENT/Scatter 2Q'26"/>
    <x v="76"/>
    <s v="5 Hour DIO - LFV - Entertainment ROS - Package - 2Q'26 A25-54 AAT"/>
    <n v="588773"/>
    <s v="5 Hour DIO - LFV - RON Ent - Pre/Mid - ROS - DT/MB/CTV/STB - 2Q'26 A25-54 AAT"/>
    <n v="93990379"/>
    <s v="RON - Ent"/>
    <s v="CPM"/>
    <n v="23"/>
    <s v="3P Audience Target"/>
    <n v="2546663"/>
    <n v="58573.25"/>
    <m/>
    <m/>
    <s v=" "/>
    <n v="0"/>
    <m/>
    <s v="Show Only Net; NONE"/>
    <n v="1905506"/>
    <n v="2546663"/>
    <n v="0"/>
    <n v="0"/>
    <n v="1"/>
    <n v="0"/>
    <n v="0"/>
    <n v="0"/>
    <s v="Bill on Actuals - 3rd Party Performance"/>
    <n v="41426.75"/>
    <n v="4347826"/>
    <n v="100000"/>
    <s v="5HR/Digital/Streaming/ENT/Scatter 2Q'26"/>
    <n v="93990359"/>
    <s v="Audience Target"/>
    <s v="N/A"/>
    <m/>
    <s v="Brittany OBrien"/>
    <s v="Guaranteed"/>
    <s v="DIO - LFV - RON Ent - Pre/Mid - ROS - DT/MB/CTV/STB"/>
    <n v="128332"/>
    <d v="2026-06-30T00:00:00"/>
    <d v="2026-05-14T00:00:00"/>
    <d v="2026-06-30T00:00:00"/>
    <s v="Direct LFV"/>
    <m/>
    <d v="2026-07-05T12:53:18"/>
  </r>
  <r>
    <s v="MEDIA ASSOCIATES"/>
    <n v="11059"/>
    <n v="2165"/>
    <s v="UNIVERSITY OF PHOENIX"/>
    <s v="UOPX- MWC - Digital -25/26"/>
    <x v="77"/>
    <s v="UOPX - Run of World Cup Video - Package"/>
    <n v="592011"/>
    <s v="UOPX - DIO - LFV - TUB - Pre/Mid - MWC - CTV ONLY"/>
    <n v="94480753"/>
    <s v="Fox Sold Tubi"/>
    <s v="Flat Rate"/>
    <n v="44"/>
    <s v="Bill on Contract"/>
    <n v="185606"/>
    <n v="8166.67"/>
    <m/>
    <m/>
    <s v=" "/>
    <n v="0"/>
    <m/>
    <m/>
    <n v="479916"/>
    <n v="479916"/>
    <n v="0"/>
    <n v="0"/>
    <n v="1"/>
    <n v="0"/>
    <n v="0"/>
    <n v="0"/>
    <s v="Bill on Contract - Pro-rated"/>
    <n v="8166.67"/>
    <n v="715909"/>
    <n v="31500"/>
    <s v="UOPX- MWC - Digital -25/26"/>
    <n v="94480742"/>
    <s v="P2+"/>
    <s v="O-60ENN-R4"/>
    <m/>
    <s v="Leslie Lowenthal"/>
    <s v="Guaranteed"/>
    <s v="DIO - LFV - TUB - Pre/Mid - MWC - DT/MB/CTV"/>
    <n v="130427"/>
    <d v="2026-06-30T00:00:00"/>
    <d v="2026-06-03T00:00:00"/>
    <d v="2026-07-26T00:00:00"/>
    <s v="Direct LFV"/>
    <m/>
    <d v="2026-07-05T12:53:18"/>
  </r>
  <r>
    <s v="MEDIA ASSOCIATES"/>
    <n v="11059"/>
    <n v="2165"/>
    <s v="UNIVERSITY OF PHOENIX"/>
    <s v="UOPX- MWC - Digital -25/26"/>
    <x v="77"/>
    <s v="UOPX - Run of World Cup Video - Package"/>
    <n v="592011"/>
    <s v="UOPX - DIO - ROV - FS - Pre/Mid - MWC - CTV ONLY"/>
    <n v="94480749"/>
    <s v="FOX Sports"/>
    <s v="Flat Rate"/>
    <n v="44"/>
    <s v="Bill on Contract"/>
    <n v="79546"/>
    <n v="3500.01"/>
    <m/>
    <m/>
    <s v=" "/>
    <s v=""/>
    <m/>
    <m/>
    <n v="208623"/>
    <n v="208623"/>
    <n v="0"/>
    <n v="0"/>
    <n v="1"/>
    <n v="0"/>
    <n v="0"/>
    <n v="0"/>
    <s v="Bill on Contract - Pro-rated"/>
    <n v="3500.01"/>
    <n v="306819"/>
    <n v="13500.04"/>
    <s v="UOPX- MWC - Digital -25/26"/>
    <n v="94480742"/>
    <s v="P2+"/>
    <s v="O-60ENN-R4"/>
    <m/>
    <s v="Leslie Lowenthal"/>
    <s v="Guaranteed"/>
    <s v="DIO - ROV - FS - Pre/Mid - MWC - DT/MB/CTV"/>
    <n v="130427"/>
    <d v="2026-06-30T00:00:00"/>
    <d v="2026-06-03T00:00:00"/>
    <d v="2026-07-26T00:00:00"/>
    <s v="Direct ROV"/>
    <m/>
    <d v="2026-07-05T12:53:18"/>
  </r>
  <r>
    <s v="MEDIA ASSOCIATES"/>
    <n v="11059"/>
    <n v="2165"/>
    <s v="UNIVERSITY OF PHOENIX"/>
    <s v="UOPX- MWC - Digital -25/26"/>
    <x v="77"/>
    <s v="UOPX - Run of AllFOX Video - Package"/>
    <n v="592019"/>
    <s v="UOPX - DIO - LFV - 1F - Tubi - Pre/Mid - ROS - DT/MB/CTV - FW - SXD - AAT"/>
    <n v="94480756"/>
    <s v="Fox Sold Tubi"/>
    <s v="CPM"/>
    <n v="20"/>
    <s v="3P Audience Target"/>
    <n v="258658"/>
    <n v="2500"/>
    <m/>
    <m/>
    <s v=" "/>
    <n v="0"/>
    <m/>
    <m/>
    <n v="258658"/>
    <n v="258658"/>
    <n v="0"/>
    <n v="0"/>
    <n v="1"/>
    <n v="0"/>
    <n v="0"/>
    <n v="0"/>
    <s v="Bill on Contract - Straightline"/>
    <n v="2500"/>
    <n v="750000"/>
    <n v="15000"/>
    <s v="UOPX- MWC - Digital -25/26"/>
    <n v="94480742"/>
    <s v="Audience Target"/>
    <s v="O-60ENN-R4"/>
    <m/>
    <s v="Leslie Lowenthal"/>
    <s v="Guaranteed"/>
    <s v="DIO - LFV - 1F - Tubi - Pre/Mid - ROS - DT/MB/CTV - FW - SXD"/>
    <n v="130427"/>
    <d v="2026-06-30T00:00:00"/>
    <d v="2026-06-03T00:00:00"/>
    <d v="2026-08-30T00:00:00"/>
    <s v="Direct LFV"/>
    <m/>
    <d v="2026-07-05T12:53:18"/>
  </r>
  <r>
    <s v="MEDIA ASSOCIATES"/>
    <n v="11059"/>
    <n v="2165"/>
    <s v="UNIVERSITY OF PHOENIX"/>
    <s v="UOPX- MWC - Digital -25/26"/>
    <x v="77"/>
    <s v="UOPX - Run of AllFOX Video - Package"/>
    <n v="592019"/>
    <s v="UOPX - DIO - ROV - 1F - SEN - Pre/Mid - ROS - DT/MB/CTV - SXD - AAT"/>
    <n v="94480745"/>
    <s v="OneFOX"/>
    <s v="CPM"/>
    <n v="20"/>
    <s v="3P Audience Target"/>
    <n v="154001"/>
    <n v="1666.67"/>
    <m/>
    <m/>
    <s v=" "/>
    <s v=""/>
    <m/>
    <m/>
    <n v="154001"/>
    <n v="154001"/>
    <n v="0"/>
    <n v="0"/>
    <n v="1"/>
    <n v="0"/>
    <n v="0"/>
    <n v="0"/>
    <s v="Bill on Contract - Straightline"/>
    <n v="1666.67"/>
    <n v="500000"/>
    <n v="10000"/>
    <s v="UOPX- MWC - Digital -25/26"/>
    <n v="94480742"/>
    <s v="Audience Target"/>
    <s v="O-60ENN-R4"/>
    <m/>
    <s v="Leslie Lowenthal"/>
    <s v="Guaranteed"/>
    <s v="DIO - ROV - 1F - SEN - Pre/Mid - ROS - DT/MB/CTV - SXD"/>
    <n v="130427"/>
    <d v="2026-06-30T00:00:00"/>
    <d v="2026-06-03T00:00:00"/>
    <d v="2026-08-30T00:00:00"/>
    <s v="Direct ROV"/>
    <m/>
    <d v="2026-07-05T12:53:18"/>
  </r>
  <r>
    <s v="MEDIA ASSOCIATES"/>
    <n v="11059"/>
    <n v="2165"/>
    <s v="UNIVERSITY OF PHOENIX"/>
    <s v="UOPX- MWC - Digital -25/26"/>
    <x v="77"/>
    <s v="UOPX - Run of AllFOX Video - Package - MG"/>
    <n v="597160"/>
    <s v="UOPX - DIO - LFV - 1F - Tubi - Pre/Mid - ROS - DT/MB/CTV - FW - SXD - AAT - MG"/>
    <n v="95183280"/>
    <s v="Fox Sold Tubi"/>
    <s v="CPM"/>
    <n v="20"/>
    <s v="3P Audience Target"/>
    <n v="0"/>
    <n v="0"/>
    <m/>
    <m/>
    <s v=" "/>
    <n v="0"/>
    <m/>
    <m/>
    <n v="0"/>
    <n v="0"/>
    <n v="0"/>
    <n v="0"/>
    <n v="1"/>
    <n v="0"/>
    <n v="0"/>
    <n v="0"/>
    <s v="Bill on Contract - Straightline"/>
    <n v="0"/>
    <n v="128198"/>
    <n v="0"/>
    <s v="UOPX- MWC - Digital -25/26"/>
    <n v="270566"/>
    <s v="Audience Target"/>
    <s v="O-60ENN-R4"/>
    <m/>
    <s v="Leslie Lowenthal"/>
    <s v="Make Good"/>
    <s v="DIO - LFV - 1F - Tubi - Pre/Mid - ROS - DT/MB/CTV - FW - SXD"/>
    <n v="130427"/>
    <d v="2026-06-30T00:00:00"/>
    <d v="2026-06-26T00:00:00"/>
    <d v="2026-08-30T00:00:00"/>
    <s v="Direct LFV"/>
    <m/>
    <d v="2026-07-05T12:53:18"/>
  </r>
  <r>
    <s v="MEDIA ASSOCIATES"/>
    <n v="11059"/>
    <n v="2165"/>
    <s v="UNIVERSITY OF PHOENIX"/>
    <s v="UOPX- MWC - Digital -25/26"/>
    <x v="77"/>
    <s v="UOPX - Run of AllFOX Video - Package - MG"/>
    <n v="597160"/>
    <s v="UOPX - DIO - ROV - 1F - SEN - Pre/Mid - ROS - DT/MB/CTV - SXD - AAT - MG"/>
    <n v="95183283"/>
    <s v="OneFOX"/>
    <s v="CPM"/>
    <n v="20"/>
    <s v="3P Audience Targe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92295"/>
    <n v="0"/>
    <s v="UOPX- MWC - Digital -25/26"/>
    <n v="270566"/>
    <s v="Audience Target"/>
    <s v="O-60ENN-R4"/>
    <m/>
    <s v="Leslie Lowenthal"/>
    <s v="Make Good"/>
    <s v="DIO - ROV - 1F - SEN - Pre/Mid - ROS - DT/MB/CTV - SXD"/>
    <n v="130427"/>
    <d v="2026-06-30T00:00:00"/>
    <d v="2026-06-26T00:00:00"/>
    <d v="2026-08-30T00:00:00"/>
    <s v="Direct ROV"/>
    <m/>
    <d v="2026-07-05T12:53:18"/>
  </r>
  <r>
    <s v="MEDIACOM"/>
    <n v="11623"/>
    <n v="1147"/>
    <s v="ADIDAS"/>
    <s v="adidas/2026/Scatter/Digital/MWC"/>
    <x v="78"/>
    <s v="Adidas - Run of World Cup Video - Package"/>
    <n v="582793"/>
    <s v="Adidas - DIO - LFV - TUB - Pre/Mid - MWC - DT/MB/CTV"/>
    <n v="94465030"/>
    <s v="Fox Sold Tubi"/>
    <s v="CPM"/>
    <n v="40"/>
    <s v="3P Imps"/>
    <n v="8814782"/>
    <n v="352591.28"/>
    <m/>
    <m/>
    <s v=" "/>
    <n v="0"/>
    <m/>
    <m/>
    <n v="8814782"/>
    <n v="8814782"/>
    <n v="0"/>
    <n v="0"/>
    <n v="1"/>
    <n v="0"/>
    <n v="0"/>
    <n v="0"/>
    <s v="Bill on Actuals - 3rd Party Performance"/>
    <n v="175345.97"/>
    <n v="13125000"/>
    <n v="525000"/>
    <s v="adidas/2026/Scatter/Digital/MWC"/>
    <n v="94465027"/>
    <s v="P2+"/>
    <s v="O-D3096U7-R4"/>
    <m/>
    <s v="Colleen Cahill"/>
    <s v="Guaranteed"/>
    <s v="DIO - LFV - TUB - Pre/Mid - MWC - DT/MB/CTV"/>
    <n v="130306"/>
    <d v="2026-06-30T00:00:00"/>
    <d v="2026-06-04T00:00:00"/>
    <d v="2026-07-19T00:00:00"/>
    <s v="Direct LFV"/>
    <m/>
    <d v="2026-07-05T12:53:18"/>
  </r>
  <r>
    <s v="MEDIACOM"/>
    <n v="11623"/>
    <n v="1147"/>
    <s v="ADIDAS"/>
    <s v="adidas/2026/Scatter/Digital/MWC"/>
    <x v="78"/>
    <s v="Adidas - Run of World Cup Video - Package"/>
    <n v="582793"/>
    <s v="Adidas - DIO - ROV - FS - Pre/Mid - MWC - DT/MB/CTV"/>
    <n v="94465036"/>
    <s v="FOX Sports"/>
    <s v="CPM"/>
    <n v="40"/>
    <s v="3P Imps"/>
    <n v="3866962"/>
    <n v="154678.48000000001"/>
    <m/>
    <m/>
    <s v=" "/>
    <s v=""/>
    <m/>
    <m/>
    <n v="3866962"/>
    <n v="3866962"/>
    <n v="0"/>
    <n v="0"/>
    <n v="1"/>
    <n v="0"/>
    <n v="0"/>
    <n v="0"/>
    <s v="Bill on Actuals - 3rd Party Performance"/>
    <n v="75148.27"/>
    <n v="5625000"/>
    <n v="225000"/>
    <s v="adidas/2026/Scatter/Digital/MWC"/>
    <n v="94465027"/>
    <s v="P2+"/>
    <s v="O-D3096U7-R4"/>
    <m/>
    <s v="Colleen Cahill"/>
    <s v="Guaranteed"/>
    <s v="DIO - ROV - FS - Pre/Mid - MWC - DT/MB/CTV"/>
    <n v="130306"/>
    <d v="2026-06-30T00:00:00"/>
    <d v="2026-06-04T00:00:00"/>
    <d v="2026-07-19T00:00:00"/>
    <s v="Direct ROV"/>
    <m/>
    <d v="2026-07-05T12:53:18"/>
  </r>
  <r>
    <s v="MEDIACOM"/>
    <n v="11623"/>
    <n v="1147"/>
    <s v="ADIDAS"/>
    <s v="adidas/2026/Scatter/Digital/MWC"/>
    <x v="78"/>
    <s v="Adidas - World Cup Social- Highlights/WC Coverage"/>
    <n v="582794"/>
    <s v="Adidas - DIO - SOC - FOX Sports - TikTok - MWC - Highlights/WC Coverage"/>
    <n v="582800"/>
    <s v="FOX Sports - TikTok"/>
    <s v="Flat Rate"/>
    <n v="416667"/>
    <s v="Bill on Contract"/>
    <n v="0"/>
    <n v="127551.12"/>
    <m/>
    <m/>
    <s v=" "/>
    <n v="0"/>
    <m/>
    <m/>
    <n v="0"/>
    <n v="0"/>
    <n v="0"/>
    <n v="0"/>
    <n v="1"/>
    <n v="0"/>
    <n v="0"/>
    <n v="0"/>
    <s v="Bill on Contract - Pro-rated"/>
    <n v="127551.12"/>
    <n v="1"/>
    <n v="416667"/>
    <s v="adidas/2026/Scatter/Digital/MWC"/>
    <n v="259461"/>
    <s v="P2+"/>
    <s v="O-D3096U7-R4"/>
    <m/>
    <s v="Colleen Cahill"/>
    <s v="Guaranteed"/>
    <s v="DIO - SOC - FOX Sports - TikTok - MWC"/>
    <n v="130306"/>
    <d v="2026-06-30T00:00:00"/>
    <d v="2026-06-01T00:00:00"/>
    <d v="2026-07-19T00:00:00"/>
    <s v="Social TikTok"/>
    <m/>
    <d v="2026-07-05T12:53:18"/>
  </r>
  <r>
    <s v="MEDIACOM"/>
    <n v="11623"/>
    <n v="1147"/>
    <s v="ADIDAS"/>
    <s v="adidas/2026/Scatter/Digital/MWC"/>
    <x v="78"/>
    <s v="Adidas - World Cup Social- Highlights/WC Coverage"/>
    <n v="582794"/>
    <s v="Adidas - DIO - SOC - FOX Sports - Youtube - Custom Content - MWC - Highlights/WC Coverage"/>
    <n v="582799"/>
    <s v="FOX Sports"/>
    <s v="Flat Rate"/>
    <n v="416667"/>
    <s v="Bill on Contract"/>
    <n v="0"/>
    <n v="127551.12"/>
    <m/>
    <m/>
    <s v=" "/>
    <s v=""/>
    <m/>
    <m/>
    <n v="0"/>
    <n v="0"/>
    <n v="0"/>
    <n v="0"/>
    <n v="1"/>
    <n v="0"/>
    <n v="0"/>
    <n v="0"/>
    <s v="Bill on Contract - Pro-rated"/>
    <n v="127551.12"/>
    <n v="1"/>
    <n v="416667"/>
    <s v="adidas/2026/Scatter/Digital/MWC"/>
    <n v="259461"/>
    <s v="P2+"/>
    <s v="O-D3096U7-R4"/>
    <m/>
    <s v="Colleen Cahill"/>
    <s v="Guaranteed"/>
    <s v="DIO - SOC - FOX Sports - Youtube - Custom Content - MWC"/>
    <n v="130306"/>
    <d v="2026-06-30T00:00:00"/>
    <d v="2026-06-01T00:00:00"/>
    <d v="2026-07-19T00:00:00"/>
    <s v="Social"/>
    <m/>
    <d v="2026-07-05T12:53:18"/>
  </r>
  <r>
    <s v="MEDIACOM"/>
    <n v="11623"/>
    <n v="1147"/>
    <s v="ADIDAS"/>
    <s v="adidas/2026/Scatter/Digital/MWC"/>
    <x v="78"/>
    <s v="Adidas - World Cup Social- Highlights/WC Coverage"/>
    <n v="582794"/>
    <s v="Adidas -DIO - SOC - FOX Sports - Facebook/Instagram - MWC - Highlights/WC Coverage"/>
    <n v="582797"/>
    <s v="FOX Sports - FB-Inst"/>
    <s v="Flat Rate"/>
    <n v="416666"/>
    <s v="Bill on Contract"/>
    <n v="0"/>
    <n v="127550.82"/>
    <m/>
    <m/>
    <s v=" "/>
    <s v=""/>
    <m/>
    <m/>
    <n v="0"/>
    <n v="0"/>
    <n v="0"/>
    <n v="0"/>
    <n v="1"/>
    <n v="0"/>
    <n v="0"/>
    <n v="0"/>
    <s v="Bill on Contract - Pro-rated"/>
    <n v="127550.82"/>
    <n v="1"/>
    <n v="416666"/>
    <s v="adidas/2026/Scatter/Digital/MWC"/>
    <n v="259461"/>
    <s v="P2+"/>
    <s v="O-D3096U7-R4"/>
    <m/>
    <s v="Colleen Cahill"/>
    <s v="Guaranteed"/>
    <s v="DIO - SOC - FOX Sports - Facebook/Instagram - MWC"/>
    <n v="130306"/>
    <d v="2026-06-30T00:00:00"/>
    <d v="2026-06-01T00:00:00"/>
    <d v="2026-07-19T00:00:00"/>
    <s v="Social Facebook/Instagram"/>
    <m/>
    <d v="2026-07-05T12:53:18"/>
  </r>
  <r>
    <s v="MEDIACOM"/>
    <n v="11623"/>
    <n v="1147"/>
    <s v="ADIDAS"/>
    <s v="adidas/2026/Scatter/Digital/MWC"/>
    <x v="78"/>
    <s v="Adidas - World Cup Social- Custom 8"/>
    <n v="593458"/>
    <s v="Adidas - DIO - SOC - FOX Sports - TikTok - MWC - Custom 8"/>
    <n v="593461"/>
    <s v="FOX Sports - TikTok"/>
    <s v="Flat Rate"/>
    <n v="333333.34000000003"/>
    <s v="Bill on Contract"/>
    <n v="0"/>
    <n v="85470.09"/>
    <m/>
    <m/>
    <s v=" "/>
    <n v="0"/>
    <m/>
    <m/>
    <n v="0"/>
    <n v="0"/>
    <n v="0"/>
    <n v="0"/>
    <n v="1"/>
    <n v="0"/>
    <n v="0"/>
    <n v="0"/>
    <s v="Bill on Contract - Pro-rated"/>
    <n v="85470.09"/>
    <n v="1"/>
    <n v="333333.34000000003"/>
    <s v="adidas/2026/Scatter/Digital/MWC"/>
    <n v="259461"/>
    <s v="P2+"/>
    <s v="O-D3096U7-R4"/>
    <m/>
    <s v="Colleen Cahill"/>
    <s v="Guaranteed"/>
    <s v="DIO - SOC - FOX Sports - TikTok - MWC"/>
    <n v="130306"/>
    <d v="2026-06-30T00:00:00"/>
    <d v="2026-06-11T00:00:00"/>
    <d v="2026-07-19T00:00:00"/>
    <s v="Social TikTok"/>
    <m/>
    <d v="2026-07-05T12:53:18"/>
  </r>
  <r>
    <s v="MEDIACOM"/>
    <n v="11623"/>
    <n v="1147"/>
    <s v="ADIDAS"/>
    <s v="adidas/2026/Scatter/Digital/MWC"/>
    <x v="78"/>
    <s v="Adidas - World Cup Social- Custom 8"/>
    <n v="593458"/>
    <s v="Adidas - DIO - SOC - FOX Sports - Youtube - Custom Content - MWC - Custom 8"/>
    <n v="593459"/>
    <s v="FOX Sports"/>
    <s v="Flat Rate"/>
    <n v="333333.33"/>
    <s v="Bill on Contract"/>
    <n v="0"/>
    <n v="85470.080000000002"/>
    <m/>
    <m/>
    <s v=" "/>
    <s v=""/>
    <m/>
    <m/>
    <n v="0"/>
    <n v="0"/>
    <n v="0"/>
    <n v="0"/>
    <n v="1"/>
    <n v="0"/>
    <n v="0"/>
    <n v="0"/>
    <s v="Bill on Contract - Pro-rated"/>
    <n v="85470.080000000002"/>
    <n v="1"/>
    <n v="333333.33"/>
    <s v="adidas/2026/Scatter/Digital/MWC"/>
    <n v="259461"/>
    <s v="P2+"/>
    <s v="O-D3096U7-R4"/>
    <m/>
    <s v="Colleen Cahill"/>
    <s v="Guaranteed"/>
    <s v="DIO - SOC - FOX Sports - Youtube - Custom Content - MWC"/>
    <n v="130306"/>
    <d v="2026-06-30T00:00:00"/>
    <d v="2026-06-11T00:00:00"/>
    <d v="2026-07-19T00:00:00"/>
    <s v="Social"/>
    <m/>
    <d v="2026-07-05T12:53:18"/>
  </r>
  <r>
    <s v="MEDIACOM"/>
    <n v="11623"/>
    <n v="1147"/>
    <s v="ADIDAS"/>
    <s v="adidas/2026/Scatter/Digital/MWC"/>
    <x v="78"/>
    <s v="Adidas - World Cup Social- Custom 8"/>
    <n v="593458"/>
    <s v="Adidas -DIO - SOC - FOX Sports - Facebook/Instagram - MWC - Custom 8"/>
    <n v="593460"/>
    <s v="FOX Sports - FB-Inst"/>
    <s v="Flat Rate"/>
    <n v="333333.33"/>
    <s v="Bill on Contract"/>
    <n v="0"/>
    <n v="85470.080000000002"/>
    <m/>
    <m/>
    <s v=" "/>
    <s v=""/>
    <m/>
    <m/>
    <n v="0"/>
    <n v="0"/>
    <n v="0"/>
    <n v="0"/>
    <n v="1"/>
    <n v="0"/>
    <n v="0"/>
    <n v="0"/>
    <s v="Bill on Contract - Pro-rated"/>
    <n v="85470.080000000002"/>
    <n v="1"/>
    <n v="333333.33"/>
    <s v="adidas/2026/Scatter/Digital/MWC"/>
    <n v="259461"/>
    <s v="P2+"/>
    <s v="O-D3096U7-R4"/>
    <m/>
    <s v="Colleen Cahill"/>
    <s v="Guaranteed"/>
    <s v="DIO - SOC - FOX Sports - Facebook/Instagram - MWC"/>
    <n v="130306"/>
    <d v="2026-06-30T00:00:00"/>
    <d v="2026-06-11T00:00:00"/>
    <d v="2026-07-19T00:00:00"/>
    <s v="Social Facebook/Instagram"/>
    <m/>
    <d v="2026-07-05T12:53:18"/>
  </r>
  <r>
    <s v="MEDIAHUB"/>
    <n v="10709"/>
    <n v="2148"/>
    <s v="CHIPOTLE"/>
    <s v="Chipotle/Digital/Scatter/World Cup/25-26"/>
    <x v="79"/>
    <s v="Chipotle - Run of World Cup Video - Package"/>
    <n v="587429"/>
    <s v="Chipotle - DIO - LFV - TUB - Pre/Mid - MWC - DT/MB/CTV"/>
    <n v="93985970"/>
    <s v="Fox Sold Tubi"/>
    <s v="CPM"/>
    <n v="44"/>
    <s v="3P Imps"/>
    <n v="7068198"/>
    <n v="311000.71000000002"/>
    <m/>
    <m/>
    <s v=" "/>
    <n v="0"/>
    <m/>
    <m/>
    <n v="7068198"/>
    <n v="7068198"/>
    <n v="0"/>
    <n v="0"/>
    <n v="1"/>
    <n v="0"/>
    <n v="0"/>
    <n v="0"/>
    <s v="Bill on Actuals - 3rd Party Performance"/>
    <n v="151733.26"/>
    <n v="10728694"/>
    <n v="472062.54"/>
    <s v="Chipotle/Digital/Scatter/World Cup/25-26"/>
    <n v="93985930"/>
    <s v="P2+"/>
    <s v="O-D2UH1P6-R1"/>
    <m/>
    <s v="Mike Maresca"/>
    <s v="Guaranteed"/>
    <s v="DIO - LFV - TUB - Pre/Mid - MWC - DT/MB/CTV"/>
    <n v="128228"/>
    <d v="2026-06-30T00:00:00"/>
    <d v="2026-06-11T00:00:00"/>
    <d v="2026-07-19T00:00:00"/>
    <s v="Direct LFV"/>
    <m/>
    <d v="2026-07-05T12:53:18"/>
  </r>
  <r>
    <s v="MEDIAHUB"/>
    <n v="10709"/>
    <n v="2148"/>
    <s v="CHIPOTLE"/>
    <s v="Chipotle/Digital/Scatter/World Cup/25-26"/>
    <x v="79"/>
    <s v="Chipotle - Run of World Cup Video - Package"/>
    <n v="587429"/>
    <s v="Chipotle - DIO - ROV - FS - Pre/Mid - MWC - DT/MB/CTV"/>
    <n v="93985961"/>
    <s v="FOX Sports"/>
    <s v="CPM"/>
    <n v="44"/>
    <s v="3P Imps"/>
    <n v="3093456"/>
    <n v="136112.06"/>
    <m/>
    <m/>
    <s v=" "/>
    <s v=""/>
    <m/>
    <m/>
    <n v="3093456"/>
    <n v="3093456"/>
    <n v="0"/>
    <n v="0"/>
    <n v="1"/>
    <n v="0"/>
    <n v="0"/>
    <n v="0"/>
    <s v="Bill on Actuals - 3rd Party Performance"/>
    <n v="65028.54"/>
    <n v="4598012"/>
    <n v="202312.53"/>
    <s v="Chipotle/Digital/Scatter/World Cup/25-26"/>
    <n v="93985930"/>
    <s v="P2+"/>
    <s v="O-D2UH1P6-R1"/>
    <m/>
    <s v="Mike Maresca"/>
    <s v="Guaranteed"/>
    <s v="DIO - ROV - FS - Pre/Mid - MWC - DT/MB/CTV"/>
    <n v="128228"/>
    <d v="2026-06-30T00:00:00"/>
    <d v="2026-06-11T00:00:00"/>
    <d v="2026-07-19T00:00:00"/>
    <s v="Direct ROV"/>
    <m/>
    <d v="2026-07-05T12:53:18"/>
  </r>
  <r>
    <s v="MEDIAHUB"/>
    <n v="10709"/>
    <n v="2148"/>
    <s v="CHIPOTLE"/>
    <s v="Chipotle/Digital/Scatter/World Cup/25-26"/>
    <x v="79"/>
    <s v="Chipotle - Run of AllFOX Video - Package"/>
    <n v="587454"/>
    <s v="Chipotle - DIO - LFV - 1F - Tubi - Pre/Mid - ROS - DT/MB/CTV - FW - SXD"/>
    <n v="93985955"/>
    <s v="Fox Sold Tubi"/>
    <s v="CPM"/>
    <n v="18.690000000000001"/>
    <s v="3P Imps"/>
    <n v="3132444"/>
    <n v="58545.38"/>
    <m/>
    <m/>
    <s v=" "/>
    <n v="0"/>
    <m/>
    <m/>
    <n v="3132444"/>
    <n v="3132444"/>
    <n v="0"/>
    <n v="0"/>
    <n v="1"/>
    <n v="0"/>
    <n v="0"/>
    <n v="0"/>
    <s v="Bill on Actuals - 3rd Party Performance"/>
    <n v="25932.44"/>
    <n v="5828652"/>
    <n v="108937.51"/>
    <s v="Chipotle/Digital/Scatter/World Cup/25-26"/>
    <n v="93985930"/>
    <s v="P2+"/>
    <s v="O-D2UH1P6-R1"/>
    <m/>
    <s v="Mike Maresca"/>
    <s v="Guaranteed"/>
    <s v="DIO - LFV - 1F - Tubi - Pre/Mid - ROS - DT/MB/CTV - FW - SXD"/>
    <n v="128228"/>
    <d v="2026-06-30T00:00:00"/>
    <d v="2026-06-01T00:00:00"/>
    <d v="2026-07-31T00:00:00"/>
    <s v="Direct LFV"/>
    <m/>
    <d v="2026-07-05T12:53:18"/>
  </r>
  <r>
    <s v="MEDIAHUB"/>
    <n v="10709"/>
    <n v="2148"/>
    <s v="CHIPOTLE"/>
    <s v="Chipotle/Digital/Scatter/World Cup/25-26"/>
    <x v="79"/>
    <s v="Chipotle - Run of AllFOX Video - Package"/>
    <n v="587454"/>
    <s v="Chipotle - DIO - ROV - 1F - SE - Pre/Mid - ROS - DT/MB/CTV - SXD"/>
    <n v="93985935"/>
    <s v="OneFOX"/>
    <s v="CPM"/>
    <n v="18.690000000000001"/>
    <s v="3P Imps"/>
    <n v="6430763"/>
    <n v="120190.96"/>
    <m/>
    <m/>
    <s v=" "/>
    <s v=""/>
    <m/>
    <m/>
    <n v="6430763"/>
    <n v="6430763"/>
    <n v="0"/>
    <n v="0"/>
    <n v="1"/>
    <n v="0"/>
    <n v="0"/>
    <n v="0"/>
    <s v="Bill on Actuals - 3rd Party Performance"/>
    <n v="60509.01"/>
    <n v="13600187"/>
    <n v="254187.5"/>
    <s v="Chipotle/Digital/Scatter/World Cup/25-26"/>
    <n v="93985930"/>
    <s v="P2+"/>
    <s v="O-D2UH1P6-R1"/>
    <m/>
    <s v="Mike Maresca"/>
    <s v="Guaranteed"/>
    <s v="DIO - ROV - 1F - SEN - Pre/Mid - ROS - DT/MB/CTV - SXD"/>
    <n v="128228"/>
    <d v="2026-06-30T00:00:00"/>
    <d v="2026-06-01T00:00:00"/>
    <d v="2026-07-31T00:00:00"/>
    <s v="Direct ROV"/>
    <m/>
    <d v="2026-07-05T12:53:18"/>
  </r>
  <r>
    <s v="MEDIAHUB"/>
    <n v="10709"/>
    <n v="12019"/>
    <s v="NEW BALANCE"/>
    <s v="New Balance/Digital/Scatter/World Cup/25-26"/>
    <x v="80"/>
    <s v="New Balance - Run of World Cup Video - Package"/>
    <n v="581684"/>
    <s v="New Balance - DIO - LFV - TUB - Pre/Mid - MWC - DT/MB/CTV"/>
    <n v="93845173"/>
    <s v="Fox Sold Tubi"/>
    <s v="CPM"/>
    <n v="40"/>
    <s v="3P Imps"/>
    <n v="6306731"/>
    <n v="252269.24"/>
    <m/>
    <m/>
    <s v=" "/>
    <n v="0"/>
    <m/>
    <m/>
    <n v="6306731"/>
    <n v="6306731"/>
    <n v="0"/>
    <n v="0"/>
    <n v="1"/>
    <n v="0"/>
    <n v="0"/>
    <n v="0"/>
    <s v="Bill on Actuals - 3rd Party Performance"/>
    <n v="123459.49"/>
    <n v="8750000"/>
    <n v="350000"/>
    <s v="New Balance/Digital/Scatter/World Cup/25-26"/>
    <n v="93845170"/>
    <s v="P2+"/>
    <s v="O-D2TOMTT-R2 "/>
    <m/>
    <s v="Mike Maresca"/>
    <s v="Guaranteed"/>
    <s v="DIO - LFV - TUB - Pre/Mid - MWC - DT/MB/CTV"/>
    <n v="127637"/>
    <d v="2026-06-30T00:00:00"/>
    <d v="2026-06-01T00:00:00"/>
    <d v="2026-07-19T00:00:00"/>
    <s v="Direct LFV"/>
    <m/>
    <d v="2026-07-05T12:53:18"/>
  </r>
  <r>
    <s v="MEDIAHUB"/>
    <n v="10709"/>
    <n v="12019"/>
    <s v="NEW BALANCE"/>
    <s v="New Balance/Digital/Scatter/World Cup/25-26"/>
    <x v="80"/>
    <s v="New Balance - Run of World Cup Video - Package"/>
    <n v="581684"/>
    <s v="New Balance - DIO - ROV - FS - Pre/Mid - MWC - DT/MB/CTV"/>
    <n v="93845178"/>
    <s v="FOX Sports"/>
    <s v="CPM"/>
    <n v="40"/>
    <s v="3P Imps"/>
    <n v="2528623"/>
    <n v="101144.92"/>
    <m/>
    <m/>
    <s v=" "/>
    <s v=""/>
    <m/>
    <m/>
    <n v="2528623"/>
    <n v="2528623"/>
    <n v="0"/>
    <n v="0"/>
    <n v="1"/>
    <n v="0"/>
    <n v="0"/>
    <n v="0"/>
    <s v="Bill on Actuals - 3rd Party Performance"/>
    <n v="52911.21"/>
    <n v="3750000"/>
    <n v="150000"/>
    <s v="New Balance/Digital/Scatter/World Cup/25-26"/>
    <n v="93845170"/>
    <s v="P2+"/>
    <s v="O-D2TOMTT-R2 "/>
    <m/>
    <s v="Mike Maresca"/>
    <s v="Guaranteed"/>
    <s v="DIO - ROV - FS - Pre/Mid - MWC - DT/MB/CTV"/>
    <n v="127637"/>
    <d v="2026-06-30T00:00:00"/>
    <d v="2026-06-01T00:00:00"/>
    <d v="2026-07-19T00:00:00"/>
    <s v="Direct ROV"/>
    <m/>
    <d v="2026-07-05T12:53:18"/>
  </r>
  <r>
    <s v="MEDIAHUB"/>
    <n v="10709"/>
    <n v="12019"/>
    <s v="NEW BALANCE"/>
    <s v="New Balance/Digital/Scatter/World Cup/25-26"/>
    <x v="80"/>
    <s v="New Balance - World Cup Social Sponsorship Content - Package"/>
    <n v="582851"/>
    <s v="New Balance - DIO - SOC - FOX Sports - Facebook/Instagram - MWC"/>
    <n v="582852"/>
    <s v="FOX Sports - FB-Inst"/>
    <s v="Flat Rate"/>
    <n v="0.15"/>
    <s v="Bill on Contract"/>
    <n v="277778000"/>
    <n v="41666.699999999997"/>
    <m/>
    <m/>
    <s v=" "/>
    <n v="0"/>
    <m/>
    <m/>
    <n v="0"/>
    <n v="0"/>
    <n v="0"/>
    <n v="0"/>
    <n v="1"/>
    <n v="0"/>
    <n v="0"/>
    <n v="0"/>
    <s v="Bill on Contract - Straightline"/>
    <n v="41666.699999999997"/>
    <n v="1111112"/>
    <n v="166666.79999999999"/>
    <s v="New Balance/Digital/Scatter/World Cup/25-26"/>
    <n v="265472"/>
    <s v="P2+"/>
    <s v="O-D2TOMTT-R2 "/>
    <m/>
    <s v="Mike Maresca"/>
    <s v="Guaranteed"/>
    <s v="DIO - SOC - FOX Sports - Facebook/Instagram - MWC"/>
    <n v="127637"/>
    <d v="2026-06-30T00:00:00"/>
    <d v="2026-06-01T00:00:00"/>
    <d v="2026-07-19T00:00:00"/>
    <s v="Social Facebook/Instagram"/>
    <m/>
    <d v="2026-07-05T12:53:18"/>
  </r>
  <r>
    <s v="MEDIAHUB"/>
    <n v="10709"/>
    <n v="12019"/>
    <s v="NEW BALANCE"/>
    <s v="New Balance/Digital/Scatter/World Cup/25-26"/>
    <x v="80"/>
    <s v="New Balance - World Cup Social Sponsorship Content - Package"/>
    <n v="582851"/>
    <s v="New Balance - DIO - SOC - FOX Sports - TikTok - MWC"/>
    <n v="582855"/>
    <s v="FOX Sports - TikTok"/>
    <s v="Flat Rate"/>
    <n v="0.15"/>
    <s v="Bill on Contract"/>
    <n v="277778000"/>
    <n v="41666.699999999997"/>
    <m/>
    <m/>
    <s v=" "/>
    <s v=""/>
    <m/>
    <m/>
    <n v="0"/>
    <n v="0"/>
    <n v="0"/>
    <n v="0"/>
    <n v="1"/>
    <n v="0"/>
    <n v="0"/>
    <n v="0"/>
    <s v="Bill on Contract - Straightline"/>
    <n v="41666.699999999997"/>
    <n v="1111112"/>
    <n v="166666.79999999999"/>
    <s v="New Balance/Digital/Scatter/World Cup/25-26"/>
    <n v="265472"/>
    <s v="P2+"/>
    <s v="O-D2TOMTT-R2 "/>
    <m/>
    <s v="Mike Maresca"/>
    <s v="Guaranteed"/>
    <s v="DIO - SOC - FOX Sports - TikTok - MWC"/>
    <n v="127637"/>
    <d v="2026-06-30T00:00:00"/>
    <d v="2026-06-01T00:00:00"/>
    <d v="2026-07-19T00:00:00"/>
    <s v="Social TikTok"/>
    <m/>
    <d v="2026-07-05T12:53:18"/>
  </r>
  <r>
    <s v="MEDIAHUB"/>
    <n v="10709"/>
    <n v="12019"/>
    <s v="NEW BALANCE"/>
    <s v="New Balance/Digital/Scatter/World Cup/25-26"/>
    <x v="80"/>
    <s v="New Balance - World Cup Social Sponsorship Content - Package"/>
    <n v="582851"/>
    <s v="New Balance - DIO - SOC - FOX Sports - Youtube - Custom Content - MWC"/>
    <n v="582854"/>
    <s v="FOX Sports"/>
    <s v="Flat Rate"/>
    <n v="0.15"/>
    <s v="Bill on Contract"/>
    <n v="277778000"/>
    <n v="41666.699999999997"/>
    <m/>
    <m/>
    <s v=" "/>
    <s v=""/>
    <m/>
    <m/>
    <n v="0"/>
    <n v="0"/>
    <n v="0"/>
    <n v="0"/>
    <n v="1"/>
    <n v="0"/>
    <n v="0"/>
    <n v="0"/>
    <s v="Bill on Contract - Straightline"/>
    <n v="41666.699999999997"/>
    <n v="1111112"/>
    <n v="166666.79999999999"/>
    <s v="New Balance/Digital/Scatter/World Cup/25-26"/>
    <n v="265472"/>
    <s v="P2+"/>
    <s v="O-D2TOMTT-R2 "/>
    <m/>
    <s v="Mike Maresca"/>
    <s v="Guaranteed"/>
    <s v="DIO - SOC - FOX Sports - Youtube - Custom Content - MWC"/>
    <n v="127637"/>
    <d v="2026-06-30T00:00:00"/>
    <d v="2026-06-01T00:00:00"/>
    <d v="2026-07-19T00:00:00"/>
    <s v="Social"/>
    <m/>
    <d v="2026-07-05T12:53:18"/>
  </r>
  <r>
    <s v="MEDIAHUB"/>
    <n v="10709"/>
    <n v="9677"/>
    <s v="OURARING"/>
    <s v="Oura Ring/Digital/Scatter/Sports/MWC/2Q-3Q26"/>
    <x v="81"/>
    <s v="Oura Ring- Run of World Cup Video - Package"/>
    <n v="582766"/>
    <s v="Oura Ring- DIO - LFV - TUB - Pre/Mid - MWC - DT/MB/CTV"/>
    <n v="94238339"/>
    <s v="Fox Sold Tubi"/>
    <s v="CPM"/>
    <n v="42"/>
    <s v="3P Imps"/>
    <n v="2829583"/>
    <n v="118842.49"/>
    <m/>
    <m/>
    <s v=" "/>
    <n v="0"/>
    <m/>
    <m/>
    <n v="2829583"/>
    <n v="2829583"/>
    <n v="0"/>
    <n v="0"/>
    <n v="1"/>
    <n v="0"/>
    <n v="0"/>
    <n v="0"/>
    <s v="Bill on Actuals - 3rd Party Performance"/>
    <n v="59926.22"/>
    <n v="4166667"/>
    <n v="175000.01"/>
    <s v="Oura Ring/Digital/Scatter/Sports/MWC/2Q-3Q26"/>
    <n v="94238317"/>
    <s v="P2+"/>
    <s v="O-D2V3MI7-R7"/>
    <m/>
    <s v="Kimberly Caraig"/>
    <s v="Guaranteed"/>
    <s v="DIO - LFV - TUB - Pre/Mid - MWC - DT/MB/CTV"/>
    <n v="129171"/>
    <d v="2026-06-30T00:00:00"/>
    <d v="2026-06-01T00:00:00"/>
    <d v="2026-07-19T00:00:00"/>
    <s v="Direct LFV"/>
    <m/>
    <d v="2026-07-05T12:53:18"/>
  </r>
  <r>
    <s v="MEDIAHUB"/>
    <n v="10709"/>
    <n v="9677"/>
    <s v="OURARING"/>
    <s v="Oura Ring/Digital/Scatter/Sports/MWC/2Q-3Q26"/>
    <x v="81"/>
    <s v="Oura Ring- Run of World Cup Video - Package"/>
    <n v="582766"/>
    <s v="Oura Ring- DIO - ROV - FS - Pre/Mid - MWC - DT/MB/CTV"/>
    <n v="94238323"/>
    <s v="FOX Sports"/>
    <s v="CPM"/>
    <n v="42"/>
    <s v="3P Imps"/>
    <n v="1240794"/>
    <n v="52113.35"/>
    <m/>
    <m/>
    <s v=" "/>
    <s v=""/>
    <m/>
    <m/>
    <n v="1240794"/>
    <n v="1240794"/>
    <n v="0"/>
    <n v="0"/>
    <n v="1"/>
    <n v="0"/>
    <n v="0"/>
    <n v="0"/>
    <s v="Bill on Actuals - 3rd Party Performance"/>
    <n v="25682.67"/>
    <n v="1785715"/>
    <n v="75000.03"/>
    <s v="Oura Ring/Digital/Scatter/Sports/MWC/2Q-3Q26"/>
    <n v="94238317"/>
    <s v="P2+"/>
    <s v="O-D2V3MI7-R7"/>
    <m/>
    <s v="Kimberly Caraig"/>
    <s v="Guaranteed"/>
    <s v="DIO - ROV - FS - Pre/Mid - MWC - DT/MB/CTV"/>
    <n v="129171"/>
    <d v="2026-06-30T00:00:00"/>
    <d v="2026-06-01T00:00:00"/>
    <d v="2026-07-19T00:00:00"/>
    <s v="Direct ROV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Blank - ROS - Sponsorship (6/17)"/>
    <n v="7317619410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Oura Ring/Digital/Scatter/Sports/MWC/2Q-3Q26"/>
    <n v="267088"/>
    <s v="P2+"/>
    <s v="O-D2V3MI7-R7"/>
    <m/>
    <s v="Kimberly Caraig"/>
    <s v="Guaranteed"/>
    <s v="DIS - FS - Blank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Display Unit - ROS - Sponsorship - 300x250 (6/17)"/>
    <n v="7321542656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Oura Ring/Digital/Scatter/Sports/MWC/2Q-3Q26"/>
    <n v="267088"/>
    <s v="P2+"/>
    <s v="O-D2V3MI7-R7"/>
    <m/>
    <s v="Kimberly Caraig"/>
    <s v="Guaranteed"/>
    <s v="DIS - FS - Display Unit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Display Unit - ROS - Sponsorship - 300x600 (6/17)"/>
    <n v="7317619857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Oura Ring/Digital/Scatter/Sports/MWC/2Q-3Q26"/>
    <n v="267088"/>
    <s v="P2+"/>
    <s v="O-D2V3MI7-R7"/>
    <m/>
    <s v="Kimberly Caraig"/>
    <s v="Guaranteed"/>
    <s v="DIS - FS - Display Unit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Display Unit - ROS - Sponsorship - 320x50 (6/17)"/>
    <n v="7317619416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Oura Ring/Digital/Scatter/Sports/MWC/2Q-3Q26"/>
    <n v="267088"/>
    <s v="P2+"/>
    <s v="O-D2V3MI7-R7"/>
    <m/>
    <s v="Kimberly Caraig"/>
    <s v="Guaranteed"/>
    <s v="DIS - FS - Display Unit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Display Unit - ROS - Sponsorship - 728x90 (6/17)"/>
    <n v="7317618708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Oura Ring/Digital/Scatter/Sports/MWC/2Q-3Q26"/>
    <n v="267088"/>
    <s v="P2+"/>
    <s v="O-D2V3MI7-R7"/>
    <m/>
    <s v="Kimberly Caraig"/>
    <s v="Guaranteed"/>
    <s v="DIS - FS - Display Unit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MP- Oura Ring- World Cup FOX Sports Site &amp; App Takeover - Package (6/17)"/>
    <n v="582987"/>
    <s v="OMP- Oura Ring- DIS - FS - High Impact - ROS - Sponsorship (6/17)"/>
    <n v="7321542620"/>
    <s v="FOX Sports"/>
    <s v="Flat Rate"/>
    <n v="50000"/>
    <s v="Bill on Contract"/>
    <n v="500"/>
    <n v="25000"/>
    <m/>
    <m/>
    <s v=" "/>
    <s v=""/>
    <m/>
    <m/>
    <n v="0"/>
    <n v="0"/>
    <n v="0"/>
    <n v="0"/>
    <n v="1"/>
    <n v="0"/>
    <n v="0"/>
    <n v="0"/>
    <s v="Bill on Contract - Pro-rated"/>
    <n v="25000"/>
    <n v="1"/>
    <n v="50000"/>
    <s v="Oura Ring/Digital/Scatter/Sports/MWC/2Q-3Q26"/>
    <n v="267088"/>
    <s v="P2+"/>
    <s v="O-D2V3MI7-R7"/>
    <m/>
    <s v="Kimberly Caraig"/>
    <s v="Guaranteed"/>
    <s v="DIS - FS - High Impact - ROS - Sponsorship"/>
    <n v="129171"/>
    <d v="2026-06-30T00:00:00"/>
    <d v="2026-06-17T00:00:00"/>
    <d v="2026-06-17T00:00:00"/>
    <s v="Direct Display"/>
    <m/>
    <d v="2026-07-05T12:53:18"/>
  </r>
  <r>
    <s v="MEDIAHUB"/>
    <n v="10709"/>
    <n v="9677"/>
    <s v="OURARING"/>
    <s v="Oura Ring/Digital/Scatter/Sports/MWC/2Q-3Q26"/>
    <x v="81"/>
    <s v="Oura Ring- Run of AllFOX Video - Package  - &quot;Soccer fan and A25-54 and Health &amp; Fitness Enthusiasts&quot; Audience Targeted"/>
    <n v="583005"/>
    <s v="Oura Ring- DIO - LFV - 1F - Tubi - Pre/Mid - ROS - DT/MB/CTV - FW - SXD  - ''Soccer fan and A25-54 and Health &amp; Fitness Enthusiasts&quot; Audience Targeted"/>
    <n v="94238332"/>
    <s v="Fox Sold Tubi"/>
    <s v="CPM"/>
    <n v="20"/>
    <s v="3P Audience Target"/>
    <n v="3657415"/>
    <n v="73148.3"/>
    <m/>
    <m/>
    <s v=" "/>
    <n v="0"/>
    <m/>
    <m/>
    <n v="3657415"/>
    <n v="3657415"/>
    <n v="0"/>
    <n v="0"/>
    <n v="1"/>
    <n v="0"/>
    <n v="0"/>
    <n v="0"/>
    <s v="Bill on Actuals - 3rd Party Performance"/>
    <n v="34269.699999999997"/>
    <n v="6000000"/>
    <n v="120000"/>
    <s v="Oura Ring/Digital/Scatter/Sports/MWC/2Q-3Q26"/>
    <n v="94238317"/>
    <s v="Audience Target"/>
    <s v="O-D2V3MI7-R7"/>
    <m/>
    <s v="Kimberly Caraig"/>
    <s v="Guaranteed"/>
    <s v="DIO - LFV - 1F - Tubi - Pre/Mid - ROS - DT/MB/CTV - FW - SXD"/>
    <n v="129171"/>
    <d v="2026-06-30T00:00:00"/>
    <d v="2026-06-01T00:00:00"/>
    <d v="2026-07-26T00:00:00"/>
    <s v="Direct LFV"/>
    <m/>
    <d v="2026-07-05T12:53:18"/>
  </r>
  <r>
    <s v="MEDIAHUB"/>
    <n v="10709"/>
    <n v="9677"/>
    <s v="OURARING"/>
    <s v="Oura Ring/Digital/Scatter/Sports/MWC/2Q-3Q26"/>
    <x v="81"/>
    <s v="Oura Ring- Run of AllFOX Video - Package  - &quot;Soccer fan and A25-54 and Health &amp; Fitness Enthusiasts&quot; Audience Targeted"/>
    <n v="583005"/>
    <s v="Oura Ring- DIO - ROV - 1F - SEN - Pre/Mid - ROS - DT/MB/CTV - SXD  - ''Soccer fan and A25-54 and Health &amp; Fitness Enthusiasts&quot;  Audience Targeted"/>
    <n v="94238335"/>
    <s v="OneFOX"/>
    <s v="CPM"/>
    <n v="20"/>
    <s v="3P Audience Target"/>
    <n v="2411385"/>
    <n v="48227.7"/>
    <m/>
    <m/>
    <s v=" "/>
    <s v=""/>
    <m/>
    <m/>
    <n v="2411385"/>
    <n v="2411385"/>
    <n v="0"/>
    <n v="0"/>
    <n v="1"/>
    <n v="0"/>
    <n v="0"/>
    <n v="0"/>
    <s v="Bill on Actuals - 3rd Party Performance"/>
    <n v="22846.47"/>
    <n v="4000000"/>
    <n v="80000"/>
    <s v="Oura Ring/Digital/Scatter/Sports/MWC/2Q-3Q26"/>
    <n v="94238317"/>
    <s v="Audience Target"/>
    <s v="O-D2V3MI7-R7"/>
    <m/>
    <s v="Kimberly Caraig"/>
    <s v="Guaranteed"/>
    <s v="DIO - ROV - 1F - SEN - Pre/Mid - ROS - DT/MB/CTV - SXD"/>
    <n v="129171"/>
    <d v="2026-06-30T00:00:00"/>
    <d v="2026-06-01T00:00:00"/>
    <d v="2026-07-26T00:00:00"/>
    <s v="Direct ROV"/>
    <m/>
    <d v="2026-07-05T12:53:18"/>
  </r>
  <r>
    <s v="MEDIAHUB"/>
    <n v="10709"/>
    <n v="9677"/>
    <s v="OURARING"/>
    <s v="Oura Ring/Digital/Scatter/Sports/MWC/2Q-3Q26"/>
    <x v="81"/>
    <s v="Oura Ring- World Cup Social Sponsorship Content - Package"/>
    <n v="583008"/>
    <s v="Oura Ring- DIO - SOC - FOX Sports - Facebook/Instagram - MWC"/>
    <n v="583009"/>
    <s v="FOX Sports - FB-Inst"/>
    <s v="Flat Rate"/>
    <n v="66667"/>
    <s v="Bill on Contract"/>
    <n v="0"/>
    <n v="20408.27"/>
    <m/>
    <m/>
    <s v=" "/>
    <n v="0"/>
    <m/>
    <m/>
    <n v="0"/>
    <n v="0"/>
    <n v="0"/>
    <n v="0"/>
    <n v="1"/>
    <n v="0"/>
    <n v="0"/>
    <n v="0"/>
    <s v="Bill on Contract - Pro-rated"/>
    <n v="20408.27"/>
    <n v="0"/>
    <n v="66667"/>
    <s v="Oura Ring/Digital/Scatter/Sports/MWC/2Q-3Q26"/>
    <n v="267088"/>
    <s v="P2+"/>
    <s v="O-D2V3MI7-R7"/>
    <m/>
    <s v="Kimberly Caraig"/>
    <s v="Guaranteed"/>
    <s v="DIO - SOC - FOX Sports - Facebook/Instagram - MWC"/>
    <n v="129171"/>
    <d v="2026-06-30T00:00:00"/>
    <d v="2026-06-01T00:00:00"/>
    <d v="2026-07-19T00:00:00"/>
    <s v="Social Facebook/Instagram"/>
    <m/>
    <d v="2026-07-05T12:53:18"/>
  </r>
  <r>
    <s v="MEDIAHUB"/>
    <n v="10709"/>
    <n v="9677"/>
    <s v="OURARING"/>
    <s v="Oura Ring/Digital/Scatter/Sports/MWC/2Q-3Q26"/>
    <x v="81"/>
    <s v="Oura Ring- World Cup Social Sponsorship Content - Package"/>
    <n v="583008"/>
    <s v="Oura Ring- DIO - SOC - FOX Sports - TikTok - MWC"/>
    <n v="583012"/>
    <s v="FOX Sports - TikTok"/>
    <s v="Flat Rate"/>
    <n v="66667"/>
    <s v="Bill on Contract"/>
    <n v="0"/>
    <n v="20408.27"/>
    <m/>
    <m/>
    <s v=" "/>
    <s v=""/>
    <m/>
    <m/>
    <n v="0"/>
    <n v="0"/>
    <n v="0"/>
    <n v="0"/>
    <n v="1"/>
    <n v="0"/>
    <n v="0"/>
    <n v="0"/>
    <s v="Bill on Contract - Pro-rated"/>
    <n v="20408.27"/>
    <n v="0"/>
    <n v="66667"/>
    <s v="Oura Ring/Digital/Scatter/Sports/MWC/2Q-3Q26"/>
    <n v="267088"/>
    <s v="P2+"/>
    <s v="O-D2V3MI7-R7"/>
    <m/>
    <s v="Kimberly Caraig"/>
    <s v="Guaranteed"/>
    <s v="DIO - SOC - FOX Sports - TikTok - MWC"/>
    <n v="129171"/>
    <d v="2026-06-30T00:00:00"/>
    <d v="2026-06-01T00:00:00"/>
    <d v="2026-07-19T00:00:00"/>
    <s v="Social TikTok"/>
    <m/>
    <d v="2026-07-05T12:53:18"/>
  </r>
  <r>
    <s v="MEDIAHUB"/>
    <n v="10709"/>
    <n v="9677"/>
    <s v="OURARING"/>
    <s v="Oura Ring/Digital/Scatter/Sports/MWC/2Q-3Q26"/>
    <x v="81"/>
    <s v="Oura Ring- World Cup Social Sponsorship Content - Package"/>
    <n v="583008"/>
    <s v="Oura Ring- DIO - SOC - FOX Sports - Youtube - Custom Content - MWC"/>
    <n v="583011"/>
    <s v="FOX Sports"/>
    <s v="Flat Rate"/>
    <n v="66667"/>
    <s v="Bill on Contract"/>
    <n v="0"/>
    <n v="20408.27"/>
    <m/>
    <m/>
    <s v=" "/>
    <s v=""/>
    <m/>
    <m/>
    <n v="0"/>
    <n v="0"/>
    <n v="0"/>
    <n v="0"/>
    <n v="1"/>
    <n v="0"/>
    <n v="0"/>
    <n v="0"/>
    <s v="Bill on Contract - Pro-rated"/>
    <n v="20408.27"/>
    <n v="0"/>
    <n v="66667"/>
    <s v="Oura Ring/Digital/Scatter/Sports/MWC/2Q-3Q26"/>
    <n v="267088"/>
    <s v="P2+"/>
    <s v="O-D2V3MI7-R7"/>
    <m/>
    <s v="Kimberly Caraig"/>
    <s v="Guaranteed"/>
    <s v="DIO - SOC - FOX Sports - Youtube - Custom Content - MWC"/>
    <n v="129171"/>
    <d v="2026-06-30T00:00:00"/>
    <d v="2026-06-01T00:00:00"/>
    <d v="2026-07-19T00:00:00"/>
    <s v="Social"/>
    <m/>
    <d v="2026-07-05T12:53:18"/>
  </r>
  <r>
    <s v="MEDIAHUB"/>
    <n v="10709"/>
    <n v="9677"/>
    <s v="OURARING"/>
    <s v="Oura Ring/Digital/Scatter/Sports/MWC/2Q-3Q26"/>
    <x v="81"/>
    <s v="Oura Ring- Run of World Cup Video - Package (Makegood)"/>
    <n v="596080"/>
    <s v="Oura Ring- DIO - LFV - TUB - Pre/Mid - MWC - DT/MB/CTV (Makegood)"/>
    <n v="94975575"/>
    <s v="Fox Sold Tubi"/>
    <s v="CPM"/>
    <n v="0"/>
    <s v="3P Imps"/>
    <n v="151341"/>
    <n v="0"/>
    <m/>
    <m/>
    <s v=" "/>
    <n v="0"/>
    <m/>
    <m/>
    <n v="151341"/>
    <n v="151341"/>
    <n v="0"/>
    <n v="0"/>
    <n v="1"/>
    <n v="0"/>
    <n v="0"/>
    <n v="0"/>
    <s v="Bill on Actuals - 3rd Party Performance"/>
    <n v="0"/>
    <n v="481000"/>
    <n v="0"/>
    <s v="Oura Ring/Digital/Scatter/Sports/MWC/2Q-3Q26"/>
    <n v="94238317"/>
    <s v="P2+"/>
    <s v="O-D2V3MI7-R7"/>
    <m/>
    <s v="Kimberly Caraig"/>
    <s v="Make Good"/>
    <s v="DIO - LFV - TUB - Pre/Mid - MWC - DT/MB/CTV"/>
    <n v="129171"/>
    <d v="2026-06-30T00:00:00"/>
    <d v="2026-06-23T00:00:00"/>
    <d v="2026-07-19T00:00:00"/>
    <s v="Direct LFV"/>
    <m/>
    <d v="2026-07-05T12:53:18"/>
  </r>
  <r>
    <s v="MEDIAHUB"/>
    <n v="10709"/>
    <n v="9677"/>
    <s v="OURARING"/>
    <s v="Oura Ring/Digital/Scatter/Sports/MWC/2Q-3Q26"/>
    <x v="81"/>
    <s v="Oura Ring- Run of World Cup Video - Package (Makegood)"/>
    <n v="596080"/>
    <s v="Oura Ring- DIO - ROV - FS - Pre/Mid - MWC - DT/MB/CTV (Makegood)"/>
    <n v="94975584"/>
    <s v="FOX Sports"/>
    <s v="CPM"/>
    <n v="0"/>
    <s v="3P Imps"/>
    <n v="67246"/>
    <n v="0"/>
    <m/>
    <m/>
    <s v=" "/>
    <s v=""/>
    <m/>
    <m/>
    <n v="67246"/>
    <n v="67246"/>
    <n v="0"/>
    <n v="0"/>
    <n v="1"/>
    <n v="0"/>
    <n v="0"/>
    <n v="0"/>
    <s v="Bill on Actuals - 3rd Party Performance"/>
    <n v="0"/>
    <n v="206143"/>
    <n v="0"/>
    <s v="Oura Ring/Digital/Scatter/Sports/MWC/2Q-3Q26"/>
    <n v="94238317"/>
    <s v="P2+"/>
    <s v="O-D2V3MI7-R7"/>
    <m/>
    <s v="Kimberly Caraig"/>
    <s v="Make Good"/>
    <s v="DIO - ROV - FS - Pre/Mid - MWC - DT/MB/CTV"/>
    <n v="129171"/>
    <d v="2026-06-30T00:00:00"/>
    <d v="2026-06-23T00:00:00"/>
    <d v="2026-07-19T00:00:00"/>
    <s v="Direct ROV"/>
    <m/>
    <d v="2026-07-05T12:53:18"/>
  </r>
  <r>
    <s v="MEDIAMONKS"/>
    <n v="16656"/>
    <n v="16447"/>
    <s v="SHIPT"/>
    <s v="Shipt/MWC 2026/Digital/Scatter"/>
    <x v="82"/>
    <s v="Shipt - Run of World Cup Video - Package"/>
    <n v="592399"/>
    <s v="Shipt - DIO - LFV - TUB - Pre/Mid - MWC - DT/MB/CTV"/>
    <n v="94520881"/>
    <s v="Fox Sold Tubi"/>
    <s v="CPM"/>
    <n v="44"/>
    <s v="3P Imps"/>
    <n v="2639802"/>
    <n v="116151.29"/>
    <m/>
    <m/>
    <s v=" "/>
    <n v="0"/>
    <m/>
    <m/>
    <n v="2639802"/>
    <n v="2639802"/>
    <n v="0"/>
    <n v="0"/>
    <n v="1"/>
    <n v="0"/>
    <n v="0"/>
    <n v="0"/>
    <s v="Bill on Actuals - 3rd Party Performance"/>
    <n v="58512.4"/>
    <n v="3977273"/>
    <n v="175000.01"/>
    <s v="Shipt/MWC 2026/Digital/Scatter"/>
    <n v="94520878"/>
    <s v="P2+"/>
    <s v="O-D310V0L-R2"/>
    <m/>
    <s v="Meghan Courtney"/>
    <s v="Guaranteed"/>
    <s v="DIO - LFV - TUB - Pre/Mid - MWC - DT/MB/CTV"/>
    <n v="130515"/>
    <d v="2026-06-30T00:00:00"/>
    <d v="2026-06-08T00:00:00"/>
    <d v="2026-07-19T00:00:00"/>
    <s v="Direct LFV"/>
    <m/>
    <d v="2026-07-05T12:53:18"/>
  </r>
  <r>
    <s v="MEDIAMONKS"/>
    <n v="16656"/>
    <n v="16447"/>
    <s v="SHIPT"/>
    <s v="Shipt/MWC 2026/Digital/Scatter"/>
    <x v="82"/>
    <s v="Shipt - Run of World Cup Video - Package"/>
    <n v="592399"/>
    <s v="Shipt - DIO - ROV - FS - Pre/Mid - MWC - DT/MB/CTV"/>
    <n v="94520884"/>
    <s v="FOX Sports"/>
    <s v="CPM"/>
    <n v="44"/>
    <s v="3P Imps"/>
    <n v="1159705"/>
    <n v="51027.02"/>
    <m/>
    <m/>
    <s v=" "/>
    <s v=""/>
    <m/>
    <m/>
    <n v="1159705"/>
    <n v="1159705"/>
    <n v="0"/>
    <n v="0"/>
    <n v="1"/>
    <n v="0"/>
    <n v="0"/>
    <n v="0"/>
    <s v="Bill on Actuals - 3rd Party Performance"/>
    <n v="25076.75"/>
    <n v="1704546"/>
    <n v="75000.02"/>
    <s v="Shipt/MWC 2026/Digital/Scatter"/>
    <n v="94520878"/>
    <s v="P2+"/>
    <s v="O-D310V0L-R2"/>
    <m/>
    <s v="Meghan Courtney"/>
    <s v="Guaranteed"/>
    <s v="DIO - ROV - FS - Pre/Mid - MWC - DT/MB/CTV"/>
    <n v="130515"/>
    <d v="2026-06-30T00:00:00"/>
    <d v="2026-06-08T00:00:00"/>
    <d v="2026-07-19T00:00:00"/>
    <s v="Direct ROV"/>
    <m/>
    <d v="2026-07-05T12:53:18"/>
  </r>
  <r>
    <s v="MEDIAMONKS"/>
    <n v="16656"/>
    <n v="16447"/>
    <s v="SHIPT"/>
    <s v="Shipt/MWC 2026/Digital/Scatter"/>
    <x v="82"/>
    <s v="Shipt - Run of FOX Sports Video - Package"/>
    <n v="592407"/>
    <s v="Shipt - DIO - ROV - FS - Pre/Mid - ROS - DT/MB/CTV"/>
    <n v="94520888"/>
    <s v="FOX Sports"/>
    <s v="CPM"/>
    <n v="25"/>
    <s v="3P CoView Imps"/>
    <n v="694568"/>
    <n v="17364.2"/>
    <m/>
    <m/>
    <s v=" "/>
    <n v="0"/>
    <m/>
    <m/>
    <n v="573806"/>
    <n v="573806"/>
    <n v="694568"/>
    <n v="694568"/>
    <n v="1"/>
    <n v="1.2104591570283609"/>
    <n v="0"/>
    <n v="0"/>
    <s v="Bill on Actuals - 3rd Party Performance"/>
    <n v="7172.58"/>
    <n v="4000000"/>
    <n v="100000"/>
    <s v="Shipt/MWC 2026/Digital/Scatter"/>
    <n v="94520878"/>
    <s v="P2+"/>
    <s v="O-D310V0L-R2"/>
    <m/>
    <s v="Meghan Courtney"/>
    <s v="Guaranteed"/>
    <s v="DIO - ROV - FS - Pre/Mid - ROS - DT/MB/CTV"/>
    <n v="130515"/>
    <d v="2026-06-30T00:00:00"/>
    <d v="2026-06-08T00:00:00"/>
    <d v="2026-09-30T00:00:00"/>
    <s v="Direct ROV"/>
    <m/>
    <d v="2026-07-05T12:53:18"/>
  </r>
  <r>
    <s v="MEDIAMONKS"/>
    <n v="16656"/>
    <n v="23242"/>
    <s v="TRIMBLE INC"/>
    <s v=" MWC Digital 2026/Trimble/Monks/26/Scatter"/>
    <x v="83"/>
    <s v="Trimble - Run of World Cup Video - Package"/>
    <n v="591515"/>
    <s v="Trimble - DIO - LFV - TUB - Pre/Mid - MWC - DT/MB/CTV"/>
    <n v="94333058"/>
    <s v="Fox Sold Tubi"/>
    <s v="CPM"/>
    <n v="44"/>
    <s v="1P Imps"/>
    <n v="2816915"/>
    <n v="123944.26"/>
    <m/>
    <m/>
    <s v=" "/>
    <n v="0"/>
    <m/>
    <m/>
    <n v="2816915"/>
    <n v="2816915"/>
    <n v="0"/>
    <n v="0"/>
    <n v="1"/>
    <n v="0"/>
    <n v="0"/>
    <n v="0"/>
    <s v="Bill on Actuals - 3rd Party Performance"/>
    <n v="61171.24"/>
    <n v="3977273"/>
    <n v="175000.01"/>
    <s v=" MWC Digital 2026/Trimble/Monks/26/Scatter"/>
    <n v="94333048"/>
    <s v="P2+"/>
    <s v="N/A"/>
    <m/>
    <s v="Meghan Courtney"/>
    <s v="Guaranteed"/>
    <s v="DIO - LFV - TUB - Pre/Mid - MWC - DT/MB/CTV"/>
    <n v="129764"/>
    <d v="2026-06-30T00:00:00"/>
    <d v="2026-06-01T00:00:00"/>
    <d v="2026-07-19T00:00:00"/>
    <s v="Direct LFV"/>
    <m/>
    <d v="2026-07-05T12:53:18"/>
  </r>
  <r>
    <s v="MEDIAMONKS"/>
    <n v="16656"/>
    <n v="23242"/>
    <s v="TRIMBLE INC"/>
    <s v=" MWC Digital 2026/Trimble/Monks/26/Scatter"/>
    <x v="83"/>
    <s v="Trimble - Run of World Cup Video - Package"/>
    <n v="591515"/>
    <s v="Trimble - DIO - ROV - FS - Pre/Mid - MWC - DT/MB/CTV"/>
    <n v="94333061"/>
    <s v="FOX Sports"/>
    <s v="CPM"/>
    <n v="44"/>
    <s v="1P Imps"/>
    <n v="1155244"/>
    <n v="50830.74"/>
    <m/>
    <m/>
    <s v=" "/>
    <s v=""/>
    <m/>
    <m/>
    <n v="1155244"/>
    <n v="1155244"/>
    <n v="0"/>
    <n v="0"/>
    <n v="1"/>
    <n v="0"/>
    <n v="0"/>
    <n v="0"/>
    <s v="Bill on Actuals - 3rd Party Performance"/>
    <n v="26216.25"/>
    <n v="1704546"/>
    <n v="75000.02"/>
    <s v=" MWC Digital 2026/Trimble/Monks/26/Scatter"/>
    <n v="94333048"/>
    <s v="P2+"/>
    <s v="N/A"/>
    <m/>
    <s v="Meghan Courtney"/>
    <s v="Guaranteed"/>
    <s v="DIO - ROV - FS - Pre/Mid - MWC - DT/MB/CTV"/>
    <n v="129764"/>
    <d v="2026-06-30T00:00:00"/>
    <d v="2026-06-01T00:00:00"/>
    <d v="2026-07-19T00:00:00"/>
    <s v="Direct ROV"/>
    <m/>
    <d v="2026-07-05T12:53:18"/>
  </r>
  <r>
    <s v="MEDIAMONKS"/>
    <n v="16656"/>
    <n v="23242"/>
    <s v="TRIMBLE INC"/>
    <s v="CANCELLED - MWC Digital 2026/Trimble/Monks/26/Scatter"/>
    <x v="84"/>
    <s v="CANCELLED - Trimble - Run of World Cup Video - Package"/>
    <n v="587382"/>
    <s v="Trimble - DIO - LFV - TUB - Pre/Mid - MWC - DT/MB/CTV"/>
    <n v="93902061"/>
    <s v="Fox Sold Tubi"/>
    <s v="CPM"/>
    <n v="0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0"/>
    <n v="0"/>
    <s v="CANCELLED - MWC Digital 2026/Trimble/Monks/26/Scatter"/>
    <n v="268838"/>
    <s v="P2+"/>
    <s v="N/A"/>
    <m/>
    <s v="Meghan Courtney"/>
    <s v="Guaranteed"/>
    <s v="DIO - LFV - TUB - Pre/Mid - MWC - DT/MB/CTV"/>
    <m/>
    <d v="2026-06-30T00:00:00"/>
    <d v="2026-06-01T00:00:00"/>
    <d v="2026-06-01T00:00:00"/>
    <s v="Direct LFV"/>
    <m/>
    <d v="2026-07-05T12:53:18"/>
  </r>
  <r>
    <s v="MEDIAMONKS"/>
    <n v="16656"/>
    <n v="23242"/>
    <s v="TRIMBLE INC"/>
    <s v="CANCELLED - MWC Digital 2026/Trimble/Monks/26/Scatter"/>
    <x v="84"/>
    <s v="CANCELLED - Trimble - Run of World Cup Video - Package"/>
    <n v="587382"/>
    <s v="Trimble - DIO - ROV - FS - Pre/Mid - MWC - DT/MB/CTV"/>
    <n v="93902058"/>
    <s v="FOX Sports"/>
    <s v="CPM"/>
    <n v="0"/>
    <s v="1P Imps"/>
    <n v="0"/>
    <n v="0"/>
    <m/>
    <m/>
    <s v=" "/>
    <s v=""/>
    <m/>
    <m/>
    <n v="0"/>
    <n v="0"/>
    <n v="0"/>
    <n v="0"/>
    <n v="1"/>
    <n v="0"/>
    <n v="0"/>
    <n v="0"/>
    <s v="Bill on Actuals - 3rd Party Performance"/>
    <n v="0"/>
    <n v="0"/>
    <n v="0"/>
    <s v="CANCELLED - MWC Digital 2026/Trimble/Monks/26/Scatter"/>
    <n v="268838"/>
    <s v="P2+"/>
    <s v="N/A"/>
    <m/>
    <s v="Meghan Courtney"/>
    <s v="Guaranteed"/>
    <s v="DIO - ROV - FS - Pre/Mid - MWC - DT/MB/CTV"/>
    <m/>
    <d v="2026-06-30T00:00:00"/>
    <d v="2026-06-01T00:00:00"/>
    <d v="2026-06-01T00:00:00"/>
    <s v="Direct ROV"/>
    <m/>
    <d v="2026-07-05T12:53:18"/>
  </r>
  <r>
    <s v="MINDSHARE - NY"/>
    <n v="10358"/>
    <n v="2612"/>
    <s v="UNILEVER"/>
    <s v="Unilever/MLS/Scatter/25.26/ X Amplify"/>
    <x v="85"/>
    <s v="Unilever/MLS/Scatter/25.26/ X Amplify"/>
    <n v="586824"/>
    <s v="Unilever/MLS/Scatter/25.26/DIO - SOC - FOX Sports - X - Soccer - NEW"/>
    <n v="588882"/>
    <s v="FOX Sports - Twitter"/>
    <s v="Flat Rate"/>
    <n v="401359.14"/>
    <s v="Bill on Contract"/>
    <n v="0"/>
    <n v="98694.87"/>
    <m/>
    <m/>
    <s v=" "/>
    <n v="0"/>
    <m/>
    <m/>
    <n v="0"/>
    <n v="0"/>
    <n v="0"/>
    <n v="0"/>
    <n v="1"/>
    <n v="0"/>
    <n v="0"/>
    <n v="0"/>
    <s v="Bill on Contract - Pro-rated"/>
    <n v="98694.87"/>
    <n v="0"/>
    <n v="401359.14"/>
    <s v="Unilever/MLS/Scatter/25.26/ X Amplify"/>
    <n v="268217"/>
    <s v="P2+"/>
    <s v="O-D2SRTUD-R4"/>
    <m/>
    <s v="Leslie Lowenthal"/>
    <s v="Guaranteed"/>
    <s v="DIO - SOC - FOX Sports - X - Soccer"/>
    <n v="127091"/>
    <d v="2026-06-30T00:00:00"/>
    <d v="2026-05-01T00:00:00"/>
    <d v="2026-06-30T00:00:00"/>
    <s v="Social X"/>
    <m/>
    <d v="2026-07-05T12:53:18"/>
  </r>
  <r>
    <s v="MINDSHARE - NY"/>
    <n v="10358"/>
    <n v="2612"/>
    <s v="UNILEVER"/>
    <s v="Unilever/MWC Digital/2026 - Axe Deo"/>
    <x v="86"/>
    <s v="OMP-Unilever - Axe Deo - Run of World Cup Video"/>
    <n v="580930"/>
    <s v="OMP-Unilever - Axe Deo - DIO - LFV - TUB - Pre/Mid - MWC - DT/MB/CTV"/>
    <n v="93429289"/>
    <s v="Fox Sold Tubi"/>
    <s v="Flat Rate"/>
    <n v="40"/>
    <s v="Bill on Contract"/>
    <n v="107143"/>
    <n v="4285.71"/>
    <m/>
    <m/>
    <s v=" "/>
    <n v="0"/>
    <m/>
    <m/>
    <n v="252925"/>
    <n v="252925"/>
    <n v="0"/>
    <n v="0"/>
    <n v="1"/>
    <n v="0"/>
    <n v="0"/>
    <n v="0"/>
    <s v="Bill on Contract - Pro-rated"/>
    <n v="4285.71"/>
    <n v="350000"/>
    <n v="14000"/>
    <s v="Unilever/MWC Digital/2026 - Axe Deo"/>
    <n v="93325745"/>
    <s v="P2+"/>
    <s v="O-D2P0TEH-R1"/>
    <m/>
    <s v="Leslie Lowenthal"/>
    <s v="Guaranteed"/>
    <s v="DIO - LFV - TUB - Pre/Mid - MWC - DT/MB/CTV"/>
    <n v="125400"/>
    <d v="2026-06-30T00:00:00"/>
    <d v="2026-06-01T00:00:00"/>
    <d v="2026-07-19T00:00:00"/>
    <s v="Direct LFV"/>
    <m/>
    <d v="2026-07-05T12:53:18"/>
  </r>
  <r>
    <s v="MINDSHARE - NY"/>
    <n v="10358"/>
    <n v="2612"/>
    <s v="UNILEVER"/>
    <s v="Unilever/MWC Digital/2026 - Axe Deo"/>
    <x v="86"/>
    <s v="OMP-Unilever - Axe Deo - Run of World Cup Video"/>
    <n v="580930"/>
    <s v="OMP-Unilever - Axe Deo - DIO - ROV - FS - Pre/Mid - MWC - DT/MB/CTV"/>
    <n v="93325755"/>
    <s v="FOX Sports"/>
    <s v="Flat Rate"/>
    <n v="40"/>
    <s v="Bill on Contract"/>
    <n v="45918"/>
    <n v="1836.73"/>
    <m/>
    <m/>
    <s v=" "/>
    <s v=""/>
    <m/>
    <m/>
    <n v="101995"/>
    <n v="101995"/>
    <n v="0"/>
    <n v="0"/>
    <n v="1"/>
    <n v="0"/>
    <n v="0"/>
    <n v="0"/>
    <s v="Bill on Contract - Pro-rated"/>
    <n v="1836.73"/>
    <n v="150000"/>
    <n v="6000"/>
    <s v="Unilever/MWC Digital/2026 - Axe Deo"/>
    <n v="93325745"/>
    <s v="P2+"/>
    <s v="O-D2P0TEH-R1"/>
    <m/>
    <s v="Leslie Lowenthal"/>
    <s v="Guaranteed"/>
    <s v="DIO - ROV - FS - Pre/Mid - MWC - DT/MB/CTV"/>
    <n v="125400"/>
    <d v="2026-06-30T00:00:00"/>
    <d v="2026-06-01T00:00:00"/>
    <d v="2026-07-19T00:00:00"/>
    <s v="Direct ROV"/>
    <m/>
    <d v="2026-07-05T12:53:18"/>
  </r>
  <r>
    <s v="MINDSHARE - NY"/>
    <n v="10358"/>
    <n v="2612"/>
    <s v="UNILEVER"/>
    <s v="Unilever/MWC Digital/2026 - Axe Deo"/>
    <x v="86"/>
    <s v="OMP-Unilever - Axe Deo - Run of FOX Sports Video"/>
    <n v="580933"/>
    <s v="OMP-Unilever - Axe Deo - DIO - ROV - FS - Pre/Mid - ROS - DT/MB/CTV"/>
    <n v="93325758"/>
    <s v="FOX Sports"/>
    <s v="CPM"/>
    <n v="25"/>
    <s v="3P CoView Imps"/>
    <n v="734519"/>
    <n v="12494.79"/>
    <m/>
    <m/>
    <s v=" "/>
    <n v="0"/>
    <m/>
    <m/>
    <n v="499010"/>
    <n v="613657"/>
    <n v="597291"/>
    <n v="734519"/>
    <n v="1"/>
    <n v="1.196953957073573"/>
    <n v="0"/>
    <n v="0"/>
    <s v="Bill on Contract - Pro-rated"/>
    <n v="12494.79"/>
    <n v="2000000"/>
    <n v="50000"/>
    <s v="Unilever/MWC Digital/2026 - Axe Deo"/>
    <n v="93325745"/>
    <s v="P2+"/>
    <s v="O-D2P0TEH-R1"/>
    <m/>
    <s v="Leslie Lowenthal"/>
    <s v="Guaranteed"/>
    <s v="DIO - ROV - FS - Pre/Mid - ROS - DT/MB/CTV"/>
    <n v="125400"/>
    <d v="2026-06-30T00:00:00"/>
    <d v="2026-04-13T00:00:00"/>
    <d v="2026-07-19T00:00:00"/>
    <s v="Direct ROV"/>
    <m/>
    <d v="2026-07-05T12:53:18"/>
  </r>
  <r>
    <s v="MINDSHARE - NY"/>
    <n v="10358"/>
    <n v="2612"/>
    <s v="UNILEVER"/>
    <s v="Unilever/MWC Digital/2026 - Axe Deo"/>
    <x v="86"/>
    <s v="OMP-Unilever - Axe Deo - Run of AllFOX Video - Soccer Fans - AAT"/>
    <n v="580935"/>
    <s v="OMP-Unilever - Axe Deo - DIO - LFV - 1F - Tubi - Pre/Mid - ROS - DT/MB/CTV - FW - SXD - Soccer Fans - AAT"/>
    <n v="93325752"/>
    <s v="Fox Sold Tubi"/>
    <s v="CPM"/>
    <n v="20"/>
    <s v="3P Audience Target"/>
    <n v="818606"/>
    <n v="11995"/>
    <m/>
    <m/>
    <s v=" "/>
    <n v="0"/>
    <m/>
    <m/>
    <n v="741492"/>
    <n v="818606"/>
    <n v="0"/>
    <n v="0"/>
    <n v="1"/>
    <n v="0"/>
    <n v="0"/>
    <n v="0"/>
    <s v="Bill on Contract - Pro-rated"/>
    <n v="11995"/>
    <n v="2400000"/>
    <n v="48000"/>
    <s v="Unilever/MWC Digital/2026 - Axe Deo"/>
    <n v="93325745"/>
    <s v="Audience Target"/>
    <s v="O-D2P0TEH-R1"/>
    <m/>
    <s v="Leslie Lowenthal"/>
    <s v="Guaranteed"/>
    <s v="DIO - LFV - 1F - Tubi - Pre/Mid - ROS - DT/MB/CTV - FW - SXD"/>
    <n v="125400"/>
    <d v="2026-06-30T00:00:00"/>
    <d v="2026-04-13T00:00:00"/>
    <d v="2026-07-19T00:00:00"/>
    <s v="Direct LFV"/>
    <m/>
    <d v="2026-07-05T12:53:18"/>
  </r>
  <r>
    <s v="MINDSHARE - NY"/>
    <n v="10358"/>
    <n v="2612"/>
    <s v="UNILEVER"/>
    <s v="Unilever/MWC Digital/2026 - Axe Deo"/>
    <x v="86"/>
    <s v="OMP-Unilever - Axe Deo - Run of AllFOX Video - Soccer Fans - AAT"/>
    <n v="580935"/>
    <s v="OMP-Unilever - Axe Deo - DIO - ROV - 1F - SEN - Pre/Mid - ROS - DT/MB/CTV - SXD - Soccer Fans - AAT"/>
    <n v="93325748"/>
    <s v="OneFOX"/>
    <s v="CPM"/>
    <n v="20"/>
    <s v="3P Audience Target"/>
    <n v="536448"/>
    <n v="7996.67"/>
    <m/>
    <m/>
    <s v=" "/>
    <s v=""/>
    <m/>
    <m/>
    <n v="475169"/>
    <n v="536448"/>
    <n v="0"/>
    <n v="0"/>
    <n v="1"/>
    <n v="0"/>
    <n v="0"/>
    <n v="0"/>
    <s v="Bill on Contract - Pro-rated"/>
    <n v="7996.67"/>
    <n v="1600000"/>
    <n v="32000"/>
    <s v="Unilever/MWC Digital/2026 - Axe Deo"/>
    <n v="93325745"/>
    <s v="Audience Target"/>
    <s v="O-D2P0TEH-R1"/>
    <m/>
    <s v="Leslie Lowenthal"/>
    <s v="Guaranteed"/>
    <s v="DIO - ROV - 1F - SEN - Pre/Mid - ROS - DT/MB/CTV - SXD"/>
    <n v="125400"/>
    <d v="2026-06-30T00:00:00"/>
    <d v="2026-04-13T00:00:00"/>
    <d v="2026-07-19T00:00:00"/>
    <s v="Direct ROV"/>
    <m/>
    <d v="2026-07-05T12:53:18"/>
  </r>
  <r>
    <s v="MINDSHARE - NY"/>
    <n v="10358"/>
    <n v="2612"/>
    <s v="UNILEVER"/>
    <s v="Unilever/MWC Digital/2026 - Axe Deo"/>
    <x v="86"/>
    <s v="OMP-Unilever - Axe Deo - World Cup Social Sponsorship Content"/>
    <n v="580938"/>
    <s v="OMP-Unilever - Axe Deo - DIO - SOC - FOX Sports - Facebook/Instagram - MWC"/>
    <n v="580939"/>
    <s v="FOX Sports - FB-Inst"/>
    <s v="Flat Rate"/>
    <n v="0.15"/>
    <s v="Bill on Contract"/>
    <n v="412890267"/>
    <n v="61933.54"/>
    <m/>
    <m/>
    <s v=" "/>
    <n v="0"/>
    <m/>
    <m/>
    <n v="0"/>
    <n v="0"/>
    <n v="0"/>
    <n v="0"/>
    <n v="1"/>
    <n v="0"/>
    <n v="0"/>
    <n v="0"/>
    <s v="Bill on Contract - Pro-rated"/>
    <n v="61933.54"/>
    <n v="1407828"/>
    <n v="211174.2"/>
    <s v="Unilever/MWC Digital/2026 - Axe Deo"/>
    <n v="266704"/>
    <s v="P2+"/>
    <s v="O-D2P0TEH-R1"/>
    <m/>
    <s v="Leslie Lowenthal"/>
    <s v="Guaranteed"/>
    <s v="DIO - SOC - FOX Sports - Facebook/Instagram - MWC"/>
    <n v="125400"/>
    <d v="2026-06-30T00:00:00"/>
    <d v="2026-04-13T00:00:00"/>
    <d v="2026-07-19T00:00:00"/>
    <s v="Social Facebook/Instagram"/>
    <m/>
    <d v="2026-07-05T12:53:18"/>
  </r>
  <r>
    <s v="MINDSHARE - NY"/>
    <n v="10358"/>
    <n v="2612"/>
    <s v="UNILEVER"/>
    <s v="Unilever/MWC Digital/2026 - Axe Deo"/>
    <x v="86"/>
    <s v="OMP-Unilever - Axe Deo - World Cup Social Sponsorship Content"/>
    <n v="580938"/>
    <s v="OMP-Unilever - Axe Deo - DIO - SOC - FOX Sports - TikTok - MWC"/>
    <n v="580942"/>
    <s v="FOX Sports - TikTok"/>
    <s v="Flat Rate"/>
    <n v="0.15"/>
    <s v="Bill on Contract"/>
    <n v="206444867"/>
    <n v="30966.73"/>
    <m/>
    <m/>
    <s v=" "/>
    <s v=""/>
    <m/>
    <m/>
    <n v="0"/>
    <n v="0"/>
    <n v="0"/>
    <n v="0"/>
    <n v="1"/>
    <n v="0"/>
    <n v="0"/>
    <n v="0"/>
    <s v="Bill on Contract - Pro-rated"/>
    <n v="30966.73"/>
    <n v="703913"/>
    <n v="105586.95"/>
    <s v="Unilever/MWC Digital/2026 - Axe Deo"/>
    <n v="266704"/>
    <s v="P2+"/>
    <s v="O-D2P0TEH-R1"/>
    <m/>
    <s v="Leslie Lowenthal"/>
    <s v="Guaranteed"/>
    <s v="DIO - SOC - FOX Sports - TikTok - MWC"/>
    <n v="125400"/>
    <d v="2026-06-30T00:00:00"/>
    <d v="2026-04-13T00:00:00"/>
    <d v="2026-07-19T00:00:00"/>
    <s v="Social TikTok"/>
    <m/>
    <d v="2026-07-05T12:53:18"/>
  </r>
  <r>
    <s v="MINDSHARE - NY"/>
    <n v="10358"/>
    <n v="2612"/>
    <s v="UNILEVER"/>
    <s v="Unilever/MWC Digital/2026 - Axe Deo"/>
    <x v="86"/>
    <s v="OMP-Unilever - Axe Deo - World Cup Social Sponsorship Content"/>
    <n v="580938"/>
    <s v="OMP-Unilever - Axe Deo - DIO - SOC - FOX Sports - X - MWC"/>
    <n v="580940"/>
    <s v="FOX Sports - Twitter"/>
    <s v="Flat Rate"/>
    <n v="125000"/>
    <s v="Bill on Contract"/>
    <n v="0"/>
    <n v="36660.22"/>
    <m/>
    <m/>
    <s v=" "/>
    <s v=""/>
    <m/>
    <m/>
    <n v="0"/>
    <n v="0"/>
    <n v="0"/>
    <n v="0"/>
    <n v="1"/>
    <n v="0"/>
    <n v="0"/>
    <n v="0"/>
    <s v="Bill on Contract - Pro-rated"/>
    <n v="36660.22"/>
    <n v="0"/>
    <n v="125000"/>
    <s v="Unilever/MWC Digital/2026 - Axe Deo"/>
    <n v="266704"/>
    <s v="P2+"/>
    <s v="O-D2P0TEH-R1"/>
    <m/>
    <s v="Leslie Lowenthal"/>
    <s v="Guaranteed"/>
    <s v="DIO - SOC - FOX Sports - X - MWC"/>
    <n v="125400"/>
    <d v="2026-06-30T00:00:00"/>
    <d v="2026-04-13T00:00:00"/>
    <d v="2026-07-19T00:00:00"/>
    <s v="Social X"/>
    <m/>
    <d v="2026-07-05T12:53:18"/>
  </r>
  <r>
    <s v="MINDSHARE - NY"/>
    <n v="10358"/>
    <n v="2612"/>
    <s v="UNILEVER"/>
    <s v="Unilever/MWC Digital/2026 - Axe Deo"/>
    <x v="86"/>
    <s v="OMP-Unilever - Axe Deo - World Cup Social Sponsorship Content"/>
    <n v="580938"/>
    <s v="OMP-Unilever - Axe Deo - DIO - SOC - FOX Sports - Youtube - Custom Content - MWC"/>
    <n v="580941"/>
    <s v="FOX Sports"/>
    <s v="Flat Rate"/>
    <n v="0.15"/>
    <s v="Bill on Contract"/>
    <n v="206444867"/>
    <n v="30966.73"/>
    <m/>
    <m/>
    <s v=" "/>
    <s v=""/>
    <m/>
    <m/>
    <n v="0"/>
    <n v="0"/>
    <n v="0"/>
    <n v="0"/>
    <n v="1"/>
    <n v="0"/>
    <n v="0"/>
    <n v="0"/>
    <s v="Bill on Contract - Pro-rated"/>
    <n v="30966.73"/>
    <n v="703913"/>
    <n v="105586.95"/>
    <s v="Unilever/MWC Digital/2026 - Axe Deo"/>
    <n v="266704"/>
    <s v="P2+"/>
    <s v="O-D2P0TEH-R1"/>
    <m/>
    <s v="Leslie Lowenthal"/>
    <s v="Guaranteed"/>
    <s v="DIO - SOC - FOX Sports - Youtube - Custom Content - MWC"/>
    <n v="125400"/>
    <d v="2026-06-30T00:00:00"/>
    <d v="2026-04-13T00:00:00"/>
    <d v="2026-07-19T00:00:00"/>
    <s v="Social"/>
    <m/>
    <d v="2026-07-05T12:53:18"/>
  </r>
  <r>
    <s v="MINDSHARE - NY"/>
    <n v="10358"/>
    <n v="2612"/>
    <s v="UNILEVER"/>
    <s v="Unilever/MWC Digital/2026 - Degree"/>
    <x v="87"/>
    <s v="OMP-Unilever - Degree -Run of World Cup Video - Package"/>
    <n v="581007"/>
    <s v="OMP-Unilever - Degree -DIO - LFV - TUB - Pre/Mid - MWC - DT/MB/CTV"/>
    <n v="93329241"/>
    <s v="Fox Sold Tubi"/>
    <s v="Flat Rate"/>
    <n v="40"/>
    <s v="Bill on Contract"/>
    <n v="107143"/>
    <n v="4285.71"/>
    <m/>
    <m/>
    <s v=" "/>
    <n v="0"/>
    <m/>
    <m/>
    <n v="227350"/>
    <n v="227350"/>
    <n v="0"/>
    <n v="0"/>
    <n v="1"/>
    <n v="0"/>
    <n v="0"/>
    <n v="0"/>
    <s v="Bill on Contract - Pro-rated"/>
    <n v="4285.71"/>
    <n v="350000"/>
    <n v="14000"/>
    <s v="Unilever/MWC Digital/2026 - Degree"/>
    <n v="93259266"/>
    <s v="P2+"/>
    <s v="O-D2OEVTN-R3"/>
    <m/>
    <s v="Leslie Lowenthal"/>
    <s v="Guaranteed"/>
    <s v="DIO - LFV - TUB - Pre/Mid - MWC - DT/MB/CTV"/>
    <n v="125118"/>
    <d v="2026-06-30T00:00:00"/>
    <d v="2026-06-01T00:00:00"/>
    <d v="2026-07-19T00:00:00"/>
    <s v="Direct LFV"/>
    <m/>
    <d v="2026-07-05T12:53:18"/>
  </r>
  <r>
    <s v="MINDSHARE - NY"/>
    <n v="10358"/>
    <n v="2612"/>
    <s v="UNILEVER"/>
    <s v="Unilever/MWC Digital/2026 - Degree"/>
    <x v="87"/>
    <s v="OMP-Unilever - Degree -Run of World Cup Video - Package"/>
    <n v="581007"/>
    <s v="OMP-Unilever - Degree -DIO - ROV - FS - Pre/Mid - MWC - DT/MB/CTV"/>
    <n v="93259284"/>
    <s v="FOX Sports"/>
    <s v="Flat Rate"/>
    <n v="40"/>
    <s v="Bill on Contract"/>
    <n v="45918"/>
    <n v="1836.73"/>
    <m/>
    <m/>
    <s v=" "/>
    <s v=""/>
    <m/>
    <m/>
    <n v="102026"/>
    <n v="102026"/>
    <n v="0"/>
    <n v="0"/>
    <n v="1"/>
    <n v="0"/>
    <n v="0"/>
    <n v="0"/>
    <s v="Bill on Contract - Pro-rated"/>
    <n v="1836.73"/>
    <n v="150000"/>
    <n v="6000"/>
    <s v="Unilever/MWC Digital/2026 - Degree"/>
    <n v="93259266"/>
    <s v="P2+"/>
    <s v="O-D2OEVTN-R3"/>
    <m/>
    <s v="Leslie Lowenthal"/>
    <s v="Guaranteed"/>
    <s v="DIO - ROV - FS - Pre/Mid - MWC - DT/MB/CTV"/>
    <n v="125118"/>
    <d v="2026-06-30T00:00:00"/>
    <d v="2026-06-01T00:00:00"/>
    <d v="2026-07-19T00:00:00"/>
    <s v="Direct ROV"/>
    <m/>
    <d v="2026-07-05T12:53:18"/>
  </r>
  <r>
    <s v="MINDSHARE - NY"/>
    <n v="10358"/>
    <n v="2612"/>
    <s v="UNILEVER"/>
    <s v="Unilever/MWC Digital/2026 - Degree"/>
    <x v="87"/>
    <s v="OMP-Unilever - Degree -Run of FOX Sports Video - Package"/>
    <n v="581010"/>
    <s v="OMP-Unilever - Degree -DIO - ROV - FS - Pre/Mid - ROS - DT/MB/CTV"/>
    <n v="93259271"/>
    <s v="FOX Sports"/>
    <s v="CPM"/>
    <n v="25"/>
    <s v="3P CoView Imps"/>
    <n v="542133"/>
    <n v="6276.41"/>
    <m/>
    <m/>
    <s v=" "/>
    <n v="0"/>
    <m/>
    <m/>
    <n v="424995"/>
    <n v="461154"/>
    <n v="499624"/>
    <n v="542133"/>
    <n v="1"/>
    <n v="1.1756016168452721"/>
    <n v="0"/>
    <n v="0"/>
    <s v="Bill on Contract - Pro-rated"/>
    <n v="6276.41"/>
    <n v="1800000"/>
    <n v="45000"/>
    <s v="Unilever/MWC Digital/2026 - Degree"/>
    <n v="93259266"/>
    <s v="P2+"/>
    <s v="O-D2OEVTN-R3"/>
    <m/>
    <s v="Leslie Lowenthal"/>
    <s v="Guaranteed"/>
    <s v="DIO - ROV - FS - Pre/Mid - ROS - DT/MB/CTV"/>
    <n v="125118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egree"/>
    <x v="87"/>
    <s v="OMP-Unilever - Degree -Run of AllFOX Video - Soccer Fan - Package"/>
    <n v="581011"/>
    <s v="OMP-Unilever - Degree - DIO - LFV - 1F - Tubi - Pre/Mid - ROS - DT/MB/CTV - FW - SXD - Soccer Fan"/>
    <n v="93259296"/>
    <s v="Fox Sold Tubi"/>
    <s v="CPM"/>
    <n v="20"/>
    <s v="3P Audience Target"/>
    <n v="971573"/>
    <n v="2755.1"/>
    <m/>
    <m/>
    <s v=" "/>
    <n v="0"/>
    <m/>
    <m/>
    <n v="809543"/>
    <n v="971573"/>
    <n v="0"/>
    <n v="0"/>
    <n v="1"/>
    <n v="0"/>
    <n v="0"/>
    <n v="0"/>
    <s v="Bill on Contract - Pro-rated"/>
    <n v="2755.1"/>
    <n v="3150000"/>
    <n v="63000"/>
    <s v="Unilever/MWC Digital/2026 - Degree"/>
    <n v="93259266"/>
    <s v="Audience Target"/>
    <s v="O-D2OEVTN-R3"/>
    <m/>
    <s v="Leslie Lowenthal"/>
    <s v="Guaranteed"/>
    <s v="DIO - LFV - 1F - Tubi - Pre/Mid - ROS - DT/MB/CTV - FW - SXD"/>
    <n v="125118"/>
    <d v="2026-06-30T00:00:00"/>
    <d v="2026-04-01T00:00:00"/>
    <d v="2026-07-19T00:00:00"/>
    <s v="Direct LFV"/>
    <m/>
    <d v="2026-07-05T12:53:18"/>
  </r>
  <r>
    <s v="MINDSHARE - NY"/>
    <n v="10358"/>
    <n v="2612"/>
    <s v="UNILEVER"/>
    <s v="Unilever/MWC Digital/2026 - Degree"/>
    <x v="87"/>
    <s v="OMP-Unilever - Degree -Run of AllFOX Video - Soccer Fan - Package"/>
    <n v="581011"/>
    <s v="OMP-Unilever - Degree - DIO - ROV - 1F - SEN - Pre/Mid - ROS - DT/MB/CTV - SXD - Soccer Fan"/>
    <n v="93259280"/>
    <s v="OneFOX"/>
    <s v="CPM"/>
    <n v="20"/>
    <s v="3P Audience Target"/>
    <n v="647098"/>
    <n v="1836.73"/>
    <m/>
    <m/>
    <s v=" "/>
    <s v=""/>
    <m/>
    <m/>
    <n v="566709"/>
    <n v="647098"/>
    <n v="0"/>
    <n v="0"/>
    <n v="1"/>
    <n v="0"/>
    <n v="0"/>
    <n v="0"/>
    <s v="Bill on Contract - Pro-rated"/>
    <n v="1836.73"/>
    <n v="2100000"/>
    <n v="42000"/>
    <s v="Unilever/MWC Digital/2026 - Degree"/>
    <n v="93259266"/>
    <s v="Audience Target"/>
    <s v="O-D2OEVTN-R3"/>
    <m/>
    <s v="Leslie Lowenthal"/>
    <s v="Guaranteed"/>
    <s v="DIO - ROV - 1F - SEN - Pre/Mid - ROS - DT/MB/CTV - SXD"/>
    <n v="125118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egree"/>
    <x v="87"/>
    <s v="OMP-Unilever - Degree - World Cup Social Sponsorship Content - Package"/>
    <n v="581015"/>
    <s v="OMP-Unilever - Degree - DIO - SOC - FOX Sports - Facebook/Instagram - MWC"/>
    <n v="581016"/>
    <s v="FOX Sports - FB-Inst"/>
    <s v="Flat Rate"/>
    <n v="0.15"/>
    <s v="Bill on Contract"/>
    <n v="264264467"/>
    <n v="39639.67"/>
    <m/>
    <m/>
    <s v=" "/>
    <n v="0"/>
    <m/>
    <m/>
    <n v="0"/>
    <n v="0"/>
    <n v="0"/>
    <n v="0"/>
    <n v="1"/>
    <n v="0"/>
    <n v="0"/>
    <n v="0"/>
    <s v="Bill on Contract - Pro-rated"/>
    <n v="39639.67"/>
    <n v="863264"/>
    <n v="129489.60000000001"/>
    <s v="Unilever/MWC Digital/2026 - Degree"/>
    <n v="266711"/>
    <s v="P2+"/>
    <s v="O-D2OEVTN-R3"/>
    <m/>
    <s v="Leslie Lowenthal"/>
    <s v="Guaranteed"/>
    <s v="DIO - SOC - FOX Sports - Facebook/Instagram - MWC"/>
    <n v="125118"/>
    <d v="2026-06-30T00:00:00"/>
    <d v="2026-06-01T00:00:00"/>
    <d v="2026-07-19T00:00:00"/>
    <s v="Social Facebook/Instagram"/>
    <m/>
    <d v="2026-07-05T12:53:18"/>
  </r>
  <r>
    <s v="MINDSHARE - NY"/>
    <n v="10358"/>
    <n v="2612"/>
    <s v="UNILEVER"/>
    <s v="Unilever/MWC Digital/2026 - Degree"/>
    <x v="87"/>
    <s v="OMP-Unilever - Degree - World Cup Social Sponsorship Content - Package"/>
    <n v="581015"/>
    <s v="OMP-Unilever - Degree - DIO - SOC - FOX Sports - TikTok - MWC"/>
    <n v="581019"/>
    <s v="FOX Sports - TikTok"/>
    <s v="Flat Rate"/>
    <n v="0.15"/>
    <s v="Bill on Contract"/>
    <n v="132132267"/>
    <n v="19819.84"/>
    <m/>
    <m/>
    <s v=" "/>
    <s v=""/>
    <m/>
    <m/>
    <n v="0"/>
    <n v="0"/>
    <n v="0"/>
    <n v="0"/>
    <n v="1"/>
    <n v="0"/>
    <n v="0"/>
    <n v="0"/>
    <s v="Bill on Contract - Pro-rated"/>
    <n v="19819.84"/>
    <n v="431632"/>
    <n v="64744.800000000003"/>
    <s v="Unilever/MWC Digital/2026 - Degree"/>
    <n v="266711"/>
    <s v="P2+"/>
    <s v="O-D2OEVTN-R3"/>
    <m/>
    <s v="Leslie Lowenthal"/>
    <s v="Guaranteed"/>
    <s v="DIO - SOC - FOX Sports - TikTok - MWC"/>
    <n v="125118"/>
    <d v="2026-06-30T00:00:00"/>
    <d v="2026-06-01T00:00:00"/>
    <d v="2026-07-19T00:00:00"/>
    <s v="Social TikTok"/>
    <m/>
    <d v="2026-07-05T12:53:18"/>
  </r>
  <r>
    <s v="MINDSHARE - NY"/>
    <n v="10358"/>
    <n v="2612"/>
    <s v="UNILEVER"/>
    <s v="Unilever/MWC Digital/2026 - Degree"/>
    <x v="87"/>
    <s v="OMP-Unilever - Degree - World Cup Social Sponsorship Content - Package"/>
    <n v="581015"/>
    <s v="OMP-Unilever - Degree - DIO - SOC - FOX Sports - Youtube - Custom Content - MWC"/>
    <n v="581018"/>
    <s v="FOX Sports"/>
    <s v="Flat Rate"/>
    <n v="0.15"/>
    <s v="Bill on Contract"/>
    <n v="132132267"/>
    <n v="19819.84"/>
    <m/>
    <m/>
    <s v=" "/>
    <s v=""/>
    <m/>
    <m/>
    <n v="0"/>
    <n v="0"/>
    <n v="0"/>
    <n v="0"/>
    <n v="1"/>
    <n v="0"/>
    <n v="0"/>
    <n v="0"/>
    <s v="Bill on Contract - Pro-rated"/>
    <n v="19819.84"/>
    <n v="431632"/>
    <n v="64744.800000000003"/>
    <s v="Unilever/MWC Digital/2026 - Degree"/>
    <n v="266711"/>
    <s v="P2+"/>
    <s v="O-D2OEVTN-R3"/>
    <m/>
    <s v="Leslie Lowenthal"/>
    <s v="Guaranteed"/>
    <s v="DIO - SOC - FOX Sports - Youtube - Custom Content - MWC"/>
    <n v="125118"/>
    <d v="2026-06-30T00:00:00"/>
    <d v="2026-06-01T00:00:00"/>
    <d v="2026-07-19T00:00:00"/>
    <s v="Social"/>
    <m/>
    <d v="2026-07-05T12:53:18"/>
  </r>
  <r>
    <s v="MINDSHARE - NY"/>
    <n v="10358"/>
    <n v="2612"/>
    <s v="UNILEVER"/>
    <s v="Unilever/MWC Digital/2026 - DM+C Deo"/>
    <x v="88"/>
    <s v="OMP-Unilever - DM+C Deo - Run of World Cup Video - Package"/>
    <n v="580968"/>
    <s v="OMP-Unilever - DM+C Deo - DIO - ROV - FS - Pre/Mid - MWC - DT/MB/CTV"/>
    <n v="93156545"/>
    <s v="FOX Sports"/>
    <s v="Flat Rate"/>
    <n v="40"/>
    <s v="Bill on Contract"/>
    <n v="45918"/>
    <n v="1836.73"/>
    <m/>
    <m/>
    <s v=" "/>
    <n v="0"/>
    <m/>
    <m/>
    <n v="102012"/>
    <n v="102012"/>
    <n v="0"/>
    <n v="0"/>
    <n v="1"/>
    <n v="0"/>
    <n v="0"/>
    <n v="0"/>
    <s v="Bill on Contract - Pro-rated"/>
    <n v="1836.73"/>
    <n v="150000"/>
    <n v="6000"/>
    <s v="Unilever/MWC Digital/2026 - DM+C Deo"/>
    <n v="93156534"/>
    <s v="P2+"/>
    <n v="1"/>
    <m/>
    <s v="Leslie Lowenthal"/>
    <s v="Guaranteed"/>
    <s v="DIO - ROV - FS - Pre/Mid - MWC - DT/MB/CTV"/>
    <n v="124455"/>
    <d v="2026-06-30T00:00:00"/>
    <d v="2026-06-01T00:00:00"/>
    <d v="2026-07-19T00:00:00"/>
    <s v="Direct ROV"/>
    <m/>
    <d v="2026-07-05T12:53:18"/>
  </r>
  <r>
    <s v="MINDSHARE - NY"/>
    <n v="10358"/>
    <n v="2612"/>
    <s v="UNILEVER"/>
    <s v="Unilever/MWC Digital/2026 - DM+C Deo"/>
    <x v="88"/>
    <s v="OMP-Unilever - DM+C Deo - Run of World Cup Video - Package"/>
    <n v="580968"/>
    <s v="OMP-Unilever - DM+C Deo -DIO - LFV - TUB - Pre/Mid - MWC - DT/MB/CTV"/>
    <n v="93183067"/>
    <s v="Fox Sold Tubi"/>
    <s v="Flat Rate"/>
    <n v="40"/>
    <s v="Bill on Contract"/>
    <n v="107143"/>
    <n v="4285.71"/>
    <m/>
    <m/>
    <s v=" "/>
    <s v=""/>
    <m/>
    <m/>
    <n v="227267"/>
    <n v="227267"/>
    <n v="0"/>
    <n v="0"/>
    <n v="1"/>
    <n v="0"/>
    <n v="0"/>
    <n v="0"/>
    <s v="Bill on Contract - Pro-rated"/>
    <n v="4285.71"/>
    <n v="350000"/>
    <n v="14000"/>
    <s v="Unilever/MWC Digital/2026 - DM+C Deo"/>
    <n v="93156534"/>
    <s v="P2+"/>
    <n v="1"/>
    <m/>
    <s v="Leslie Lowenthal"/>
    <s v="Guaranteed"/>
    <s v="DIO - LFV - TUB - Pre/Mid - MWC - DT/MB/CTV"/>
    <n v="124455"/>
    <d v="2026-06-30T00:00:00"/>
    <d v="2026-06-01T00:00:00"/>
    <d v="2026-07-19T00:00:00"/>
    <s v="Direct LFV"/>
    <m/>
    <d v="2026-07-05T12:53:18"/>
  </r>
  <r>
    <s v="MINDSHARE - NY"/>
    <n v="10358"/>
    <n v="2612"/>
    <s v="UNILEVER"/>
    <s v="Unilever/MWC Digital/2026 - DM+C Deo"/>
    <x v="88"/>
    <s v="OMP-Unilever - DM+C Deo -  Run of FOX Sports Video - Package"/>
    <n v="580980"/>
    <s v="OMP-Unilever - DM+C Deo -  DIO - ROV - FS - Pre/Mid - ROS - DT/MB/CTV"/>
    <n v="93156541"/>
    <s v="FOX Sports"/>
    <s v="CPM"/>
    <n v="25"/>
    <s v="3P CoView Imps"/>
    <n v="529498"/>
    <n v="11131.73"/>
    <m/>
    <m/>
    <s v=" "/>
    <n v="0"/>
    <m/>
    <m/>
    <n v="424027"/>
    <n v="446419"/>
    <n v="502939"/>
    <n v="529498"/>
    <n v="1"/>
    <n v="1.1861022307766611"/>
    <n v="0"/>
    <n v="0"/>
    <s v="Bill on Contract - Pro-rated"/>
    <n v="11131.73"/>
    <n v="2000000"/>
    <n v="50000"/>
    <s v="Unilever/MWC Digital/2026 - DM+C Deo"/>
    <n v="93156534"/>
    <s v="P2+"/>
    <n v="1"/>
    <m/>
    <s v="Leslie Lowenthal"/>
    <s v="Guaranteed"/>
    <s v="DIO - ROV - FS - Pre/Mid - ROS - DT/MB/CTV"/>
    <n v="124455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M+C Deo"/>
    <x v="88"/>
    <s v="OMP-Unilever - DM+C Deo -  Run of AllFOX Video - Soccer Fans- AAT - Package"/>
    <n v="580982"/>
    <s v="OMP-Unilever - DM+C Deo -  DIO - LFV - 1F - Tubi - Pre/Mid - ROS - DT/MB/CTV - FW - SXD - Soccer Fans - AAT"/>
    <n v="93156556"/>
    <s v="Fox Sold Tubi"/>
    <s v="CPM"/>
    <n v="20"/>
    <s v="3P Audience Target"/>
    <n v="1316275"/>
    <n v="17356.41"/>
    <m/>
    <m/>
    <s v=" "/>
    <n v="0"/>
    <m/>
    <m/>
    <n v="1139926"/>
    <n v="1316275"/>
    <n v="0"/>
    <n v="0"/>
    <n v="1"/>
    <n v="0"/>
    <n v="0"/>
    <n v="0"/>
    <s v="Bill on Contract - Pro-rated"/>
    <n v="17356.41"/>
    <n v="3897960"/>
    <n v="77959.199999999997"/>
    <s v="Unilever/MWC Digital/2026 - DM+C Deo"/>
    <n v="93156534"/>
    <s v="Audience Target"/>
    <n v="1"/>
    <m/>
    <s v="Leslie Lowenthal"/>
    <s v="Guaranteed"/>
    <s v="DIO - LFV - 1F - Tubi - Pre/Mid - ROS - DT/MB/CTV - FW - SXD"/>
    <n v="124455"/>
    <d v="2026-06-30T00:00:00"/>
    <d v="2026-04-01T00:00:00"/>
    <d v="2026-07-19T00:00:00"/>
    <s v="Direct LFV"/>
    <m/>
    <d v="2026-07-05T12:53:18"/>
  </r>
  <r>
    <s v="MINDSHARE - NY"/>
    <n v="10358"/>
    <n v="2612"/>
    <s v="UNILEVER"/>
    <s v="Unilever/MWC Digital/2026 - DM+C Deo"/>
    <x v="88"/>
    <s v="OMP-Unilever - DM+C Deo -  Run of AllFOX Video - Soccer Fans- AAT - Package"/>
    <n v="580982"/>
    <s v="OMP-Unilever - DM+C Deo -  DIO - ROV - 1F - SEN - Pre/Mid - ROS - DT/MB/CTV - SXD - Soccer Fans - AAT"/>
    <n v="93156537"/>
    <s v="OneFOX"/>
    <s v="CPM"/>
    <n v="20"/>
    <s v="3P Audience Target"/>
    <n v="839094"/>
    <n v="11570.94"/>
    <m/>
    <m/>
    <s v=" "/>
    <s v=""/>
    <m/>
    <m/>
    <n v="747115"/>
    <n v="839094"/>
    <n v="0"/>
    <n v="0"/>
    <n v="1"/>
    <n v="0"/>
    <n v="0"/>
    <n v="0"/>
    <s v="Bill on Contract - Pro-rated"/>
    <n v="11570.94"/>
    <n v="2598640"/>
    <n v="51972.800000000003"/>
    <s v="Unilever/MWC Digital/2026 - DM+C Deo"/>
    <n v="93156534"/>
    <s v="Audience Target"/>
    <n v="1"/>
    <m/>
    <s v="Leslie Lowenthal"/>
    <s v="Guaranteed"/>
    <s v="DIO - ROV - 1F - SEN - Pre/Mid - ROS - DT/MB/CTV - SXD"/>
    <n v="124455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M+C Deo"/>
    <x v="88"/>
    <s v="OMP-Unilever - DM+C Deo - World Cup Social Sponsorship Content - Package"/>
    <n v="580985"/>
    <s v="OMP-Unilever - DM+C Deo -DIO - SOC - FOX Sports - Facebook/Instagram - MWC"/>
    <n v="580986"/>
    <s v="FOX Sports - FB-Inst"/>
    <s v="Flat Rate"/>
    <n v="0.15"/>
    <s v="Bill on Contract"/>
    <n v="340243533"/>
    <n v="51036.53"/>
    <m/>
    <m/>
    <s v=" "/>
    <n v="0"/>
    <m/>
    <m/>
    <n v="0"/>
    <n v="0"/>
    <n v="0"/>
    <n v="0"/>
    <n v="1"/>
    <n v="0"/>
    <n v="0"/>
    <n v="0"/>
    <s v="Bill on Contract - Pro-rated"/>
    <n v="51036.53"/>
    <n v="1156828"/>
    <n v="173524.2"/>
    <s v="Unilever/MWC Digital/2026 - DM+C Deo"/>
    <n v="266710"/>
    <s v="P2+"/>
    <n v="1"/>
    <m/>
    <s v="Leslie Lowenthal"/>
    <s v="Guaranteed"/>
    <s v="DIO - SOC - FOX Sports - Facebook/Instagram - MWC"/>
    <n v="124455"/>
    <d v="2026-06-30T00:00:00"/>
    <d v="2026-06-01T00:00:00"/>
    <d v="2026-07-19T00:00:00"/>
    <s v="Social Facebook/Instagram"/>
    <m/>
    <d v="2026-07-05T12:53:18"/>
  </r>
  <r>
    <s v="MINDSHARE - NY"/>
    <n v="10358"/>
    <n v="2612"/>
    <s v="UNILEVER"/>
    <s v="Unilever/MWC Digital/2026 - DM+C Deo"/>
    <x v="88"/>
    <s v="OMP-Unilever - DM+C Deo - World Cup Social Sponsorship Content - Package"/>
    <n v="580985"/>
    <s v="OMP-Unilever - DM+C Deo -DIO - SOC - FOX Sports - TikTok - MWC"/>
    <n v="580989"/>
    <s v="FOX Sports - TikTok"/>
    <s v="Flat Rate"/>
    <n v="0.15"/>
    <s v="Bill on Contract"/>
    <n v="170121467"/>
    <n v="25518.22"/>
    <m/>
    <m/>
    <s v=" "/>
    <s v=""/>
    <m/>
    <m/>
    <n v="0"/>
    <n v="0"/>
    <n v="0"/>
    <n v="0"/>
    <n v="1"/>
    <n v="0"/>
    <n v="0"/>
    <n v="0"/>
    <s v="Bill on Contract - Pro-rated"/>
    <n v="25518.22"/>
    <n v="578413"/>
    <n v="86761.95"/>
    <s v="Unilever/MWC Digital/2026 - DM+C Deo"/>
    <n v="266710"/>
    <s v="P2+"/>
    <n v="1"/>
    <m/>
    <s v="Leslie Lowenthal"/>
    <s v="Guaranteed"/>
    <s v="DIO - SOC - FOX Sports - TikTok - MWC"/>
    <n v="124455"/>
    <d v="2026-06-30T00:00:00"/>
    <d v="2026-06-01T00:00:00"/>
    <d v="2026-07-19T00:00:00"/>
    <s v="Social TikTok"/>
    <m/>
    <d v="2026-07-05T12:53:18"/>
  </r>
  <r>
    <s v="MINDSHARE - NY"/>
    <n v="10358"/>
    <n v="2612"/>
    <s v="UNILEVER"/>
    <s v="Unilever/MWC Digital/2026 - DM+C Deo"/>
    <x v="88"/>
    <s v="OMP-Unilever - DM+C Deo - World Cup Social Sponsorship Content - Package"/>
    <n v="580985"/>
    <s v="OMP-Unilever - DM+C Deo -DIO - SOC - FOX Sports - Youtube - Custom Content - MWC"/>
    <n v="580988"/>
    <s v="FOX Sports"/>
    <s v="Flat Rate"/>
    <n v="0.15"/>
    <s v="Bill on Contract"/>
    <n v="170121467"/>
    <n v="25518.22"/>
    <m/>
    <m/>
    <s v=" "/>
    <s v=""/>
    <m/>
    <m/>
    <n v="0"/>
    <n v="0"/>
    <n v="0"/>
    <n v="0"/>
    <n v="1"/>
    <n v="0"/>
    <n v="0"/>
    <n v="0"/>
    <s v="Bill on Contract - Pro-rated"/>
    <n v="25518.22"/>
    <n v="578413"/>
    <n v="86761.95"/>
    <s v="Unilever/MWC Digital/2026 - DM+C Deo"/>
    <n v="266710"/>
    <s v="P2+"/>
    <n v="1"/>
    <m/>
    <s v="Leslie Lowenthal"/>
    <s v="Guaranteed"/>
    <s v="DIO - SOC - FOX Sports - Youtube - Custom Content - MWC"/>
    <n v="124455"/>
    <d v="2026-06-30T00:00:00"/>
    <d v="2026-06-01T00:00:00"/>
    <d v="2026-07-19T00:00:00"/>
    <s v="Social"/>
    <m/>
    <d v="2026-07-05T12:53:18"/>
  </r>
  <r>
    <s v="MINDSHARE - NY"/>
    <n v="10358"/>
    <n v="2612"/>
    <s v="UNILEVER"/>
    <s v="Unilever/MWC Digital/2026 - DM+C Deo"/>
    <x v="88"/>
    <s v="OMP-Unilever - DM+C Deo - World Cup Social Sponsorship Content - X Amplify - Package"/>
    <n v="593176"/>
    <s v="OMP-Unilever - DM+C Deo -DIO - SOC - FOX Sports - X Amplify - MWC"/>
    <n v="593179"/>
    <s v="FOX Sports - Twitter"/>
    <s v="Flat Rate"/>
    <n v="62500"/>
    <s v="Bill on Contract"/>
    <n v="0"/>
    <n v="19132.650000000001"/>
    <m/>
    <m/>
    <s v=" "/>
    <n v="0"/>
    <m/>
    <m/>
    <n v="0"/>
    <n v="0"/>
    <n v="0"/>
    <n v="0"/>
    <n v="1"/>
    <n v="0"/>
    <n v="0"/>
    <n v="0"/>
    <s v="Bill on Contract - Pro-rated"/>
    <n v="19132.650000000001"/>
    <n v="0"/>
    <n v="62500"/>
    <s v="Unilever/MWC Digital/2026 - DM+C Deo"/>
    <n v="266710"/>
    <s v="P2+"/>
    <n v="1"/>
    <m/>
    <s v="Leslie Lowenthal"/>
    <s v="Guaranteed"/>
    <s v="DIO - SOC - FOX Sports - X - MWC"/>
    <n v="124455"/>
    <d v="2026-06-30T00:00:00"/>
    <d v="2026-06-01T00:00:00"/>
    <d v="2026-07-19T00:00:00"/>
    <s v="Social X"/>
    <m/>
    <d v="2026-07-05T12:53:18"/>
  </r>
  <r>
    <s v="MINDSHARE - NY"/>
    <n v="10358"/>
    <n v="2612"/>
    <s v="UNILEVER"/>
    <s v="Unilever/MWC Digital/2026 - DM+C SLC"/>
    <x v="89"/>
    <s v="OMP-Unilever DM+C SLC Run of World Cup Video"/>
    <n v="580827"/>
    <s v="OMP-Unilever DM+C SLC - DIO - LFV - TUB - Pre/Mid - MWC - DT/MB/CTV"/>
    <n v="93238823"/>
    <s v="Fox Sold Tubi"/>
    <s v="Flat Rate"/>
    <n v="40"/>
    <s v="Bill on Contract"/>
    <n v="107143"/>
    <n v="4285.71"/>
    <m/>
    <m/>
    <s v=" "/>
    <n v="0"/>
    <m/>
    <m/>
    <n v="227767"/>
    <n v="227767"/>
    <n v="0"/>
    <n v="0"/>
    <n v="1"/>
    <n v="0"/>
    <n v="0"/>
    <n v="0"/>
    <s v="Bill on Contract - Pro-rated"/>
    <n v="4285.71"/>
    <n v="350000"/>
    <n v="14000"/>
    <s v="Unilever/MWC Digital/2026 - DM+C SLC"/>
    <n v="93101775"/>
    <s v="P2+"/>
    <s v="O-D2MRVLP-R1"/>
    <m/>
    <s v="Leslie Lowenthal"/>
    <s v="Guaranteed"/>
    <s v="DIO - LFV - TUB - Pre/Mid - MWC - DT/MB/CTV"/>
    <n v="124244"/>
    <d v="2026-06-30T00:00:00"/>
    <d v="2026-06-01T00:00:00"/>
    <d v="2026-07-19T00:00:00"/>
    <s v="Direct LFV"/>
    <m/>
    <d v="2026-07-05T12:53:18"/>
  </r>
  <r>
    <s v="MINDSHARE - NY"/>
    <n v="10358"/>
    <n v="2612"/>
    <s v="UNILEVER"/>
    <s v="Unilever/MWC Digital/2026 - DM+C SLC"/>
    <x v="89"/>
    <s v="OMP-Unilever DM+C SLC Run of World Cup Video"/>
    <n v="580827"/>
    <s v="OMP-Unilever DM+C SLC - DIO - ROV - FS - Pre/Mid - MWC - DT/MB/CTV"/>
    <n v="93101786"/>
    <s v="FOX Sports"/>
    <s v="Flat Rate"/>
    <n v="40"/>
    <s v="Bill on Contract"/>
    <n v="45918"/>
    <n v="1836.73"/>
    <m/>
    <m/>
    <s v=" "/>
    <s v=""/>
    <m/>
    <m/>
    <n v="102010"/>
    <n v="102010"/>
    <n v="0"/>
    <n v="0"/>
    <n v="1"/>
    <n v="0"/>
    <n v="0"/>
    <n v="0"/>
    <s v="Bill on Contract - Pro-rated"/>
    <n v="1836.73"/>
    <n v="150000"/>
    <n v="6000"/>
    <s v="Unilever/MWC Digital/2026 - DM+C SLC"/>
    <n v="93101775"/>
    <s v="P2+"/>
    <s v="O-D2MRVLP-R1"/>
    <m/>
    <s v="Leslie Lowenthal"/>
    <s v="Guaranteed"/>
    <s v="DIO - ROV - FS - Pre/Mid - MWC - DT/MB/CTV"/>
    <n v="124244"/>
    <d v="2026-06-30T00:00:00"/>
    <d v="2026-06-01T00:00:00"/>
    <d v="2026-07-19T00:00:00"/>
    <s v="Direct ROV"/>
    <m/>
    <d v="2026-07-05T12:53:18"/>
  </r>
  <r>
    <s v="MINDSHARE - NY"/>
    <n v="10358"/>
    <n v="2612"/>
    <s v="UNILEVER"/>
    <s v="Unilever/MWC Digital/2026 - DM+C SLC"/>
    <x v="89"/>
    <s v="OMP-Unilever DM+C SLC Run of FOX Sports Video"/>
    <n v="580830"/>
    <s v="OMP-Unilever DM+C SLC - DIO - ROV - FS - Pre/Mid - ROS - DT/MB/CTV"/>
    <n v="93101782"/>
    <s v="FOX Sports"/>
    <s v="CPM"/>
    <n v="25"/>
    <s v="3P CoView Imps"/>
    <n v="557043"/>
    <n v="9507.1200000000008"/>
    <m/>
    <m/>
    <s v=" "/>
    <n v="0"/>
    <m/>
    <m/>
    <n v="424497"/>
    <n v="464363"/>
    <n v="509221"/>
    <n v="557043"/>
    <n v="1"/>
    <n v="1.199586938214801"/>
    <n v="0"/>
    <n v="0"/>
    <s v="Bill on Contract - Pro-rated"/>
    <n v="9507.1200000000008"/>
    <n v="2000000"/>
    <n v="50000"/>
    <s v="Unilever/MWC Digital/2026 - DM+C SLC"/>
    <n v="93101775"/>
    <s v="P2+"/>
    <s v="O-D2MRVLP-R1"/>
    <m/>
    <s v="Leslie Lowenthal"/>
    <s v="Guaranteed"/>
    <s v="DIO - ROV - FS - Pre/Mid - ROS - DT/MB/CTV"/>
    <n v="124244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M+C SLC"/>
    <x v="89"/>
    <s v="OMP-Unilever DM+C SLC Run of AllFOX Video - Soccer Fans - AAT - Package"/>
    <n v="580832"/>
    <s v="OMP-Unilever DM+C SLC  - DIO - ROV - 1F - SEN - Pre/Mid - ROS - DT/MB/CTV - SXD - Soccer Fans - AAT"/>
    <n v="93101778"/>
    <s v="OneFOX"/>
    <s v="CPM"/>
    <n v="20"/>
    <s v="3P Audience Target"/>
    <n v="1097196"/>
    <n v="2940.05"/>
    <m/>
    <m/>
    <s v=" "/>
    <n v="0"/>
    <m/>
    <m/>
    <n v="972883"/>
    <n v="1097196"/>
    <n v="0"/>
    <n v="0"/>
    <n v="1"/>
    <n v="0"/>
    <n v="0"/>
    <n v="0"/>
    <s v="Bill on Contract - Pro-rated"/>
    <n v="2940.05"/>
    <n v="3601340"/>
    <n v="72026.8"/>
    <s v="Unilever/MWC Digital/2026 - DM+C SLC"/>
    <n v="93101775"/>
    <s v="Audience Target"/>
    <s v="O-D2MRVLP-R1"/>
    <m/>
    <s v="Leslie Lowenthal"/>
    <s v="Guaranteed"/>
    <s v="DIO - ROV - 1F - SEN - Pre/Mid - ROS - DT/MB/CTV - SXD"/>
    <n v="124244"/>
    <d v="2026-06-30T00:00:00"/>
    <d v="2026-04-01T00:00:00"/>
    <d v="2026-07-19T00:00:00"/>
    <s v="Direct ROV"/>
    <m/>
    <d v="2026-07-05T12:53:18"/>
  </r>
  <r>
    <s v="MINDSHARE - NY"/>
    <n v="10358"/>
    <n v="2612"/>
    <s v="UNILEVER"/>
    <s v="Unilever/MWC Digital/2026 - DM+C SLC"/>
    <x v="89"/>
    <s v="OMP-Unilever DM+C SLC Run of AllFOX Video - Soccer Fans - AAT - Package"/>
    <n v="580832"/>
    <s v="OMP-Unilever DM+C SLC - DIO - LFV - 1F - Tubi - Pre/Mid - ROS - DT/MB/CTV - FW - SXD - Soccer Fans - AAT"/>
    <n v="93172636"/>
    <s v="Fox Sold Tubi"/>
    <s v="CPM"/>
    <n v="20"/>
    <s v="3P Audience Target"/>
    <n v="1666951"/>
    <n v="4410.08"/>
    <m/>
    <m/>
    <s v=" "/>
    <s v=""/>
    <m/>
    <m/>
    <n v="1510329"/>
    <n v="1666951"/>
    <n v="0"/>
    <n v="0"/>
    <n v="1"/>
    <n v="0"/>
    <n v="0"/>
    <n v="0"/>
    <s v="Bill on Contract - Pro-rated"/>
    <n v="4410.08"/>
    <n v="5402010"/>
    <n v="108040.2"/>
    <s v="Unilever/MWC Digital/2026 - DM+C SLC"/>
    <n v="93101775"/>
    <s v="Audience Target"/>
    <s v="O-D2MRVLP-R1"/>
    <m/>
    <s v="Leslie Lowenthal"/>
    <s v="Guaranteed"/>
    <s v="DIO - LFV - 1F - Tubi - Pre/Mid - ROS - DT/MB/CTV - FW - SXD"/>
    <n v="124244"/>
    <d v="2026-06-30T00:00:00"/>
    <d v="2026-04-01T00:00:00"/>
    <d v="2026-07-19T00:00:00"/>
    <s v="Direct LFV"/>
    <m/>
    <d v="2026-07-05T12:53:18"/>
  </r>
  <r>
    <s v="MINDSHARE - NY"/>
    <n v="10358"/>
    <n v="2612"/>
    <s v="UNILEVER"/>
    <s v="Unilever/MWC Digital/2026 - DM+C SLC"/>
    <x v="89"/>
    <s v="OMP-Unilever DM+C SLC World Cup Social Sponsorship Content - Package"/>
    <n v="580835"/>
    <s v="OMP-Unilever DM+C SLC - DIO - SOC - FOX Sports - Facebook/Instagram - MWC"/>
    <n v="580836"/>
    <s v="FOX Sports - FB-Inst"/>
    <s v="Flat Rate"/>
    <n v="0.15"/>
    <s v="Bill on Contract"/>
    <n v="354131000"/>
    <n v="53119.65"/>
    <m/>
    <m/>
    <s v=" "/>
    <n v="0"/>
    <m/>
    <m/>
    <n v="0"/>
    <n v="0"/>
    <n v="0"/>
    <n v="0"/>
    <n v="1"/>
    <n v="0"/>
    <n v="0"/>
    <n v="0"/>
    <s v="Bill on Contract - Pro-rated"/>
    <n v="53119.65"/>
    <n v="1156828"/>
    <n v="173524.2"/>
    <s v="Unilever/MWC Digital/2026 - DM+C SLC"/>
    <n v="265853"/>
    <s v="P2+"/>
    <s v="O-D2MRVLP-R1"/>
    <m/>
    <s v="Leslie Lowenthal"/>
    <s v="Guaranteed"/>
    <s v="DIO - SOC - FOX Sports - Facebook/Instagram - MWC"/>
    <n v="124244"/>
    <d v="2026-06-30T00:00:00"/>
    <d v="2026-06-01T00:00:00"/>
    <d v="2026-07-19T00:00:00"/>
    <s v="Social Facebook/Instagram"/>
    <m/>
    <d v="2026-07-05T12:53:18"/>
  </r>
  <r>
    <s v="MINDSHARE - NY"/>
    <n v="10358"/>
    <n v="2612"/>
    <s v="UNILEVER"/>
    <s v="Unilever/MWC Digital/2026 - DM+C SLC"/>
    <x v="89"/>
    <s v="OMP-Unilever DM+C SLC World Cup Social Sponsorship Content - Package"/>
    <n v="580835"/>
    <s v="OMP-Unilever DM+C SLC - DIO - SOC - FOX Sports - TikTok - MWC"/>
    <n v="580839"/>
    <s v="FOX Sports - TikTok"/>
    <s v="Flat Rate"/>
    <n v="0.15"/>
    <s v="Bill on Contract"/>
    <n v="177065200"/>
    <n v="26559.78"/>
    <m/>
    <m/>
    <s v=" "/>
    <s v=""/>
    <m/>
    <m/>
    <n v="0"/>
    <n v="0"/>
    <n v="0"/>
    <n v="0"/>
    <n v="1"/>
    <n v="0"/>
    <n v="0"/>
    <n v="0"/>
    <s v="Bill on Contract - Pro-rated"/>
    <n v="26559.78"/>
    <n v="578413"/>
    <n v="86761.95"/>
    <s v="Unilever/MWC Digital/2026 - DM+C SLC"/>
    <n v="265853"/>
    <s v="P2+"/>
    <s v="O-D2MRVLP-R1"/>
    <m/>
    <s v="Leslie Lowenthal"/>
    <s v="Guaranteed"/>
    <s v="DIO - SOC - FOX Sports - TikTok - MWC"/>
    <n v="124244"/>
    <d v="2026-06-30T00:00:00"/>
    <d v="2026-06-01T00:00:00"/>
    <d v="2026-07-19T00:00:00"/>
    <s v="Social TikTok"/>
    <m/>
    <d v="2026-07-05T12:53:18"/>
  </r>
  <r>
    <s v="MINDSHARE - NY"/>
    <n v="10358"/>
    <n v="2612"/>
    <s v="UNILEVER"/>
    <s v="Unilever/MWC Digital/2026 - DM+C SLC"/>
    <x v="89"/>
    <s v="OMP-Unilever DM+C SLC World Cup Social Sponsorship Content - Package"/>
    <n v="580835"/>
    <s v="OMP-Unilever DM+C SLC - DIO - SOC - FOX Sports - Youtube - Custom Content - MWC"/>
    <n v="580838"/>
    <s v="FOX Sports"/>
    <s v="Flat Rate"/>
    <n v="0.15"/>
    <s v="Bill on Contract"/>
    <n v="177065200"/>
    <n v="26559.78"/>
    <m/>
    <m/>
    <s v=" "/>
    <s v=""/>
    <m/>
    <m/>
    <n v="0"/>
    <n v="0"/>
    <n v="0"/>
    <n v="0"/>
    <n v="1"/>
    <n v="0"/>
    <n v="0"/>
    <n v="0"/>
    <s v="Bill on Contract - Pro-rated"/>
    <n v="26559.78"/>
    <n v="578413"/>
    <n v="86761.95"/>
    <s v="Unilever/MWC Digital/2026 - DM+C SLC"/>
    <n v="265853"/>
    <s v="P2+"/>
    <s v="O-D2MRVLP-R1"/>
    <m/>
    <s v="Leslie Lowenthal"/>
    <s v="Guaranteed"/>
    <s v="DIO - SOC - FOX Sports - Youtube - Custom Content - MWC"/>
    <n v="124244"/>
    <d v="2026-06-30T00:00:00"/>
    <d v="2026-06-01T00:00:00"/>
    <d v="2026-07-19T00:00:00"/>
    <s v="Social"/>
    <m/>
    <d v="2026-07-05T12:53:18"/>
  </r>
  <r>
    <s v="MINDSHARE - NY"/>
    <n v="10358"/>
    <n v="2612"/>
    <s v="UNILEVER"/>
    <s v="Unilever/MWC Digital/2026 - DM+C SLC"/>
    <x v="89"/>
    <s v="OMP-Unilever DM+C SLC World Cup Social Sponsorship Content - X Amplify - Package"/>
    <n v="593185"/>
    <s v="OMP-Unilever DM+C SLC - DIO - SOC - FOX Sports - X Amplify- MWC"/>
    <n v="593186"/>
    <s v="FOX Sports - Twitter"/>
    <s v="Flat Rate"/>
    <n v="62500"/>
    <s v="Bill on Contract"/>
    <n v="0"/>
    <n v="19132.650000000001"/>
    <m/>
    <m/>
    <s v=" "/>
    <n v="0"/>
    <m/>
    <m/>
    <n v="0"/>
    <n v="0"/>
    <n v="0"/>
    <n v="0"/>
    <n v="1"/>
    <n v="0"/>
    <n v="0"/>
    <n v="0"/>
    <s v="Bill on Contract - Pro-rated"/>
    <n v="19132.650000000001"/>
    <n v="0"/>
    <n v="62500"/>
    <s v="Unilever/MWC Digital/2026 - DM+C SLC"/>
    <n v="265853"/>
    <s v="P2+"/>
    <s v="O-D2MRVLP-R1"/>
    <m/>
    <s v="Leslie Lowenthal"/>
    <s v="Guaranteed"/>
    <s v="DIO - SOC - FOX Sports - X - MWC"/>
    <n v="124244"/>
    <d v="2026-06-30T00:00:00"/>
    <d v="2026-06-01T00:00:00"/>
    <d v="2026-07-19T00:00:00"/>
    <s v="Social X"/>
    <m/>
    <d v="2026-07-05T12:53:18"/>
  </r>
  <r>
    <s v="MINDSHARE - NY"/>
    <n v="10358"/>
    <n v="2612"/>
    <s v="UNILEVER"/>
    <s v="Unilever/MWC Digital/2026 - Dove Deo Clinical"/>
    <x v="90"/>
    <s v="OMP - Unilever - Dove Deo Clinical - Run of World Cup Video - Package"/>
    <n v="581186"/>
    <s v="OMP - Unilever - Dove Deo Clinical - DIO - LFV - TUB - Pre/Mid - MWC - DT/MB/CTV"/>
    <n v="93714738"/>
    <s v="Fox Sold Tubi"/>
    <s v="Flat Rate"/>
    <n v="40"/>
    <s v="Bill on Contract"/>
    <n v="538085"/>
    <n v="21523.38"/>
    <m/>
    <m/>
    <s v=" "/>
    <n v="0"/>
    <m/>
    <m/>
    <n v="1390739"/>
    <n v="1390739"/>
    <n v="0"/>
    <n v="0"/>
    <n v="1"/>
    <n v="0"/>
    <n v="0"/>
    <n v="0"/>
    <s v="Bill on Contract - Pro-rated"/>
    <n v="21523.38"/>
    <n v="2098530"/>
    <n v="83941.2"/>
    <s v="Unilever/MWC Digital/2026 - Dove Deo Clinical"/>
    <n v="93651028"/>
    <s v="P2+"/>
    <s v="O-D2PBBF6-R3"/>
    <m/>
    <s v="Leslie Lowenthal"/>
    <s v="Guaranteed"/>
    <s v="DIO - LFV - TUB - Pre/Mid - MWC - DT/MB/CTV"/>
    <n v="126800"/>
    <d v="2026-06-30T00:00:00"/>
    <d v="2026-06-11T00:00:00"/>
    <d v="2026-07-19T00:00:00"/>
    <s v="Direct LFV"/>
    <m/>
    <d v="2026-07-05T12:53:18"/>
  </r>
  <r>
    <s v="MINDSHARE - NY"/>
    <n v="10358"/>
    <n v="2612"/>
    <s v="UNILEVER"/>
    <s v="Unilever/MWC Digital/2026 - Dove Deo Clinical"/>
    <x v="90"/>
    <s v="OMP - Unilever - Dove Deo Clinical - Run of World Cup Video - Package"/>
    <n v="581186"/>
    <s v="OMP - Unilever - Dove Deo Clinical - DIO - ROV - FS - Pre/Mid - MWC - DT/MB/CTV"/>
    <n v="93651031"/>
    <s v="FOX Sports"/>
    <s v="Flat Rate"/>
    <n v="40"/>
    <s v="Bill on Contract"/>
    <n v="230608"/>
    <n v="9224.31"/>
    <m/>
    <m/>
    <s v=" "/>
    <s v=""/>
    <m/>
    <m/>
    <n v="610974"/>
    <n v="610974"/>
    <n v="0"/>
    <n v="0"/>
    <n v="1"/>
    <n v="0"/>
    <n v="0"/>
    <n v="0"/>
    <s v="Bill on Contract - Pro-rated"/>
    <n v="9224.31"/>
    <n v="899370"/>
    <n v="35974.800000000003"/>
    <s v="Unilever/MWC Digital/2026 - Dove Deo Clinical"/>
    <n v="93651028"/>
    <s v="P2+"/>
    <s v="O-D2PBBF6-R3"/>
    <m/>
    <s v="Leslie Lowenthal"/>
    <s v="Guaranteed"/>
    <s v="DIO - ROV - FS - Pre/Mid - MWC - DT/MB/CTV"/>
    <n v="126800"/>
    <d v="2026-06-30T00:00:00"/>
    <d v="2026-06-11T00:00:00"/>
    <d v="2026-07-19T00:00:00"/>
    <s v="Direct ROV"/>
    <m/>
    <d v="2026-07-05T12:53:18"/>
  </r>
  <r>
    <s v="MINDSHARE - NY"/>
    <n v="10358"/>
    <n v="2612"/>
    <s v="UNILEVER"/>
    <s v="Unilever/MWC Digital/2026 - Dove Deo Core Deo"/>
    <x v="91"/>
    <s v="OMP - Unilever - Dove Deo Core Deo - Run of World Cup Video - Package"/>
    <n v="581190"/>
    <s v="OMP - Unilever - Dove Deo Core Deo - DIO - LFV - TUB - Pre/Mid - MWC - DT/MB/CTV"/>
    <n v="93714803"/>
    <s v="Fox Sold Tubi"/>
    <s v="Flat Rate"/>
    <n v="40"/>
    <s v="Bill on Contract"/>
    <n v="538080"/>
    <n v="21523.21"/>
    <m/>
    <m/>
    <s v=" "/>
    <n v="0"/>
    <m/>
    <m/>
    <n v="1391162"/>
    <n v="1391162"/>
    <n v="0"/>
    <n v="0"/>
    <n v="1"/>
    <n v="0"/>
    <n v="0"/>
    <n v="0"/>
    <s v="Bill on Contract - Pro-rated"/>
    <n v="21523.21"/>
    <n v="2098513"/>
    <n v="83940.52"/>
    <s v="Unilever/MWC Digital/2026 - Dove Deo Core Deo"/>
    <n v="93652144"/>
    <s v="P2+"/>
    <s v="O-D2Q3P43-R1"/>
    <m/>
    <s v="Leslie Lowenthal"/>
    <s v="Guaranteed"/>
    <s v="DIO - LFV - TUB - Pre/Mid - MWC - DT/MB/CTV"/>
    <n v="126812"/>
    <d v="2026-06-30T00:00:00"/>
    <d v="2026-06-11T00:00:00"/>
    <d v="2026-07-19T00:00:00"/>
    <s v="Direct LFV"/>
    <m/>
    <d v="2026-07-05T12:53:18"/>
  </r>
  <r>
    <s v="MINDSHARE - NY"/>
    <n v="10358"/>
    <n v="2612"/>
    <s v="UNILEVER"/>
    <s v="Unilever/MWC Digital/2026 - Dove Deo Core Deo"/>
    <x v="91"/>
    <s v="OMP - Unilever - Dove Deo Core Deo - Run of World Cup Video - Package"/>
    <n v="581190"/>
    <s v="OMP - Unilever - Dove Deo Core Deo - DIO - ROV - FS - Pre/Mid - MWC - DT/MB/CTV"/>
    <n v="93652148"/>
    <s v="FOX Sports"/>
    <s v="Flat Rate"/>
    <n v="40"/>
    <s v="Bill on Contract"/>
    <n v="230606"/>
    <n v="9224.24"/>
    <m/>
    <m/>
    <s v=" "/>
    <s v=""/>
    <m/>
    <m/>
    <n v="610872"/>
    <n v="610872"/>
    <n v="0"/>
    <n v="0"/>
    <n v="1"/>
    <n v="0"/>
    <n v="0"/>
    <n v="0"/>
    <s v="Bill on Contract - Pro-rated"/>
    <n v="9224.24"/>
    <n v="899363"/>
    <n v="35974.519999999997"/>
    <s v="Unilever/MWC Digital/2026 - Dove Deo Core Deo"/>
    <n v="93652144"/>
    <s v="P2+"/>
    <s v="O-D2Q3P43-R1"/>
    <m/>
    <s v="Leslie Lowenthal"/>
    <s v="Guaranteed"/>
    <s v="DIO - ROV - FS - Pre/Mid - MWC - DT/MB/CTV"/>
    <n v="126812"/>
    <d v="2026-06-30T00:00:00"/>
    <d v="2026-06-11T00:00:00"/>
    <d v="2026-07-19T00:00:00"/>
    <s v="Direct ROV"/>
    <m/>
    <d v="2026-07-05T12:53:18"/>
  </r>
  <r>
    <s v="MINDSHARE - NY"/>
    <n v="10358"/>
    <n v="2612"/>
    <s v="UNILEVER"/>
    <s v="Unilever/MWC Digital/2026 - Dove MB"/>
    <x v="92"/>
    <s v="OMP - Unilever - Dove MB - Run of World Cup Video - Package"/>
    <n v="581108"/>
    <s v="OMP - Unilever - Dove MB - DIO - ROV - FS - Pre/Mid - MWC - DT/MB/CTV"/>
    <n v="93652059"/>
    <s v="FOX Sports"/>
    <s v="Flat Rate"/>
    <n v="40"/>
    <s v="Bill on Contract"/>
    <n v="230608"/>
    <n v="9224.31"/>
    <m/>
    <m/>
    <s v=" "/>
    <n v="0"/>
    <m/>
    <m/>
    <n v="610966"/>
    <n v="610966"/>
    <n v="0"/>
    <n v="0"/>
    <n v="1"/>
    <n v="0"/>
    <n v="0"/>
    <n v="0"/>
    <s v="Bill on Contract - Pro-rated"/>
    <n v="9224.31"/>
    <n v="899370"/>
    <n v="35974.800000000003"/>
    <s v="Unilever/MWC Digital/2026 - Dove MB"/>
    <n v="93652056"/>
    <s v="P2+"/>
    <s v="O-D2PVT2B-R2"/>
    <m/>
    <s v="Leslie Lowenthal"/>
    <s v="Guaranteed"/>
    <s v="DIO - ROV - FS - Pre/Mid - MWC - DT/MB/CTV"/>
    <n v="126815"/>
    <d v="2026-06-30T00:00:00"/>
    <d v="2026-06-11T00:00:00"/>
    <d v="2026-07-19T00:00:00"/>
    <s v="Direct ROV"/>
    <m/>
    <d v="2026-07-05T12:53:18"/>
  </r>
  <r>
    <s v="MINDSHARE - NY"/>
    <n v="10358"/>
    <n v="2612"/>
    <s v="UNILEVER"/>
    <s v="Unilever/MWC Digital/2026 - Dove MB"/>
    <x v="92"/>
    <s v="OMP - Unilever - Dove MB - Run of World Cup Video - Package"/>
    <n v="581108"/>
    <s v="OMP - Unilever - Dove MB - DIO - ROV - TUB - Pre/Mid - MWC - DT/MB/CTV"/>
    <n v="93714780"/>
    <s v="Fox Sold Tubi"/>
    <s v="Flat Rate"/>
    <n v="40"/>
    <s v="Bill on Contract"/>
    <n v="538085"/>
    <n v="21523.38"/>
    <m/>
    <m/>
    <s v=" "/>
    <s v=""/>
    <m/>
    <m/>
    <n v="1390227"/>
    <n v="1390227"/>
    <n v="0"/>
    <n v="0"/>
    <n v="1"/>
    <n v="0"/>
    <n v="0"/>
    <n v="0"/>
    <s v="Bill on Contract - Pro-rated"/>
    <n v="21523.38"/>
    <n v="2098530"/>
    <n v="83941.2"/>
    <s v="Unilever/MWC Digital/2026 - Dove MB"/>
    <n v="93652056"/>
    <s v="P2+"/>
    <s v="O-D2PVT2B-R2"/>
    <m/>
    <s v="Leslie Lowenthal"/>
    <s v="Guaranteed"/>
    <s v="DIO - LFV - TUB - Pre/Mid - MWC - DT/MB/CTV"/>
    <n v="126815"/>
    <d v="2026-06-30T00:00:00"/>
    <d v="2026-06-11T00:00:00"/>
    <d v="2026-07-19T00:00:00"/>
    <s v="Direct LFV"/>
    <m/>
    <d v="2026-07-05T12:53:18"/>
  </r>
  <r>
    <s v="MINDSHARE - NY"/>
    <n v="10358"/>
    <n v="2612"/>
    <s v="UNILEVER"/>
    <s v="Unilever/MWC Digital/2026 - Dove SCL Bar"/>
    <x v="93"/>
    <s v="OMP - Unilever - Dove SCL Bar - Run of World Cup Video - Package"/>
    <n v="581180"/>
    <s v="OMP - Unilever - Dove SCL Bar - DIO - LFV - TUB - Pre/Mid - MWC - DT/MB/CTV"/>
    <n v="93714783"/>
    <s v="Fox Sold Tubi"/>
    <s v="Flat Rate"/>
    <n v="40"/>
    <s v="Bill on Contract"/>
    <n v="817735"/>
    <n v="32709.38"/>
    <m/>
    <m/>
    <s v=" "/>
    <n v="0"/>
    <m/>
    <m/>
    <n v="2117057"/>
    <n v="2117057"/>
    <n v="0"/>
    <n v="0"/>
    <n v="1"/>
    <n v="0"/>
    <n v="0"/>
    <n v="0"/>
    <s v="Bill on Contract - Pro-rated"/>
    <n v="32709.38"/>
    <n v="3189165"/>
    <n v="127566.6"/>
    <s v="Unilever/MWC Digital/2026 - Dove SCL Bar"/>
    <n v="93652625"/>
    <s v="P2+"/>
    <s v="O-D2PC5F4-R3"/>
    <m/>
    <s v="Leslie Lowenthal"/>
    <s v="Guaranteed"/>
    <s v="DIO - LFV - TUB - Pre/Mid - MWC - DT/MB/CTV"/>
    <n v="126809"/>
    <d v="2026-06-30T00:00:00"/>
    <d v="2026-06-11T00:00:00"/>
    <d v="2026-07-19T00:00:00"/>
    <s v="Direct LFV"/>
    <m/>
    <d v="2026-07-05T12:53:18"/>
  </r>
  <r>
    <s v="MINDSHARE - NY"/>
    <n v="10358"/>
    <n v="2612"/>
    <s v="UNILEVER"/>
    <s v="Unilever/MWC Digital/2026 - Dove SCL Bar"/>
    <x v="93"/>
    <s v="OMP - Unilever - Dove SCL Bar - Run of World Cup Video - Package"/>
    <n v="581180"/>
    <s v="OMP - Unilever - Dove SCL Bar - DIO - ROV - FS - Pre/Mid - MWC - DT/MB/CTV"/>
    <n v="93652628"/>
    <s v="FOX Sports"/>
    <s v="Flat Rate"/>
    <n v="40"/>
    <s v="Bill on Contract"/>
    <n v="350458"/>
    <n v="14018.31"/>
    <m/>
    <m/>
    <s v=" "/>
    <s v=""/>
    <m/>
    <m/>
    <n v="925360"/>
    <n v="925360"/>
    <n v="0"/>
    <n v="0"/>
    <n v="1"/>
    <n v="0"/>
    <n v="0"/>
    <n v="0"/>
    <s v="Bill on Contract - Pro-rated"/>
    <n v="14018.31"/>
    <n v="1366785"/>
    <n v="54671.4"/>
    <s v="Unilever/MWC Digital/2026 - Dove SCL Bar"/>
    <n v="93652625"/>
    <s v="P2+"/>
    <s v="O-D2PC5F4-R3"/>
    <m/>
    <s v="Leslie Lowenthal"/>
    <s v="Guaranteed"/>
    <s v="DIO - ROV - FS - Pre/Mid - MWC - DT/MB/CTV"/>
    <n v="126809"/>
    <d v="2026-06-30T00:00:00"/>
    <d v="2026-06-11T00:00:00"/>
    <d v="2026-07-19T00:00:00"/>
    <s v="Direct ROV"/>
    <m/>
    <d v="2026-07-05T12:53:18"/>
  </r>
  <r>
    <s v="MINDSHARE - NY"/>
    <n v="10358"/>
    <n v="2612"/>
    <s v="UNILEVER"/>
    <s v="Unilever/MWC Digital/2026 - Dove SCL BW"/>
    <x v="94"/>
    <s v="OMP- Unilever - Dove SCL BW - Run of World Cup Video - Package"/>
    <n v="581183"/>
    <s v="OMP- Unilever - Dove SCL BW - DIO - LFV - TUB - Pre/Mid - MWC - DT/MB/CTV"/>
    <n v="93714769"/>
    <s v="Fox Sold Tubi"/>
    <s v="Flat Rate"/>
    <n v="40"/>
    <s v="Bill on Contract"/>
    <n v="258430"/>
    <n v="10337.209999999999"/>
    <m/>
    <m/>
    <s v=" "/>
    <n v="0"/>
    <m/>
    <m/>
    <n v="665123"/>
    <n v="665123"/>
    <n v="0"/>
    <n v="0"/>
    <n v="1"/>
    <n v="0"/>
    <n v="0"/>
    <n v="0"/>
    <s v="Bill on Contract - Pro-rated"/>
    <n v="10337.209999999999"/>
    <n v="1007878"/>
    <n v="40315.120000000003"/>
    <s v="Unilever/MWC Digital/2026 - Dove SCL BW"/>
    <n v="93652631"/>
    <s v="P2+"/>
    <s v="O-D2PB78L-R4"/>
    <m/>
    <s v="Leslie Lowenthal"/>
    <s v="Guaranteed"/>
    <s v="DIO - LFV - TUB - Pre/Mid - MWC - DT/MB/CTV"/>
    <n v="126806"/>
    <d v="2026-06-30T00:00:00"/>
    <d v="2026-06-11T00:00:00"/>
    <d v="2026-07-19T00:00:00"/>
    <s v="Direct LFV"/>
    <m/>
    <d v="2026-07-05T12:53:18"/>
  </r>
  <r>
    <s v="MINDSHARE - NY"/>
    <n v="10358"/>
    <n v="2612"/>
    <s v="UNILEVER"/>
    <s v="Unilever/MWC Digital/2026 - Dove SCL BW"/>
    <x v="94"/>
    <s v="OMP- Unilever - Dove SCL BW - Run of World Cup Video - Package"/>
    <n v="581183"/>
    <s v="OMP- Unilever - Dove SCL BW - DIO - ROV - FS - Pre/Mid - MWC - DT/MB/CTV"/>
    <n v="93652634"/>
    <s v="FOX Sports"/>
    <s v="Flat Rate"/>
    <n v="40"/>
    <s v="Bill on Contract"/>
    <n v="110756"/>
    <n v="4430.24"/>
    <m/>
    <m/>
    <s v=" "/>
    <s v=""/>
    <m/>
    <m/>
    <n v="293593"/>
    <n v="293593"/>
    <n v="0"/>
    <n v="0"/>
    <n v="1"/>
    <n v="0"/>
    <n v="0"/>
    <n v="0"/>
    <s v="Bill on Contract - Pro-rated"/>
    <n v="4430.24"/>
    <n v="431948"/>
    <n v="17277.919999999998"/>
    <s v="Unilever/MWC Digital/2026 - Dove SCL BW"/>
    <n v="93652631"/>
    <s v="P2+"/>
    <s v="O-D2PB78L-R4"/>
    <m/>
    <s v="Leslie Lowenthal"/>
    <s v="Guaranteed"/>
    <s v="DIO - ROV - FS - Pre/Mid - MWC - DT/MB/CTV"/>
    <n v="126806"/>
    <d v="2026-06-30T00:00:00"/>
    <d v="2026-06-11T00:00:00"/>
    <d v="2026-07-19T00:00:00"/>
    <s v="Direct ROV"/>
    <m/>
    <d v="2026-07-05T12:53:18"/>
  </r>
  <r>
    <s v="MODCO MEDIA"/>
    <n v="11545"/>
    <n v="9083"/>
    <s v="BRIGHTHOUSE FINANCIAL"/>
    <s v="Brighthouse Financial/AllFOX/2Q26/DIO"/>
    <x v="95"/>
    <s v="Brighthouse Financial/AllFOX/2Q26/DIO"/>
    <n v="569809"/>
    <s v="Brighthouse Financial/AllFOX/2Q26/DIO/SEN"/>
    <n v="92792952"/>
    <s v="OneFOX"/>
    <s v="CPM"/>
    <n v="28"/>
    <s v="3P Audience Target"/>
    <n v="553558"/>
    <n v="15499.62"/>
    <m/>
    <m/>
    <s v=" "/>
    <n v="0"/>
    <m/>
    <m/>
    <n v="454400"/>
    <n v="553558"/>
    <n v="0"/>
    <n v="0"/>
    <n v="1"/>
    <n v="0"/>
    <n v="0"/>
    <n v="0"/>
    <s v="Bill on Actuals - 3rd Party Performance"/>
    <n v="6387.15"/>
    <n v="1446429"/>
    <n v="40500.01"/>
    <s v="Brighthouse Financial/AllFOX/2Q26/DIO"/>
    <n v="92792949"/>
    <s v="Audience Target"/>
    <m/>
    <m/>
    <s v="Bridgid Antoniello"/>
    <s v="Guaranteed"/>
    <s v="DIO - ROV - 1F - SEN - Pre/Mid - ROS - DT/MB/CTV - SXD"/>
    <n v="120963"/>
    <d v="2026-06-30T00:00:00"/>
    <d v="2026-04-06T00:00:00"/>
    <d v="2026-06-30T00:00:00"/>
    <s v="Direct ROV"/>
    <m/>
    <d v="2026-07-05T12:53:18"/>
  </r>
  <r>
    <s v="OMD - LA"/>
    <n v="10438"/>
    <n v="1786"/>
    <s v="APPLE INC"/>
    <s v="Apple/Digital/Scatter/Sports/2Q-3Q 2026/MWC Digital"/>
    <x v="96"/>
    <s v="Apple - Run of AllFOX Video - Package - Soccer Fan Targeted"/>
    <n v="587313"/>
    <s v="Apple - DIO - LFV - 1F - Tubi - Pre/Mid - ROS - DT/MB/CTV - FW - SXD  - Soccer Fan Targeted"/>
    <n v="94701678"/>
    <s v="Fox Sold Tubi"/>
    <s v="CPM"/>
    <n v="20"/>
    <s v="3P Audience Target"/>
    <n v="939628"/>
    <n v="18792.560000000001"/>
    <m/>
    <m/>
    <s v=" "/>
    <n v="0"/>
    <m/>
    <m/>
    <n v="939628"/>
    <n v="939628"/>
    <n v="0"/>
    <n v="0"/>
    <n v="1"/>
    <n v="0"/>
    <n v="0"/>
    <n v="0"/>
    <s v="Bill on Actuals - 3rd Party Performance"/>
    <n v="9488.6200000000008"/>
    <n v="1500000"/>
    <n v="30000"/>
    <s v="Apple/Digital/Scatter/Sports/2Q-3Q 2026/MWC Digital"/>
    <n v="94701642"/>
    <s v="Audience Target"/>
    <s v="n/a"/>
    <m/>
    <s v="Gina Rodarte"/>
    <s v="Guaranteed"/>
    <s v="DIO - LFV - 1F - Tubi - Pre/Mid - ROS - DT/MB/CTV - FW - SXD"/>
    <n v="131007"/>
    <d v="2026-06-30T00:00:00"/>
    <d v="2026-06-11T00:00:00"/>
    <d v="2026-07-19T00:00:00"/>
    <s v="Direct LFV"/>
    <m/>
    <d v="2026-07-05T12:53:18"/>
  </r>
  <r>
    <s v="OMD - LA"/>
    <n v="10438"/>
    <n v="1786"/>
    <s v="APPLE INC"/>
    <s v="Apple/Digital/Scatter/Sports/2Q-3Q 2026/MWC Digital"/>
    <x v="96"/>
    <s v="Apple - Run of AllFOX Video - Package - Soccer Fan Targeted"/>
    <n v="587313"/>
    <s v="Apple - DIO - ROV - 1F - SEN - Pre/Mid - ROS - DT/MB/CTV - SXD  - Soccer Fan Targeted"/>
    <n v="94701681"/>
    <s v="OneFOX"/>
    <s v="CPM"/>
    <n v="20"/>
    <s v="3P Audience Target"/>
    <n v="3453619"/>
    <n v="69072.38"/>
    <m/>
    <m/>
    <s v=" "/>
    <s v=""/>
    <m/>
    <m/>
    <n v="3453619"/>
    <n v="3453619"/>
    <n v="0"/>
    <n v="0"/>
    <n v="1"/>
    <n v="0"/>
    <n v="0"/>
    <n v="0"/>
    <s v="Bill on Actuals - 3rd Party Performance"/>
    <n v="37954.480000000003"/>
    <n v="6000000"/>
    <n v="120000"/>
    <s v="Apple/Digital/Scatter/Sports/2Q-3Q 2026/MWC Digital"/>
    <n v="94701642"/>
    <s v="Audience Target"/>
    <s v="n/a"/>
    <m/>
    <s v="Gina Rodarte"/>
    <s v="Guaranteed"/>
    <s v="DIO - ROV - 1F - SEN - Pre/Mid - ROS - DT/MB/CTV - SXD"/>
    <n v="131007"/>
    <d v="2026-06-30T00:00:00"/>
    <d v="2026-06-11T00:00:00"/>
    <d v="2026-07-19T00:00:00"/>
    <s v="Direct ROV"/>
    <m/>
    <d v="2026-07-05T12:53:18"/>
  </r>
  <r>
    <s v="OMD - LA"/>
    <n v="10438"/>
    <n v="1786"/>
    <s v="APPLE INC"/>
    <s v="Apple/Digital/Scatter/Sports/2Q-3Q 2026/MWC Digital"/>
    <x v="96"/>
    <s v="Apple - Run of World Cup Video - Package"/>
    <n v="587567"/>
    <s v="Apple - DIO - LFV - TUB - Pre/Mid - MWC - DT/MB/CTV"/>
    <n v="94718297"/>
    <s v="Fox Sold Tubi"/>
    <s v="CPM"/>
    <n v="44"/>
    <s v="3P Imps"/>
    <n v="2625041"/>
    <n v="115501.8"/>
    <m/>
    <m/>
    <s v=" "/>
    <n v="0"/>
    <m/>
    <m/>
    <n v="2625041"/>
    <n v="2625041"/>
    <n v="0"/>
    <n v="0"/>
    <n v="1"/>
    <n v="0"/>
    <n v="0"/>
    <n v="0"/>
    <s v="Bill on Actuals - 3rd Party Performance"/>
    <n v="61065.62"/>
    <n v="3977273"/>
    <n v="175000.01"/>
    <s v="Apple/Digital/Scatter/Sports/2Q-3Q 2026/MWC Digital"/>
    <n v="94701642"/>
    <s v="P2+"/>
    <s v="n/a"/>
    <m/>
    <s v="Gina Rodarte"/>
    <s v="Guaranteed"/>
    <s v="DIO - LFV - TUB - Pre/Mid - MWC - DT/MB/CTV"/>
    <n v="131007"/>
    <d v="2026-06-30T00:00:00"/>
    <d v="2026-06-11T00:00:00"/>
    <d v="2026-07-19T00:00:00"/>
    <s v="Direct LFV"/>
    <m/>
    <d v="2026-07-05T12:53:18"/>
  </r>
  <r>
    <s v="OMD - LA"/>
    <n v="10438"/>
    <n v="1786"/>
    <s v="APPLE INC"/>
    <s v="Apple/Digital/Scatter/Sports/2Q-3Q 2026/MWC Digital"/>
    <x v="96"/>
    <s v="Apple - Run of World Cup Video - Package"/>
    <n v="587567"/>
    <s v="Apple - DIO - ROV - FS - Pre/Mid - MWC - DT/MB/CTV"/>
    <n v="94718270"/>
    <s v="FOX Sports"/>
    <s v="CPM"/>
    <n v="44"/>
    <s v="3P Imps"/>
    <n v="1146398"/>
    <n v="50441.51"/>
    <m/>
    <m/>
    <s v=" "/>
    <s v=""/>
    <m/>
    <m/>
    <n v="1146398"/>
    <n v="1146398"/>
    <n v="0"/>
    <n v="0"/>
    <n v="1"/>
    <n v="0"/>
    <n v="0"/>
    <n v="0"/>
    <s v="Bill on Actuals - 3rd Party Performance"/>
    <n v="26170.98"/>
    <n v="1704546"/>
    <n v="75000.02"/>
    <s v="Apple/Digital/Scatter/Sports/2Q-3Q 2026/MWC Digital"/>
    <n v="94701642"/>
    <s v="P2+"/>
    <s v="n/a"/>
    <m/>
    <s v="Gina Rodarte"/>
    <s v="Guaranteed"/>
    <s v="DIO - ROV - FS - Pre/Mid - MWC - DT/MB/CTV"/>
    <n v="131007"/>
    <d v="2026-06-30T00:00:00"/>
    <d v="2026-06-11T00:00:00"/>
    <d v="2026-07-19T00:00:00"/>
    <s v="Direct ROV"/>
    <m/>
    <d v="2026-07-05T12:53:18"/>
  </r>
  <r>
    <s v="OMD - LA"/>
    <n v="10438"/>
    <n v="1786"/>
    <s v="APPLE INC"/>
    <s v="Apple/Digital/Scatter/Sports/2Q-3Q 2026/MWC Digital"/>
    <x v="96"/>
    <s v="Apple - Run of FOX Sports Video - Package - P1849 Target"/>
    <n v="587596"/>
    <s v="Apple - DIO - ROV - FS - Pre/Mid - ROS - DT/MB/CTV - P1849 Target"/>
    <n v="94701675"/>
    <s v="FOX Sports"/>
    <s v="CPM"/>
    <n v="34.72"/>
    <s v="3P CoView Imps"/>
    <n v="952012"/>
    <n v="33053.86"/>
    <m/>
    <m/>
    <s v=" "/>
    <n v="0"/>
    <m/>
    <m/>
    <n v="1236162"/>
    <n v="1236162"/>
    <n v="952012"/>
    <n v="952012"/>
    <n v="1"/>
    <n v="0.77013561935424435"/>
    <n v="0"/>
    <n v="0"/>
    <s v="Bill on Actuals - 3rd Party Performance"/>
    <n v="15429.67"/>
    <n v="1985430"/>
    <n v="68934.13"/>
    <s v="Apple/Digital/Scatter/Sports/2Q-3Q 2026/MWC Digital"/>
    <n v="94701642"/>
    <s v="P2+"/>
    <s v="n/a"/>
    <m/>
    <s v="Gina Rodarte"/>
    <s v="Guaranteed"/>
    <s v="DIO - ROV - FS - Pre/Mid - ROS - DT/MB/CTV"/>
    <n v="131007"/>
    <d v="2026-06-30T00:00:00"/>
    <d v="2026-06-11T00:00:00"/>
    <d v="2026-07-19T00:00:00"/>
    <s v="Direct ROV"/>
    <m/>
    <d v="2026-07-05T12:53:18"/>
  </r>
  <r>
    <s v="OMD - LA"/>
    <n v="10438"/>
    <n v="1786"/>
    <s v="APPLE INC"/>
    <s v="Apple/Digital/Scatter/Sports/2Q-3Q 2026/MWC Digital"/>
    <x v="96"/>
    <s v="Apple - Run of FOX Sports Video - Package - P1849 Target"/>
    <n v="587596"/>
    <s v="Apple - DIO - SFV - FSEN - Pre - ROS - DT/MB/CTV - non-CoV - P1849 Target"/>
    <n v="94964952"/>
    <s v="FSEN"/>
    <s v="CPM"/>
    <n v="34.72"/>
    <s v="3P Imps"/>
    <n v="339008"/>
    <n v="11770.36"/>
    <m/>
    <m/>
    <s v=" "/>
    <s v=""/>
    <m/>
    <m/>
    <n v="339008"/>
    <n v="339008"/>
    <n v="0"/>
    <n v="0"/>
    <n v="1"/>
    <n v="0.27152911181215228"/>
    <n v="0"/>
    <n v="0"/>
    <s v="Bill on Actuals - 3rd Party Performance"/>
    <n v="6953.55"/>
    <n v="894755"/>
    <n v="31065.89"/>
    <s v="Apple/Digital/Scatter/Sports/2Q-3Q 2026/MWC Digital"/>
    <n v="94701642"/>
    <s v="P2+"/>
    <s v="n/a"/>
    <m/>
    <s v="Gina Rodarte"/>
    <s v="Guaranteed"/>
    <s v="DIO - SFV - FSEN - Pre - ROS - DT/MB/CTV - non-CoV"/>
    <n v="131007"/>
    <d v="2026-06-30T00:00:00"/>
    <d v="2026-06-11T00:00:00"/>
    <d v="2026-07-19T00:00:00"/>
    <s v="Direct SFV"/>
    <m/>
    <d v="2026-07-05T12:53:18"/>
  </r>
  <r>
    <s v="OMD - LA"/>
    <n v="10438"/>
    <n v="1786"/>
    <s v="APPLE INC"/>
    <s v="Apple/Digital/Upfront/Direct/Entertainment/25-26/2Q'26 - Privacy 7.0"/>
    <x v="97"/>
    <s v="Apple/Digital/Upfront/Direct/Entertainment/25-26- ROS - 2Q'26 - Privacy 7.0"/>
    <n v="591686"/>
    <s v="Apple//Digital/Upfront/Direct/Entertainment/25-26 - P2+ - No CoV - ROS - 2Q'26 - Privacy 7.0"/>
    <n v="94396292"/>
    <s v="RON - Ent"/>
    <s v="CPM"/>
    <n v="18.62"/>
    <s v="3P Imps"/>
    <n v="2916121"/>
    <n v="54298.17"/>
    <m/>
    <m/>
    <s v=" "/>
    <n v="0"/>
    <m/>
    <s v="Show Only Net; NONE"/>
    <n v="2916121"/>
    <n v="2916121"/>
    <n v="0"/>
    <n v="0"/>
    <n v="1"/>
    <n v="0"/>
    <n v="0"/>
    <n v="0"/>
    <s v="Bill on Actuals - 3rd Party Performance"/>
    <n v="55389.94"/>
    <n v="5370570"/>
    <n v="100000.01"/>
    <s v="Apple/Digital/Upfront/Direct/Entertainment/25-26/2Q'26 - Privacy 7.0"/>
    <n v="94396283"/>
    <s v="P2+"/>
    <s v="O-D30KTKQ-R0"/>
    <m/>
    <s v="Gina Rodarte"/>
    <s v="Guaranteed"/>
    <s v="LFV - RON Ent - Pre/Mid - ROS - DT/MB/CTV/STB"/>
    <n v="129944"/>
    <d v="2026-06-30T00:00:00"/>
    <d v="2026-06-08T00:00:00"/>
    <d v="2026-06-27T00:00:00"/>
    <s v="Direct LFV"/>
    <m/>
    <d v="2026-07-05T12:53:18"/>
  </r>
  <r>
    <s v="OMD - LA"/>
    <n v="10438"/>
    <n v="1786"/>
    <s v="APPLE INC"/>
    <s v="Apple/Digital/Upfront/Direct/Entertainment/25-26/2Q'26 - Privacy 7.0"/>
    <x v="97"/>
    <s v="Apple/Digital/Upfront/Direct/Entertainment/25-26 -  A/Z - 2Q'26 - Privacy 7.0"/>
    <n v="591688"/>
    <s v="Apple - LFV - RON Ent - Pre/Mid - ROS - DT/MB/CTV/STB - P2+ - No CoV -  A/Z - 2Q'26 - Privacy 7.0"/>
    <n v="94396391"/>
    <s v="RON - Ent"/>
    <s v="CPM"/>
    <n v="18.62"/>
    <s v="3P Imps"/>
    <n v="2413051"/>
    <n v="44931.01"/>
    <m/>
    <m/>
    <s v=" "/>
    <n v="0"/>
    <m/>
    <m/>
    <n v="2413051"/>
    <n v="2413051"/>
    <n v="0"/>
    <n v="0"/>
    <n v="1"/>
    <n v="0"/>
    <n v="0"/>
    <n v="0"/>
    <s v="Bill on Actuals - 3rd Party Performance"/>
    <n v="45790.43"/>
    <n v="5370570"/>
    <n v="100000.01"/>
    <s v="Apple/Digital/Upfront/Direct/Entertainment/25-26/2Q'26 - Privacy 7.0"/>
    <n v="94396283"/>
    <s v="P2+"/>
    <s v="O-D30KTKQ-R0"/>
    <m/>
    <s v="Gina Rodarte"/>
    <s v="Guaranteed"/>
    <s v="LFV - RON Ent - Pre/Mid - ROS - DT/MB/CTV/STB"/>
    <n v="129944"/>
    <d v="2026-06-30T00:00:00"/>
    <d v="2026-06-08T00:00:00"/>
    <d v="2026-06-27T00:00:00"/>
    <s v="Direct LFV"/>
    <m/>
    <d v="2026-07-05T12:53:18"/>
  </r>
  <r>
    <s v="OMD - LA"/>
    <n v="10438"/>
    <n v="1786"/>
    <s v="APPLE INC"/>
    <s v="Apple/Digital/Upfront/Direct/Entertainment/25-26/3Q'26 - Privacy 7.0"/>
    <x v="98"/>
    <s v="Apple/Digital/Upfront/Direct/Entertainment/25-26- ROS - 3Q'26 - Privacy 7.0"/>
    <n v="594901"/>
    <s v="Apple//Digital/Upfront/Direct/Entertainment/25-26 - P2+ - No CoV - ROS - 3Q'26 - Privacy 7.0"/>
    <n v="95049286"/>
    <s v="RON - Ent"/>
    <s v="CPM"/>
    <n v="18.62"/>
    <s v="3P Imps"/>
    <n v="154974"/>
    <n v="2885.62"/>
    <m/>
    <m/>
    <s v=" "/>
    <n v="0"/>
    <m/>
    <s v="Show Only Net; NONE"/>
    <n v="154974"/>
    <n v="154974"/>
    <n v="0"/>
    <n v="0"/>
    <n v="1"/>
    <n v="0"/>
    <n v="0"/>
    <n v="0"/>
    <s v="Bill on Actuals - 3rd Party Performance"/>
    <n v="3144.42"/>
    <n v="2685285"/>
    <n v="50000.01"/>
    <s v="Apple/Digital/Upfront/Direct/Entertainment/25-26/3Q'26 - Privacy 7.0"/>
    <n v="95049267"/>
    <s v="P2+"/>
    <s v="O-D33CVCD-R0"/>
    <m/>
    <s v="Gina Rodarte"/>
    <s v="Guaranteed"/>
    <s v="LFV - RON Ent - Pre/Mid - ROS - DT/MB/CTV/STB"/>
    <n v="132708"/>
    <d v="2026-06-30T00:00:00"/>
    <d v="2026-06-28T00:00:00"/>
    <d v="2026-07-11T00:00:00"/>
    <s v="Direct LFV"/>
    <m/>
    <d v="2026-07-05T12:53:18"/>
  </r>
  <r>
    <s v="OMD - LA"/>
    <n v="10438"/>
    <n v="1786"/>
    <s v="APPLE INC"/>
    <s v="Apple/Digital/Upfront/Direct/Entertainment/25-26/3Q'26 - Privacy 7.0"/>
    <x v="98"/>
    <s v="Apple/Digital/Upfront/Direct/Entertainment/25-26 -  A/Z - 3Q'26 - Privacy 7.0"/>
    <n v="594903"/>
    <s v="Apple - LFV - RON Ent - Pre/Mid - ROS - DT/MB/CTV/STB - P2+ - No CoV -  A/Z - 3Q'26 - Privacy 7.0"/>
    <n v="95049274"/>
    <s v="RON - Ent"/>
    <s v="CPM"/>
    <n v="18.62"/>
    <s v="3P Imps"/>
    <n v="127864"/>
    <n v="2380.83"/>
    <m/>
    <m/>
    <s v=" "/>
    <n v="0"/>
    <m/>
    <m/>
    <n v="127864"/>
    <n v="127864"/>
    <n v="0"/>
    <n v="0"/>
    <n v="1"/>
    <n v="0"/>
    <n v="0"/>
    <n v="0"/>
    <s v="Bill on Actuals - 3rd Party Performance"/>
    <n v="2628.18"/>
    <n v="2685285"/>
    <n v="50000.01"/>
    <s v="Apple/Digital/Upfront/Direct/Entertainment/25-26/3Q'26 - Privacy 7.0"/>
    <n v="95049267"/>
    <s v="P2+"/>
    <s v="O-D33CVCD-R0"/>
    <m/>
    <s v="Gina Rodarte"/>
    <s v="Guaranteed"/>
    <s v="LFV - RON Ent - Pre/Mid - ROS - DT/MB/CTV/STB"/>
    <n v="132708"/>
    <d v="2026-06-30T00:00:00"/>
    <d v="2026-06-28T00:00:00"/>
    <d v="2026-07-11T00:00:00"/>
    <s v="Direct LFV"/>
    <m/>
    <d v="2026-07-05T12:53:18"/>
  </r>
  <r>
    <s v="OMD - NY"/>
    <n v="11528"/>
    <n v="7602"/>
    <s v="CLOROX"/>
    <s v="Clorox / Scatter / Digital / 25-26 / World Cup"/>
    <x v="99"/>
    <s v="Clorox - DIO - Run of World Cup Video - 2Q26"/>
    <n v="596075"/>
    <s v="Clorox - DIO - LFV - TUB - Pre/Mid - MWC - DT/MB/CTV - 2Q26"/>
    <n v="94978396"/>
    <s v="Fox Sports Sold Tubi"/>
    <s v="CPM"/>
    <n v="44"/>
    <s v="3P Imps"/>
    <n v="1117027"/>
    <n v="47762.44"/>
    <m/>
    <m/>
    <s v=" "/>
    <n v="0"/>
    <m/>
    <m/>
    <n v="1117027"/>
    <n v="1117027"/>
    <n v="0"/>
    <n v="0"/>
    <n v="1"/>
    <n v="0"/>
    <n v="0"/>
    <n v="0"/>
    <s v="Bill on Actuals - 3rd Party Performance"/>
    <n v="23881.22"/>
    <n v="1085510"/>
    <n v="47762.44"/>
    <s v="Clorox / Scatter / Digital / 25-26 / World Cup"/>
    <n v="94978389"/>
    <s v="P2+"/>
    <s v="O-D33U231-R0"/>
    <m/>
    <s v="Adam Chardavoyne"/>
    <s v="Guaranteed"/>
    <s v="DIO - LFV - TUB - Pre/Mid - MWC - DT/MB/CTV"/>
    <n v="133015"/>
    <d v="2026-06-30T00:00:00"/>
    <d v="2026-06-24T00:00:00"/>
    <d v="2026-06-29T00:00:00"/>
    <s v="Direct LFV"/>
    <m/>
    <d v="2026-07-05T12:53:18"/>
  </r>
  <r>
    <s v="OMD - NY"/>
    <n v="11528"/>
    <n v="7602"/>
    <s v="CLOROX"/>
    <s v="Clorox / Scatter / Digital / 25-26 / World Cup"/>
    <x v="99"/>
    <s v="Clorox - DIO - Run of World Cup Video - 2Q26"/>
    <n v="596075"/>
    <s v="Clorox - DIO - ROV - FS - Pre/Mid - MWC - DT/MB/CTV - 2Q26"/>
    <n v="94978392"/>
    <s v="FOX Sports"/>
    <s v="CPM"/>
    <n v="44"/>
    <s v="3P Imps"/>
    <n v="468125"/>
    <n v="20469.59"/>
    <m/>
    <m/>
    <s v=" "/>
    <s v=""/>
    <m/>
    <m/>
    <n v="468125"/>
    <n v="468125"/>
    <n v="0"/>
    <n v="0"/>
    <n v="1"/>
    <n v="0"/>
    <n v="0"/>
    <n v="0"/>
    <s v="Bill on Actuals - 3rd Party Performance"/>
    <n v="10234.799999999999"/>
    <n v="465218"/>
    <n v="20469.59"/>
    <s v="Clorox / Scatter / Digital / 25-26 / World Cup"/>
    <n v="94978389"/>
    <s v="P2+"/>
    <s v="O-D33U231-R0"/>
    <m/>
    <s v="Adam Chardavoyne"/>
    <s v="Guaranteed"/>
    <s v="DIO - ROV - FS - Pre/Mid - MWC - DT/MB/CTV"/>
    <n v="133015"/>
    <d v="2026-06-30T00:00:00"/>
    <d v="2026-06-24T00:00:00"/>
    <d v="2026-06-29T00:00:00"/>
    <s v="Direct ROV"/>
    <m/>
    <d v="2026-07-05T12:53:18"/>
  </r>
  <r>
    <s v="OMD - NY"/>
    <n v="11528"/>
    <n v="7753"/>
    <s v="EUROITALIA"/>
    <s v="EUROITALIA / SCATTER / DIGITAL / FY 25-26 / World Cup digital"/>
    <x v="100"/>
    <s v="EuroItalia - Run of World Cup Video - MWC 2Q3Q26"/>
    <n v="585599"/>
    <s v="EuroItalia - DIO - LFV - TUB - Pre/Mid - MWC - DT/MB/CTV"/>
    <n v="93962401"/>
    <s v="Fox Sold Tubi"/>
    <s v="CPM"/>
    <n v="44"/>
    <s v="3P Imps"/>
    <n v="2841824"/>
    <n v="125040.26"/>
    <m/>
    <m/>
    <s v=" "/>
    <n v="0"/>
    <m/>
    <m/>
    <n v="2841824"/>
    <n v="2841824"/>
    <n v="0"/>
    <n v="0"/>
    <n v="1"/>
    <n v="0"/>
    <n v="0"/>
    <n v="0"/>
    <s v="Bill on Actuals - 3rd Party Performance"/>
    <n v="56548.43"/>
    <n v="2914005"/>
    <n v="128216.22"/>
    <s v="EUROITALIA / SCATTER / DIGITAL / FY 25-26 / World Cup digital"/>
    <n v="93962384"/>
    <s v="P2+"/>
    <n v="1"/>
    <m/>
    <s v="Adam Chardavoyne"/>
    <s v="Guaranteed"/>
    <s v="DIO - LFV - TUB - Pre/Mid - MWC - DT/MB/CTV"/>
    <n v="128166"/>
    <d v="2026-06-30T00:00:00"/>
    <d v="2026-06-01T00:00:00"/>
    <d v="2026-07-05T00:00:00"/>
    <s v="Direct LFV"/>
    <m/>
    <d v="2026-07-05T12:53:18"/>
  </r>
  <r>
    <s v="OMD - NY"/>
    <n v="11528"/>
    <n v="7753"/>
    <s v="EUROITALIA"/>
    <s v="EUROITALIA / SCATTER / DIGITAL / FY 25-26 / World Cup digital"/>
    <x v="100"/>
    <s v="EuroItalia - Run of World Cup Video - MWC 2Q3Q26"/>
    <n v="585599"/>
    <s v="EuroItalia - DIO - ROV - FS - Pre/Mid - MWC - DT/MB/CTV"/>
    <n v="93962404"/>
    <s v="FOX Sports"/>
    <s v="CPM"/>
    <n v="44"/>
    <s v="3P Imps"/>
    <n v="848197"/>
    <n v="37320.67"/>
    <m/>
    <m/>
    <s v=" "/>
    <s v=""/>
    <m/>
    <m/>
    <n v="848197"/>
    <n v="848197"/>
    <n v="0"/>
    <n v="0"/>
    <n v="1"/>
    <n v="0"/>
    <n v="0"/>
    <n v="0"/>
    <s v="Bill on Actuals - 3rd Party Performance"/>
    <n v="24235.040000000001"/>
    <n v="1248859"/>
    <n v="54949.8"/>
    <s v="EUROITALIA / SCATTER / DIGITAL / FY 25-26 / World Cup digital"/>
    <n v="93962384"/>
    <s v="P2+"/>
    <n v="1"/>
    <m/>
    <s v="Adam Chardavoyne"/>
    <s v="Guaranteed"/>
    <s v="DIO - ROV - FS - Pre/Mid - MWC - DT/MB/CTV"/>
    <n v="128166"/>
    <d v="2026-06-30T00:00:00"/>
    <d v="2026-06-01T00:00:00"/>
    <d v="2026-07-05T00:00:00"/>
    <s v="Direct ROV"/>
    <m/>
    <d v="2026-07-05T12:53:18"/>
  </r>
  <r>
    <s v="OMD - NY"/>
    <n v="11528"/>
    <n v="7753"/>
    <s v="EUROITALIA"/>
    <s v="EUROITALIA / SCATTER / DIGITAL / FY 25-26 / World Cup digital"/>
    <x v="100"/>
    <s v="EuroItalia - Run of AllFOX Video - MWC2Q3Q26 - GTE on OTS: A18-54 - AAT"/>
    <n v="585606"/>
    <s v="EuroItalia - DIO - LFV - 1F - Tubi - Pre/Mid - ROS - DT/MB/CTV - FW - SXD - GTE on OTS: A18-54 - AAT"/>
    <n v="93962387"/>
    <s v="Fox Sold Tubi"/>
    <s v="CPM"/>
    <n v="19.25"/>
    <s v="3P Audience Target"/>
    <n v="1067355"/>
    <n v="20546.580000000002"/>
    <m/>
    <m/>
    <s v=" "/>
    <n v="0"/>
    <m/>
    <m/>
    <n v="1067355"/>
    <n v="1067355"/>
    <n v="0"/>
    <n v="0"/>
    <n v="1"/>
    <n v="0"/>
    <n v="0"/>
    <n v="0"/>
    <s v="Bill on Actuals - 3rd Party Performance"/>
    <n v="10185.33"/>
    <n v="1101725"/>
    <n v="21208.21"/>
    <s v="EUROITALIA / SCATTER / DIGITAL / FY 25-26 / World Cup digital"/>
    <n v="93962384"/>
    <s v="Audience Target"/>
    <n v="1"/>
    <m/>
    <s v="Adam Chardavoyne"/>
    <s v="Guaranteed"/>
    <s v="DIO - LFV - 1F - Tubi - Pre/Mid - ROS - DT/MB/CTV - FW - SXD"/>
    <n v="128166"/>
    <d v="2026-06-30T00:00:00"/>
    <d v="2026-06-01T00:00:00"/>
    <d v="2026-07-05T00:00:00"/>
    <s v="Direct LFV"/>
    <m/>
    <d v="2026-07-05T12:53:18"/>
  </r>
  <r>
    <s v="OMD - NY"/>
    <n v="11528"/>
    <n v="7753"/>
    <s v="EUROITALIA"/>
    <s v="EUROITALIA / SCATTER / DIGITAL / FY 25-26 / World Cup digital"/>
    <x v="100"/>
    <s v="EuroItalia - Run of AllFOX Video - MWC2Q3Q26 - GTE on OTS: A18-54 - AAT"/>
    <n v="585606"/>
    <s v="EuroItalia - DIO - ROV - 1F - SEN - Pre/Mid - ROS - DT/MB/CTV - SXD - GTE on OTS: A18-54 - AAT"/>
    <n v="93962390"/>
    <s v="OneFOX"/>
    <s v="CPM"/>
    <n v="19.25"/>
    <s v="3P Audience Target"/>
    <n v="2450254"/>
    <n v="47167.39"/>
    <m/>
    <m/>
    <s v=" "/>
    <s v=""/>
    <m/>
    <m/>
    <n v="2450254"/>
    <n v="2450254"/>
    <n v="0"/>
    <n v="0"/>
    <n v="1"/>
    <n v="0"/>
    <n v="0"/>
    <n v="0"/>
    <s v="Bill on Actuals - 3rd Party Performance"/>
    <n v="23765.77"/>
    <n v="2570691"/>
    <n v="49485.8"/>
    <s v="EUROITALIA / SCATTER / DIGITAL / FY 25-26 / World Cup digital"/>
    <n v="93962384"/>
    <s v="Audience Target"/>
    <n v="1"/>
    <m/>
    <s v="Adam Chardavoyne"/>
    <s v="Guaranteed"/>
    <s v="DIO - ROV - 1F - SEN - Pre/Mid - ROS - DT/MB/CTV - SXD"/>
    <n v="128166"/>
    <d v="2026-06-30T00:00:00"/>
    <d v="2026-06-01T00:00:00"/>
    <d v="2026-07-05T00:00:00"/>
    <s v="Direct ROV"/>
    <m/>
    <d v="2026-07-05T12:53:18"/>
  </r>
  <r>
    <s v="OMD - NY"/>
    <n v="11528"/>
    <n v="7753"/>
    <s v="EUROITALIA"/>
    <s v="EUROITALIA / SCATTER / DIGITAL / FY 25-26 / World Cup digital"/>
    <x v="100"/>
    <s v="EuroItalia - Run of FOX Sports Display - MWC2Q3Q26"/>
    <n v="592295"/>
    <s v="EuroItalia - DIS - FS - Display Unit - ROS - MWC2Q3Q26"/>
    <n v="7330737500"/>
    <s v="FOX Sports"/>
    <s v="CPM"/>
    <n v="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31460.21"/>
    <n v="14395400"/>
    <n v="71977"/>
    <s v="EUROITALIA / SCATTER / DIGITAL / FY 25-26 / World Cup digital"/>
    <n v="267884"/>
    <s v="P2+"/>
    <n v="1"/>
    <m/>
    <s v="Adam Chardavoyne"/>
    <s v="Guaranteed"/>
    <s v="DIS - FS - Display Unit - ROS"/>
    <n v="128166"/>
    <d v="2026-06-30T00:00:00"/>
    <d v="2026-06-03T00:00:00"/>
    <d v="2026-07-05T00:00:00"/>
    <s v="Direct Display"/>
    <m/>
    <d v="2026-07-05T12:53:18"/>
  </r>
  <r>
    <s v="OMD - NY"/>
    <n v="11528"/>
    <n v="8930"/>
    <s v="HOME DEPOT"/>
    <s v="HOME DEPOT / SCATTER / DIGITAL / FY 25-26 / World Cup digital"/>
    <x v="101"/>
    <s v="Home Depot - Run of World Cup Display - Knockout Stage -  Q2Q326 - OMP - 320x50, 300x250, 728x90"/>
    <n v="588533"/>
    <s v="Home Depot - DIS - FS - Display Unit - Knockout Stage - MWC - OMP - 320x50, 300x250, 728x90"/>
    <n v="7316468803"/>
    <s v="FOX Sports"/>
    <s v="CPM"/>
    <n v="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8369.810000000001"/>
    <n v="50000000"/>
    <n v="250000"/>
    <s v="HOME DEPOT / SCATTER / DIGITAL / FY 25-26 / World Cup digital"/>
    <n v="265065"/>
    <s v="P2+"/>
    <s v="O-D2O6N00-R9 "/>
    <m/>
    <s v="Adam Chardavoyne"/>
    <s v="Guaranteed"/>
    <s v="DIS - FS - Display Unit - MWC"/>
    <n v="128780"/>
    <d v="2026-06-30T00:00:00"/>
    <d v="2026-06-28T00:00:00"/>
    <d v="2026-07-19T00:00:00"/>
    <s v="Direct Display"/>
    <m/>
    <d v="2026-07-05T12:53:18"/>
  </r>
  <r>
    <s v="OMD - NY"/>
    <n v="11528"/>
    <n v="8930"/>
    <s v="HOME DEPOT"/>
    <s v="HOME DEPOT / SCATTER / DIGITAL / FY 25-26 / World Cup digital"/>
    <x v="101"/>
    <s v="Home Depot - Run of World Cup Video - OMP"/>
    <n v="588770"/>
    <s v="Home Depot - DIO - LFV - TUB - Pre/Mid - MWC - DT/MB/CTV - OMP"/>
    <n v="94149782"/>
    <s v="Fox Sold Tubi"/>
    <s v="CPM"/>
    <n v="30"/>
    <s v="3P Imps"/>
    <n v="6917056"/>
    <n v="207511.67999999999"/>
    <m/>
    <m/>
    <s v=" "/>
    <n v="0"/>
    <m/>
    <m/>
    <n v="6917056"/>
    <n v="6917056"/>
    <n v="0"/>
    <n v="0"/>
    <n v="1"/>
    <n v="0"/>
    <n v="0"/>
    <n v="0"/>
    <s v="Bill on Actuals - 3rd Party Performance"/>
    <n v="104492.33"/>
    <n v="13416667"/>
    <n v="402500.01"/>
    <s v="HOME DEPOT / SCATTER / DIGITAL / FY 25-26 / World Cup digital"/>
    <n v="92693300"/>
    <s v="P2+"/>
    <s v="O-D2O6N00-R9 "/>
    <m/>
    <s v="Adam Chardavoyne"/>
    <s v="Guaranteed"/>
    <s v="DIO - LFV - TUB - Pre/Mid - MWC - DT/MB/CTV"/>
    <n v="128780"/>
    <d v="2026-06-30T00:00:00"/>
    <d v="2026-06-11T00:00:00"/>
    <d v="2026-07-19T00:00:00"/>
    <s v="Direct LFV"/>
    <m/>
    <d v="2026-07-05T12:53:18"/>
  </r>
  <r>
    <s v="OMD - NY"/>
    <n v="11528"/>
    <n v="8930"/>
    <s v="HOME DEPOT"/>
    <s v="HOME DEPOT / SCATTER / DIGITAL / FY 25-26 / World Cup digital"/>
    <x v="101"/>
    <s v="Home Depot - Run of World Cup Video - OMP"/>
    <n v="588770"/>
    <s v="Home Depot - DIO - ROV - FS - Pre/Mid - MWC - DT/MB/CTV - OMP"/>
    <n v="94149778"/>
    <s v="FOX Sports"/>
    <s v="CPM"/>
    <n v="30"/>
    <s v="3P Imps"/>
    <n v="3032850"/>
    <n v="90985.5"/>
    <m/>
    <m/>
    <s v=" "/>
    <s v=""/>
    <m/>
    <m/>
    <n v="3032850"/>
    <n v="3032850"/>
    <n v="0"/>
    <n v="0"/>
    <n v="1"/>
    <n v="0"/>
    <n v="0"/>
    <n v="0"/>
    <s v="Bill on Actuals - 3rd Party Performance"/>
    <n v="44782.42"/>
    <n v="5750000"/>
    <n v="172500"/>
    <s v="HOME DEPOT / SCATTER / DIGITAL / FY 25-26 / World Cup digital"/>
    <n v="92693300"/>
    <s v="P2+"/>
    <s v="O-D2O6N00-R9 "/>
    <m/>
    <s v="Adam Chardavoyne"/>
    <s v="Guaranteed"/>
    <s v="DIO - ROV - FS - Pre/Mid - MWC - DT/MB/CTV"/>
    <n v="128780"/>
    <d v="2026-06-30T00:00:00"/>
    <d v="2026-06-11T00:00:00"/>
    <d v="2026-07-19T00:00:00"/>
    <s v="Direct ROV"/>
    <m/>
    <d v="2026-07-05T12:53:18"/>
  </r>
  <r>
    <s v="OMD - NY"/>
    <n v="11528"/>
    <n v="8930"/>
    <s v="HOME DEPOT"/>
    <s v="HOME DEPOT / SCATTER / DIGITAL / FY 25-26 / World Cup digital"/>
    <x v="101"/>
    <s v="Home Depot - World Cup Social Sponsorship Content - OMP"/>
    <n v="588775"/>
    <s v="Home Depot - DIO - SOC - FOX Sports - Facebook/Instagram - MWC - OMP"/>
    <n v="588776"/>
    <s v="FOX Sports - FB-Inst"/>
    <s v="Flat Rate"/>
    <n v="0.15"/>
    <s v="Bill on Contract"/>
    <n v="455840533"/>
    <n v="68376.08"/>
    <m/>
    <m/>
    <s v=" "/>
    <n v="0"/>
    <m/>
    <m/>
    <n v="0"/>
    <n v="0"/>
    <n v="0"/>
    <n v="0"/>
    <n v="1"/>
    <n v="0"/>
    <n v="0"/>
    <n v="0"/>
    <s v="Bill on Contract - Pro-rated"/>
    <n v="68376.08"/>
    <n v="1777778"/>
    <n v="266666.7"/>
    <s v="HOME DEPOT / SCATTER / DIGITAL / FY 25-26 / World Cup digital"/>
    <n v="265065"/>
    <s v="P2+"/>
    <s v="O-D2O6N00-R9 "/>
    <m/>
    <s v="Adam Chardavoyne"/>
    <s v="Guaranteed"/>
    <s v="DIO - SOC - FOX Sports - Facebook/Instagram - MWC"/>
    <n v="128780"/>
    <d v="2026-06-30T00:00:00"/>
    <d v="2026-06-11T00:00:00"/>
    <d v="2026-07-19T00:00:00"/>
    <s v="Social Facebook/Instagram"/>
    <m/>
    <d v="2026-07-05T12:53:18"/>
  </r>
  <r>
    <s v="OMD - NY"/>
    <n v="11528"/>
    <n v="8930"/>
    <s v="HOME DEPOT"/>
    <s v="HOME DEPOT / SCATTER / DIGITAL / FY 25-26 / World Cup digital"/>
    <x v="101"/>
    <s v="Home Depot - World Cup Social Sponsorship Content - OMP"/>
    <n v="588775"/>
    <s v="Home Depot - DIO - SOC - FOX Sports - TikTok - MWC - OMP"/>
    <n v="588779"/>
    <s v="FOX Sports - TikTok"/>
    <s v="Flat Rate"/>
    <n v="0.15"/>
    <s v="Bill on Contract"/>
    <n v="455840533"/>
    <n v="68376.08"/>
    <m/>
    <m/>
    <s v=" "/>
    <s v=""/>
    <m/>
    <m/>
    <n v="0"/>
    <n v="0"/>
    <n v="0"/>
    <n v="0"/>
    <n v="1"/>
    <n v="0"/>
    <n v="0"/>
    <n v="0"/>
    <s v="Bill on Contract - Pro-rated"/>
    <n v="68376.08"/>
    <n v="1777778"/>
    <n v="266666.7"/>
    <s v="HOME DEPOT / SCATTER / DIGITAL / FY 25-26 / World Cup digital"/>
    <n v="265065"/>
    <s v="P2+"/>
    <s v="O-D2O6N00-R9 "/>
    <m/>
    <s v="Adam Chardavoyne"/>
    <s v="Guaranteed"/>
    <s v="DIO - SOC - FOX Sports - TikTok - MWC"/>
    <n v="128780"/>
    <d v="2026-06-30T00:00:00"/>
    <d v="2026-06-11T00:00:00"/>
    <d v="2026-07-19T00:00:00"/>
    <s v="Social TikTok"/>
    <m/>
    <d v="2026-07-05T12:53:18"/>
  </r>
  <r>
    <s v="OMD - NY"/>
    <n v="11528"/>
    <n v="8930"/>
    <s v="HOME DEPOT"/>
    <s v="HOME DEPOT / SCATTER / DIGITAL / FY 25-26 / World Cup digital"/>
    <x v="101"/>
    <s v="Home Depot - World Cup Social Sponsorship Content - OMP"/>
    <n v="588775"/>
    <s v="Home Depot - DIO - SOC - FOX Sports - Youtube - Custom Content - MWC - OMP"/>
    <n v="588778"/>
    <s v="FOX Sports"/>
    <s v="Flat Rate"/>
    <n v="0.15"/>
    <s v="Bill on Contract"/>
    <n v="455840533"/>
    <n v="68376.08"/>
    <m/>
    <m/>
    <s v=" "/>
    <s v=""/>
    <m/>
    <m/>
    <n v="0"/>
    <n v="0"/>
    <n v="0"/>
    <n v="0"/>
    <n v="1"/>
    <n v="0"/>
    <n v="0"/>
    <n v="0"/>
    <s v="Bill on Contract - Pro-rated"/>
    <n v="68376.08"/>
    <n v="1777778"/>
    <n v="266666.7"/>
    <s v="HOME DEPOT / SCATTER / DIGITAL / FY 25-26 / World Cup digital"/>
    <n v="265065"/>
    <s v="P2+"/>
    <s v="O-D2O6N00-R9 "/>
    <m/>
    <s v="Adam Chardavoyne"/>
    <s v="Guaranteed"/>
    <s v="DIO - SOC - FOX Sports - Youtube - Custom Content - MWC"/>
    <n v="128780"/>
    <d v="2026-06-30T00:00:00"/>
    <d v="2026-06-11T00:00:00"/>
    <d v="2026-07-19T00:00:00"/>
    <s v="Social"/>
    <m/>
    <d v="2026-07-05T12:53:18"/>
  </r>
  <r>
    <s v="OMD - NY"/>
    <n v="11528"/>
    <n v="8930"/>
    <s v="HOME DEPOT"/>
    <s v="HOME DEPOT / SCATTER / DIGITAL / FY 25-26 / World Cup digital"/>
    <x v="101"/>
    <s v="Home Depot - COSM - World Cup Social Sponsorship Content - OMP"/>
    <n v="596028"/>
    <s v="Home Depot -  COSM - DIO - SOC - FOX Sports - Facebook/Instagram - MWC - OMP"/>
    <n v="596029"/>
    <s v="FOX Sports - FB-Inst"/>
    <s v="Flat Rate"/>
    <n v="0.15"/>
    <s v="Bill on Contract"/>
    <n v="273809533"/>
    <n v="41071.43"/>
    <m/>
    <m/>
    <s v=" "/>
    <n v="0"/>
    <m/>
    <m/>
    <n v="0"/>
    <n v="0"/>
    <n v="0"/>
    <n v="0"/>
    <n v="1"/>
    <n v="0"/>
    <n v="0"/>
    <n v="0"/>
    <s v="Bill on Contract - Pro-rated"/>
    <n v="41071.43"/>
    <n v="1000000"/>
    <n v="150000"/>
    <s v="HOME DEPOT / SCATTER / DIGITAL / FY 25-26 / World Cup digital"/>
    <n v="265065"/>
    <s v="P2+"/>
    <s v="O-D2O6N00-R9 "/>
    <m/>
    <s v="Adam Chardavoyne"/>
    <s v="Guaranteed"/>
    <s v="DIO - SOC - FOX Sports - Facebook/Instagram - MWC"/>
    <n v="128780"/>
    <d v="2026-06-30T00:00:00"/>
    <d v="2026-06-08T00:00:00"/>
    <d v="2026-07-19T00:00:00"/>
    <s v="Social Facebook/Instagram"/>
    <m/>
    <d v="2026-07-05T12:53:18"/>
  </r>
  <r>
    <s v="OMD - NY"/>
    <n v="11528"/>
    <n v="8930"/>
    <s v="HOME DEPOT"/>
    <s v="HOME DEPOT / SCATTER / DIGITAL / FY 25-26 / World Cup digital"/>
    <x v="101"/>
    <s v="Home Depot - World Cup Social Sponsorship Content - COSM - OMP"/>
    <n v="596032"/>
    <s v="Home Depot - DIO - FEE - FOX Sports - Production - COSM"/>
    <n v="596035"/>
    <s v="FOX Sports"/>
    <s v="Flat Rate"/>
    <n v="160000"/>
    <s v="Bill on Contract"/>
    <n v="0"/>
    <n v="43809.52"/>
    <m/>
    <m/>
    <s v=" "/>
    <n v="0"/>
    <m/>
    <m/>
    <n v="0"/>
    <n v="0"/>
    <n v="0"/>
    <n v="0"/>
    <n v="1"/>
    <n v="0"/>
    <n v="0"/>
    <n v="0"/>
    <s v="Bill on Contract - Pro-rated"/>
    <n v="43809.52"/>
    <n v="0"/>
    <n v="160000"/>
    <s v="HOME DEPOT / SCATTER / DIGITAL / FY 25-26 / World Cup digital"/>
    <n v="265065"/>
    <s v="P2+"/>
    <s v="O-D2O6N00-R9 "/>
    <m/>
    <s v="Adam Chardavoyne"/>
    <s v="Guaranteed"/>
    <s v="DIO - FEE - FOX Sports - Production"/>
    <n v="128780"/>
    <d v="2026-06-30T00:00:00"/>
    <d v="2026-06-08T00:00:00"/>
    <d v="2026-07-19T00:00:00"/>
    <s v="Production"/>
    <m/>
    <d v="2026-07-05T12:53:18"/>
  </r>
  <r>
    <s v="OMD - NY"/>
    <n v="11528"/>
    <n v="8930"/>
    <s v="HOME DEPOT"/>
    <s v="HOME DEPOT / SCATTER / DIGITAL / FY 25-26 / World Cup digital"/>
    <x v="101"/>
    <s v="Home Depot - World Cup Social Sponsorship Content - COSM - OMP"/>
    <n v="596032"/>
    <s v="Home Depot - DIO - SOC - FOX Sports - Facebook/Instagram - MWC - OMP"/>
    <n v="596033"/>
    <s v="FOX Sports - FB-Inst"/>
    <s v="Flat Rate"/>
    <n v="0.15"/>
    <s v="Bill on Contract"/>
    <n v="255555467"/>
    <n v="38333.32"/>
    <m/>
    <m/>
    <s v=" "/>
    <s v=""/>
    <m/>
    <m/>
    <n v="0"/>
    <n v="0"/>
    <n v="0"/>
    <n v="0"/>
    <n v="1"/>
    <n v="0"/>
    <n v="0"/>
    <n v="0"/>
    <s v="Bill on Contract - Pro-rated"/>
    <n v="38333.32"/>
    <n v="933333"/>
    <n v="139999.95000000001"/>
    <s v="HOME DEPOT / SCATTER / DIGITAL / FY 25-26 / World Cup digital"/>
    <n v="265065"/>
    <s v="P2+"/>
    <s v="O-D2O6N00-R9 "/>
    <m/>
    <s v="Adam Chardavoyne"/>
    <s v="Guaranteed"/>
    <s v="DIO - SOC - FOX Sports - Facebook/Instagram - MWC"/>
    <n v="128780"/>
    <d v="2026-06-30T00:00:00"/>
    <d v="2026-06-08T00:00:00"/>
    <d v="2026-07-19T00:00:00"/>
    <s v="Social Facebook/Instagram"/>
    <m/>
    <d v="2026-07-05T12:53:18"/>
  </r>
  <r>
    <s v="OMD - NY"/>
    <n v="11528"/>
    <n v="5550"/>
    <s v="MICHELIN"/>
    <s v="MICHELIN / SCATTER / DIGITAL / FY 25-26 / World Cup digital"/>
    <x v="102"/>
    <s v="Michelin - Run of World Cup Video - 2Q3Q26"/>
    <n v="587629"/>
    <s v="Michelin - DIO - LFV - TUB - Pre/Mid - MWC - DT/MB/CTV"/>
    <n v="93910157"/>
    <s v="Fox Sold Tubi"/>
    <s v="CPM"/>
    <n v="40"/>
    <s v="1P Imps"/>
    <n v="604310"/>
    <n v="24172.400000000001"/>
    <m/>
    <m/>
    <s v=" "/>
    <n v="0"/>
    <m/>
    <m/>
    <n v="604310"/>
    <n v="604310"/>
    <n v="0"/>
    <n v="0"/>
    <n v="1"/>
    <n v="0"/>
    <n v="0"/>
    <n v="0"/>
    <s v="Bill on Actuals - Primary Performance"/>
    <n v="14127.75"/>
    <n v="1750000"/>
    <n v="70000"/>
    <s v="MICHELIN / SCATTER / DIGITAL / FY 25-26 / World Cup digital"/>
    <n v="93910154"/>
    <s v="P2+"/>
    <s v="O-D2TDC5I-R1"/>
    <m/>
    <s v="Adam Chardavoyne"/>
    <s v="Guaranteed"/>
    <s v="DIO - LFV - TUB - Pre/Mid - MWC - DT/MB/CTV"/>
    <n v="128029"/>
    <d v="2026-06-30T00:00:00"/>
    <d v="2026-05-11T00:00:00"/>
    <d v="2026-07-19T00:00:00"/>
    <s v="Direct LFV"/>
    <m/>
    <d v="2026-07-05T12:53:18"/>
  </r>
  <r>
    <s v="OMD - NY"/>
    <n v="11528"/>
    <n v="5550"/>
    <s v="MICHELIN"/>
    <s v="MICHELIN / SCATTER / DIGITAL / FY 25-26 / World Cup digital"/>
    <x v="102"/>
    <s v="Michelin - Run of World Cup Video - 2Q3Q26"/>
    <n v="587629"/>
    <s v="Michelin - DIO - ROV - FS - Pre/Mid - MWC - DT/MB/CTV"/>
    <n v="93910160"/>
    <s v="FOX Sports"/>
    <s v="CPM"/>
    <n v="40"/>
    <s v="1P Imps"/>
    <n v="404815"/>
    <n v="16192.6"/>
    <m/>
    <m/>
    <s v=" "/>
    <s v=""/>
    <m/>
    <m/>
    <n v="404815"/>
    <n v="404815"/>
    <n v="0"/>
    <n v="0"/>
    <n v="1"/>
    <n v="0"/>
    <n v="0"/>
    <n v="0"/>
    <s v="Bill on Actuals - Primary Performance"/>
    <n v="6054.75"/>
    <n v="750000"/>
    <n v="30000"/>
    <s v="MICHELIN / SCATTER / DIGITAL / FY 25-26 / World Cup digital"/>
    <n v="93910154"/>
    <s v="P2+"/>
    <s v="O-D2TDC5I-R1"/>
    <m/>
    <s v="Adam Chardavoyne"/>
    <s v="Guaranteed"/>
    <s v="DIO - ROV - FS - Pre/Mid - MWC - DT/MB/CTV"/>
    <n v="128029"/>
    <d v="2026-06-30T00:00:00"/>
    <d v="2026-05-11T00:00:00"/>
    <d v="2026-07-19T00:00:00"/>
    <s v="Direct ROV"/>
    <m/>
    <d v="2026-07-05T12:53:18"/>
  </r>
  <r>
    <s v="OMD - NY"/>
    <n v="11528"/>
    <n v="5550"/>
    <s v="MICHELIN"/>
    <s v="MICHELIN / SCATTER / DIGITAL / FY 25-26 / World Cup digital"/>
    <x v="102"/>
    <s v="Michelin - World Cup - Run of AllFOX Video - Package"/>
    <n v="587634"/>
    <s v="Michelin - World Cup - DIO - LFV - 1F - Tubi - Pre/Mid - ROS - DT/MB/CTV - FW - SXD"/>
    <n v="93910167"/>
    <s v="Fox Sold Tubi"/>
    <s v="CPM"/>
    <n v="20"/>
    <s v="1P Audience Target"/>
    <n v="615132"/>
    <n v="12302.64"/>
    <m/>
    <m/>
    <s v=" "/>
    <n v="0"/>
    <m/>
    <m/>
    <n v="615132"/>
    <n v="615132"/>
    <n v="0"/>
    <n v="0"/>
    <n v="1"/>
    <n v="0"/>
    <n v="0"/>
    <n v="0"/>
    <s v="Bill on Actuals - Primary Performance"/>
    <n v="6100.01"/>
    <n v="1500050"/>
    <n v="30001"/>
    <s v="MICHELIN / SCATTER / DIGITAL / FY 25-26 / World Cup digital"/>
    <n v="93910154"/>
    <s v="Audience Target"/>
    <s v="O-D2TDC5I-R1"/>
    <m/>
    <s v="Adam Chardavoyne"/>
    <s v="Guaranteed"/>
    <s v="DIO - LFV - 1F - Tubi - Pre/Mid - ROS - DT/MB/CTV - FW - SXD"/>
    <n v="128029"/>
    <d v="2026-06-30T00:00:00"/>
    <d v="2026-05-11T00:00:00"/>
    <d v="2026-07-26T00:00:00"/>
    <s v="Direct LFV"/>
    <m/>
    <d v="2026-07-05T12:53:18"/>
  </r>
  <r>
    <s v="OMD - NY"/>
    <n v="11528"/>
    <n v="5550"/>
    <s v="MICHELIN"/>
    <s v="MICHELIN / SCATTER / DIGITAL / FY 25-26 / World Cup digital"/>
    <x v="102"/>
    <s v="Michelin - World Cup - Run of AllFOX Video - Package"/>
    <n v="587634"/>
    <s v="Michelin - World Cup - DIO - ROV - 1F - SEN - Pre/Mid - ROS - DT/MB/CTV - SXD"/>
    <n v="93910163"/>
    <s v="OneFOX"/>
    <s v="CPM"/>
    <n v="20"/>
    <s v="1P Audience Target"/>
    <n v="1418157"/>
    <n v="28363.14"/>
    <m/>
    <m/>
    <s v=" "/>
    <s v=""/>
    <m/>
    <m/>
    <n v="1418157"/>
    <n v="1418157"/>
    <n v="0"/>
    <n v="0"/>
    <n v="1"/>
    <n v="0"/>
    <n v="0"/>
    <n v="0"/>
    <s v="Bill on Actuals - Primary Performance"/>
    <n v="14232.88"/>
    <n v="3500000"/>
    <n v="70000"/>
    <s v="MICHELIN / SCATTER / DIGITAL / FY 25-26 / World Cup digital"/>
    <n v="93910154"/>
    <s v="Audience Target"/>
    <s v="O-D2TDC5I-R1"/>
    <m/>
    <s v="Adam Chardavoyne"/>
    <s v="Guaranteed"/>
    <s v="DIO - ROV - 1F - SEN - Pre/Mid - ROS - DT/MB/CTV - SXD"/>
    <n v="128029"/>
    <d v="2026-06-30T00:00:00"/>
    <d v="2026-05-11T00:00:00"/>
    <d v="2026-07-26T00:00:00"/>
    <s v="Direct ROV"/>
    <m/>
    <d v="2026-07-05T12:53:18"/>
  </r>
  <r>
    <s v="OMD - NY"/>
    <n v="11528"/>
    <n v="5550"/>
    <s v="MICHELIN"/>
    <s v="Michelin/Digital/Scatter/AllFOX/2Q-3Q26 Scatter"/>
    <x v="103"/>
    <s v="Michelin - 2Q/3Q26- Run of AllFOX Video - Package"/>
    <n v="588070"/>
    <s v="Michelin - 2Q/3Q26- DIO - LFV - 1F - Tubi - Pre/Mid - ROS - DT/MB/CTV - FW - SXD"/>
    <n v="94015480"/>
    <s v="Fox Sold Tubi"/>
    <s v="CPM"/>
    <n v="21.49"/>
    <s v="3P Audience Target"/>
    <n v="2714773"/>
    <n v="58340.47"/>
    <m/>
    <m/>
    <s v=" "/>
    <n v="0"/>
    <m/>
    <m/>
    <n v="2714773"/>
    <n v="2714773"/>
    <n v="0"/>
    <n v="0"/>
    <n v="1"/>
    <n v="0"/>
    <n v="0"/>
    <n v="0"/>
    <s v="Bill on Actuals - 3rd Party Performance"/>
    <n v="29034.05"/>
    <n v="6212192"/>
    <n v="133500.01"/>
    <s v="Michelin/Digital/Scatter/AllFOX/2Q-3Q26 Scatter"/>
    <n v="94015477"/>
    <s v="Audience Target"/>
    <s v="O-D2V5HA1-R3"/>
    <m/>
    <s v="Matthew DiToro"/>
    <s v="Guaranteed"/>
    <s v="DIO - LFV - 1F - Tubi - Pre/Mid - ROS - DT/MB/CTV - FW - SXD"/>
    <n v="128461"/>
    <d v="2026-06-30T00:00:00"/>
    <d v="2026-05-15T00:00:00"/>
    <d v="2026-07-26T00:00:00"/>
    <s v="Direct LFV"/>
    <m/>
    <d v="2026-07-05T12:53:18"/>
  </r>
  <r>
    <s v="OMD - NY"/>
    <n v="11528"/>
    <n v="5550"/>
    <s v="MICHELIN"/>
    <s v="Michelin/Digital/Scatter/AllFOX/2Q-3Q26 Scatter"/>
    <x v="103"/>
    <s v="Michelin - 2Q/3Q26- Run of AllFOX Video - Package"/>
    <n v="588070"/>
    <s v="Michelin - 2Q/3Q26- DIO - ROV - 1F - SEN - Pre/Mid - ROS - DT/MB/CTV - SXD"/>
    <n v="94015483"/>
    <s v="OneFOX"/>
    <s v="CPM"/>
    <n v="21.49"/>
    <s v="3P Audience Target"/>
    <n v="6292223"/>
    <n v="135219.87"/>
    <m/>
    <m/>
    <s v=" "/>
    <s v=""/>
    <m/>
    <m/>
    <n v="6292223"/>
    <n v="6292223"/>
    <n v="0"/>
    <n v="0"/>
    <n v="1"/>
    <n v="0"/>
    <n v="0"/>
    <n v="0"/>
    <s v="Bill on Actuals - 3rd Party Performance"/>
    <n v="67746.12"/>
    <n v="14495114"/>
    <n v="311500"/>
    <s v="Michelin/Digital/Scatter/AllFOX/2Q-3Q26 Scatter"/>
    <n v="94015477"/>
    <s v="Audience Target"/>
    <s v="O-D2V5HA1-R3"/>
    <m/>
    <s v="Matthew DiToro"/>
    <s v="Guaranteed"/>
    <s v="DIO - ROV - 1F - SEN - Pre/Mid - ROS - DT/MB/CTV - SXD"/>
    <n v="128461"/>
    <d v="2026-06-30T00:00:00"/>
    <d v="2026-05-15T00:00:00"/>
    <d v="2026-07-26T00:00:00"/>
    <s v="Direct ROV"/>
    <m/>
    <d v="2026-07-05T12:53:18"/>
  </r>
  <r>
    <s v="OMD - NY"/>
    <n v="11528"/>
    <n v="9044"/>
    <s v="NISSAN"/>
    <s v="NISSAN / DIGITAL / SCATTER  / SPORTS / MWC 2026/27"/>
    <x v="104"/>
    <s v="Nissan - Run of World Cup Video - MWC'26"/>
    <n v="593133"/>
    <s v="Nissan - DIO - LFV - TUB - Pre/Mid - MWC - DT/MB/CTV - MWC 26'"/>
    <n v="94722304"/>
    <s v="Fox Sold Tubi"/>
    <s v="CPM"/>
    <n v="40"/>
    <s v="3P Imps"/>
    <n v="1834082"/>
    <n v="70000"/>
    <m/>
    <m/>
    <s v=" "/>
    <n v="0"/>
    <m/>
    <m/>
    <n v="1834082"/>
    <n v="1834082"/>
    <n v="0"/>
    <n v="0"/>
    <n v="1"/>
    <n v="0"/>
    <n v="0"/>
    <n v="0"/>
    <s v="Bill on Actuals - 3rd Party Performance"/>
    <n v="34298.21"/>
    <n v="1750000"/>
    <n v="70000"/>
    <s v="NISSAN / DIGITAL / SCATTER  / SPORTS / MWC 2026/27"/>
    <n v="94722301"/>
    <s v="P2+"/>
    <s v="O-D2RIU79-R4"/>
    <m/>
    <s v="Adam Chardavoyne"/>
    <s v="Guaranteed"/>
    <s v="DIO - LFV - TUB - Pre/Mid - MWC - DT/MB/CTV"/>
    <n v="131163"/>
    <d v="2026-06-30T00:00:00"/>
    <d v="2026-06-11T00:00:00"/>
    <d v="2026-06-30T00:00:00"/>
    <s v="Direct LFV"/>
    <m/>
    <d v="2026-07-05T12:53:18"/>
  </r>
  <r>
    <s v="OMD - NY"/>
    <n v="11528"/>
    <n v="9044"/>
    <s v="NISSAN"/>
    <s v="NISSAN / DIGITAL / SCATTER  / SPORTS / MWC 2026/27"/>
    <x v="104"/>
    <s v="Nissan - Run of World Cup Video - MWC'26"/>
    <n v="593133"/>
    <s v="Nissan - DIO - ROV - FS - Pre/Mid - MWC - DT/MB/CTV - MWC 26'"/>
    <n v="94722307"/>
    <s v="FOX Sports"/>
    <s v="CPM"/>
    <n v="40"/>
    <s v="3P Imps"/>
    <n v="778590"/>
    <n v="30000"/>
    <m/>
    <m/>
    <s v=" "/>
    <s v=""/>
    <m/>
    <m/>
    <n v="778590"/>
    <n v="778590"/>
    <n v="0"/>
    <n v="0"/>
    <n v="1"/>
    <n v="0"/>
    <n v="0"/>
    <n v="0"/>
    <s v="Bill on Actuals - 3rd Party Performance"/>
    <n v="14699.23"/>
    <n v="750000"/>
    <n v="30000"/>
    <s v="NISSAN / DIGITAL / SCATTER  / SPORTS / MWC 2026/27"/>
    <n v="94722301"/>
    <s v="P2+"/>
    <s v="O-D2RIU79-R4"/>
    <m/>
    <s v="Adam Chardavoyne"/>
    <s v="Guaranteed"/>
    <s v="DIO - ROV - FS - Pre/Mid - MWC - DT/MB/CTV"/>
    <n v="131163"/>
    <d v="2026-06-30T00:00:00"/>
    <d v="2026-06-11T00:00:00"/>
    <d v="2026-06-30T00:00:00"/>
    <s v="Direct ROV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Run of World Cup Video - OMP"/>
    <n v="589039"/>
    <s v="Pepsi - Frito Lays - QUAKERS - DIO - LFV - TUB - Pre/Mid - MWC - DT/MB/CTV - OMP"/>
    <n v="94169473"/>
    <s v="Fox Sold Tubi"/>
    <s v="CPM"/>
    <n v="30"/>
    <s v="3P Imps"/>
    <n v="2325525"/>
    <n v="69765.75"/>
    <m/>
    <m/>
    <s v=" "/>
    <n v="0"/>
    <m/>
    <m/>
    <n v="2325525"/>
    <n v="2325525"/>
    <n v="0"/>
    <n v="0"/>
    <n v="1"/>
    <n v="0"/>
    <n v="0"/>
    <n v="0"/>
    <s v="Bill on Actuals - 3rd Party Performance"/>
    <n v="35188.1"/>
    <n v="3500000"/>
    <n v="105000"/>
    <s v="PEPSICO- FRITO LAY /QUAKERS/ SCATTER / DIGITAL / FY 25-26 / World Cup digital "/>
    <n v="94169464"/>
    <s v="P2+"/>
    <s v="O-D2UPF36-R0"/>
    <m/>
    <s v="Adam Chardavoyne"/>
    <s v="Guaranteed"/>
    <s v="DIO - LFV - TUB - Pre/Mid - MWC - DT/MB/CTV"/>
    <n v="128885"/>
    <d v="2026-06-30T00:00:00"/>
    <d v="2026-06-01T00:00:00"/>
    <d v="2026-07-19T00:00:00"/>
    <s v="Direct LFV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Run of World Cup Video - OMP"/>
    <n v="589039"/>
    <s v="Pepsi - Frito Lays - QUAKERS - DIO - ROV - FS - Pre/Mid - MWC - DT/MB/CTV - OMP"/>
    <n v="94169484"/>
    <s v="FOX Sports"/>
    <s v="CPM"/>
    <n v="30"/>
    <s v="3P Imps"/>
    <n v="1020482"/>
    <n v="30614.46"/>
    <m/>
    <m/>
    <s v=" "/>
    <s v=""/>
    <m/>
    <m/>
    <n v="1020482"/>
    <n v="1020482"/>
    <n v="0"/>
    <n v="0"/>
    <n v="1"/>
    <n v="0"/>
    <n v="0"/>
    <n v="0"/>
    <s v="Bill on Actuals - 3rd Party Performance"/>
    <n v="15080.62"/>
    <n v="1500000"/>
    <n v="45000"/>
    <s v="PEPSICO- FRITO LAY /QUAKERS/ SCATTER / DIGITAL / FY 25-26 / World Cup digital "/>
    <n v="94169464"/>
    <s v="P2+"/>
    <s v="O-D2UPF36-R0"/>
    <m/>
    <s v="Adam Chardavoyne"/>
    <s v="Guaranteed"/>
    <s v="DIO - ROV - FS - Pre/Mid - MWC - DT/MB/CTV"/>
    <n v="128885"/>
    <d v="2026-06-30T00:00:00"/>
    <d v="2026-06-01T00:00:00"/>
    <d v="2026-07-19T00:00:00"/>
    <s v="Direct ROV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Run of FOX Sports Display - OMP"/>
    <n v="589042"/>
    <s v="Pepsi - Frito Lays - QUAKERS - DIS - FS - Display Unit - ROS - 320x50, 300x250, 728x90- OMP"/>
    <n v="7316203825"/>
    <s v="FOX Sports"/>
    <s v="CPM"/>
    <n v="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41362.07"/>
    <n v="20000000"/>
    <n v="100000"/>
    <s v="PEPSICO- FRITO LAY /QUAKERS/ SCATTER / DIGITAL / FY 25-26 / World Cup digital "/>
    <n v="269721"/>
    <s v="P2+"/>
    <s v="O-D2UPF36-R0"/>
    <m/>
    <s v="Adam Chardavoyne"/>
    <s v="Guaranteed"/>
    <s v="DIS - FS - Display Unit - ROS"/>
    <n v="128885"/>
    <d v="2026-06-30T00:00:00"/>
    <d v="2026-06-01T00:00:00"/>
    <d v="2026-07-19T00:00:00"/>
    <s v="Direct Display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World Cup Social Sponsorship Content - OMP"/>
    <n v="589046"/>
    <s v="Pepsi - Frito Lays - QUAKERS - DIO - SOC - FOX Sports - Facebook/Instagram - MWC - OMP"/>
    <n v="589047"/>
    <s v="FOX Sports - FB-Inst"/>
    <s v="Flat Rate"/>
    <n v="0.15"/>
    <s v="Bill on Contract"/>
    <n v="204081400"/>
    <n v="30612.21"/>
    <m/>
    <m/>
    <s v=" "/>
    <n v="0"/>
    <m/>
    <m/>
    <n v="0"/>
    <n v="0"/>
    <n v="0"/>
    <n v="0"/>
    <n v="1"/>
    <n v="0"/>
    <n v="0"/>
    <n v="0"/>
    <s v="Bill on Contract - Pro-rated"/>
    <n v="30612.21"/>
    <n v="666666"/>
    <n v="99999.9"/>
    <s v="PEPSICO- FRITO LAY /QUAKERS/ SCATTER / DIGITAL / FY 25-26 / World Cup digital "/>
    <n v="269721"/>
    <s v="P2+"/>
    <s v="O-D2UPF36-R0"/>
    <m/>
    <s v="Adam Chardavoyne"/>
    <s v="Guaranteed"/>
    <s v="DIO - SOC - FOX Sports - Facebook/Instagram - MWC"/>
    <n v="128885"/>
    <d v="2026-06-30T00:00:00"/>
    <d v="2026-06-01T00:00:00"/>
    <d v="2026-07-19T00:00:00"/>
    <s v="Social Facebook/Instagram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World Cup Social Sponsorship Content - OMP"/>
    <n v="589046"/>
    <s v="Pepsi - Frito Lays - QUAKERS - DIO - SOC - FOX Sports - TikTok - MWC - OMP"/>
    <n v="589050"/>
    <s v="FOX Sports - TikTok"/>
    <s v="Flat Rate"/>
    <n v="0.15"/>
    <s v="Bill on Contract"/>
    <n v="204081733"/>
    <n v="30612.26"/>
    <m/>
    <m/>
    <s v=" "/>
    <s v=""/>
    <m/>
    <m/>
    <n v="0"/>
    <n v="0"/>
    <n v="0"/>
    <n v="0"/>
    <n v="1"/>
    <n v="0"/>
    <n v="0"/>
    <n v="0"/>
    <s v="Bill on Contract - Pro-rated"/>
    <n v="30612.26"/>
    <n v="666667"/>
    <n v="100000.05"/>
    <s v="PEPSICO- FRITO LAY /QUAKERS/ SCATTER / DIGITAL / FY 25-26 / World Cup digital "/>
    <n v="269721"/>
    <s v="P2+"/>
    <s v="O-D2UPF36-R0"/>
    <m/>
    <s v="Adam Chardavoyne"/>
    <s v="Guaranteed"/>
    <s v="DIO - SOC - FOX Sports - TikTok - MWC"/>
    <n v="128885"/>
    <d v="2026-06-30T00:00:00"/>
    <d v="2026-06-01T00:00:00"/>
    <d v="2026-07-19T00:00:00"/>
    <s v="Social TikTok"/>
    <m/>
    <d v="2026-07-05T12:53:18"/>
  </r>
  <r>
    <s v="OMD - NY"/>
    <n v="11528"/>
    <n v="8659"/>
    <s v="PEPSICO"/>
    <s v="PEPSICO- FRITO LAY /QUAKERS/ SCATTER / DIGITAL / FY 25-26 / World Cup digital "/>
    <x v="105"/>
    <s v="Pepsi - Frito Lays - QUAKERS - World Cup Social Sponsorship Content - OMP"/>
    <n v="589046"/>
    <s v="Pepsi - Frito Lays - QUAKERS - DIO - SOC - FOX Sports - Youtube - Custom Content - MWC - OMP"/>
    <n v="589049"/>
    <s v="FOX Sports"/>
    <s v="Flat Rate"/>
    <n v="0.15"/>
    <s v="Bill on Contract"/>
    <n v="204081733"/>
    <n v="30612.26"/>
    <m/>
    <m/>
    <s v=" "/>
    <s v=""/>
    <m/>
    <m/>
    <n v="0"/>
    <n v="0"/>
    <n v="0"/>
    <n v="0"/>
    <n v="1"/>
    <n v="0"/>
    <n v="0"/>
    <n v="0"/>
    <s v="Bill on Contract - Pro-rated"/>
    <n v="30612.26"/>
    <n v="666667"/>
    <n v="100000.05"/>
    <s v="PEPSICO- FRITO LAY /QUAKERS/ SCATTER / DIGITAL / FY 25-26 / World Cup digital "/>
    <n v="269721"/>
    <s v="P2+"/>
    <s v="O-D2UPF36-R0"/>
    <m/>
    <s v="Adam Chardavoyne"/>
    <s v="Guaranteed"/>
    <s v="DIO - SOC - FOX Sports - Youtube - Custom Content - MWC"/>
    <n v="128885"/>
    <d v="2026-06-30T00:00:00"/>
    <d v="2026-06-01T00:00:00"/>
    <d v="2026-07-19T00:00:00"/>
    <s v="Social"/>
    <m/>
    <d v="2026-07-05T12:53:18"/>
  </r>
  <r>
    <s v="OMD - NY"/>
    <n v="11528"/>
    <n v="8659"/>
    <s v="PEPSICO"/>
    <s v="PEPSICO- FRITO LAY /SCATTER / DIGITAL / FY 25-26 / Run of World Cup Digital Video "/>
    <x v="106"/>
    <s v="Pepsi - Frito Lays - Run of World Cup Video - OMP"/>
    <n v="589051"/>
    <s v="Pepsi - Frito Lays - DIO - LFV - TUB - Pre/Mid - MWC - DT/MB/CTV - OMP"/>
    <n v="94130217"/>
    <s v="Fox Sold Tubi"/>
    <s v="CPM"/>
    <n v="30"/>
    <s v="3P Imps"/>
    <n v="2714554"/>
    <n v="81436.62"/>
    <m/>
    <m/>
    <s v=" "/>
    <n v="0"/>
    <m/>
    <m/>
    <n v="2714554"/>
    <n v="2714554"/>
    <n v="0"/>
    <n v="0"/>
    <n v="1"/>
    <n v="0"/>
    <n v="0"/>
    <n v="0"/>
    <s v="Bill on Actuals - 3rd Party Performance"/>
    <n v="41046.01"/>
    <n v="4083333"/>
    <n v="122499.99"/>
    <s v="PEPSICO- FRITO LAY /SCATTER / DIGITAL / FY 25-26 / Run of World Cup Digital Video "/>
    <n v="94130210"/>
    <s v="P2+"/>
    <s v="O-D2UTE4O-R0"/>
    <m/>
    <s v="Adam Chardavoyne"/>
    <s v="Guaranteed"/>
    <s v="DIO - LFV - TUB - Pre/Mid - MWC - DT/MB/CTV"/>
    <n v="128712"/>
    <d v="2026-06-30T00:00:00"/>
    <d v="2026-06-01T00:00:00"/>
    <d v="2026-07-19T00:00:00"/>
    <s v="Direct LFV"/>
    <m/>
    <d v="2026-07-05T12:53:18"/>
  </r>
  <r>
    <s v="OMD - NY"/>
    <n v="11528"/>
    <n v="8659"/>
    <s v="PEPSICO"/>
    <s v="PEPSICO- FRITO LAY /SCATTER / DIGITAL / FY 25-26 / Run of World Cup Digital Video "/>
    <x v="106"/>
    <s v="Pepsi - Frito Lays - Run of World Cup Video - OMP"/>
    <n v="589051"/>
    <s v="Pepsi - Frito Lays - DIO - ROV - FS - Pre/Mid - MWC - DT/MB/CTV - OMP"/>
    <n v="94130213"/>
    <s v="FOX Sports"/>
    <s v="CPM"/>
    <n v="30"/>
    <s v="3P Imps"/>
    <n v="1190332"/>
    <n v="35709.96"/>
    <m/>
    <m/>
    <s v=" "/>
    <s v=""/>
    <m/>
    <m/>
    <n v="1190332"/>
    <n v="1190332"/>
    <n v="0"/>
    <n v="0"/>
    <n v="1"/>
    <n v="0"/>
    <n v="0"/>
    <n v="0"/>
    <s v="Bill on Actuals - 3rd Party Performance"/>
    <n v="17591.150000000001"/>
    <n v="1750000"/>
    <n v="52500"/>
    <s v="PEPSICO- FRITO LAY /SCATTER / DIGITAL / FY 25-26 / Run of World Cup Digital Video "/>
    <n v="94130210"/>
    <s v="P2+"/>
    <s v="O-D2UTE4O-R0"/>
    <m/>
    <s v="Adam Chardavoyne"/>
    <s v="Guaranteed"/>
    <s v="DIO - ROV - FS - Pre/Mid - MWC - DT/MB/CTV"/>
    <n v="128712"/>
    <d v="2026-06-30T00:00:00"/>
    <d v="2026-06-01T00:00:00"/>
    <d v="2026-07-19T00:00:00"/>
    <s v="Direct ROV"/>
    <m/>
    <d v="2026-07-05T12:53:18"/>
  </r>
  <r>
    <s v="OMD - NY"/>
    <n v="11528"/>
    <n v="8659"/>
    <s v="PEPSICO"/>
    <s v="PEPSICO- FRITO LAY /SCATTER / DIGITAL / FY 25-26 / World Cup Display &amp; Social"/>
    <x v="107"/>
    <s v="Pepsico - Frito Lay - Run of FOX Sports Display -   320x50, 300x250, 728x90, OMP"/>
    <n v="589083"/>
    <s v="Pepsico - Frito Lay - DIS - FS - Display Unit - ROS 320x50, 300x250, 728x90 OMP"/>
    <n v="7321340537"/>
    <s v="FOX Sports"/>
    <s v="CPM"/>
    <n v="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37500"/>
    <n v="15000001"/>
    <n v="75000.009999999995"/>
    <s v="PEPSICO- FRITO LAY /SCATTER / DIGITAL / FY 25-26 / World Cup Display &amp; Social"/>
    <n v="269740"/>
    <s v="P2+"/>
    <s v="O-D2UTE0S-R0"/>
    <m/>
    <s v="Adam Chardavoyne"/>
    <s v="Guaranteed"/>
    <s v="DIS - FS - Display Unit - ROS"/>
    <n v="129136"/>
    <d v="2026-06-30T00:00:00"/>
    <d v="2026-06-01T00:00:00"/>
    <d v="2026-06-27T00:00:00"/>
    <s v="Direct Display"/>
    <m/>
    <d v="2026-07-05T12:53:18"/>
  </r>
  <r>
    <s v="OMD - NY"/>
    <n v="11528"/>
    <n v="8659"/>
    <s v="PEPSICO"/>
    <s v="PEPSICO- FRITO LAY /SCATTER / DIGITAL / FY 25-26 / World Cup Display &amp; Social"/>
    <x v="107"/>
    <s v="Pepsico - Frito Lay - World Cup Social Sponsorship Content - OMP"/>
    <n v="589086"/>
    <s v="Pepsico - Frito Lay - DIO - SOC - FOX Sports - Facebook/Instagram - MWC - OMP"/>
    <n v="589087"/>
    <s v="FOX Sports - FB-Inst"/>
    <s v="Flat Rate"/>
    <n v="0.15"/>
    <s v="Bill on Contract"/>
    <n v="136054600"/>
    <n v="20408.189999999999"/>
    <m/>
    <m/>
    <s v=" "/>
    <n v="0"/>
    <m/>
    <m/>
    <n v="0"/>
    <n v="0"/>
    <n v="0"/>
    <n v="0"/>
    <n v="1"/>
    <n v="0"/>
    <n v="0"/>
    <n v="0"/>
    <s v="Bill on Contract - Pro-rated"/>
    <n v="20408.189999999999"/>
    <n v="444445"/>
    <n v="66666.75"/>
    <s v="PEPSICO- FRITO LAY /SCATTER / DIGITAL / FY 25-26 / World Cup Display &amp; Social"/>
    <n v="269740"/>
    <s v="P2+"/>
    <s v="O-D2UTE0S-R0"/>
    <m/>
    <s v="Adam Chardavoyne"/>
    <s v="Guaranteed"/>
    <s v="DIO - SOC - FOX Sports - Facebook/Instagram - MWC"/>
    <n v="129136"/>
    <d v="2026-06-30T00:00:00"/>
    <d v="2026-06-01T00:00:00"/>
    <d v="2026-07-19T00:00:00"/>
    <s v="Social Facebook/Instagram"/>
    <m/>
    <d v="2026-07-05T12:53:18"/>
  </r>
  <r>
    <s v="OMD - NY"/>
    <n v="11528"/>
    <n v="8659"/>
    <s v="PEPSICO"/>
    <s v="PEPSICO- FRITO LAY /SCATTER / DIGITAL / FY 25-26 / World Cup Display &amp; Social"/>
    <x v="107"/>
    <s v="Pepsico - Frito Lay - World Cup Social Sponsorship Content - OMP"/>
    <n v="589086"/>
    <s v="Pepsico - Frito Lay - DIO - SOC - FOX Sports - TikTok - MWC - OMP"/>
    <n v="589090"/>
    <s v="FOX Sports - TikTok"/>
    <s v="Flat Rate"/>
    <n v="0.15"/>
    <s v="Bill on Contract"/>
    <n v="136054267"/>
    <n v="20408.14"/>
    <m/>
    <m/>
    <s v=" "/>
    <s v=""/>
    <m/>
    <m/>
    <n v="0"/>
    <n v="0"/>
    <n v="0"/>
    <n v="0"/>
    <n v="1"/>
    <n v="0"/>
    <n v="0"/>
    <n v="0"/>
    <s v="Bill on Contract - Pro-rated"/>
    <n v="20408.14"/>
    <n v="444444"/>
    <n v="66666.600000000006"/>
    <s v="PEPSICO- FRITO LAY /SCATTER / DIGITAL / FY 25-26 / World Cup Display &amp; Social"/>
    <n v="269740"/>
    <s v="P2+"/>
    <s v="O-D2UTE0S-R0"/>
    <m/>
    <s v="Adam Chardavoyne"/>
    <s v="Guaranteed"/>
    <s v="DIO - SOC - FOX Sports - TikTok - MWC"/>
    <n v="129136"/>
    <d v="2026-06-30T00:00:00"/>
    <d v="2026-06-01T00:00:00"/>
    <d v="2026-07-19T00:00:00"/>
    <s v="Social TikTok"/>
    <m/>
    <d v="2026-07-05T12:53:18"/>
  </r>
  <r>
    <s v="OMD - NY"/>
    <n v="11528"/>
    <n v="8659"/>
    <s v="PEPSICO"/>
    <s v="PEPSICO- FRITO LAY /SCATTER / DIGITAL / FY 25-26 / World Cup Display &amp; Social"/>
    <x v="107"/>
    <s v="Pepsico - Frito Lay - World Cup Social Sponsorship Content - OMP"/>
    <n v="589086"/>
    <s v="Pepsico - Frito Lay - DIO - SOC - FOX Sports - Youtube - Custom Content - MWC - OMP"/>
    <n v="589089"/>
    <s v="FOX Sports"/>
    <s v="Flat Rate"/>
    <n v="0.15"/>
    <s v="Bill on Contract"/>
    <n v="136054600"/>
    <n v="20408.189999999999"/>
    <m/>
    <m/>
    <s v=" "/>
    <s v=""/>
    <m/>
    <m/>
    <n v="0"/>
    <n v="0"/>
    <n v="0"/>
    <n v="0"/>
    <n v="1"/>
    <n v="0"/>
    <n v="0"/>
    <n v="0"/>
    <s v="Bill on Contract - Pro-rated"/>
    <n v="20408.189999999999"/>
    <n v="444445"/>
    <n v="66666.75"/>
    <s v="PEPSICO- FRITO LAY /SCATTER / DIGITAL / FY 25-26 / World Cup Display &amp; Social"/>
    <n v="269740"/>
    <s v="P2+"/>
    <s v="O-D2UTE0S-R0"/>
    <m/>
    <s v="Adam Chardavoyne"/>
    <s v="Guaranteed"/>
    <s v="DIO - SOC - FOX Sports - Youtube - Custom Content - MWC"/>
    <n v="129136"/>
    <d v="2026-06-30T00:00:00"/>
    <d v="2026-06-01T00:00:00"/>
    <d v="2026-07-19T00:00:00"/>
    <s v="Social"/>
    <m/>
    <d v="2026-07-05T12:53:18"/>
  </r>
  <r>
    <s v="OMD - NY"/>
    <n v="11528"/>
    <n v="8659"/>
    <s v="PEPSICO"/>
    <s v="PEPSICO- FRITO LAY/ SCATTER / DIGITAL / FY 25-26 / World Cup Social X"/>
    <x v="108"/>
    <s v="PEPSICO- FRITO LAY - World Cup Social Sponsorship Content - OMP"/>
    <n v="589069"/>
    <s v="PEPSICO- FRITO LAY - DIO - SOC - FOX Sports - X - MWC - OMP"/>
    <n v="589071"/>
    <s v="FOX Sports - Twitter"/>
    <s v="Flat Rate"/>
    <n v="250000"/>
    <s v="Bill on Contract"/>
    <n v="0"/>
    <n v="76530.61"/>
    <m/>
    <m/>
    <s v=" "/>
    <n v="0"/>
    <m/>
    <m/>
    <n v="0"/>
    <n v="0"/>
    <n v="0"/>
    <n v="0"/>
    <n v="1"/>
    <n v="0"/>
    <n v="0"/>
    <n v="0"/>
    <s v="Bill on Contract - Pro-rated"/>
    <n v="76530.61"/>
    <n v="1"/>
    <n v="250000"/>
    <s v="PEPSICO- FRITO LAY/ SCATTER / DIGITAL / FY 25-26 / World Cup Social X"/>
    <n v="269737"/>
    <s v="P2+"/>
    <s v="O-D2UTE39-R0"/>
    <m/>
    <s v="Adam Chardavoyne"/>
    <s v="Guaranteed"/>
    <s v="DIO - SOC - FOX Sports - X - MWC"/>
    <n v="128456"/>
    <d v="2026-06-30T00:00:00"/>
    <d v="2026-06-01T00:00:00"/>
    <d v="2026-07-19T00:00:00"/>
    <s v="Social X"/>
    <m/>
    <d v="2026-07-05T12:53:18"/>
  </r>
  <r>
    <s v="OMD - NY"/>
    <n v="11528"/>
    <n v="6766"/>
    <s v="US ARMY"/>
    <s v="Army / UPFRONT / DIGITAL / SPORTS 2025/26"/>
    <x v="109"/>
    <s v="ARMY - DIO - ROV - FS - Pre/Mid - ROS - DT/MB/CTV - 2Q'26 AAT A1849"/>
    <n v="585268"/>
    <s v="ARMY  - DIO - ROV - FS - Pre/Mid - ROS - DT/MB/CTV - 2Q'26 AAT A1849 June"/>
    <n v="93714810"/>
    <s v="FOX Sports"/>
    <s v="CPM"/>
    <n v="27.97"/>
    <s v="3P Audience Target"/>
    <n v="327417"/>
    <n v="8691.3700000000008"/>
    <m/>
    <m/>
    <s v=" "/>
    <n v="0"/>
    <m/>
    <m/>
    <n v="327417"/>
    <n v="327417"/>
    <n v="0"/>
    <n v="0"/>
    <n v="1"/>
    <n v="0"/>
    <n v="0"/>
    <n v="0"/>
    <s v="Bill on Actuals - 3rd Party Performance"/>
    <n v="965.55"/>
    <n v="310739"/>
    <n v="8691.3700000000008"/>
    <s v="Army / UPFRONT / DIGITAL / SPORTS 2025/26"/>
    <n v="90456771"/>
    <s v="Audience Target"/>
    <s v="O-5xvkr-r2"/>
    <m/>
    <s v="Adam Chardavoyne"/>
    <s v="Guaranteed"/>
    <s v="DIO - ROV - FS - Pre/Mid - ROS - DT/MB/CTV"/>
    <n v="109200"/>
    <d v="2026-06-30T00:00:00"/>
    <d v="2026-04-24T00:00:00"/>
    <d v="2026-06-28T00:00:00"/>
    <s v="Direct ROV"/>
    <m/>
    <d v="2026-07-05T12:53:18"/>
  </r>
  <r>
    <s v="PHD USA - NY"/>
    <n v="10462"/>
    <n v="2078"/>
    <s v="AUDI"/>
    <s v="Audi/Digital/Upfront/Sports/MLS/2026"/>
    <x v="110"/>
    <s v="Audi - LFV - FSLS - Pre - MLS - DT/MB/CTV - 100% SOV Sponsorship - 2026"/>
    <n v="538224"/>
    <s v="Audi - LFV - FSLS - Pre - MLS - DT/MB/CTV - 100% SOV Sponsorship - 2026"/>
    <n v="91575892"/>
    <s v="FOX Sports Streaming"/>
    <s v="Flat Rate"/>
    <n v="75000"/>
    <s v="SOV"/>
    <n v="0"/>
    <n v="75000"/>
    <m/>
    <m/>
    <s v=" "/>
    <n v="0"/>
    <m/>
    <s v="Show Only Net; NONE"/>
    <n v="0"/>
    <n v="0"/>
    <n v="0"/>
    <n v="0"/>
    <n v="1"/>
    <n v="0"/>
    <n v="0"/>
    <n v="0"/>
    <s v="Bill on Contract - Pro-rated"/>
    <n v="6768"/>
    <n v="1"/>
    <n v="75000"/>
    <s v="Audi/Digital/Upfront/Sports/MLS/2026"/>
    <n v="253348"/>
    <s v="P2+"/>
    <s v="O-D2JBF55-R4"/>
    <m/>
    <s v="Nicole Gamache"/>
    <s v="Guaranteed"/>
    <s v="LFV - FSLS - Pre - MLS - DT/MB/CTV - SOV Sponsorship"/>
    <n v="101619"/>
    <d v="2026-06-30T00:00:00"/>
    <d v="2026-02-21T00:00:00"/>
    <d v="2026-12-31T00:00:00"/>
    <s v="Direct LFV"/>
    <m/>
    <d v="2026-07-05T12:53:18"/>
  </r>
  <r>
    <s v="PHD USA - NY"/>
    <n v="10462"/>
    <n v="2078"/>
    <s v="AUDI"/>
    <s v="Audi/Digital/Upfront/Sports/MLS/2026"/>
    <x v="110"/>
    <s v="Audi - LFV - ROV - FS - Pre/Mid - MLS/Soccer - DT/MB/TB/CTV - CoV - P2+ - Package - 2026"/>
    <n v="538226"/>
    <s v="Audi - DIO - ROV - FS - Pre/Mid - MLS - DT/MB/CTV - CoV - P2+ - 2026"/>
    <n v="91493157"/>
    <s v="FOX Sports"/>
    <s v="CPM"/>
    <n v="25.7"/>
    <s v="3P CoView Imps"/>
    <n v="111"/>
    <n v="2.85"/>
    <m/>
    <m/>
    <s v=" "/>
    <n v="0"/>
    <m/>
    <m/>
    <n v="181"/>
    <n v="104"/>
    <n v="194"/>
    <n v="111"/>
    <n v="1"/>
    <n v="1.071823204419889"/>
    <n v="0"/>
    <n v="0"/>
    <s v="Bill on Actuals - 3rd Party Performance"/>
    <n v="211.02"/>
    <n v="194553"/>
    <n v="5000.01"/>
    <s v="Audi/Digital/Upfront/Sports/MLS/2026"/>
    <n v="91493146"/>
    <s v="P2+"/>
    <s v="O-D2JBF55-R4"/>
    <m/>
    <s v="Nicole Gamache"/>
    <s v="Guaranteed"/>
    <s v="DIO - ROV - FS - Pre/Mid - MLS - DT/MB/CTV"/>
    <n v="101619"/>
    <d v="2026-06-30T00:00:00"/>
    <d v="2026-02-21T00:00:00"/>
    <d v="2026-12-31T00:00:00"/>
    <s v="Direct ROV"/>
    <m/>
    <d v="2026-07-05T12:53:18"/>
  </r>
  <r>
    <s v="PHD USA - NY"/>
    <n v="10462"/>
    <n v="2078"/>
    <s v="AUDI"/>
    <s v="Audi/Digital/Upfront/Sports/MLS/2026"/>
    <x v="110"/>
    <s v="Audi - LFV - ROV - FS - Pre/Mid - MLS/Soccer - DT/MB/TB/CTV - CoV - P2+ - Package - 2026"/>
    <n v="538226"/>
    <s v="Audi - DIO - ROV - FS - Pre/Mid - SOCCER - DT/MB/CTV - CoV - P2+ - 2026"/>
    <n v="91493153"/>
    <s v="FOX Sports"/>
    <s v="CPM"/>
    <n v="25.7"/>
    <s v="3P CoView Imps"/>
    <n v="22088"/>
    <n v="567.66"/>
    <m/>
    <m/>
    <s v=" "/>
    <s v=""/>
    <m/>
    <m/>
    <n v="14275"/>
    <n v="20082"/>
    <n v="15701"/>
    <n v="22088"/>
    <n v="1"/>
    <n v="1.0998950682056661"/>
    <n v="0"/>
    <n v="0"/>
    <s v="Bill on Actuals - 3rd Party Performance"/>
    <n v="211.02"/>
    <n v="194553"/>
    <n v="5000.01"/>
    <s v="Audi/Digital/Upfront/Sports/MLS/2026"/>
    <n v="91493146"/>
    <s v="P2+"/>
    <s v="O-D2JBF55-R4"/>
    <m/>
    <s v="Nicole Gamache"/>
    <s v="Guaranteed"/>
    <s v="DIO - ROV - FS - Pre/Mid - SOCCER - DT/MB/CTV"/>
    <n v="101619"/>
    <d v="2026-06-30T00:00:00"/>
    <d v="2026-02-21T00:00:00"/>
    <d v="2026-12-31T00:00:00"/>
    <s v="Direct ROV"/>
    <m/>
    <d v="2026-07-05T12:53:18"/>
  </r>
  <r>
    <s v="PHD USA - NY"/>
    <n v="10462"/>
    <n v="4473"/>
    <s v="DIAGEO"/>
    <s v="Diageo/CASAMIGOS/Digital/Direct/Scatter/Sports/MWC/2026/JUNE"/>
    <x v="111"/>
    <s v="Diageo - Casamigos  - OMP - Run of World Cup Video - Package - FY26"/>
    <n v="588192"/>
    <s v="Diageo - Casamigos - OMP -  DIO - ROV - FS - Pre/Mid - MWC - DT/MB/CTV - FY26"/>
    <n v="94177954"/>
    <s v="FOX Sports"/>
    <s v="Flat Rate"/>
    <n v="32.5"/>
    <s v="Bill on Contract"/>
    <n v="124616"/>
    <n v="4050.01"/>
    <m/>
    <m/>
    <s v=" "/>
    <n v="0"/>
    <m/>
    <m/>
    <n v="253817"/>
    <n v="253817"/>
    <n v="0"/>
    <n v="0"/>
    <n v="1"/>
    <n v="0"/>
    <n v="0"/>
    <n v="0"/>
    <s v="Bill on Contract - Straightline"/>
    <n v="4050.01"/>
    <n v="249231"/>
    <n v="8100.01"/>
    <s v="Diageo/CASAMIGOS/Digital/Direct/Scatter/Sports/MWC/2026/JUNE"/>
    <n v="94177945"/>
    <s v="P2+"/>
    <s v="O-D2RITVL-R3"/>
    <m/>
    <s v="Nicole Gamache"/>
    <s v="Guaranteed"/>
    <s v="DIO - ROV - FS - Pre/Mid - MWC - DT/MB/CTV"/>
    <n v="128995"/>
    <d v="2026-06-30T00:00:00"/>
    <d v="2026-06-01T00:00:00"/>
    <d v="2026-06-30T00:00:00"/>
    <s v="Direct ROV"/>
    <m/>
    <d v="2026-07-05T12:53:18"/>
  </r>
  <r>
    <s v="PHD USA - NY"/>
    <n v="10462"/>
    <n v="4473"/>
    <s v="DIAGEO"/>
    <s v="Diageo/CASAMIGOS/Digital/Direct/Scatter/Sports/MWC/2026/JUNE"/>
    <x v="111"/>
    <s v="Diageo - Casamigos  - OMP - Run of World Cup Video - Package - FY26"/>
    <n v="588192"/>
    <s v="Diageo - Casamigos - OMP - DIO - LFV - TUB - Pre/Mid - MWC - DT/MB/CTV - FY26"/>
    <n v="94177962"/>
    <s v="Fox Sold Tubi"/>
    <s v="Flat Rate"/>
    <n v="32.5"/>
    <s v="Bill on Contract"/>
    <n v="290769"/>
    <n v="9450"/>
    <m/>
    <m/>
    <s v=" "/>
    <s v=""/>
    <m/>
    <m/>
    <n v="590957"/>
    <n v="590957"/>
    <n v="0"/>
    <n v="0"/>
    <n v="1"/>
    <n v="0"/>
    <n v="0"/>
    <n v="0"/>
    <s v="Bill on Contract - Straightline"/>
    <n v="9450"/>
    <n v="581538"/>
    <n v="18899.990000000002"/>
    <s v="Diageo/CASAMIGOS/Digital/Direct/Scatter/Sports/MWC/2026/JUNE"/>
    <n v="94177945"/>
    <s v="P2+"/>
    <s v="O-D2RITVL-R3"/>
    <m/>
    <s v="Nicole Gamache"/>
    <s v="Guaranteed"/>
    <s v="DIO - LFV - TUB - Pre/Mid - MWC - DT/MB/CTV"/>
    <n v="128995"/>
    <d v="2026-06-30T00:00:00"/>
    <d v="2026-06-01T00:00:00"/>
    <d v="2026-06-30T00:00:00"/>
    <s v="Direct LFV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 DIS - FS - Blank - ROS - Sponsorship"/>
    <n v="7316403337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Guaranteed"/>
    <s v="DIS - FS - Blank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 DIS - FS - Display Unit - ROS - Sponsorship - Half Page - 300x600 - [takeover date 6/14]"/>
    <n v="7317937919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Straightline"/>
    <n v="30000"/>
    <n v="1"/>
    <n v="60000"/>
    <s v="Diageo/CASAMIGOS/Digital/Direct/Scatter/Sports/MWC/2026/JUNE"/>
    <n v="269478"/>
    <s v="P2+"/>
    <s v="O-D2RITVL-R3"/>
    <m/>
    <s v="Nicole Gamache"/>
    <s v="Guaranteed"/>
    <s v="DIS - FS - Display Unit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 DIS - FS - Display Unit - ROS - Sponsorship - Leaderboard - 728x90 - [takeover date 6/14]"/>
    <n v="7314018390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Straightline"/>
    <n v="30000"/>
    <n v="1"/>
    <n v="60000"/>
    <s v="Diageo/CASAMIGOS/Digital/Direct/Scatter/Sports/MWC/2026/JUNE"/>
    <n v="269478"/>
    <s v="P2+"/>
    <s v="O-D2RITVL-R3"/>
    <m/>
    <s v="Nicole Gamache"/>
    <s v="Guaranteed"/>
    <s v="DIS - FS - Display Unit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 DIS - FS - Display Unit - ROS - Sponsorship - Medium Rectangle - 300x250 - [takeover date 6/14]"/>
    <n v="7317938042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Straightline"/>
    <n v="30000"/>
    <n v="1"/>
    <n v="60000"/>
    <s v="Diageo/CASAMIGOS/Digital/Direct/Scatter/Sports/MWC/2026/JUNE"/>
    <n v="269478"/>
    <s v="P2+"/>
    <s v="O-D2RITVL-R3"/>
    <m/>
    <s v="Nicole Gamache"/>
    <s v="Guaranteed"/>
    <s v="DIS - FS - Display Unit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 DIS - FS - High Impact - ROS - Sponsorship"/>
    <n v="7317937403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Straightline"/>
    <n v="30000"/>
    <n v="1"/>
    <n v="60000"/>
    <s v="Diageo/CASAMIGOS/Digital/Direct/Scatter/Sports/MWC/2026/JUNE"/>
    <n v="269478"/>
    <s v="P2+"/>
    <s v="O-D2RITVL-R3"/>
    <m/>
    <s v="Nicole Gamache"/>
    <s v="Guaranteed"/>
    <s v="DIS - FS - High Impact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FOX Sports Site &amp; App Takeover - Package - FY26"/>
    <n v="588198"/>
    <s v="Diageo - Casamigos - OMP - DIS - FS - Display Unit - ROS - Sponsorship - Mobile Banner - 320x50 - [takeover date 6/14]"/>
    <n v="7316405023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Straightline"/>
    <n v="30000"/>
    <n v="1"/>
    <n v="60000"/>
    <s v="Diageo/CASAMIGOS/Digital/Direct/Scatter/Sports/MWC/2026/JUNE"/>
    <n v="269478"/>
    <s v="P2+"/>
    <s v="O-D2RITVL-R3"/>
    <m/>
    <s v="Nicole Gamache"/>
    <s v="Guaranteed"/>
    <s v="DIS - FS - Display Unit - ROS - Sponsorship"/>
    <n v="128995"/>
    <d v="2026-06-30T00:00:00"/>
    <d v="2026-06-14T00:00:00"/>
    <d v="2026-06-14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NOW Integrations &amp; Jersey Swap Coverage - Package - FY26"/>
    <n v="588205"/>
    <s v="Diageo - Casamigos - OMP -  World Cup NOW Integrations &amp; Jersey Swap Coverage - DIO - SOC - FOX Sports - Facebook/Instagram - MWC  - FY26"/>
    <n v="588206"/>
    <s v="FOX Sports - FB-Inst"/>
    <s v="Flat Rate"/>
    <n v="0.15"/>
    <s v="Bill on Contract"/>
    <n v="388889000"/>
    <n v="58333.35"/>
    <m/>
    <m/>
    <s v=" "/>
    <n v="0"/>
    <m/>
    <m/>
    <n v="0"/>
    <n v="0"/>
    <n v="0"/>
    <n v="0"/>
    <n v="1"/>
    <n v="0"/>
    <n v="0"/>
    <n v="0"/>
    <s v="Bill on Contract - Straightline"/>
    <n v="58333.35"/>
    <n v="777778"/>
    <n v="116666.7"/>
    <s v="Diageo/CASAMIGOS/Digital/Direct/Scatter/Sports/MWC/2026/JUNE"/>
    <n v="269478"/>
    <s v="P2+"/>
    <s v="O-D2RITVL-R3"/>
    <m/>
    <s v="Nicole Gamache"/>
    <s v="Guaranteed"/>
    <s v="DIO - SOC - FOX Sports - Facebook/Instagram - MWC"/>
    <n v="128995"/>
    <d v="2026-06-30T00:00:00"/>
    <d v="2026-06-01T00:00:00"/>
    <d v="2026-06-30T00:00:00"/>
    <s v="Social Facebook/Instagram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NOW Integrations &amp; Jersey Swap Coverage - Package - FY26"/>
    <n v="588205"/>
    <s v="Diageo - Casamigos - OMP - DIO - SOC - FOX Sports - TikTok - MWC  - FY26"/>
    <n v="588208"/>
    <s v="FOX Sports - TikTok"/>
    <s v="Flat Rate"/>
    <n v="0.15"/>
    <s v="Bill on Contract"/>
    <n v="388889000"/>
    <n v="58333.35"/>
    <m/>
    <m/>
    <s v=" "/>
    <s v=""/>
    <m/>
    <m/>
    <n v="0"/>
    <n v="0"/>
    <n v="0"/>
    <n v="0"/>
    <n v="1"/>
    <n v="0"/>
    <n v="0"/>
    <n v="0"/>
    <s v="Bill on Contract - Straightline"/>
    <n v="58333.35"/>
    <n v="777778"/>
    <n v="116666.7"/>
    <s v="Diageo/CASAMIGOS/Digital/Direct/Scatter/Sports/MWC/2026/JUNE"/>
    <n v="269478"/>
    <s v="P2+"/>
    <s v="O-D2RITVL-R3"/>
    <m/>
    <s v="Nicole Gamache"/>
    <s v="Guaranteed"/>
    <s v="DIO - SOC - FOX Sports - TikTok - MWC"/>
    <n v="128995"/>
    <d v="2026-06-30T00:00:00"/>
    <d v="2026-06-01T00:00:00"/>
    <d v="2026-06-30T00:00:00"/>
    <s v="Social TikTok"/>
    <m/>
    <d v="2026-07-05T12:53:18"/>
  </r>
  <r>
    <s v="PHD USA - NY"/>
    <n v="10462"/>
    <n v="4473"/>
    <s v="DIAGEO"/>
    <s v="Diageo/CASAMIGOS/Digital/Direct/Scatter/Sports/MWC/2026/JUNE"/>
    <x v="111"/>
    <s v="Diageo - Casamigos - OMP - World Cup NOW Integrations &amp; Jersey Swap Coverage - Package - FY26"/>
    <n v="588205"/>
    <s v="Diageo - Casamigos - OMP - DIO - SOC - FOX Sports - Youtube - Custom Content - MWC  - FY26"/>
    <n v="588207"/>
    <s v="FOX Sports"/>
    <s v="Flat Rate"/>
    <n v="0.15"/>
    <s v="Bill on Contract"/>
    <n v="388889000"/>
    <n v="58333.35"/>
    <m/>
    <m/>
    <s v=" "/>
    <s v=""/>
    <m/>
    <m/>
    <n v="0"/>
    <n v="0"/>
    <n v="0"/>
    <n v="0"/>
    <n v="1"/>
    <n v="0"/>
    <n v="0"/>
    <n v="0"/>
    <s v="Bill on Contract - Straightline"/>
    <n v="58333.35"/>
    <n v="777778"/>
    <n v="116666.7"/>
    <s v="Diageo/CASAMIGOS/Digital/Direct/Scatter/Sports/MWC/2026/JUNE"/>
    <n v="269478"/>
    <s v="P2+"/>
    <s v="O-D2RITVL-R3"/>
    <m/>
    <s v="Nicole Gamache"/>
    <s v="Guaranteed"/>
    <s v="DIO - SOC - FOX Sports - Youtube - Custom Content - MWC"/>
    <n v="128995"/>
    <d v="2026-06-30T00:00:00"/>
    <d v="2026-06-01T00:00:00"/>
    <d v="2026-06-30T00:00:00"/>
    <s v="Social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 DIS - FS - Blank - ROS - Sponsorship"/>
    <n v="7341859626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Blank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 DIS - FS - Display Unit - ROS - Sponsorship - Half Page - 300x600 - [takeover date 6/14]"/>
    <n v="7345874609"/>
    <s v="FOX Sports"/>
    <s v="Flat Rate"/>
    <n v="0"/>
    <s v="Bill on Contrac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Display Unit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 DIS - FS - Display Unit - ROS - Sponsorship - Leaderboard - 728x90 - [takeover date 6/14]"/>
    <n v="7341859605"/>
    <s v="FOX Sports"/>
    <s v="Flat Rate"/>
    <n v="0"/>
    <s v="Bill on Contrac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Display Unit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 DIS - FS - Display Unit - ROS - Sponsorship - Medium Rectangle - 300x250 - [takeover date 6/14]"/>
    <n v="7344315571"/>
    <s v="FOX Sports"/>
    <s v="Flat Rate"/>
    <n v="0"/>
    <s v="Bill on Contrac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Display Unit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 DIS - FS - High Impact - ROS - Sponsorship"/>
    <n v="7341858375"/>
    <s v="FOX Sports"/>
    <s v="Flat Rate"/>
    <n v="0"/>
    <s v="Bill on Contrac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High Impact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CASAMIGOS/Digital/Direct/Scatter/Sports/MWC/2026/JUNE"/>
    <x v="111"/>
    <s v="MG - Diageo - Casamigos - OMP - World Cup FOX Sports Site &amp; App Takeover - Package - FY26"/>
    <n v="594401"/>
    <s v="MG - Diageo - Casamigos - OMP - DIS - FS - Display Unit - ROS - Sponsorship - Mobile Banner - 320x50 - [takeover date 6/14]"/>
    <n v="7345874612"/>
    <s v="FOX Sports"/>
    <s v="Flat Rate"/>
    <n v="0"/>
    <s v="Bill on Contract"/>
    <n v="0"/>
    <n v="0"/>
    <m/>
    <m/>
    <s v=" "/>
    <s v=""/>
    <m/>
    <m/>
    <n v="0"/>
    <n v="0"/>
    <n v="0"/>
    <n v="0"/>
    <n v="1"/>
    <n v="0"/>
    <n v="0"/>
    <n v="0"/>
    <s v="Bill on Contract - Straightline"/>
    <n v="0"/>
    <n v="1"/>
    <n v="0"/>
    <s v="Diageo/CASAMIGOS/Digital/Direct/Scatter/Sports/MWC/2026/JUNE"/>
    <n v="269478"/>
    <s v="P2+"/>
    <s v="O-D2RITVL-R3"/>
    <m/>
    <s v="Nicole Gamache"/>
    <s v="Make Good"/>
    <s v="DIS - FS - Display Unit - ROS - Sponsorship"/>
    <n v="128995"/>
    <d v="2026-06-30T00:00:00"/>
    <d v="2026-06-22T00:00:00"/>
    <d v="2026-06-22T00:00:00"/>
    <s v="Direct Display"/>
    <m/>
    <d v="2026-07-05T12:53:18"/>
  </r>
  <r>
    <s v="PHD USA - NY"/>
    <n v="10462"/>
    <n v="4473"/>
    <s v="DIAGEO"/>
    <s v="Diageo/DONJULIO/Digital/Direct/Scatter/Sports/MWC/2026/JUNE"/>
    <x v="112"/>
    <s v="Diageo - Don Julio -OMP -Run of World Cup Video - Package - FY26"/>
    <n v="588259"/>
    <s v="Diageo - Don Julio  - OMP -  DIO - LFV - TUB - Pre/Mid - MWC - DT/MB/CTV - FY26"/>
    <n v="94054293"/>
    <s v="Fox Sold Tubi"/>
    <s v="CPM"/>
    <n v="32.5"/>
    <s v="3P Imps"/>
    <n v="2874579"/>
    <n v="91875"/>
    <m/>
    <m/>
    <s v=" "/>
    <n v="0"/>
    <m/>
    <m/>
    <n v="2874579"/>
    <n v="2874579"/>
    <n v="0"/>
    <n v="0"/>
    <n v="1"/>
    <n v="0"/>
    <n v="0"/>
    <n v="0"/>
    <s v="Bill on Actuals - 3rd Party Performance"/>
    <n v="45937.5"/>
    <n v="2826923"/>
    <n v="91875"/>
    <s v="Diageo/DONJULIO/Digital/Direct/Scatter/Sports/MWC/2026/JUNE"/>
    <n v="94054283"/>
    <s v="P2+"/>
    <s v="O-D2RJ2PD-R3"/>
    <m/>
    <s v="Nicole Gamache"/>
    <s v="Guaranteed"/>
    <s v="DIO - LFV - TUB - Pre/Mid - MWC - DT/MB/CTV"/>
    <n v="128342"/>
    <d v="2026-06-30T00:00:00"/>
    <d v="2026-06-01T00:00:00"/>
    <d v="2026-06-30T00:00:00"/>
    <s v="Direct LFV"/>
    <m/>
    <d v="2026-07-05T12:53:18"/>
  </r>
  <r>
    <s v="PHD USA - NY"/>
    <n v="10462"/>
    <n v="4473"/>
    <s v="DIAGEO"/>
    <s v="Diageo/DONJULIO/Digital/Direct/Scatter/Sports/MWC/2026/JUNE"/>
    <x v="112"/>
    <s v="Diageo - Don Julio -OMP -Run of World Cup Video - Package - FY26"/>
    <n v="588259"/>
    <s v="Diageo - Don Julio  - OMP - DIO - ROV - FS - Pre/Mid - MWC - DT/MB/CTV - FY26"/>
    <n v="94054286"/>
    <s v="FOX Sports"/>
    <s v="CPM"/>
    <n v="32.5"/>
    <s v="3P Imps"/>
    <n v="1236483"/>
    <n v="39375.019999999997"/>
    <m/>
    <m/>
    <s v=" "/>
    <s v=""/>
    <m/>
    <m/>
    <n v="1236483"/>
    <n v="1236483"/>
    <n v="0"/>
    <n v="0"/>
    <n v="1"/>
    <n v="0"/>
    <n v="0"/>
    <n v="0"/>
    <s v="Bill on Actuals - 3rd Party Performance"/>
    <n v="19687.509999999998"/>
    <n v="1211539"/>
    <n v="39375.019999999997"/>
    <s v="Diageo/DONJULIO/Digital/Direct/Scatter/Sports/MWC/2026/JUNE"/>
    <n v="94054283"/>
    <s v="P2+"/>
    <s v="O-D2RJ2PD-R3"/>
    <m/>
    <s v="Nicole Gamache"/>
    <s v="Guaranteed"/>
    <s v="DIO - ROV - FS - Pre/Mid - MWC - DT/MB/CTV"/>
    <n v="128342"/>
    <d v="2026-06-30T00:00:00"/>
    <d v="2026-06-01T00:00:00"/>
    <d v="2026-06-30T00:00:00"/>
    <s v="Direct ROV"/>
    <m/>
    <d v="2026-07-05T12:53:18"/>
  </r>
  <r>
    <s v="PHD USA - NY"/>
    <n v="10462"/>
    <n v="4473"/>
    <s v="DIAGEO"/>
    <s v="Diageo/DONJULIO/Digital/Direct/Scatter/Sports/MWC/2026/JUNE"/>
    <x v="112"/>
    <s v="Diageo - Don Julio - OMP -  Run of World Cup Display - Package - FY26"/>
    <n v="588262"/>
    <s v="Diageo - Don Julio - OMP - DIS - FS - Display Unit - MWC - FY26 - 300x250, 320x50, 728x90"/>
    <n v="7312810991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3887.29"/>
    <n v="7291667"/>
    <n v="43750"/>
    <s v="Diageo/DONJULIO/Digital/Direct/Scatter/Sports/MWC/2026/JUNE"/>
    <n v="269479"/>
    <s v="P2+"/>
    <s v="O-D2RJ2PD-R3"/>
    <m/>
    <s v="Nicole Gamache"/>
    <s v="Guaranteed"/>
    <s v="DIS - FS - Display Unit - MWC"/>
    <n v="128342"/>
    <d v="2026-06-30T00:00:00"/>
    <d v="2026-06-01T00:00:00"/>
    <d v="2026-06-30T00:00:00"/>
    <s v="Direct Display"/>
    <m/>
    <d v="2026-07-05T12:53:18"/>
  </r>
  <r>
    <s v="PHD USA - NY"/>
    <n v="10462"/>
    <n v="4473"/>
    <s v="DIAGEO"/>
    <s v="Diageo/GUINNESS/Digital/Direct/Scatter/Sports/MWC/2026/JUNE"/>
    <x v="113"/>
    <s v="Diageo - Guinness - OMP -  Run of World Cup Display - Package - FY26"/>
    <n v="588361"/>
    <s v="Diageo - Guinness - OMP - DIS - FS - Display Unit - MWC - FY26 - 300x250, 320x50, 728x90"/>
    <n v="7312809785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9199.57"/>
    <n v="3083333"/>
    <n v="18500"/>
    <s v="Diageo/GUINNESS/Digital/Direct/Scatter/Sports/MWC/2026/JUNE"/>
    <n v="269482"/>
    <s v="P2+"/>
    <s v="O-607K2-R2"/>
    <m/>
    <s v="Nicole Gamache"/>
    <s v="Guaranteed"/>
    <s v="DIS - FS - Display Unit - MWC"/>
    <n v="128343"/>
    <d v="2026-06-30T00:00:00"/>
    <d v="2026-06-01T00:00:00"/>
    <d v="2026-06-30T00:00:00"/>
    <s v="Direct Display"/>
    <m/>
    <d v="2026-07-05T12:53:18"/>
  </r>
  <r>
    <s v="PHD USA - NY"/>
    <n v="10462"/>
    <n v="4473"/>
    <s v="DIAGEO"/>
    <s v="Diageo/GUINNESS/Digital/Direct/Scatter/Sports/MWC/2026/JUNE"/>
    <x v="113"/>
    <s v="Diageo - Guinness - OMP - Run of World Cup Video - Package - FY26"/>
    <n v="588363"/>
    <s v="Diageo - Guinness -  DIO - ROV - FS - Pre/Mid - MWC - DT/MB/CTV - FY26"/>
    <n v="94010960"/>
    <s v="FOX Sports"/>
    <s v="CPM"/>
    <n v="32.5"/>
    <s v="3P Imps"/>
    <n v="527509"/>
    <n v="16650.009999999998"/>
    <m/>
    <m/>
    <s v=" "/>
    <n v="0"/>
    <m/>
    <m/>
    <n v="527509"/>
    <n v="527509"/>
    <n v="0"/>
    <n v="0"/>
    <n v="1"/>
    <n v="0"/>
    <n v="0"/>
    <n v="0"/>
    <s v="Bill on Actuals - 3rd Party Performance"/>
    <n v="8325"/>
    <n v="512308"/>
    <n v="16650.009999999998"/>
    <s v="Diageo/GUINNESS/Digital/Direct/Scatter/Sports/MWC/2026/JUNE"/>
    <n v="94010957"/>
    <s v="P2+"/>
    <s v="O-607K2-R2"/>
    <m/>
    <s v="Nicole Gamache"/>
    <s v="Guaranteed"/>
    <s v="DIO - ROV - FS - Pre/Mid - MWC - DT/MB/CTV"/>
    <n v="128343"/>
    <d v="2026-06-30T00:00:00"/>
    <d v="2026-06-01T00:00:00"/>
    <d v="2026-06-30T00:00:00"/>
    <s v="Direct ROV"/>
    <m/>
    <d v="2026-07-05T12:53:18"/>
  </r>
  <r>
    <s v="PHD USA - NY"/>
    <n v="10462"/>
    <n v="4473"/>
    <s v="DIAGEO"/>
    <s v="Diageo/GUINNESS/Digital/Direct/Scatter/Sports/MWC/2026/JUNE"/>
    <x v="113"/>
    <s v="Diageo - Guinness - OMP - Run of World Cup Video - Package - FY26"/>
    <n v="588363"/>
    <s v="Diageo - Guinness - DIO - LFV - TUB - Pre/Mid - MWC - DT/MB/CTV - FY26"/>
    <n v="94010963"/>
    <s v="Fox Sold Tubi"/>
    <s v="CPM"/>
    <n v="32.5"/>
    <s v="3P Imps"/>
    <n v="1229512"/>
    <n v="38850.01"/>
    <m/>
    <m/>
    <s v=" "/>
    <s v=""/>
    <m/>
    <m/>
    <n v="1229512"/>
    <n v="1229512"/>
    <n v="0"/>
    <n v="0"/>
    <n v="1"/>
    <n v="0"/>
    <n v="0"/>
    <n v="0"/>
    <s v="Bill on Actuals - 3rd Party Performance"/>
    <n v="19425.009999999998"/>
    <n v="1195385"/>
    <n v="38850.01"/>
    <s v="Diageo/GUINNESS/Digital/Direct/Scatter/Sports/MWC/2026/JUNE"/>
    <n v="94010957"/>
    <s v="P2+"/>
    <s v="O-607K2-R2"/>
    <m/>
    <s v="Nicole Gamache"/>
    <s v="Guaranteed"/>
    <s v="DIO - LFV - TUB - Pre/Mid - MWC - DT/MB/CTV"/>
    <n v="128343"/>
    <d v="2026-06-30T00:00:00"/>
    <d v="2026-06-01T00:00:00"/>
    <d v="2026-06-30T00:00:00"/>
    <s v="Direct LFV"/>
    <m/>
    <d v="2026-07-05T12:53:18"/>
  </r>
  <r>
    <s v="PHD USA - NY"/>
    <n v="10462"/>
    <n v="4473"/>
    <s v="DIAGEO"/>
    <s v="Diageo/KETEL/Digital/Direct/Scatter/Sports/MWC/2026/JUNE"/>
    <x v="114"/>
    <s v="Diageo - Ketel - OMP -Run of World Cup Video - Package - FY26"/>
    <n v="588310"/>
    <s v="Diageo - Ketel  - OMP - DIO - LFV - TUB - Pre/Mid - MWC - DT/MB/CTV - FY26"/>
    <n v="94010698"/>
    <s v="Fox Sold Tubi"/>
    <s v="CPM"/>
    <n v="32.5"/>
    <s v="3P Imps"/>
    <n v="1662119"/>
    <n v="52500.01"/>
    <m/>
    <m/>
    <s v=" "/>
    <n v="0"/>
    <m/>
    <m/>
    <n v="1662119"/>
    <n v="1662119"/>
    <n v="0"/>
    <n v="0"/>
    <n v="1"/>
    <n v="0"/>
    <n v="0"/>
    <n v="0"/>
    <s v="Bill on Actuals - 3rd Party Performance"/>
    <n v="26250.01"/>
    <n v="1615385"/>
    <n v="52500.01"/>
    <s v="Diageo/KETEL/Digital/Direct/Scatter/Sports/MWC/2026/JUNE"/>
    <n v="94010685"/>
    <s v="P2+"/>
    <s v="O-D2RJ2G9-R2"/>
    <m/>
    <s v="Nicole Gamache"/>
    <s v="Guaranteed"/>
    <s v="DIO - LFV - TUB - Pre/Mid - MWC - DT/MB/CTV"/>
    <n v="128368"/>
    <d v="2026-06-30T00:00:00"/>
    <d v="2026-06-01T00:00:00"/>
    <d v="2026-06-30T00:00:00"/>
    <s v="Direct LFV"/>
    <m/>
    <d v="2026-07-05T12:53:18"/>
  </r>
  <r>
    <s v="PHD USA - NY"/>
    <n v="10462"/>
    <n v="4473"/>
    <s v="DIAGEO"/>
    <s v="Diageo/KETEL/Digital/Direct/Scatter/Sports/MWC/2026/JUNE"/>
    <x v="114"/>
    <s v="Diageo - Ketel - OMP -Run of World Cup Video - Package - FY26"/>
    <n v="588310"/>
    <s v="Diageo - Ketel - OMP - DIO - ROV - FS - Pre/Mid - MWC - DT/MB/CTV - FY26"/>
    <n v="94010692"/>
    <s v="FOX Sports"/>
    <s v="CPM"/>
    <n v="32.5"/>
    <s v="3P Imps"/>
    <n v="707321"/>
    <n v="22500.01"/>
    <m/>
    <m/>
    <s v=" "/>
    <s v=""/>
    <m/>
    <m/>
    <n v="707321"/>
    <n v="707321"/>
    <n v="0"/>
    <n v="0"/>
    <n v="1"/>
    <n v="0"/>
    <n v="0"/>
    <n v="0"/>
    <s v="Bill on Actuals - 3rd Party Performance"/>
    <n v="11250.01"/>
    <n v="692308"/>
    <n v="22500.01"/>
    <s v="Diageo/KETEL/Digital/Direct/Scatter/Sports/MWC/2026/JUNE"/>
    <n v="94010685"/>
    <s v="P2+"/>
    <s v="O-D2RJ2G9-R2"/>
    <m/>
    <s v="Nicole Gamache"/>
    <s v="Guaranteed"/>
    <s v="DIO - ROV - FS - Pre/Mid - MWC - DT/MB/CTV"/>
    <n v="128368"/>
    <d v="2026-06-30T00:00:00"/>
    <d v="2026-06-01T00:00:00"/>
    <d v="2026-06-30T00:00:00"/>
    <s v="Direct ROV"/>
    <m/>
    <d v="2026-07-05T12:53:18"/>
  </r>
  <r>
    <s v="PHD USA - NY"/>
    <n v="10462"/>
    <n v="4473"/>
    <s v="DIAGEO"/>
    <s v="Diageo/KETEL/Digital/Direct/Scatter/Sports/MWC/2026/JUNE"/>
    <x v="114"/>
    <s v="Diageo - Ketel - OMP -  Run of World Cup Display - Package - FY26"/>
    <n v="588313"/>
    <s v="Diageo - Ketel - OMP - DIS - FS - Display Unit - MWC - FY26 - 300x250, 320x50, 728x90"/>
    <n v="7312807838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8541.7999999999993"/>
    <n v="4166667"/>
    <n v="25000"/>
    <s v="Diageo/KETEL/Digital/Direct/Scatter/Sports/MWC/2026/JUNE"/>
    <n v="269480"/>
    <s v="P2+"/>
    <s v="O-D2RJ2G9-R2"/>
    <m/>
    <s v="Nicole Gamache"/>
    <s v="Guaranteed"/>
    <s v="DIS - FS - Display Unit - MWC"/>
    <n v="128368"/>
    <d v="2026-06-30T00:00:00"/>
    <d v="2026-06-01T00:00:00"/>
    <d v="2026-06-30T00:00:00"/>
    <s v="Direct Display"/>
    <m/>
    <d v="2026-07-05T12:53:18"/>
  </r>
  <r>
    <s v="PHD USA - NY"/>
    <n v="10462"/>
    <n v="4473"/>
    <s v="DIAGEO"/>
    <s v="Diageo/THECOCKTAILCOLLECTION/Digital/Direct/Scatter/Sports/MWC/2026/JUNE"/>
    <x v="115"/>
    <s v="Diageo -The Cocktail Collection - OMP -  Run of World Cup Display - Package - FY26"/>
    <n v="588412"/>
    <s v="Diageo -The Cocktail Collection - OMP - DIS - FS - Display Unit - MWC - FY26 - 300x250, 320x50, 728x90"/>
    <n v="7308703908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1353.93"/>
    <n v="5838167"/>
    <n v="35029"/>
    <s v="Diageo/THECOCKTAILCOLLECTION/Digital/Direct/Scatter/Sports/MWC/2026/JUNE"/>
    <n v="269483"/>
    <s v="P2+"/>
    <s v="O-D2RJ2CD-R2"/>
    <m/>
    <s v="Nicole Gamache"/>
    <s v="Guaranteed"/>
    <s v="DIS - FS - Display Unit - MWC"/>
    <n v="128364"/>
    <d v="2026-06-30T00:00:00"/>
    <d v="2026-06-01T00:00:00"/>
    <d v="2026-06-30T00:00:00"/>
    <s v="Direct Display"/>
    <m/>
    <d v="2026-07-05T12:53:18"/>
  </r>
  <r>
    <s v="PHD USA - NY"/>
    <n v="10462"/>
    <n v="4473"/>
    <s v="DIAGEO"/>
    <s v="Diageo/THECOCKTAILCOLLECTION/Digital/Direct/Scatter/Sports/MWC/2026/JUNE"/>
    <x v="115"/>
    <s v="Diageo -The Cocktail Collection - OMP  -Run of World Cup Video - Package - FY26"/>
    <n v="588414"/>
    <s v="Diageo -The Cocktail Collection   - OMP -  DIO - ROV - FS - Pre/Mid - MWC - DT/MB/CTV - FY26"/>
    <n v="94010913"/>
    <s v="FOX Sports"/>
    <s v="CPM"/>
    <n v="32.5"/>
    <s v="3P Imps"/>
    <n v="990106"/>
    <n v="31525.52"/>
    <m/>
    <m/>
    <s v=" "/>
    <n v="0"/>
    <m/>
    <m/>
    <n v="990106"/>
    <n v="990106"/>
    <n v="0"/>
    <n v="0"/>
    <n v="1"/>
    <n v="0"/>
    <n v="0"/>
    <n v="0"/>
    <s v="Bill on Actuals - 3rd Party Performance"/>
    <n v="15762.76"/>
    <n v="970016"/>
    <n v="31525.52"/>
    <s v="Diageo/THECOCKTAILCOLLECTION/Digital/Direct/Scatter/Sports/MWC/2026/JUNE"/>
    <n v="94010910"/>
    <s v="P2+"/>
    <s v="O-D2RJ2CD-R2"/>
    <m/>
    <s v="Nicole Gamache"/>
    <s v="Guaranteed"/>
    <s v="DIO - ROV - FS - Pre/Mid - MWC - DT/MB/CTV"/>
    <n v="128364"/>
    <d v="2026-06-30T00:00:00"/>
    <d v="2026-06-01T00:00:00"/>
    <d v="2026-06-30T00:00:00"/>
    <s v="Direct ROV"/>
    <m/>
    <d v="2026-07-05T12:53:18"/>
  </r>
  <r>
    <s v="PHD USA - NY"/>
    <n v="10462"/>
    <n v="4473"/>
    <s v="DIAGEO"/>
    <s v="Diageo/THECOCKTAILCOLLECTION/Digital/Direct/Scatter/Sports/MWC/2026/JUNE"/>
    <x v="115"/>
    <s v="Diageo -The Cocktail Collection - OMP  -Run of World Cup Video - Package - FY26"/>
    <n v="588414"/>
    <s v="Diageo -The Cocktail Collection  - OMP - DIO - LFV - TUB - Pre/Mid - MWC - DT/MB/CTV - FY26"/>
    <n v="94010921"/>
    <s v="Fox Sold Tubi"/>
    <s v="CPM"/>
    <n v="32.5"/>
    <s v="3P Imps"/>
    <n v="2301149"/>
    <n v="73559.490000000005"/>
    <m/>
    <m/>
    <s v=" "/>
    <s v=""/>
    <m/>
    <m/>
    <n v="2301149"/>
    <n v="2301149"/>
    <n v="0"/>
    <n v="0"/>
    <n v="1"/>
    <n v="0"/>
    <n v="0"/>
    <n v="0"/>
    <s v="Bill on Actuals - 3rd Party Performance"/>
    <n v="36779.75"/>
    <n v="2263369"/>
    <n v="73559.490000000005"/>
    <s v="Diageo/THECOCKTAILCOLLECTION/Digital/Direct/Scatter/Sports/MWC/2026/JUNE"/>
    <n v="94010910"/>
    <s v="P2+"/>
    <s v="O-D2RJ2CD-R2"/>
    <m/>
    <s v="Nicole Gamache"/>
    <s v="Guaranteed"/>
    <s v="DIO - LFV - TUB - Pre/Mid - MWC - DT/MB/CTV"/>
    <n v="128364"/>
    <d v="2026-06-30T00:00:00"/>
    <d v="2026-06-01T00:00:00"/>
    <d v="2026-06-30T00:00:00"/>
    <s v="Direct LFV"/>
    <m/>
    <d v="2026-07-05T12:53:18"/>
  </r>
  <r>
    <s v="PHD USA - NY"/>
    <n v="10462"/>
    <n v="7225"/>
    <s v="VOLKSWAGEN"/>
    <s v="Volkswagen/Digital/Direct/Scatter/Sports/MWC/2026"/>
    <x v="116"/>
    <s v="Volkswagen - World Cup Social Sponsorship Content - Package - 20% SOV for 90 in 90 Full Match Recaps"/>
    <n v="583044"/>
    <s v="Volkswagen - DIO - SOC - FOX Sports - Facebook/Instagram - MWC - 20% SOV for 90 in 90 Full Match Recaps"/>
    <n v="583045"/>
    <s v="FOX Sports - FB-Inst"/>
    <s v="Flat Rate"/>
    <n v="0.18"/>
    <s v="Bill on Contract"/>
    <n v="1157407500"/>
    <n v="208333.35"/>
    <m/>
    <m/>
    <s v=" "/>
    <n v="0"/>
    <m/>
    <m/>
    <n v="0"/>
    <n v="0"/>
    <n v="0"/>
    <n v="0"/>
    <n v="1"/>
    <n v="0"/>
    <n v="0"/>
    <n v="0"/>
    <s v="Bill on Contract - Straightline"/>
    <n v="208333.35"/>
    <n v="4629630"/>
    <n v="833333.4"/>
    <s v="Volkswagen/Digital/Direct/Scatter/Sports/MWC/2026"/>
    <n v="257634"/>
    <s v="P2+"/>
    <s v="O-D2QUEMI-R7"/>
    <m/>
    <s v="Nicole Gamache"/>
    <s v="Guaranteed"/>
    <s v="DIO - SOC - FOX Sports - Facebook/Instagram - MWC"/>
    <n v="128865"/>
    <d v="2026-06-30T00:00:00"/>
    <d v="2026-06-01T00:00:00"/>
    <d v="2026-07-19T00:00:00"/>
    <s v="Social Facebook/Instagram"/>
    <m/>
    <d v="2026-07-05T12:53:18"/>
  </r>
  <r>
    <s v="PHD USA - NY"/>
    <n v="10462"/>
    <n v="7225"/>
    <s v="VOLKSWAGEN"/>
    <s v="Volkswagen/Digital/Direct/Scatter/Sports/MWC/2026"/>
    <x v="116"/>
    <s v="Volkswagen - World Cup Social Sponsorship Content - Package - 20% SOV for 90 in 90 Full Match Recaps"/>
    <n v="583044"/>
    <s v="Volkswagen - DIO - SOC - FOX Sports - TikTok - MWC - 20% SOV for 90 in 90 Full Match Recaps"/>
    <n v="583048"/>
    <s v="FOX Sports - TikTok"/>
    <s v="Flat Rate"/>
    <n v="0.18"/>
    <s v="Bill on Contract"/>
    <n v="1157407278"/>
    <n v="208333.31"/>
    <m/>
    <m/>
    <s v=" "/>
    <s v=""/>
    <m/>
    <m/>
    <n v="0"/>
    <n v="0"/>
    <n v="0"/>
    <n v="0"/>
    <n v="1"/>
    <n v="0"/>
    <n v="0"/>
    <n v="0"/>
    <s v="Bill on Contract - Straightline"/>
    <n v="208333.31"/>
    <n v="4629629"/>
    <n v="833333.22"/>
    <s v="Volkswagen/Digital/Direct/Scatter/Sports/MWC/2026"/>
    <n v="257634"/>
    <s v="P2+"/>
    <s v="O-D2QUEMI-R7"/>
    <m/>
    <s v="Nicole Gamache"/>
    <s v="Guaranteed"/>
    <s v="DIO - SOC - FOX Sports - TikTok - MWC"/>
    <n v="128865"/>
    <d v="2026-06-30T00:00:00"/>
    <d v="2026-06-01T00:00:00"/>
    <d v="2026-07-19T00:00:00"/>
    <s v="Social TikTok"/>
    <m/>
    <d v="2026-07-05T12:53:18"/>
  </r>
  <r>
    <s v="PHD USA - NY"/>
    <n v="10462"/>
    <n v="7225"/>
    <s v="VOLKSWAGEN"/>
    <s v="Volkswagen/Digital/Direct/Scatter/Sports/MWC/2026"/>
    <x v="116"/>
    <s v="Volkswagen - World Cup Social Sponsorship Content - Package - 20% SOV for 90 in 90 Full Match Recaps"/>
    <n v="583044"/>
    <s v="Volkswagen - DIO - SOC - FOX Sports - Youtube - Custom Content - MWC - 20% SOV for 90 in 90 Full Match Recaps"/>
    <n v="583047"/>
    <s v="FOX Sports"/>
    <s v="Flat Rate"/>
    <n v="0.18"/>
    <s v="Bill on Contract"/>
    <n v="1157407500"/>
    <n v="208333.35"/>
    <m/>
    <m/>
    <s v=" "/>
    <s v=""/>
    <m/>
    <m/>
    <n v="0"/>
    <n v="0"/>
    <n v="0"/>
    <n v="0"/>
    <n v="1"/>
    <n v="0"/>
    <n v="0"/>
    <n v="0"/>
    <s v="Bill on Contract - Straightline"/>
    <n v="208333.35"/>
    <n v="4629630"/>
    <n v="833333.4"/>
    <s v="Volkswagen/Digital/Direct/Scatter/Sports/MWC/2026"/>
    <n v="257634"/>
    <s v="P2+"/>
    <s v="O-D2QUEMI-R7"/>
    <m/>
    <s v="Nicole Gamache"/>
    <s v="Guaranteed"/>
    <s v="DIO - SOC - FOX Sports - Youtube - Custom Content - MWC"/>
    <n v="128865"/>
    <d v="2026-06-30T00:00:00"/>
    <d v="2026-06-01T00:00:00"/>
    <d v="2026-07-19T00:00:00"/>
    <s v="Social"/>
    <m/>
    <d v="2026-07-05T12:53:18"/>
  </r>
  <r>
    <s v="PHD USA - NY"/>
    <n v="10462"/>
    <n v="7225"/>
    <s v="VOLKSWAGEN"/>
    <s v="Volkswagen/Digital/Direct/Scatter/Sports/MWC/2026"/>
    <x v="116"/>
    <s v="Volkswagen - World Cup on X - Package"/>
    <n v="591653"/>
    <s v="Volkswagen - DIO - SOC - FOX Sports - X - MWC"/>
    <n v="591655"/>
    <s v="FOX Sports - Twitter"/>
    <s v="Flat Rate"/>
    <n v="0.03"/>
    <s v="Bill on Contract"/>
    <n v="4166666667"/>
    <n v="125000"/>
    <m/>
    <m/>
    <s v=" "/>
    <n v="0"/>
    <m/>
    <m/>
    <n v="0"/>
    <n v="0"/>
    <n v="0"/>
    <n v="0"/>
    <n v="1"/>
    <n v="0"/>
    <n v="0"/>
    <n v="0"/>
    <s v="Bill on Contract - Straightline"/>
    <n v="125000"/>
    <n v="16666667"/>
    <n v="500000.01"/>
    <s v="Volkswagen/Digital/Direct/Scatter/Sports/MWC/2026"/>
    <n v="257634"/>
    <s v="P2+"/>
    <s v="O-D2QUEMI-R7"/>
    <m/>
    <s v="Nicole Gamache"/>
    <s v="Guaranteed"/>
    <s v="DIO - SOC - FOX Sports - X - MWC"/>
    <n v="128865"/>
    <d v="2026-06-30T00:00:00"/>
    <d v="2026-06-01T00:00:00"/>
    <d v="2026-07-19T00:00:00"/>
    <s v="Social X"/>
    <m/>
    <d v="2026-07-05T12:53:18"/>
  </r>
  <r>
    <s v="PHD USA - NY"/>
    <n v="10462"/>
    <n v="7225"/>
    <s v="VOLKSWAGEN"/>
    <s v="Volkswagen/Digital/Direct/Scatter/Sports/MWC/2026"/>
    <x v="116"/>
    <s v="Volkswagen - Run of World Cup Video - Package"/>
    <n v="593311"/>
    <s v="Volkswagen - DIO - LFV - TUB - Pre/Mid - MWC - DT/MB/CTV"/>
    <n v="94723813"/>
    <s v="Fox Sold Tubi"/>
    <s v="Flat Rate"/>
    <n v="40"/>
    <s v="Bill on Contract"/>
    <n v="437500"/>
    <n v="17500"/>
    <m/>
    <m/>
    <s v=" "/>
    <n v="0"/>
    <m/>
    <m/>
    <n v="1161741"/>
    <n v="1161741"/>
    <n v="0"/>
    <n v="0"/>
    <n v="1"/>
    <n v="0"/>
    <n v="0"/>
    <n v="0"/>
    <s v="Bill on Contract - Straightline"/>
    <n v="17500"/>
    <n v="1750000"/>
    <n v="70000"/>
    <s v="Volkswagen/Digital/Direct/Scatter/Sports/MWC/2026"/>
    <n v="94723810"/>
    <s v="P2+"/>
    <s v="O-D2QUEMI-R7"/>
    <m/>
    <s v="Nicole Gamache"/>
    <s v="Guaranteed"/>
    <s v="DIO - LFV - TUB - Pre/Mid - MWC - DT/MB/CTV"/>
    <n v="128865"/>
    <d v="2026-06-30T00:00:00"/>
    <d v="2026-06-11T00:00:00"/>
    <d v="2026-07-19T00:00:00"/>
    <s v="Direct LFV"/>
    <m/>
    <d v="2026-07-05T12:53:18"/>
  </r>
  <r>
    <s v="PHD USA - NY"/>
    <n v="10462"/>
    <n v="7225"/>
    <s v="VOLKSWAGEN"/>
    <s v="Volkswagen/Digital/Direct/Scatter/Sports/MWC/2026"/>
    <x v="116"/>
    <s v="Volkswagen - Run of World Cup Video - Package"/>
    <n v="593311"/>
    <s v="Volkswagen - DIO - ROV - FS - Pre/Mid - MWC - DT/MB/CTV"/>
    <n v="94723816"/>
    <s v="FOX Sports"/>
    <s v="Flat Rate"/>
    <n v="40"/>
    <s v="Bill on Contract"/>
    <n v="187500"/>
    <n v="7500"/>
    <m/>
    <m/>
    <s v=" "/>
    <s v=""/>
    <m/>
    <m/>
    <n v="509619"/>
    <n v="509619"/>
    <n v="0"/>
    <n v="0"/>
    <n v="1"/>
    <n v="0"/>
    <n v="0"/>
    <n v="0"/>
    <s v="Bill on Contract - Straightline"/>
    <n v="7500"/>
    <n v="750000"/>
    <n v="30000"/>
    <s v="Volkswagen/Digital/Direct/Scatter/Sports/MWC/2026"/>
    <n v="94723810"/>
    <s v="P2+"/>
    <s v="O-D2QUEMI-R7"/>
    <m/>
    <s v="Nicole Gamache"/>
    <s v="Guaranteed"/>
    <s v="DIO - ROV - FS - Pre/Mid - MWC - DT/MB/CTV"/>
    <n v="128865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Adidas"/>
    <x v="117"/>
    <s v="DSG - Run of World Cup Video - Package - 2026"/>
    <n v="582272"/>
    <s v="DSG - DIO - LFV - TUB - Pre/Mid - MWC - DT/MB/CTV - 2026"/>
    <n v="93989562"/>
    <s v="Fox Sold Tubi"/>
    <s v="CPM"/>
    <n v="40"/>
    <s v="3P Imps"/>
    <n v="3024024"/>
    <n v="120960.96000000001"/>
    <m/>
    <m/>
    <s v=" "/>
    <n v="0"/>
    <m/>
    <m/>
    <n v="3024024"/>
    <n v="3024024"/>
    <n v="0"/>
    <n v="0"/>
    <n v="1"/>
    <n v="0"/>
    <n v="0"/>
    <n v="0"/>
    <s v="Bill on Actuals - 3rd Party Performance"/>
    <n v="60957.81"/>
    <n v="4567500"/>
    <n v="182700"/>
    <s v="Dick's/2026 MWC/Digital/Scatter/Adidas"/>
    <n v="93989552"/>
    <s v="P2+"/>
    <s v="O-D2UE4IA-R2"/>
    <m/>
    <s v="Tom Cecil"/>
    <s v="Guaranteed"/>
    <s v="DIO - LFV - TUB - Pre/Mid - MWC - DT/MB/CTV"/>
    <n v="128169"/>
    <d v="2026-06-30T00:00:00"/>
    <d v="2026-06-11T00:00:00"/>
    <d v="2026-07-19T00:00:00"/>
    <s v="Direct LFV"/>
    <m/>
    <d v="2026-07-05T12:53:18"/>
  </r>
  <r>
    <s v="PLATFORM AT PUBLICIS MEDIA"/>
    <n v="11248"/>
    <n v="7228"/>
    <s v="DICK'S SPORTING GOODS"/>
    <s v="Dick's/2026 MWC/Digital/Scatter/Adidas"/>
    <x v="117"/>
    <s v="DSG - Run of World Cup Video - Package - 2026"/>
    <n v="582272"/>
    <s v="DSG - DIO - ROV - FS - Pre/Mid - MWC - DT/MB/CTV - 2026"/>
    <n v="93989555"/>
    <s v="FOX Sports"/>
    <s v="CPM"/>
    <n v="40"/>
    <s v="3P Imps"/>
    <n v="1330105"/>
    <n v="53204.2"/>
    <m/>
    <m/>
    <s v=" "/>
    <s v=""/>
    <m/>
    <m/>
    <n v="1330105"/>
    <n v="1330105"/>
    <n v="0"/>
    <n v="0"/>
    <n v="1"/>
    <n v="0"/>
    <n v="0"/>
    <n v="0"/>
    <s v="Bill on Actuals - 3rd Party Performance"/>
    <n v="26124.77"/>
    <n v="1957500"/>
    <n v="78300"/>
    <s v="Dick's/2026 MWC/Digital/Scatter/Adidas"/>
    <n v="93989552"/>
    <s v="P2+"/>
    <s v="O-D2UE4IA-R2"/>
    <m/>
    <s v="Tom Cecil"/>
    <s v="Guaranteed"/>
    <s v="DIO - ROV - FS - Pre/Mid - MWC - DT/MB/CTV"/>
    <n v="128169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Blank - ROS - Sponsorship - 2026"/>
    <n v="7310446981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Dick's/2026 MWC/Digital/Scatter/Adidas"/>
    <n v="259151"/>
    <s v="P2+"/>
    <s v="O-D2UE4IA-R2"/>
    <m/>
    <s v="Tom Cecil"/>
    <s v="Guaranteed"/>
    <s v="DIS - FS - Blank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Display Unit - ROS - Sponsorship - 300x250 - 6/24"/>
    <n v="7308659412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Dick's/2026 MWC/Digital/Scatter/Adidas"/>
    <n v="259151"/>
    <s v="P2+"/>
    <s v="O-D2UE4IA-R2"/>
    <m/>
    <s v="Tom Cecil"/>
    <s v="Guaranteed"/>
    <s v="DIS - FS - Display Unit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Display Unit - ROS - Sponsorship - 300x600 - 6/24"/>
    <n v="7311170818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Dick's/2026 MWC/Digital/Scatter/Adidas"/>
    <n v="259151"/>
    <s v="P2+"/>
    <s v="O-D2UE4IA-R2"/>
    <m/>
    <s v="Tom Cecil"/>
    <s v="Guaranteed"/>
    <s v="DIS - FS - Display Unit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Display Unit - ROS - Sponsorship - 320x50 - 6/24"/>
    <n v="7308659406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Dick's/2026 MWC/Digital/Scatter/Adidas"/>
    <n v="259151"/>
    <s v="P2+"/>
    <s v="O-D2UE4IA-R2"/>
    <m/>
    <s v="Tom Cecil"/>
    <s v="Guaranteed"/>
    <s v="DIS - FS - Display Unit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Display Unit - ROS - Sponsorship - 728x90 - 6/24"/>
    <n v="7308660393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Dick's/2026 MWC/Digital/Scatter/Adidas"/>
    <n v="259151"/>
    <s v="P2+"/>
    <s v="O-D2UE4IA-R2"/>
    <m/>
    <s v="Tom Cecil"/>
    <s v="Guaranteed"/>
    <s v="DIS - FS - Display Unit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World Cup FOX Sports Site &amp; App Takeover - Package - 2026"/>
    <n v="582287"/>
    <s v="DSG - DIS - FS - High Impact - ROS - Sponsorship - Skybox - 6/24"/>
    <n v="7307911098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Dick's/2026 MWC/Digital/Scatter/Adidas"/>
    <n v="259151"/>
    <s v="P2+"/>
    <s v="O-D2UE4IA-R2"/>
    <m/>
    <s v="Tom Cecil"/>
    <s v="Guaranteed"/>
    <s v="DIS - FS - High Impact - ROS - Sponsorship"/>
    <n v="128169"/>
    <d v="2026-06-30T00:00:00"/>
    <d v="2026-06-24T00:00:00"/>
    <d v="2026-06-24T00:00:00"/>
    <s v="Direct Display"/>
    <m/>
    <d v="2026-07-05T12:53:18"/>
  </r>
  <r>
    <s v="PLATFORM AT PUBLICIS MEDIA"/>
    <n v="11248"/>
    <n v="7228"/>
    <s v="DICK'S SPORTING GOODS"/>
    <s v="Dick's/2026 MWC/Digital/Scatter/Adidas"/>
    <x v="117"/>
    <s v="DSG - Run of FOX Sports Video - Package - 2026"/>
    <n v="582667"/>
    <s v="DSG - Adidas Brand - DIO - SFV - FSEN - Pre - ROS - DT/MB/CTV - non-CoV - 2026"/>
    <n v="94973765"/>
    <s v="FSEN"/>
    <s v="CPM"/>
    <n v="25"/>
    <s v="3P Imps"/>
    <n v="421136"/>
    <n v="10528.4"/>
    <m/>
    <m/>
    <s v=" "/>
    <n v="0"/>
    <m/>
    <m/>
    <n v="421136"/>
    <n v="421136"/>
    <n v="0"/>
    <n v="0"/>
    <n v="1"/>
    <n v="0"/>
    <n v="0"/>
    <n v="0"/>
    <s v="Bill on Actuals - 3rd Party Performance"/>
    <n v="4878.97"/>
    <n v="1275147"/>
    <n v="31878.68"/>
    <s v="Dick's/2026 MWC/Digital/Scatter/Adidas"/>
    <n v="93989552"/>
    <s v="P2+"/>
    <s v="O-D2UE4IA-R2"/>
    <m/>
    <s v="Tom Cecil"/>
    <s v="Guaranteed"/>
    <s v="DIO - SFV - FSEN - Pre - ROS - DT/MB/CTV - non-CoV"/>
    <n v="128169"/>
    <d v="2026-06-30T00:00:00"/>
    <d v="2026-06-11T00:00:00"/>
    <d v="2026-07-19T00:00:00"/>
    <s v="Direct SFV"/>
    <m/>
    <d v="2026-07-05T12:53:18"/>
  </r>
  <r>
    <s v="PLATFORM AT PUBLICIS MEDIA"/>
    <n v="11248"/>
    <n v="7228"/>
    <s v="DICK'S SPORTING GOODS"/>
    <s v="Dick's/2026 MWC/Digital/Scatter/Adidas"/>
    <x v="117"/>
    <s v="DSG - Run of FOX Sports Video - Package - 2026"/>
    <n v="582667"/>
    <s v="DSG - DIO - ROV - FS - Pre/Mid - ROS - DT/MB/CTV - 2026"/>
    <n v="93989565"/>
    <s v="FOX Sports"/>
    <s v="CPM"/>
    <n v="25"/>
    <s v="3P CoView Imps"/>
    <n v="1175417"/>
    <n v="29385.42"/>
    <m/>
    <m/>
    <s v=" "/>
    <s v=""/>
    <m/>
    <m/>
    <n v="1036963"/>
    <n v="1036963"/>
    <n v="1175417"/>
    <n v="1175417"/>
    <n v="1"/>
    <n v="1.133519482045543"/>
    <n v="0"/>
    <n v="0"/>
    <s v="Bill on Actuals - 3rd Party Performance"/>
    <n v="9813.6299999999992"/>
    <n v="2564853"/>
    <n v="64121.33"/>
    <s v="Dick's/2026 MWC/Digital/Scatter/Adidas"/>
    <n v="93989552"/>
    <s v="P2+"/>
    <s v="O-D2UE4IA-R2"/>
    <m/>
    <s v="Tom Cecil"/>
    <s v="Guaranteed"/>
    <s v="DIO - ROV - FS - Pre/Mid - ROS - DT/MB/CTV"/>
    <n v="128169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Adidas"/>
    <x v="117"/>
    <s v="DSG - Run of AllFOX Video - Package-AAT- 2026"/>
    <n v="582672"/>
    <s v="DSG - DIO - LFV - 1F - Tubi - Pre/Mid - ROS - DT/MB/CTV- AAT - FW - SXD - 2026"/>
    <n v="93989569"/>
    <s v="Fox Sold Tubi"/>
    <s v="CPM"/>
    <n v="20"/>
    <s v="3P Audience Target"/>
    <n v="4066351"/>
    <n v="81327.02"/>
    <m/>
    <m/>
    <s v=" "/>
    <n v="0"/>
    <m/>
    <m/>
    <n v="4066351"/>
    <n v="4066351"/>
    <n v="0"/>
    <n v="0"/>
    <n v="1"/>
    <n v="0"/>
    <n v="0"/>
    <n v="0"/>
    <s v="Bill on Actuals - 3rd Party Performance"/>
    <n v="40526.65"/>
    <n v="7290000"/>
    <n v="145800"/>
    <s v="Dick's/2026 MWC/Digital/Scatter/Adidas"/>
    <n v="93989552"/>
    <s v="Audience Target"/>
    <s v="O-D2UE4IA-R2"/>
    <m/>
    <s v="Tom Cecil"/>
    <s v="Guaranteed"/>
    <s v="DIO - LFV - 1F - Tubi - Pre/Mid - ROS - DT/MB/CTV - FW - SXD"/>
    <n v="128169"/>
    <d v="2026-06-30T00:00:00"/>
    <d v="2026-06-11T00:00:00"/>
    <d v="2026-07-19T00:00:00"/>
    <s v="Direct LFV"/>
    <m/>
    <d v="2026-07-05T12:53:18"/>
  </r>
  <r>
    <s v="PLATFORM AT PUBLICIS MEDIA"/>
    <n v="11248"/>
    <n v="7228"/>
    <s v="DICK'S SPORTING GOODS"/>
    <s v="Dick's/2026 MWC/Digital/Scatter/Adidas"/>
    <x v="117"/>
    <s v="DSG - Run of AllFOX Video - Package-AAT- 2026"/>
    <n v="582672"/>
    <s v="DSG - DIO - ROV - 1F - SEN - Pre/Mid - ROS - DT/MB/CTV- AAT - SXD - 2026"/>
    <n v="93989558"/>
    <s v="OneFOX"/>
    <s v="CPM"/>
    <n v="20"/>
    <s v="3P Audience Target"/>
    <n v="2688090"/>
    <n v="53761.8"/>
    <m/>
    <m/>
    <s v=" "/>
    <s v=""/>
    <m/>
    <m/>
    <n v="2688090"/>
    <n v="2688090"/>
    <n v="0"/>
    <n v="0"/>
    <n v="1"/>
    <n v="0"/>
    <n v="0"/>
    <n v="0"/>
    <s v="Bill on Actuals - 3rd Party Performance"/>
    <n v="27017.759999999998"/>
    <n v="4860000"/>
    <n v="97200"/>
    <s v="Dick's/2026 MWC/Digital/Scatter/Adidas"/>
    <n v="93989552"/>
    <s v="Audience Target"/>
    <s v="O-D2UE4IA-R2"/>
    <m/>
    <s v="Tom Cecil"/>
    <s v="Guaranteed"/>
    <s v="DIO - ROV - 1F - SEN - Pre/Mid - ROS - DT/MB/CTV - SXD"/>
    <n v="128169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Adidas"/>
    <x v="117"/>
    <s v="DSG - World Cup Social Sponsorship Content - Package - 2026"/>
    <n v="582675"/>
    <s v="DSG - DIO - SOC - FOX Sports - Facebook/Instagram - MWC - 2026"/>
    <n v="582676"/>
    <s v="FOX Sports - FB-Inst"/>
    <s v="Flat Rate"/>
    <n v="150000"/>
    <s v="Bill on Contract"/>
    <n v="0"/>
    <n v="45918.37"/>
    <m/>
    <m/>
    <s v=" "/>
    <n v="0"/>
    <m/>
    <m/>
    <n v="0"/>
    <n v="0"/>
    <n v="0"/>
    <n v="0"/>
    <n v="1"/>
    <n v="0"/>
    <n v="0"/>
    <n v="0"/>
    <s v="Bill on Contract - Pro-rated"/>
    <n v="45918.37"/>
    <n v="1"/>
    <n v="150000"/>
    <s v="Dick's/2026 MWC/Digital/Scatter/Adidas"/>
    <n v="259151"/>
    <s v="P2+"/>
    <s v="O-D2UE4IA-R2"/>
    <m/>
    <s v="Tom Cecil"/>
    <s v="Guaranteed"/>
    <s v="DIO - SOC - FOX Sports - Facebook/Instagram - MWC"/>
    <n v="128169"/>
    <d v="2026-06-30T00:00:00"/>
    <d v="2026-06-01T00:00:00"/>
    <d v="2026-07-19T00:00:00"/>
    <s v="Social Facebook/Instagram"/>
    <m/>
    <d v="2026-07-05T12:53:18"/>
  </r>
  <r>
    <s v="PLATFORM AT PUBLICIS MEDIA"/>
    <n v="11248"/>
    <n v="7228"/>
    <s v="DICK'S SPORTING GOODS"/>
    <s v="Dick's/2026 MWC/Digital/Scatter/Adidas"/>
    <x v="117"/>
    <s v="DSG - World Cup Social Sponsorship Content - Package - 2026"/>
    <n v="582675"/>
    <s v="DSG - DIO - SOC - FOX Sports - TikTok - MWC - 2026"/>
    <n v="582679"/>
    <s v="FOX Sports - TikTok"/>
    <s v="Flat Rate"/>
    <n v="150000"/>
    <s v="Bill on Contract"/>
    <n v="0"/>
    <n v="45918.37"/>
    <m/>
    <m/>
    <s v=" "/>
    <s v=""/>
    <m/>
    <m/>
    <n v="0"/>
    <n v="0"/>
    <n v="0"/>
    <n v="0"/>
    <n v="1"/>
    <n v="0"/>
    <n v="0"/>
    <n v="0"/>
    <s v="Bill on Contract - Pro-rated"/>
    <n v="45918.37"/>
    <n v="1"/>
    <n v="150000"/>
    <s v="Dick's/2026 MWC/Digital/Scatter/Adidas"/>
    <n v="259151"/>
    <s v="P2+"/>
    <s v="O-D2UE4IA-R2"/>
    <m/>
    <s v="Tom Cecil"/>
    <s v="Guaranteed"/>
    <s v="DIO - SOC - FOX Sports - TikTok - MWC"/>
    <n v="128169"/>
    <d v="2026-06-30T00:00:00"/>
    <d v="2026-06-01T00:00:00"/>
    <d v="2026-07-19T00:00:00"/>
    <s v="Social TikTok"/>
    <m/>
    <d v="2026-07-05T12:53:18"/>
  </r>
  <r>
    <s v="PLATFORM AT PUBLICIS MEDIA"/>
    <n v="11248"/>
    <n v="7228"/>
    <s v="DICK'S SPORTING GOODS"/>
    <s v="Dick's/2026 MWC/Digital/Scatter/Adidas"/>
    <x v="117"/>
    <s v="DSG - World Cup Social Sponsorship Content - Package - 2026"/>
    <n v="582675"/>
    <s v="DSG - DIO - SOC - FOX Sports - Youtube - Custom Content - MWC - 2026"/>
    <n v="582678"/>
    <s v="FOX Sports"/>
    <s v="Flat Rate"/>
    <n v="150000"/>
    <s v="Bill on Contract"/>
    <n v="0"/>
    <n v="45918.37"/>
    <m/>
    <m/>
    <s v=" "/>
    <s v=""/>
    <m/>
    <m/>
    <n v="0"/>
    <n v="0"/>
    <n v="0"/>
    <n v="0"/>
    <n v="1"/>
    <n v="0"/>
    <n v="0"/>
    <n v="0"/>
    <s v="Bill on Contract - Pro-rated"/>
    <n v="45918.37"/>
    <n v="1"/>
    <n v="150000"/>
    <s v="Dick's/2026 MWC/Digital/Scatter/Adidas"/>
    <n v="259151"/>
    <s v="P2+"/>
    <s v="O-D2UE4IA-R2"/>
    <m/>
    <s v="Tom Cecil"/>
    <s v="Guaranteed"/>
    <s v="DIO - SOC - FOX Sports - Youtube - Custom Content - MWC"/>
    <n v="128169"/>
    <d v="2026-06-30T00:00:00"/>
    <d v="2026-06-01T00:00:00"/>
    <d v="2026-07-19T00:00:00"/>
    <s v="Social"/>
    <m/>
    <d v="2026-07-05T12:53:18"/>
  </r>
  <r>
    <s v="PLATFORM AT PUBLICIS MEDIA"/>
    <n v="11248"/>
    <n v="7228"/>
    <s v="DICK'S SPORTING GOODS"/>
    <s v="Dick's/2026 MWC/Digital/Scatter/DSGB"/>
    <x v="118"/>
    <s v="DSG - Run of World Cup Video - Package - 2026"/>
    <n v="582701"/>
    <s v="DSG - DIO - LFV - TUB - Pre/Mid - MWC - DT/MB/CTV - 2026"/>
    <n v="93989605"/>
    <s v="Fox Sold Tubi"/>
    <s v="CPM"/>
    <n v="40"/>
    <s v="3P Imps"/>
    <n v="1233772"/>
    <n v="49350.879999999997"/>
    <m/>
    <m/>
    <s v=" "/>
    <n v="0"/>
    <m/>
    <m/>
    <n v="1233772"/>
    <n v="1233772"/>
    <n v="0"/>
    <n v="0"/>
    <n v="1"/>
    <n v="0"/>
    <n v="0"/>
    <n v="0"/>
    <s v="Bill on Actuals - 3rd Party Performance"/>
    <n v="24229.200000000001"/>
    <n v="1706250"/>
    <n v="68250"/>
    <s v="Dick's/2026 MWC/Digital/Scatter/DSGB"/>
    <n v="93989579"/>
    <s v="P2+"/>
    <s v="O-D2UAH7E-R1"/>
    <m/>
    <s v="Tom Cecil"/>
    <s v="Guaranteed"/>
    <s v="DIO - LFV - TUB - Pre/Mid - MWC - DT/MB/CTV"/>
    <n v="128231"/>
    <d v="2026-06-30T00:00:00"/>
    <d v="2026-06-11T00:00:00"/>
    <d v="2026-07-19T00:00:00"/>
    <s v="Direct LFV"/>
    <m/>
    <d v="2026-07-05T12:53:18"/>
  </r>
  <r>
    <s v="PLATFORM AT PUBLICIS MEDIA"/>
    <n v="11248"/>
    <n v="7228"/>
    <s v="DICK'S SPORTING GOODS"/>
    <s v="Dick's/2026 MWC/Digital/Scatter/DSGB"/>
    <x v="118"/>
    <s v="DSG - Run of World Cup Video - Package - 2026"/>
    <n v="582701"/>
    <s v="DSG - DIO - ROV - FS - Pre/Mid - MWC - DT/MB/CTV - 2026"/>
    <n v="93989585"/>
    <s v="FOX Sports"/>
    <s v="CPM"/>
    <n v="40"/>
    <s v="3P Imps"/>
    <n v="496885"/>
    <n v="19875.400000000001"/>
    <m/>
    <m/>
    <s v=" "/>
    <s v=""/>
    <m/>
    <m/>
    <n v="496885"/>
    <n v="496885"/>
    <n v="0"/>
    <n v="0"/>
    <n v="1"/>
    <n v="0"/>
    <n v="0"/>
    <n v="0"/>
    <s v="Bill on Actuals - 3rd Party Performance"/>
    <n v="10383.94"/>
    <n v="731250"/>
    <n v="29250"/>
    <s v="Dick's/2026 MWC/Digital/Scatter/DSGB"/>
    <n v="93989579"/>
    <s v="P2+"/>
    <s v="O-D2UAH7E-R1"/>
    <m/>
    <s v="Tom Cecil"/>
    <s v="Guaranteed"/>
    <s v="DIO - ROV - FS - Pre/Mid - MWC - DT/MB/CTV"/>
    <n v="128231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DSGB"/>
    <x v="118"/>
    <s v="DSG - Run of FOX Sports Video - Package - 2026"/>
    <n v="582711"/>
    <s v="DSG - DIO - ROV - FS - Pre/Mid - ROS - DT/MB/CTV - 2026"/>
    <n v="93989608"/>
    <s v="FOX Sports"/>
    <s v="CPM"/>
    <n v="25"/>
    <s v="3P CoView Imps"/>
    <n v="760828"/>
    <n v="19020.7"/>
    <m/>
    <m/>
    <s v=" "/>
    <n v="0"/>
    <m/>
    <m/>
    <n v="643089"/>
    <n v="643089"/>
    <n v="760828"/>
    <n v="760828"/>
    <n v="1"/>
    <n v="1.1830847038107319"/>
    <n v="0"/>
    <n v="0"/>
    <s v="Bill on Actuals - 3rd Party Performance"/>
    <n v="7931.52"/>
    <n v="1626296"/>
    <n v="40657.4"/>
    <s v="Dick's/2026 MWC/Digital/Scatter/DSGB"/>
    <n v="93989579"/>
    <s v="P2+"/>
    <s v="O-D2UAH7E-R1"/>
    <m/>
    <s v="Tom Cecil"/>
    <s v="Guaranteed"/>
    <s v="DIO - ROV - FS - Pre/Mid - ROS - DT/MB/CTV"/>
    <n v="128231"/>
    <d v="2026-06-30T00:00:00"/>
    <d v="2026-06-11T00:00:00"/>
    <d v="2026-07-19T00:00:00"/>
    <s v="Direct ROV"/>
    <m/>
    <d v="2026-07-05T12:53:18"/>
  </r>
  <r>
    <s v="PLATFORM AT PUBLICIS MEDIA"/>
    <n v="11248"/>
    <n v="7228"/>
    <s v="DICK'S SPORTING GOODS"/>
    <s v="Dick's/2026 MWC/Digital/Scatter/DSGB"/>
    <x v="118"/>
    <s v="DSG - Run of FOX Sports Video - Package - 2026"/>
    <n v="582711"/>
    <s v="DSG - DIO - SFV - FSEN - Pre - ROS - DT/MB/CTV - non-CoV"/>
    <n v="94972127"/>
    <s v="FSEN"/>
    <s v="CPM"/>
    <n v="25"/>
    <s v="3P Imps"/>
    <n v="118166"/>
    <n v="2954.15"/>
    <m/>
    <m/>
    <s v=" "/>
    <s v=""/>
    <m/>
    <m/>
    <n v="118166"/>
    <n v="118166"/>
    <n v="0"/>
    <n v="0"/>
    <n v="1"/>
    <n v="0"/>
    <n v="0"/>
    <n v="0"/>
    <s v="Bill on Actuals - 3rd Party Performance"/>
    <n v="1578.72"/>
    <n v="323704"/>
    <n v="8092.6"/>
    <s v="Dick's/2026 MWC/Digital/Scatter/DSGB"/>
    <n v="93989579"/>
    <s v="P2+"/>
    <s v="O-D2UAH7E-R1"/>
    <m/>
    <s v="Tom Cecil"/>
    <s v="Guaranteed"/>
    <s v="DIO - SFV - FSEN - Pre - ROS - DT/MB/CTV - non-CoV"/>
    <n v="128231"/>
    <d v="2026-06-30T00:00:00"/>
    <d v="2026-06-11T00:00:00"/>
    <d v="2026-07-19T00:00:00"/>
    <s v="Direct SFV"/>
    <m/>
    <d v="2026-07-05T12:53:18"/>
  </r>
  <r>
    <s v="PLATFORM AT PUBLICIS MEDIA"/>
    <n v="11248"/>
    <n v="7228"/>
    <s v="DICK'S SPORTING GOODS"/>
    <s v="Dick's/2026 MWC/Digital/Scatter/DSGB"/>
    <x v="118"/>
    <s v="DSG - Run of AllFOX Video - Package -AAT-  2026"/>
    <n v="582713"/>
    <s v="DSG - DIO - LFV - 1F - Tubi - Pre/Mid - ROS - DT/MB/CTV -AAT- FW - SXD - 2026"/>
    <n v="93989612"/>
    <s v="Fox Sold Tubi"/>
    <s v="CPM"/>
    <n v="20"/>
    <s v="3P Audience Target"/>
    <n v="818120"/>
    <n v="16362.4"/>
    <m/>
    <m/>
    <s v=" "/>
    <n v="0"/>
    <m/>
    <m/>
    <n v="818120"/>
    <n v="818120"/>
    <n v="0"/>
    <n v="0"/>
    <n v="1"/>
    <n v="0"/>
    <n v="0"/>
    <n v="0"/>
    <s v="Bill on Actuals - 3rd Party Performance"/>
    <n v="8050.94"/>
    <n v="1462500"/>
    <n v="29250"/>
    <s v="Dick's/2026 MWC/Digital/Scatter/DSGB"/>
    <n v="93989579"/>
    <s v="Audience Target"/>
    <s v="O-D2UAH7E-R1"/>
    <m/>
    <s v="Tom Cecil"/>
    <s v="Guaranteed"/>
    <s v="DIO - LFV - 1F - Tubi - Pre/Mid - ROS - DT/MB/CTV - FW - SXD"/>
    <n v="128231"/>
    <d v="2026-06-30T00:00:00"/>
    <d v="2026-06-11T00:00:00"/>
    <d v="2026-07-19T00:00:00"/>
    <s v="Direct LFV"/>
    <m/>
    <d v="2026-07-05T12:53:18"/>
  </r>
  <r>
    <s v="PLATFORM AT PUBLICIS MEDIA"/>
    <n v="11248"/>
    <n v="7228"/>
    <s v="DICK'S SPORTING GOODS"/>
    <s v="Dick's/2026 MWC/Digital/Scatter/DSGB"/>
    <x v="118"/>
    <s v="DSG - Run of AllFOX Video - Package -AAT-  2026"/>
    <n v="582713"/>
    <s v="DSG - DIO - ROV - 1F - SEN - Pre/Mid - ROS - DT/MB/CTV -AAT- SXD - 2026"/>
    <n v="93989615"/>
    <s v="OneFOX"/>
    <s v="CPM"/>
    <n v="20"/>
    <s v="3P Audience Target"/>
    <n v="523703"/>
    <n v="10474.06"/>
    <m/>
    <m/>
    <s v=" "/>
    <s v=""/>
    <m/>
    <m/>
    <n v="523703"/>
    <n v="523703"/>
    <n v="0"/>
    <n v="0"/>
    <n v="1"/>
    <n v="0"/>
    <n v="0"/>
    <n v="0"/>
    <s v="Bill on Actuals - 3rd Party Performance"/>
    <n v="5367.29"/>
    <n v="975000"/>
    <n v="19500"/>
    <s v="Dick's/2026 MWC/Digital/Scatter/DSGB"/>
    <n v="93989579"/>
    <s v="Audience Target"/>
    <s v="O-D2UAH7E-R1"/>
    <m/>
    <s v="Tom Cecil"/>
    <s v="Guaranteed"/>
    <s v="DIO - ROV - 1F - SEN - Pre/Mid - ROS - DT/MB/CTV - SXD"/>
    <n v="128231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Advil - Run of World Cup Video - Package - 2026"/>
    <n v="581853"/>
    <s v="Haleon - Advil - DIO - LFV - TUB - Pre/Mid - MWC - DT/MB/CTV - 2026"/>
    <n v="94123135"/>
    <s v="Fox Sold Tubi"/>
    <s v="CPM"/>
    <n v="40"/>
    <s v="3P Imps"/>
    <n v="904392"/>
    <n v="36175.68"/>
    <m/>
    <m/>
    <s v=" "/>
    <n v="0"/>
    <m/>
    <m/>
    <n v="904392"/>
    <n v="904392"/>
    <n v="0"/>
    <n v="0"/>
    <n v="1"/>
    <n v="0"/>
    <n v="0"/>
    <n v="0"/>
    <s v="Bill on Actuals - 3rd Party Performance"/>
    <n v="18184.150000000001"/>
    <n v="1592500"/>
    <n v="63700"/>
    <s v="Haleon/2026 MWC/Digital/Scatter"/>
    <n v="94123008"/>
    <s v="P2+"/>
    <s v="O-D2UPBIO-R1"/>
    <m/>
    <s v="Tom Cecil"/>
    <s v="Guaranteed"/>
    <s v="DIO - LFV - TUB - Pre/Mid - MWC - DT/MB/CTV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Advil - Run of World Cup Video - Package - 2026"/>
    <n v="581853"/>
    <s v="Haleon - Advil - DIO - ROV - FS - Pre/Mid - MWC - DT/MB/CTV - 2026"/>
    <n v="94123022"/>
    <s v="FOX Sports"/>
    <s v="CPM"/>
    <n v="40"/>
    <s v="3P Imps"/>
    <n v="394098"/>
    <n v="15763.92"/>
    <m/>
    <m/>
    <s v=" "/>
    <s v=""/>
    <m/>
    <m/>
    <n v="394098"/>
    <n v="394098"/>
    <n v="0"/>
    <n v="0"/>
    <n v="1"/>
    <n v="0"/>
    <n v="0"/>
    <n v="0"/>
    <s v="Bill on Actuals - 3rd Party Performance"/>
    <n v="7793.21"/>
    <n v="682500"/>
    <n v="27300"/>
    <s v="Haleon/2026 MWC/Digital/Scatter"/>
    <n v="94123008"/>
    <s v="P2+"/>
    <s v="O-D2UPBIO-R1"/>
    <m/>
    <s v="Tom Cecil"/>
    <s v="Guaranteed"/>
    <s v="DIO - ROV - FS - Pre/Mid - MWC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Advil - Run of World Cup Display - Package - 2026"/>
    <n v="581856"/>
    <s v="Haleon - Advil - DIS - FS - Display Unit - MWC - 2026 - 300x250, 320x50, 728x90"/>
    <n v="7316069462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4893.0200000000004"/>
    <n v="2166667"/>
    <n v="13000"/>
    <s v="Haleon/2026 MWC/Digital/Scatter"/>
    <n v="257639"/>
    <s v="P2+"/>
    <s v="O-D2UPBIO-R1"/>
    <m/>
    <s v="Tom Cecil"/>
    <s v="Guaranteed"/>
    <s v="DIS - FS - Display Unit - MWC"/>
    <n v="128642"/>
    <d v="2026-06-30T00:00:00"/>
    <d v="2026-06-11T00:00:00"/>
    <d v="2026-07-19T00:00:00"/>
    <s v="Direct Display"/>
    <m/>
    <d v="2026-07-05T12:53:18"/>
  </r>
  <r>
    <s v="PLATFORM AT PUBLICIS MEDIA"/>
    <n v="11248"/>
    <n v="14785"/>
    <s v="HALEON"/>
    <s v="Haleon/2026 MWC/Digital/Scatter"/>
    <x v="119"/>
    <s v="Haleon - Advil - Run of FOX Sports Video - Package - 2026"/>
    <n v="581858"/>
    <s v="Haleon - Advil - DIO - ROV - FS - Pre/Mid - ROS - DT/MB/CTV - 2026"/>
    <n v="94123046"/>
    <s v="FOX Sports"/>
    <s v="CPM"/>
    <n v="25"/>
    <s v="3P CoView Imps"/>
    <n v="553925"/>
    <n v="13848.12"/>
    <m/>
    <m/>
    <s v=" "/>
    <n v="0"/>
    <m/>
    <m/>
    <n v="484515"/>
    <n v="484515"/>
    <n v="553925"/>
    <n v="553925"/>
    <n v="1"/>
    <n v="1.143258270609264"/>
    <n v="0"/>
    <n v="0"/>
    <s v="Bill on Actuals - 3rd Party Performance"/>
    <n v="6947.39"/>
    <n v="1300000"/>
    <n v="32500"/>
    <s v="Haleon/2026 MWC/Digital/Scatter"/>
    <n v="94123008"/>
    <s v="P2+"/>
    <s v="O-D2UPBIO-R1"/>
    <m/>
    <s v="Tom Cecil"/>
    <s v="Guaranteed"/>
    <s v="DIO - ROV - FS - Pre/Mid - ROS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Advil - Run of AllFOX Video - Package -AAT- 2026"/>
    <n v="581860"/>
    <s v="Haleon - Advil - DIO - LFV - 1F - Tubi - Pre/Mid - ROS - DT/MB/CTV -AAT- FW - SXD - 2026"/>
    <n v="94123017"/>
    <s v="Fox Sold Tubi"/>
    <s v="CPM"/>
    <n v="20"/>
    <s v="3P Audience Target"/>
    <n v="850326"/>
    <n v="17006.52"/>
    <m/>
    <m/>
    <s v=" "/>
    <n v="0"/>
    <m/>
    <m/>
    <n v="850326"/>
    <n v="850326"/>
    <n v="0"/>
    <n v="0"/>
    <n v="1"/>
    <n v="0"/>
    <n v="0"/>
    <n v="0"/>
    <s v="Bill on Actuals - 3rd Party Performance"/>
    <n v="8410.94"/>
    <n v="1521000"/>
    <n v="30420"/>
    <s v="Haleon/2026 MWC/Digital/Scatter"/>
    <n v="94123008"/>
    <s v="Audience Target"/>
    <s v="O-D2UPBIO-R1"/>
    <m/>
    <s v="Tom Cecil"/>
    <s v="Guaranteed"/>
    <s v="DIO - LFV - 1F - Tubi - Pre/Mid - ROS - DT/MB/CTV - FW - SXD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Advil - Run of AllFOX Video - Package -AAT- 2026"/>
    <n v="581860"/>
    <s v="Haleon - Advil - DIO - ROV - 1F - SEN - Pre/Mid - ROS - DT/MB/CTV -AAT- SXD - 2026"/>
    <n v="94123127"/>
    <s v="OneFOX"/>
    <s v="CPM"/>
    <n v="20"/>
    <s v="3P Audience Target"/>
    <n v="544865"/>
    <n v="10897.3"/>
    <m/>
    <m/>
    <s v=" "/>
    <s v=""/>
    <m/>
    <m/>
    <n v="544865"/>
    <n v="544865"/>
    <n v="0"/>
    <n v="0"/>
    <n v="1"/>
    <n v="0"/>
    <n v="0"/>
    <n v="0"/>
    <s v="Bill on Actuals - 3rd Party Performance"/>
    <n v="5607.3"/>
    <n v="1014000"/>
    <n v="20280"/>
    <s v="Haleon/2026 MWC/Digital/Scatter"/>
    <n v="94123008"/>
    <s v="Audience Target"/>
    <s v="O-D2UPBIO-R1"/>
    <m/>
    <s v="Tom Cecil"/>
    <s v="Guaranteed"/>
    <s v="DIO - ROV - 1F - SEN - Pre/Mid - ROS - DT/MB/CTV - SXD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Advil - World Cup Social Sponsorship Content - Package - 2026"/>
    <n v="581863"/>
    <s v="Haleon - Advil - DIO - SOC - FOX Sports - Facebook/Instagram - MWC - 2026"/>
    <n v="581864"/>
    <s v="FOX Sports - FB-Inst"/>
    <s v="Flat Rate"/>
    <n v="26000"/>
    <s v="Bill on Contract"/>
    <n v="0"/>
    <n v="6666.67"/>
    <m/>
    <m/>
    <s v=" "/>
    <n v="0"/>
    <m/>
    <m/>
    <n v="0"/>
    <n v="0"/>
    <n v="0"/>
    <n v="0"/>
    <n v="1"/>
    <n v="0"/>
    <n v="0"/>
    <n v="0"/>
    <s v="Bill on Contract - Pro-rated"/>
    <n v="6666.67"/>
    <n v="1"/>
    <n v="26000"/>
    <s v="Haleon/2026 MWC/Digital/Scatter"/>
    <n v="257639"/>
    <s v="P2+"/>
    <s v="O-D2UPBIO-R1"/>
    <m/>
    <s v="Tom Cecil"/>
    <s v="Guaranteed"/>
    <s v="DIO - SOC - FOX Sports - Facebook/Instagram - MWC"/>
    <n v="128642"/>
    <d v="2026-06-30T00:00:00"/>
    <d v="2026-06-11T00:00:00"/>
    <d v="2026-07-19T00:00:00"/>
    <s v="Social Facebook/Instagram"/>
    <m/>
    <d v="2026-07-05T12:53:18"/>
  </r>
  <r>
    <s v="PLATFORM AT PUBLICIS MEDIA"/>
    <n v="11248"/>
    <n v="14785"/>
    <s v="HALEON"/>
    <s v="Haleon/2026 MWC/Digital/Scatter"/>
    <x v="119"/>
    <s v="Haleon - Advil - World Cup Social Sponsorship Content - Package - 2026"/>
    <n v="581863"/>
    <s v="Haleon - Advil - DIO - SOC - FOX Sports - TikTok - MWC - 2026"/>
    <n v="581867"/>
    <s v="FOX Sports - TikTok"/>
    <s v="Flat Rate"/>
    <n v="26000"/>
    <s v="Bill on Contract"/>
    <n v="0"/>
    <n v="6666.67"/>
    <m/>
    <m/>
    <s v=" "/>
    <s v=""/>
    <m/>
    <m/>
    <n v="0"/>
    <n v="0"/>
    <n v="0"/>
    <n v="0"/>
    <n v="1"/>
    <n v="0"/>
    <n v="0"/>
    <n v="0"/>
    <s v="Bill on Contract - Pro-rated"/>
    <n v="6666.67"/>
    <n v="1"/>
    <n v="26000"/>
    <s v="Haleon/2026 MWC/Digital/Scatter"/>
    <n v="257639"/>
    <s v="P2+"/>
    <s v="O-D2UPBIO-R1"/>
    <m/>
    <s v="Tom Cecil"/>
    <s v="Guaranteed"/>
    <s v="DIO - SOC - FOX Sports - TikTok - MWC"/>
    <n v="128642"/>
    <d v="2026-06-30T00:00:00"/>
    <d v="2026-06-11T00:00:00"/>
    <d v="2026-07-19T00:00:00"/>
    <s v="Social TikTok"/>
    <m/>
    <d v="2026-07-05T12:53:18"/>
  </r>
  <r>
    <s v="PLATFORM AT PUBLICIS MEDIA"/>
    <n v="11248"/>
    <n v="14785"/>
    <s v="HALEON"/>
    <s v="Haleon/2026 MWC/Digital/Scatter"/>
    <x v="119"/>
    <s v="Haleon - Advil - World Cup Social Sponsorship Content - Package - 2026"/>
    <n v="581863"/>
    <s v="Haleon - Advil - DIO - SOC - FOX Sports - Youtube - Custom Content - MWC - 2026"/>
    <n v="581866"/>
    <s v="FOX Sports"/>
    <s v="Flat Rate"/>
    <n v="26000"/>
    <s v="Bill on Contract"/>
    <n v="0"/>
    <n v="6666.67"/>
    <m/>
    <m/>
    <s v=" "/>
    <s v=""/>
    <m/>
    <m/>
    <n v="0"/>
    <n v="0"/>
    <n v="0"/>
    <n v="0"/>
    <n v="1"/>
    <n v="0"/>
    <n v="0"/>
    <n v="0"/>
    <s v="Bill on Contract - Pro-rated"/>
    <n v="6666.67"/>
    <n v="1"/>
    <n v="26000"/>
    <s v="Haleon/2026 MWC/Digital/Scatter"/>
    <n v="257639"/>
    <s v="P2+"/>
    <s v="O-D2UPBIO-R1"/>
    <m/>
    <s v="Tom Cecil"/>
    <s v="Guaranteed"/>
    <s v="DIO - SOC - FOX Sports - Youtube - Custom Content - MWC"/>
    <n v="128642"/>
    <d v="2026-06-30T00:00:00"/>
    <d v="2026-06-11T00:00:00"/>
    <d v="2026-07-19T00:00:00"/>
    <s v="Social"/>
    <m/>
    <d v="2026-07-05T12:53:18"/>
  </r>
  <r>
    <s v="PLATFORM AT PUBLICIS MEDIA"/>
    <n v="11248"/>
    <n v="14785"/>
    <s v="HALEON"/>
    <s v="Haleon/2026 MWC/Digital/Scatter"/>
    <x v="119"/>
    <s v="Haleon - Centrum - Run of World Cup Video - Package - 2026"/>
    <n v="589549"/>
    <s v="Haleon - Centrum - DIO - LFV - TUB - Pre/Mid - MWC - DT/MB/CTV - 2026"/>
    <n v="94123057"/>
    <s v="Fox Sold Tubi"/>
    <s v="CPM"/>
    <n v="40"/>
    <s v="3P Imps"/>
    <n v="485006"/>
    <n v="19400.240000000002"/>
    <m/>
    <m/>
    <s v=" "/>
    <n v="0"/>
    <m/>
    <m/>
    <n v="485006"/>
    <n v="485006"/>
    <n v="0"/>
    <n v="0"/>
    <n v="1"/>
    <n v="0"/>
    <n v="0"/>
    <n v="0"/>
    <s v="Bill on Actuals - 3rd Party Performance"/>
    <n v="9798.4599999999991"/>
    <n v="857500"/>
    <n v="34300"/>
    <s v="Haleon/2026 MWC/Digital/Scatter"/>
    <n v="94123008"/>
    <s v="P2+"/>
    <s v="O-D2UPBIO-R1"/>
    <m/>
    <s v="Tom Cecil"/>
    <s v="Guaranteed"/>
    <s v="DIO - LFV - TUB - Pre/Mid - MWC - DT/MB/CTV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Centrum - Run of World Cup Video - Package - 2026"/>
    <n v="589549"/>
    <s v="Haleon - Centrum - DIO - ROV - FS - Pre/Mid - MWC - DT/MB/CTV - 2026"/>
    <n v="94123054"/>
    <s v="FOX Sports"/>
    <s v="CPM"/>
    <n v="40"/>
    <s v="3P Imps"/>
    <n v="212741"/>
    <n v="8509.64"/>
    <m/>
    <m/>
    <s v=" "/>
    <s v=""/>
    <m/>
    <m/>
    <n v="212741"/>
    <n v="212741"/>
    <n v="0"/>
    <n v="0"/>
    <n v="1"/>
    <n v="0"/>
    <n v="0"/>
    <n v="0"/>
    <s v="Bill on Actuals - 3rd Party Performance"/>
    <n v="4199.34"/>
    <n v="367500"/>
    <n v="14700"/>
    <s v="Haleon/2026 MWC/Digital/Scatter"/>
    <n v="94123008"/>
    <s v="P2+"/>
    <s v="O-D2UPBIO-R1"/>
    <m/>
    <s v="Tom Cecil"/>
    <s v="Guaranteed"/>
    <s v="DIO - ROV - FS - Pre/Mid - MWC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Pronamel - Run of World Cup Video - Package - 2026"/>
    <n v="589552"/>
    <s v="Haleon - Pronamel - DIO - LFV - TUB - Pre/Mid - MWC - DT/MB/CTV - 2026"/>
    <n v="94123028"/>
    <s v="Fox Sold Tubi"/>
    <s v="CPM"/>
    <n v="40"/>
    <s v="3P Imps"/>
    <n v="659599"/>
    <n v="26383.96"/>
    <m/>
    <m/>
    <s v=" "/>
    <n v="0"/>
    <m/>
    <m/>
    <n v="659599"/>
    <n v="659599"/>
    <n v="0"/>
    <n v="0"/>
    <n v="1"/>
    <n v="0"/>
    <n v="0"/>
    <n v="0"/>
    <s v="Bill on Actuals - 3rd Party Performance"/>
    <n v="13290.44"/>
    <n v="1163750"/>
    <n v="46550"/>
    <s v="Haleon/2026 MWC/Digital/Scatter"/>
    <n v="94123008"/>
    <s v="P2+"/>
    <s v="O-D2UPBIO-R1"/>
    <m/>
    <s v="Tom Cecil"/>
    <s v="Guaranteed"/>
    <s v="DIO - LFV - TUB - Pre/Mid - MWC - DT/MB/CTV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Pronamel - Run of World Cup Video - Package - 2026"/>
    <n v="589552"/>
    <s v="Haleon - Pronamel - DIO - ROV - FS - Pre/Mid - MWC - DT/MB/CTV - 2026"/>
    <n v="94123116"/>
    <s v="FOX Sports"/>
    <s v="CPM"/>
    <n v="40"/>
    <s v="3P Imps"/>
    <n v="288240"/>
    <n v="11529.6"/>
    <m/>
    <m/>
    <s v=" "/>
    <s v=""/>
    <m/>
    <m/>
    <n v="288240"/>
    <n v="288240"/>
    <n v="0"/>
    <n v="0"/>
    <n v="1"/>
    <n v="0"/>
    <n v="0"/>
    <n v="0"/>
    <s v="Bill on Actuals - 3rd Party Performance"/>
    <n v="5695.9"/>
    <n v="498750"/>
    <n v="19950"/>
    <s v="Haleon/2026 MWC/Digital/Scatter"/>
    <n v="94123008"/>
    <s v="P2+"/>
    <s v="O-D2UPBIO-R1"/>
    <m/>
    <s v="Tom Cecil"/>
    <s v="Guaranteed"/>
    <s v="DIO - ROV - FS - Pre/Mid - MWC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Sensodyne - Run of World Cup Video - Package - 2026"/>
    <n v="589555"/>
    <s v="Haleon - Sensodyne - DIO - LFV - TUB - Pre/Mid - MWC - DT/MB/CTV - 2026"/>
    <n v="94123025"/>
    <s v="Fox Sold Tubi"/>
    <s v="CPM"/>
    <n v="40"/>
    <s v="3P Imps"/>
    <n v="1079118"/>
    <n v="43164.72"/>
    <m/>
    <m/>
    <s v=" "/>
    <n v="0"/>
    <m/>
    <m/>
    <n v="1079118"/>
    <n v="1079118"/>
    <n v="0"/>
    <n v="0"/>
    <n v="1"/>
    <n v="0"/>
    <n v="0"/>
    <n v="0"/>
    <s v="Bill on Actuals - 3rd Party Performance"/>
    <n v="21677.56"/>
    <n v="1898750"/>
    <n v="75950"/>
    <s v="Haleon/2026 MWC/Digital/Scatter"/>
    <n v="94123008"/>
    <s v="P2+"/>
    <s v="O-D2UPBIO-R1"/>
    <m/>
    <s v="Tom Cecil"/>
    <s v="Guaranteed"/>
    <s v="DIO - LFV - TUB - Pre/Mid - MWC - DT/MB/CTV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Sensodyne - Run of World Cup Video - Package - 2026"/>
    <n v="589555"/>
    <s v="Haleon - Sensodyne - DIO - ROV - FS - Pre/Mid - MWC - DT/MB/CTV - 2026"/>
    <n v="94123111"/>
    <s v="FOX Sports"/>
    <s v="CPM"/>
    <n v="40"/>
    <s v="3P Imps"/>
    <n v="469536"/>
    <n v="18781.439999999999"/>
    <m/>
    <m/>
    <s v=" "/>
    <s v=""/>
    <m/>
    <m/>
    <n v="469536"/>
    <n v="469536"/>
    <n v="0"/>
    <n v="0"/>
    <n v="1"/>
    <n v="0"/>
    <n v="0"/>
    <n v="0"/>
    <s v="Bill on Actuals - 3rd Party Performance"/>
    <n v="9290.3799999999992"/>
    <n v="813750"/>
    <n v="32550"/>
    <s v="Haleon/2026 MWC/Digital/Scatter"/>
    <n v="94123008"/>
    <s v="P2+"/>
    <s v="O-D2UPBIO-R1"/>
    <m/>
    <s v="Tom Cecil"/>
    <s v="Guaranteed"/>
    <s v="DIO - ROV - FS - Pre/Mid - MWC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Tums - Run of World Cup Video - Package - 2026"/>
    <n v="589558"/>
    <s v="Haleon - Tums - DIO - LFV - TUB - Pre/Mid - MWC - DT/MB/CTV - 2026"/>
    <n v="94123060"/>
    <s v="Fox Sold Tubi"/>
    <s v="CPM"/>
    <n v="40"/>
    <s v="3P Imps"/>
    <n v="345245"/>
    <n v="13809.8"/>
    <m/>
    <m/>
    <s v=" "/>
    <n v="0"/>
    <m/>
    <m/>
    <n v="345245"/>
    <n v="345245"/>
    <n v="0"/>
    <n v="0"/>
    <n v="1"/>
    <n v="0"/>
    <n v="0"/>
    <n v="0"/>
    <s v="Bill on Actuals - 3rd Party Performance"/>
    <n v="7002.23"/>
    <n v="612500"/>
    <n v="24500"/>
    <s v="Haleon/2026 MWC/Digital/Scatter"/>
    <n v="94123008"/>
    <s v="P2+"/>
    <s v="O-D2UPBIO-R1"/>
    <m/>
    <s v="Tom Cecil"/>
    <s v="Guaranteed"/>
    <s v="DIO - LFV - TUB - Pre/Mid - MWC - DT/MB/CTV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Tums - Run of World Cup Video - Package - 2026"/>
    <n v="589558"/>
    <s v="Haleon - Tums - DIO - ROV - FS - Pre/Mid - MWC - DT/MB/CTV - 2026"/>
    <n v="94123108"/>
    <s v="FOX Sports"/>
    <s v="CPM"/>
    <n v="40"/>
    <s v="3P Imps"/>
    <n v="152252"/>
    <n v="6090.08"/>
    <m/>
    <m/>
    <s v=" "/>
    <s v=""/>
    <m/>
    <m/>
    <n v="152252"/>
    <n v="152252"/>
    <n v="0"/>
    <n v="0"/>
    <n v="1"/>
    <n v="0"/>
    <n v="0"/>
    <n v="0"/>
    <s v="Bill on Actuals - 3rd Party Performance"/>
    <n v="3000.95"/>
    <n v="262500"/>
    <n v="10500"/>
    <s v="Haleon/2026 MWC/Digital/Scatter"/>
    <n v="94123008"/>
    <s v="P2+"/>
    <s v="O-D2UPBIO-R1"/>
    <m/>
    <s v="Tom Cecil"/>
    <s v="Guaranteed"/>
    <s v="DIO - ROV - FS - Pre/Mid - MWC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Centrum - Run of World Cup Display - Package - 2026"/>
    <n v="589562"/>
    <s v="Haleon - Centrum - DIS - FS - Display Unit - MWC - 2026 - 300x250, 320x50, 728x90"/>
    <n v="7316069996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729.66"/>
    <n v="1166667"/>
    <n v="7000"/>
    <s v="Haleon/2026 MWC/Digital/Scatter"/>
    <n v="257639"/>
    <s v="P2+"/>
    <s v="O-D2UPBIO-R1"/>
    <m/>
    <s v="Tom Cecil"/>
    <s v="Guaranteed"/>
    <s v="DIS - FS - Display Unit - MWC"/>
    <n v="128642"/>
    <d v="2026-06-30T00:00:00"/>
    <d v="2026-06-11T00:00:00"/>
    <d v="2026-07-19T00:00:00"/>
    <s v="Direct Display"/>
    <m/>
    <d v="2026-07-05T12:53:18"/>
  </r>
  <r>
    <s v="PLATFORM AT PUBLICIS MEDIA"/>
    <n v="11248"/>
    <n v="14785"/>
    <s v="HALEON"/>
    <s v="Haleon/2026 MWC/Digital/Scatter"/>
    <x v="119"/>
    <s v="Haleon - Pronamel - Run of World Cup Display - Package - 2026"/>
    <n v="589564"/>
    <s v="Haleon - Pronamel - DIS - FS - Display Unit - MWC - 2026 - 300x250, 320x50, 728x90"/>
    <n v="7316068457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3638.67"/>
    <n v="1583334"/>
    <n v="9500"/>
    <s v="Haleon/2026 MWC/Digital/Scatter"/>
    <n v="257639"/>
    <s v="P2+"/>
    <s v="O-D2UPBIO-R1"/>
    <m/>
    <s v="Tom Cecil"/>
    <s v="Guaranteed"/>
    <s v="DIS - FS - Display Unit - MWC"/>
    <n v="128642"/>
    <d v="2026-06-30T00:00:00"/>
    <d v="2026-06-11T00:00:00"/>
    <d v="2026-07-19T00:00:00"/>
    <s v="Direct Display"/>
    <m/>
    <d v="2026-07-05T12:53:18"/>
  </r>
  <r>
    <s v="PLATFORM AT PUBLICIS MEDIA"/>
    <n v="11248"/>
    <n v="14785"/>
    <s v="HALEON"/>
    <s v="Haleon/2026 MWC/Digital/Scatter"/>
    <x v="119"/>
    <s v="Haleon - Sensodyne - Run of World Cup Display - Package - 2026"/>
    <n v="589568"/>
    <s v="Haleon - Sensodyne - DIS - FS - Display Unit - MWC - 2026 - 300x250, 320x50, 728x90"/>
    <n v="7316069468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4926.71"/>
    <n v="2583334"/>
    <n v="15500"/>
    <s v="Haleon/2026 MWC/Digital/Scatter"/>
    <n v="257639"/>
    <s v="P2+"/>
    <s v="O-D2UPBIO-R1"/>
    <m/>
    <s v="Tom Cecil"/>
    <s v="Guaranteed"/>
    <s v="DIS - FS - Display Unit - MWC"/>
    <n v="128642"/>
    <d v="2026-06-30T00:00:00"/>
    <d v="2026-06-11T00:00:00"/>
    <d v="2026-07-19T00:00:00"/>
    <s v="Direct Display"/>
    <m/>
    <d v="2026-07-05T12:53:18"/>
  </r>
  <r>
    <s v="PLATFORM AT PUBLICIS MEDIA"/>
    <n v="11248"/>
    <n v="14785"/>
    <s v="HALEON"/>
    <s v="Haleon/2026 MWC/Digital/Scatter"/>
    <x v="119"/>
    <s v="Haleon - Tums - Run of World Cup Display - Package - 2026"/>
    <n v="589571"/>
    <s v="Haleon - Tums - DIS - FS - Display Unit - MWC - 2026 - 300x250, 320x50, 728x90"/>
    <n v="7312112055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981.77"/>
    <n v="833334"/>
    <n v="5000"/>
    <s v="Haleon/2026 MWC/Digital/Scatter"/>
    <n v="257639"/>
    <s v="P2+"/>
    <s v="O-D2UPBIO-R1"/>
    <m/>
    <s v="Tom Cecil"/>
    <s v="Guaranteed"/>
    <s v="DIS - FS - Display Unit - MWC"/>
    <n v="128642"/>
    <d v="2026-06-30T00:00:00"/>
    <d v="2026-06-11T00:00:00"/>
    <d v="2026-07-19T00:00:00"/>
    <s v="Direct Display"/>
    <m/>
    <d v="2026-07-05T12:53:18"/>
  </r>
  <r>
    <s v="PLATFORM AT PUBLICIS MEDIA"/>
    <n v="11248"/>
    <n v="14785"/>
    <s v="HALEON"/>
    <s v="Haleon/2026 MWC/Digital/Scatter"/>
    <x v="119"/>
    <s v="Haleon - Centrum - Run of FOX Sports Video - Package - 2026"/>
    <n v="589573"/>
    <s v="Haleon - Centrum - DIO - ROV - FS - Pre/Mid - ROS - DT/MB/CTV - 2026"/>
    <n v="94123042"/>
    <s v="FOX Sports"/>
    <s v="CPM"/>
    <n v="25"/>
    <s v="3P CoView Imps"/>
    <n v="301558"/>
    <n v="7538.95"/>
    <m/>
    <m/>
    <s v=" "/>
    <n v="0"/>
    <m/>
    <m/>
    <n v="262822"/>
    <n v="262822"/>
    <n v="301558"/>
    <n v="301558"/>
    <n v="1"/>
    <n v="1.147388619739717"/>
    <n v="0"/>
    <n v="0"/>
    <s v="Bill on Actuals - 3rd Party Performance"/>
    <n v="3789.06"/>
    <n v="700000"/>
    <n v="17500"/>
    <s v="Haleon/2026 MWC/Digital/Scatter"/>
    <n v="94123008"/>
    <s v="P2+"/>
    <s v="O-D2UPBIO-R1"/>
    <m/>
    <s v="Tom Cecil"/>
    <s v="Guaranteed"/>
    <s v="DIO - ROV - FS - Pre/Mid - ROS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Pronamel - Run of FOX Sports Video - Package - 2026"/>
    <n v="589575"/>
    <s v="Haleon - Pronamel - DIO - ROV - FS - Pre/Mid - ROS - DT/MB/CTV - 2026"/>
    <n v="94123038"/>
    <s v="FOX Sports"/>
    <s v="CPM"/>
    <n v="25"/>
    <s v="3P CoView Imps"/>
    <n v="406349"/>
    <n v="10158.73"/>
    <m/>
    <m/>
    <s v=" "/>
    <n v="0"/>
    <m/>
    <m/>
    <n v="354255"/>
    <n v="354255"/>
    <n v="406349"/>
    <n v="406349"/>
    <n v="1"/>
    <n v="1.1470527701733071"/>
    <n v="0"/>
    <n v="0"/>
    <s v="Bill on Actuals - 3rd Party Performance"/>
    <n v="5106.5200000000004"/>
    <n v="950000"/>
    <n v="23750"/>
    <s v="Haleon/2026 MWC/Digital/Scatter"/>
    <n v="94123008"/>
    <s v="P2+"/>
    <s v="O-D2UPBIO-R1"/>
    <m/>
    <s v="Tom Cecil"/>
    <s v="Guaranteed"/>
    <s v="DIO - ROV - FS - Pre/Mid - ROS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Sensodyne - Run of FOX Sports Video - Package - 2026"/>
    <n v="589577"/>
    <s v="Haleon - Sensodyne - DIO - ROV - FS - Pre/Mid - ROS - DT/MB/CTV - 2026"/>
    <n v="94123050"/>
    <s v="FOX Sports"/>
    <s v="CPM"/>
    <n v="25"/>
    <s v="3P CoView Imps"/>
    <n v="664050"/>
    <n v="16601.25"/>
    <m/>
    <m/>
    <s v=" "/>
    <n v="0"/>
    <m/>
    <m/>
    <n v="582989"/>
    <n v="582989"/>
    <n v="664050"/>
    <n v="664050"/>
    <n v="1"/>
    <n v="1.1390442580965681"/>
    <n v="0"/>
    <n v="0"/>
    <s v="Bill on Actuals - 3rd Party Performance"/>
    <n v="8330.08"/>
    <n v="1550000"/>
    <n v="38750"/>
    <s v="Haleon/2026 MWC/Digital/Scatter"/>
    <n v="94123008"/>
    <s v="P2+"/>
    <s v="O-D2UPBIO-R1"/>
    <m/>
    <s v="Tom Cecil"/>
    <s v="Guaranteed"/>
    <s v="DIO - ROV - FS - Pre/Mid - ROS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Tums - Run of FOX Sports Video - Package - 2026"/>
    <n v="589579"/>
    <s v="Haleon - Tums - DIO - ROV - FS - Pre/Mid - ROS - DT/MB/CTV - 2026"/>
    <n v="94123098"/>
    <s v="FOX Sports"/>
    <s v="CPM"/>
    <n v="25"/>
    <s v="3P CoView Imps"/>
    <n v="217542"/>
    <n v="5438.55"/>
    <m/>
    <m/>
    <s v=" "/>
    <n v="0"/>
    <m/>
    <m/>
    <n v="188462"/>
    <n v="188462"/>
    <n v="217542"/>
    <n v="217542"/>
    <n v="1"/>
    <n v="1.1543018529999309"/>
    <n v="0"/>
    <n v="0"/>
    <s v="Bill on Actuals - 3rd Party Performance"/>
    <n v="2727.94"/>
    <n v="500000"/>
    <n v="12500"/>
    <s v="Haleon/2026 MWC/Digital/Scatter"/>
    <n v="94123008"/>
    <s v="P2+"/>
    <s v="O-D2UPBIO-R1"/>
    <m/>
    <s v="Tom Cecil"/>
    <s v="Guaranteed"/>
    <s v="DIO - ROV - FS - Pre/Mid - ROS - DT/MB/CTV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Centrum - Run of AllFOX Video - Package - AAT- 2026"/>
    <n v="589581"/>
    <s v="Haleon - Centrum - DIO - LFV - 1F - Tubi - Pre/Mid - ROS - DT/MB/CTV - AAT- FW - SXD - 2026"/>
    <n v="94123011"/>
    <s v="Fox Sold Tubi"/>
    <s v="CPM"/>
    <n v="20"/>
    <s v="3P Audience Target"/>
    <n v="456203"/>
    <n v="9124.06"/>
    <m/>
    <m/>
    <s v=" "/>
    <n v="0"/>
    <m/>
    <m/>
    <n v="456203"/>
    <n v="456203"/>
    <n v="0"/>
    <n v="0"/>
    <n v="1"/>
    <n v="0"/>
    <n v="0"/>
    <n v="0"/>
    <s v="Bill on Actuals - 3rd Party Performance"/>
    <n v="4519.43"/>
    <n v="819000"/>
    <n v="16380"/>
    <s v="Haleon/2026 MWC/Digital/Scatter"/>
    <n v="94123008"/>
    <s v="Audience Target"/>
    <s v="O-D2UPBIO-R1"/>
    <m/>
    <s v="Tom Cecil"/>
    <s v="Guaranteed"/>
    <s v="DIO - LFV - 1F - Tubi - Pre/Mid - ROS - DT/MB/CTV - FW - SXD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Centrum - Run of AllFOX Video - Package - AAT- 2026"/>
    <n v="589581"/>
    <s v="Haleon - Centrum - DIO - ROV - 1F - SEN - Pre/Mid - ROS - DT/MB/CTV -AAT- SXD - 2026"/>
    <n v="94123031"/>
    <s v="OneFOX"/>
    <s v="CPM"/>
    <n v="20"/>
    <s v="3P Audience Target"/>
    <n v="284262"/>
    <n v="5685.24"/>
    <m/>
    <m/>
    <s v=" "/>
    <s v=""/>
    <m/>
    <m/>
    <n v="284262"/>
    <n v="284262"/>
    <n v="0"/>
    <n v="0"/>
    <n v="1"/>
    <n v="0"/>
    <n v="0"/>
    <n v="0"/>
    <s v="Bill on Actuals - 3rd Party Performance"/>
    <n v="3012.95"/>
    <n v="546000"/>
    <n v="10920"/>
    <s v="Haleon/2026 MWC/Digital/Scatter"/>
    <n v="94123008"/>
    <s v="Audience Target"/>
    <s v="O-D2UPBIO-R1"/>
    <m/>
    <s v="Tom Cecil"/>
    <s v="Guaranteed"/>
    <s v="DIO - ROV - 1F - SEN - Pre/Mid - ROS - DT/MB/CTV - SXD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Pronamel - Run of AllFOX Video - Package -AAT- 2026"/>
    <n v="589584"/>
    <s v="Haleon - Pronamel - DIO - LFV - 1F - Tubi - Pre/Mid - ROS - DT/MB/CTV - AAT- FW - SXD - 2026"/>
    <n v="94123035"/>
    <s v="Fox Sold Tubi"/>
    <s v="CPM"/>
    <n v="20"/>
    <s v="3P Audience Target"/>
    <n v="621605"/>
    <n v="12432.1"/>
    <m/>
    <m/>
    <s v=" "/>
    <n v="0"/>
    <m/>
    <m/>
    <n v="621605"/>
    <n v="621605"/>
    <n v="0"/>
    <n v="0"/>
    <n v="1"/>
    <n v="0"/>
    <n v="0"/>
    <n v="0"/>
    <s v="Bill on Actuals - 3rd Party Performance"/>
    <n v="6148.93"/>
    <n v="1111500"/>
    <n v="22230"/>
    <s v="Haleon/2026 MWC/Digital/Scatter"/>
    <n v="94123008"/>
    <s v="Audience Target"/>
    <s v="O-D2UPBIO-R1"/>
    <m/>
    <s v="Tom Cecil"/>
    <s v="Guaranteed"/>
    <s v="DIO - LFV - 1F - Tubi - Pre/Mid - ROS - DT/MB/CTV - FW - SXD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Pronamel - Run of AllFOX Video - Package -AAT- 2026"/>
    <n v="589584"/>
    <s v="Haleon - Pronamel - DIO - ROV - 1F - SEN - Pre/Mid - ROS - DT/MB/CTV - AAT- SXD - 2026"/>
    <n v="94123131"/>
    <s v="OneFOX"/>
    <s v="CPM"/>
    <n v="20"/>
    <s v="3P Audience Target"/>
    <n v="393563"/>
    <n v="7871.26"/>
    <m/>
    <m/>
    <s v=" "/>
    <s v=""/>
    <m/>
    <m/>
    <n v="393563"/>
    <n v="393563"/>
    <n v="0"/>
    <n v="0"/>
    <n v="1"/>
    <n v="0"/>
    <n v="0"/>
    <n v="0"/>
    <s v="Bill on Actuals - 3rd Party Performance"/>
    <n v="4099.28"/>
    <n v="741000"/>
    <n v="14820"/>
    <s v="Haleon/2026 MWC/Digital/Scatter"/>
    <n v="94123008"/>
    <s v="Audience Target"/>
    <s v="O-D2UPBIO-R1"/>
    <m/>
    <s v="Tom Cecil"/>
    <s v="Guaranteed"/>
    <s v="DIO - ROV - 1F - SEN - Pre/Mid - ROS - DT/MB/CTV - SXD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Sensodyne - Run of AllFOX Video - Package -AAT- 2026"/>
    <n v="589587"/>
    <s v="Haleon - Sensodyne - DIO - LFV - 1F - Tubi - Pre/Mid - ROS - DT/MB/CTV -AAT- FW - SXD - 2026"/>
    <n v="94123067"/>
    <s v="Fox Sold Tubi"/>
    <s v="CPM"/>
    <n v="20"/>
    <s v="3P Audience Target"/>
    <n v="1012190"/>
    <n v="20243.8"/>
    <m/>
    <m/>
    <s v=" "/>
    <n v="0"/>
    <m/>
    <m/>
    <n v="1012190"/>
    <n v="1012190"/>
    <n v="0"/>
    <n v="0"/>
    <n v="1"/>
    <n v="0"/>
    <n v="0"/>
    <n v="0"/>
    <s v="Bill on Actuals - 3rd Party Performance"/>
    <n v="10018.64"/>
    <n v="1813500"/>
    <n v="36270"/>
    <s v="Haleon/2026 MWC/Digital/Scatter"/>
    <n v="94123008"/>
    <s v="Audience Target"/>
    <s v="O-D2UPBIO-R1"/>
    <m/>
    <s v="Tom Cecil"/>
    <s v="Guaranteed"/>
    <s v="DIO - LFV - 1F - Tubi - Pre/Mid - ROS - DT/MB/CTV - FW - SXD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Sensodyne - Run of AllFOX Video - Package -AAT- 2026"/>
    <n v="589587"/>
    <s v="Haleon - Sensodyne - DIO - ROV - 1F - SEN - Pre/Mid - ROS - DT/MB/CTV - AAT- SXD - 2026"/>
    <n v="94123076"/>
    <s v="OneFOX"/>
    <s v="CPM"/>
    <n v="20"/>
    <s v="3P Audience Target"/>
    <n v="653669"/>
    <n v="13073.38"/>
    <m/>
    <m/>
    <s v=" "/>
    <s v=""/>
    <m/>
    <m/>
    <n v="653669"/>
    <n v="653669"/>
    <n v="0"/>
    <n v="0"/>
    <n v="1"/>
    <n v="0"/>
    <n v="0"/>
    <n v="0"/>
    <s v="Bill on Actuals - 3rd Party Performance"/>
    <n v="6679.09"/>
    <n v="1209000"/>
    <n v="24180"/>
    <s v="Haleon/2026 MWC/Digital/Scatter"/>
    <n v="94123008"/>
    <s v="Audience Target"/>
    <s v="O-D2UPBIO-R1"/>
    <m/>
    <s v="Tom Cecil"/>
    <s v="Guaranteed"/>
    <s v="DIO - ROV - 1F - SEN - Pre/Mid - ROS - DT/MB/CTV - SXD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Tums - Run of AllFOX Video - Package -AAT- 2026"/>
    <n v="589590"/>
    <s v="Haleon - Tums - DIO - LFV - 1F - Tubi - Pre/Mid - ROS - DT/MB/CTV -AAT- FW - SXD - 2026"/>
    <n v="94123122"/>
    <s v="Fox Sold Tubi"/>
    <s v="CPM"/>
    <n v="20"/>
    <s v="3P Audience Target"/>
    <n v="327117"/>
    <n v="6542.34"/>
    <m/>
    <m/>
    <s v=" "/>
    <n v="0"/>
    <m/>
    <m/>
    <n v="327117"/>
    <n v="327117"/>
    <n v="0"/>
    <n v="0"/>
    <n v="1"/>
    <n v="0"/>
    <n v="0"/>
    <n v="0"/>
    <s v="Bill on Actuals - 3rd Party Performance"/>
    <n v="3237.99"/>
    <n v="585000"/>
    <n v="11700"/>
    <s v="Haleon/2026 MWC/Digital/Scatter"/>
    <n v="94123008"/>
    <s v="Audience Target"/>
    <s v="O-D2UPBIO-R1"/>
    <m/>
    <s v="Tom Cecil"/>
    <s v="Guaranteed"/>
    <s v="DIO - LFV - 1F - Tubi - Pre/Mid - ROS - DT/MB/CTV - FW - SXD"/>
    <n v="128642"/>
    <d v="2026-06-30T00:00:00"/>
    <d v="2026-06-11T00:00:00"/>
    <d v="2026-07-19T00:00:00"/>
    <s v="Direct LFV"/>
    <m/>
    <d v="2026-07-05T12:53:18"/>
  </r>
  <r>
    <s v="PLATFORM AT PUBLICIS MEDIA"/>
    <n v="11248"/>
    <n v="14785"/>
    <s v="HALEON"/>
    <s v="Haleon/2026 MWC/Digital/Scatter"/>
    <x v="119"/>
    <s v="Haleon - Tums - Run of AllFOX Video - Package -AAT- 2026"/>
    <n v="589590"/>
    <s v="Haleon - Tums - DIO - ROV - 1F - SEN - Pre/Mid - ROS - DT/MB/CTV -AAT- SXD - 2026"/>
    <n v="94123063"/>
    <s v="OneFOX"/>
    <s v="CPM"/>
    <n v="20"/>
    <s v="3P Audience Target"/>
    <n v="198091"/>
    <n v="3961.82"/>
    <m/>
    <m/>
    <s v=" "/>
    <s v=""/>
    <m/>
    <m/>
    <n v="198091"/>
    <n v="198091"/>
    <n v="0"/>
    <n v="0"/>
    <n v="1"/>
    <n v="0"/>
    <n v="0"/>
    <n v="0"/>
    <s v="Bill on Actuals - 3rd Party Performance"/>
    <n v="2158.66"/>
    <n v="390000"/>
    <n v="7800"/>
    <s v="Haleon/2026 MWC/Digital/Scatter"/>
    <n v="94123008"/>
    <s v="Audience Target"/>
    <s v="O-D2UPBIO-R1"/>
    <m/>
    <s v="Tom Cecil"/>
    <s v="Guaranteed"/>
    <s v="DIO - ROV - 1F - SEN - Pre/Mid - ROS - DT/MB/CTV - SXD"/>
    <n v="128642"/>
    <d v="2026-06-30T00:00:00"/>
    <d v="2026-06-11T00:00:00"/>
    <d v="2026-07-19T00:00:00"/>
    <s v="Direct ROV"/>
    <m/>
    <d v="2026-07-05T12:53:18"/>
  </r>
  <r>
    <s v="PLATFORM AT PUBLICIS MEDIA"/>
    <n v="11248"/>
    <n v="14785"/>
    <s v="HALEON"/>
    <s v="Haleon/2026 MWC/Digital/Scatter"/>
    <x v="119"/>
    <s v="Haleon - Centrum - World Cup Social Sponsorship Content - Package - 2026"/>
    <n v="589593"/>
    <s v="Haleon - Centrum - DIO - SOC - FOX Sports - Facebook/Instagram - MWC - 2026"/>
    <n v="589594"/>
    <s v="FOX Sports - FB-Inst"/>
    <s v="Flat Rate"/>
    <n v="14000"/>
    <s v="Bill on Contract"/>
    <n v="0"/>
    <n v="3589.74"/>
    <m/>
    <m/>
    <s v=" "/>
    <n v="0"/>
    <m/>
    <m/>
    <n v="0"/>
    <n v="0"/>
    <n v="0"/>
    <n v="0"/>
    <n v="1"/>
    <n v="0"/>
    <n v="0"/>
    <n v="0"/>
    <s v="Bill on Contract - Pro-rated"/>
    <n v="3589.74"/>
    <n v="1"/>
    <n v="14000"/>
    <s v="Haleon/2026 MWC/Digital/Scatter"/>
    <n v="257639"/>
    <s v="P2+"/>
    <s v="O-D2UPBIO-R1"/>
    <m/>
    <s v="Tom Cecil"/>
    <s v="Guaranteed"/>
    <s v="DIO - SOC - FOX Sports - Facebook/Instagram - MWC"/>
    <n v="128642"/>
    <d v="2026-06-30T00:00:00"/>
    <d v="2026-06-11T00:00:00"/>
    <d v="2026-07-19T00:00:00"/>
    <s v="Social Facebook/Instagram"/>
    <m/>
    <d v="2026-07-05T12:53:18"/>
  </r>
  <r>
    <s v="PLATFORM AT PUBLICIS MEDIA"/>
    <n v="11248"/>
    <n v="14785"/>
    <s v="HALEON"/>
    <s v="Haleon/2026 MWC/Digital/Scatter"/>
    <x v="119"/>
    <s v="Haleon - Centrum - World Cup Social Sponsorship Content - Package - 2026"/>
    <n v="589593"/>
    <s v="Haleon - Centrum - DIO - SOC - FOX Sports - TikTok - MWC - 2026"/>
    <n v="589596"/>
    <s v="FOX Sports - TikTok"/>
    <s v="Flat Rate"/>
    <n v="14000"/>
    <s v="Bill on Contract"/>
    <n v="0"/>
    <n v="3589.74"/>
    <m/>
    <m/>
    <s v=" "/>
    <s v=""/>
    <m/>
    <m/>
    <n v="0"/>
    <n v="0"/>
    <n v="0"/>
    <n v="0"/>
    <n v="1"/>
    <n v="0"/>
    <n v="0"/>
    <n v="0"/>
    <s v="Bill on Contract - Pro-rated"/>
    <n v="3589.74"/>
    <n v="1"/>
    <n v="14000"/>
    <s v="Haleon/2026 MWC/Digital/Scatter"/>
    <n v="257639"/>
    <s v="P2+"/>
    <s v="O-D2UPBIO-R1"/>
    <m/>
    <s v="Tom Cecil"/>
    <s v="Guaranteed"/>
    <s v="DIO - SOC - FOX Sports - TikTok - MWC"/>
    <n v="128642"/>
    <d v="2026-06-30T00:00:00"/>
    <d v="2026-06-11T00:00:00"/>
    <d v="2026-07-19T00:00:00"/>
    <s v="Social TikTok"/>
    <m/>
    <d v="2026-07-05T12:53:18"/>
  </r>
  <r>
    <s v="PLATFORM AT PUBLICIS MEDIA"/>
    <n v="11248"/>
    <n v="14785"/>
    <s v="HALEON"/>
    <s v="Haleon/2026 MWC/Digital/Scatter"/>
    <x v="119"/>
    <s v="Haleon - Centrum - World Cup Social Sponsorship Content - Package - 2026"/>
    <n v="589593"/>
    <s v="Haleon - Centrum - DIO - SOC - FOX Sports - Youtube - Custom Content - MWC - 2026"/>
    <n v="589595"/>
    <s v="FOX Sports"/>
    <s v="Flat Rate"/>
    <n v="14000"/>
    <s v="Bill on Contract"/>
    <n v="0"/>
    <n v="3589.74"/>
    <m/>
    <m/>
    <s v=" "/>
    <s v=""/>
    <m/>
    <m/>
    <n v="0"/>
    <n v="0"/>
    <n v="0"/>
    <n v="0"/>
    <n v="1"/>
    <n v="0"/>
    <n v="0"/>
    <n v="0"/>
    <s v="Bill on Contract - Pro-rated"/>
    <n v="3589.74"/>
    <n v="1"/>
    <n v="14000"/>
    <s v="Haleon/2026 MWC/Digital/Scatter"/>
    <n v="257639"/>
    <s v="P2+"/>
    <s v="O-D2UPBIO-R1"/>
    <m/>
    <s v="Tom Cecil"/>
    <s v="Guaranteed"/>
    <s v="DIO - SOC - FOX Sports - Youtube - Custom Content - MWC"/>
    <n v="128642"/>
    <d v="2026-06-30T00:00:00"/>
    <d v="2026-06-11T00:00:00"/>
    <d v="2026-07-19T00:00:00"/>
    <s v="Social"/>
    <m/>
    <d v="2026-07-05T12:53:18"/>
  </r>
  <r>
    <s v="PLATFORM AT PUBLICIS MEDIA"/>
    <n v="11248"/>
    <n v="14785"/>
    <s v="HALEON"/>
    <s v="Haleon/2026 MWC/Digital/Scatter"/>
    <x v="119"/>
    <s v="Haleon - Pronamel - World Cup Social Sponsorship Content - Package - 2026"/>
    <n v="589597"/>
    <s v="Haleon - Pronamel - DIO - SOC - FOX Sports - Facebook/Instagram - MWC - 2026"/>
    <n v="589598"/>
    <s v="FOX Sports - FB-Inst"/>
    <s v="Flat Rate"/>
    <n v="19000"/>
    <s v="Bill on Contract"/>
    <n v="0"/>
    <n v="4871.79"/>
    <m/>
    <m/>
    <s v=" "/>
    <n v="0"/>
    <m/>
    <m/>
    <n v="0"/>
    <n v="0"/>
    <n v="0"/>
    <n v="0"/>
    <n v="1"/>
    <n v="0"/>
    <n v="0"/>
    <n v="0"/>
    <s v="Bill on Contract - Pro-rated"/>
    <n v="4871.79"/>
    <n v="1"/>
    <n v="19000"/>
    <s v="Haleon/2026 MWC/Digital/Scatter"/>
    <n v="257639"/>
    <s v="P2+"/>
    <s v="O-D2UPBIO-R1"/>
    <m/>
    <s v="Tom Cecil"/>
    <s v="Guaranteed"/>
    <s v="DIO - SOC - FOX Sports - Facebook/Instagram - MWC"/>
    <n v="128642"/>
    <d v="2026-06-30T00:00:00"/>
    <d v="2026-06-11T00:00:00"/>
    <d v="2026-07-19T00:00:00"/>
    <s v="Social Facebook/Instagram"/>
    <m/>
    <d v="2026-07-05T12:53:18"/>
  </r>
  <r>
    <s v="PLATFORM AT PUBLICIS MEDIA"/>
    <n v="11248"/>
    <n v="14785"/>
    <s v="HALEON"/>
    <s v="Haleon/2026 MWC/Digital/Scatter"/>
    <x v="119"/>
    <s v="Haleon - Pronamel - World Cup Social Sponsorship Content - Package - 2026"/>
    <n v="589597"/>
    <s v="Haleon - Pronamel - DIO - SOC - FOX Sports - TikTok - MWC - 2026"/>
    <n v="589600"/>
    <s v="FOX Sports - TikTok"/>
    <s v="Flat Rate"/>
    <n v="19000"/>
    <s v="Bill on Contract"/>
    <n v="0"/>
    <n v="4871.79"/>
    <m/>
    <m/>
    <s v=" "/>
    <s v=""/>
    <m/>
    <m/>
    <n v="0"/>
    <n v="0"/>
    <n v="0"/>
    <n v="0"/>
    <n v="1"/>
    <n v="0"/>
    <n v="0"/>
    <n v="0"/>
    <s v="Bill on Contract - Pro-rated"/>
    <n v="4871.79"/>
    <n v="1"/>
    <n v="19000"/>
    <s v="Haleon/2026 MWC/Digital/Scatter"/>
    <n v="257639"/>
    <s v="P2+"/>
    <s v="O-D2UPBIO-R1"/>
    <m/>
    <s v="Tom Cecil"/>
    <s v="Guaranteed"/>
    <s v="DIO - SOC - FOX Sports - TikTok - MWC"/>
    <n v="128642"/>
    <d v="2026-06-30T00:00:00"/>
    <d v="2026-06-11T00:00:00"/>
    <d v="2026-07-19T00:00:00"/>
    <s v="Social TikTok"/>
    <m/>
    <d v="2026-07-05T12:53:18"/>
  </r>
  <r>
    <s v="PLATFORM AT PUBLICIS MEDIA"/>
    <n v="11248"/>
    <n v="14785"/>
    <s v="HALEON"/>
    <s v="Haleon/2026 MWC/Digital/Scatter"/>
    <x v="119"/>
    <s v="Haleon - Pronamel - World Cup Social Sponsorship Content - Package - 2026"/>
    <n v="589597"/>
    <s v="Haleon - Pronamel - DIO - SOC - FOX Sports - Youtube - Custom Content - MWC - 2026"/>
    <n v="589599"/>
    <s v="FOX Sports"/>
    <s v="Flat Rate"/>
    <n v="19000"/>
    <s v="Bill on Contract"/>
    <n v="0"/>
    <n v="4871.79"/>
    <m/>
    <m/>
    <s v=" "/>
    <s v=""/>
    <m/>
    <m/>
    <n v="0"/>
    <n v="0"/>
    <n v="0"/>
    <n v="0"/>
    <n v="1"/>
    <n v="0"/>
    <n v="0"/>
    <n v="0"/>
    <s v="Bill on Contract - Pro-rated"/>
    <n v="4871.79"/>
    <n v="1"/>
    <n v="19000"/>
    <s v="Haleon/2026 MWC/Digital/Scatter"/>
    <n v="257639"/>
    <s v="P2+"/>
    <s v="O-D2UPBIO-R1"/>
    <m/>
    <s v="Tom Cecil"/>
    <s v="Guaranteed"/>
    <s v="DIO - SOC - FOX Sports - Youtube - Custom Content - MWC"/>
    <n v="128642"/>
    <d v="2026-06-30T00:00:00"/>
    <d v="2026-06-11T00:00:00"/>
    <d v="2026-07-19T00:00:00"/>
    <s v="Social"/>
    <m/>
    <d v="2026-07-05T12:53:18"/>
  </r>
  <r>
    <s v="PLATFORM AT PUBLICIS MEDIA"/>
    <n v="11248"/>
    <n v="14785"/>
    <s v="HALEON"/>
    <s v="Haleon/2026 MWC/Digital/Scatter"/>
    <x v="119"/>
    <s v="Haleon - Sensodyne - World Cup Social Sponsorship Content - Package - 2026"/>
    <n v="589601"/>
    <s v="Haleon - Sensodyne - DIO - SOC - FOX Sports - Facebook/Instagram - MWC - 2026"/>
    <n v="589602"/>
    <s v="FOX Sports - FB-Inst"/>
    <s v="Flat Rate"/>
    <n v="31000"/>
    <s v="Bill on Contract"/>
    <n v="0"/>
    <n v="7948.72"/>
    <m/>
    <m/>
    <s v=" "/>
    <n v="0"/>
    <m/>
    <m/>
    <n v="0"/>
    <n v="0"/>
    <n v="0"/>
    <n v="0"/>
    <n v="1"/>
    <n v="0"/>
    <n v="0"/>
    <n v="0"/>
    <s v="Bill on Contract - Pro-rated"/>
    <n v="7948.72"/>
    <n v="1"/>
    <n v="31000"/>
    <s v="Haleon/2026 MWC/Digital/Scatter"/>
    <n v="257639"/>
    <s v="P2+"/>
    <s v="O-D2UPBIO-R1"/>
    <m/>
    <s v="Tom Cecil"/>
    <s v="Guaranteed"/>
    <s v="DIO - SOC - FOX Sports - Facebook/Instagram - MWC"/>
    <n v="128642"/>
    <d v="2026-06-30T00:00:00"/>
    <d v="2026-06-11T00:00:00"/>
    <d v="2026-07-19T00:00:00"/>
    <s v="Social Facebook/Instagram"/>
    <m/>
    <d v="2026-07-05T12:53:18"/>
  </r>
  <r>
    <s v="PLATFORM AT PUBLICIS MEDIA"/>
    <n v="11248"/>
    <n v="14785"/>
    <s v="HALEON"/>
    <s v="Haleon/2026 MWC/Digital/Scatter"/>
    <x v="119"/>
    <s v="Haleon - Sensodyne - World Cup Social Sponsorship Content - Package - 2026"/>
    <n v="589601"/>
    <s v="Haleon - Sensodyne - DIO - SOC - FOX Sports - TikTok - MWC - 2026"/>
    <n v="589604"/>
    <s v="FOX Sports - TikTok"/>
    <s v="Flat Rate"/>
    <n v="31000"/>
    <s v="Bill on Contract"/>
    <n v="0"/>
    <n v="7948.72"/>
    <m/>
    <m/>
    <s v=" "/>
    <s v=""/>
    <m/>
    <m/>
    <n v="0"/>
    <n v="0"/>
    <n v="0"/>
    <n v="0"/>
    <n v="1"/>
    <n v="0"/>
    <n v="0"/>
    <n v="0"/>
    <s v="Bill on Contract - Pro-rated"/>
    <n v="7948.72"/>
    <n v="1"/>
    <n v="31000"/>
    <s v="Haleon/2026 MWC/Digital/Scatter"/>
    <n v="257639"/>
    <s v="P2+"/>
    <s v="O-D2UPBIO-R1"/>
    <m/>
    <s v="Tom Cecil"/>
    <s v="Guaranteed"/>
    <s v="DIO - SOC - FOX Sports - TikTok - MWC"/>
    <n v="128642"/>
    <d v="2026-06-30T00:00:00"/>
    <d v="2026-06-11T00:00:00"/>
    <d v="2026-07-19T00:00:00"/>
    <s v="Social TikTok"/>
    <m/>
    <d v="2026-07-05T12:53:18"/>
  </r>
  <r>
    <s v="PLATFORM AT PUBLICIS MEDIA"/>
    <n v="11248"/>
    <n v="14785"/>
    <s v="HALEON"/>
    <s v="Haleon/2026 MWC/Digital/Scatter"/>
    <x v="119"/>
    <s v="Haleon - Sensodyne - World Cup Social Sponsorship Content - Package - 2026"/>
    <n v="589601"/>
    <s v="Haleon - Sensodyne - DIO - SOC - FOX Sports - Youtube - Custom Content - MWC - 2026"/>
    <n v="589603"/>
    <s v="FOX Sports"/>
    <s v="Flat Rate"/>
    <n v="31000"/>
    <s v="Bill on Contract"/>
    <n v="0"/>
    <n v="7948.72"/>
    <m/>
    <m/>
    <s v=" "/>
    <s v=""/>
    <m/>
    <m/>
    <n v="0"/>
    <n v="0"/>
    <n v="0"/>
    <n v="0"/>
    <n v="1"/>
    <n v="0"/>
    <n v="0"/>
    <n v="0"/>
    <s v="Bill on Contract - Pro-rated"/>
    <n v="7948.72"/>
    <n v="1"/>
    <n v="31000"/>
    <s v="Haleon/2026 MWC/Digital/Scatter"/>
    <n v="257639"/>
    <s v="P2+"/>
    <s v="O-D2UPBIO-R1"/>
    <m/>
    <s v="Tom Cecil"/>
    <s v="Guaranteed"/>
    <s v="DIO - SOC - FOX Sports - Youtube - Custom Content - MWC"/>
    <n v="128642"/>
    <d v="2026-06-30T00:00:00"/>
    <d v="2026-06-11T00:00:00"/>
    <d v="2026-07-19T00:00:00"/>
    <s v="Social"/>
    <m/>
    <d v="2026-07-05T12:53:18"/>
  </r>
  <r>
    <s v="PLATFORM AT PUBLICIS MEDIA"/>
    <n v="11248"/>
    <n v="14785"/>
    <s v="HALEON"/>
    <s v="Haleon/2026 MWC/Digital/Scatter"/>
    <x v="119"/>
    <s v="Haleon - Tums - World Cup Social Sponsorship Content - Package - 2026"/>
    <n v="589605"/>
    <s v="Haleon - Tums - DIO - SOC - FOX Sports - Facebook/Instagram - MWC - 2026"/>
    <n v="589606"/>
    <s v="FOX Sports - FB-Inst"/>
    <s v="Flat Rate"/>
    <n v="10000"/>
    <s v="Bill on Contract"/>
    <n v="0"/>
    <n v="2564.1"/>
    <m/>
    <m/>
    <s v=" "/>
    <n v="0"/>
    <m/>
    <m/>
    <n v="0"/>
    <n v="0"/>
    <n v="0"/>
    <n v="0"/>
    <n v="1"/>
    <n v="0"/>
    <n v="0"/>
    <n v="0"/>
    <s v="Bill on Contract - Pro-rated"/>
    <n v="2564.1"/>
    <n v="1"/>
    <n v="10000"/>
    <s v="Haleon/2026 MWC/Digital/Scatter"/>
    <n v="257639"/>
    <s v="P2+"/>
    <s v="O-D2UPBIO-R1"/>
    <m/>
    <s v="Tom Cecil"/>
    <s v="Guaranteed"/>
    <s v="DIO - SOC - FOX Sports - Facebook/Instagram - MWC"/>
    <n v="128642"/>
    <d v="2026-06-30T00:00:00"/>
    <d v="2026-06-11T00:00:00"/>
    <d v="2026-07-19T00:00:00"/>
    <s v="Social Facebook/Instagram"/>
    <m/>
    <d v="2026-07-05T12:53:18"/>
  </r>
  <r>
    <s v="PLATFORM AT PUBLICIS MEDIA"/>
    <n v="11248"/>
    <n v="14785"/>
    <s v="HALEON"/>
    <s v="Haleon/2026 MWC/Digital/Scatter"/>
    <x v="119"/>
    <s v="Haleon - Tums - World Cup Social Sponsorship Content - Package - 2026"/>
    <n v="589605"/>
    <s v="Haleon - Tums - DIO - SOC - FOX Sports - TikTok - MWC - 2026"/>
    <n v="589608"/>
    <s v="FOX Sports - TikTok"/>
    <s v="Flat Rate"/>
    <n v="10000"/>
    <s v="Bill on Contract"/>
    <n v="0"/>
    <n v="2564.1"/>
    <m/>
    <m/>
    <s v=" "/>
    <s v=""/>
    <m/>
    <m/>
    <n v="0"/>
    <n v="0"/>
    <n v="0"/>
    <n v="0"/>
    <n v="1"/>
    <n v="0"/>
    <n v="0"/>
    <n v="0"/>
    <s v="Bill on Contract - Pro-rated"/>
    <n v="2564.1"/>
    <n v="1"/>
    <n v="10000"/>
    <s v="Haleon/2026 MWC/Digital/Scatter"/>
    <n v="257639"/>
    <s v="P2+"/>
    <s v="O-D2UPBIO-R1"/>
    <m/>
    <s v="Tom Cecil"/>
    <s v="Guaranteed"/>
    <s v="DIO - SOC - FOX Sports - TikTok - MWC"/>
    <n v="128642"/>
    <d v="2026-06-30T00:00:00"/>
    <d v="2026-06-11T00:00:00"/>
    <d v="2026-07-19T00:00:00"/>
    <s v="Social TikTok"/>
    <m/>
    <d v="2026-07-05T12:53:18"/>
  </r>
  <r>
    <s v="PLATFORM AT PUBLICIS MEDIA"/>
    <n v="11248"/>
    <n v="14785"/>
    <s v="HALEON"/>
    <s v="Haleon/2026 MWC/Digital/Scatter"/>
    <x v="119"/>
    <s v="Haleon - Tums - World Cup Social Sponsorship Content - Package - 2026"/>
    <n v="589605"/>
    <s v="Haleon - Tums - DIO - SOC - FOX Sports - Youtube - Custom Content - MWC - 2026"/>
    <n v="589607"/>
    <s v="FOX Sports"/>
    <s v="Flat Rate"/>
    <n v="10000"/>
    <s v="Bill on Contract"/>
    <n v="0"/>
    <n v="2564.1"/>
    <m/>
    <m/>
    <s v=" "/>
    <s v=""/>
    <m/>
    <m/>
    <n v="0"/>
    <n v="0"/>
    <n v="0"/>
    <n v="0"/>
    <n v="1"/>
    <n v="0"/>
    <n v="0"/>
    <n v="0"/>
    <s v="Bill on Contract - Pro-rated"/>
    <n v="2564.1"/>
    <n v="1"/>
    <n v="10000"/>
    <s v="Haleon/2026 MWC/Digital/Scatter"/>
    <n v="257639"/>
    <s v="P2+"/>
    <s v="O-D2UPBIO-R1"/>
    <m/>
    <s v="Tom Cecil"/>
    <s v="Guaranteed"/>
    <s v="DIO - SOC - FOX Sports - Youtube - Custom Content - MWC"/>
    <n v="128642"/>
    <d v="2026-06-30T00:00:00"/>
    <d v="2026-06-11T00:00:00"/>
    <d v="2026-07-19T00:00:00"/>
    <s v="Social"/>
    <m/>
    <d v="2026-07-05T12:53:18"/>
  </r>
  <r>
    <s v="PMG WORLDWIDE"/>
    <n v="12373"/>
    <n v="9244"/>
    <s v="THERABODY INC"/>
    <s v="THERABODY/PMG/25-26/Digital/Scatter/Sports/MWC"/>
    <x v="120"/>
    <s v="Therabody - Run of World Cup Video - Package"/>
    <n v="582278"/>
    <s v="Actualized - Therabody - DIO - LFV - TUB - Pre/Mid - MWC - DT/MB/CTV"/>
    <n v="94648804"/>
    <s v="Fox Sold Tubi"/>
    <s v="CPM"/>
    <n v="44"/>
    <s v="3P Imps"/>
    <n v="592939"/>
    <n v="26089.18"/>
    <m/>
    <m/>
    <s v=" "/>
    <n v="0"/>
    <m/>
    <m/>
    <n v="592939"/>
    <n v="592939"/>
    <n v="0"/>
    <n v="0"/>
    <n v="1"/>
    <n v="0"/>
    <n v="0"/>
    <n v="0"/>
    <s v="Bill on Actuals - 3rd Party Performance"/>
    <n v="4975.62"/>
    <n v="592936"/>
    <n v="26089.18"/>
    <s v="THERABODY/PMG/25-26/Digital/Scatter/Sports/MWC"/>
    <n v="94648798"/>
    <s v="P2+"/>
    <s v="N/A"/>
    <m/>
    <s v="Carly Sartwell"/>
    <s v="Guaranteed"/>
    <s v="DIO - LFV - TUB - Pre/Mid - MWC - DT/MB/CTV"/>
    <n v="130913"/>
    <d v="2026-06-30T00:00:00"/>
    <d v="2026-06-10T00:00:00"/>
    <d v="2026-07-19T00:00:00"/>
    <s v="Direct LFV"/>
    <m/>
    <d v="2026-07-05T12:53:18"/>
  </r>
  <r>
    <s v="PMG WORLDWIDE"/>
    <n v="12373"/>
    <n v="9244"/>
    <s v="THERABODY INC"/>
    <s v="THERABODY/PMG/25-26/Digital/Scatter/Sports/MWC"/>
    <x v="120"/>
    <s v="Therabody - Run of World Cup Video - Package"/>
    <n v="582278"/>
    <s v="Therabody - DIO - LFV - TUB - Pre/Mid - MWC - DT/MB/CTV R2"/>
    <n v="95019196"/>
    <s v="Fox Sold Tubi"/>
    <s v="CPM"/>
    <n v="44"/>
    <s v="3P Imps"/>
    <n v="398527"/>
    <n v="17535.189999999999"/>
    <m/>
    <m/>
    <s v=" "/>
    <s v=""/>
    <m/>
    <m/>
    <n v="398527"/>
    <n v="398527"/>
    <n v="0"/>
    <n v="0"/>
    <n v="1"/>
    <n v="0"/>
    <n v="0"/>
    <n v="0"/>
    <s v="Bill on Actuals - 3rd Party Performance"/>
    <n v="5036.96"/>
    <n v="600246"/>
    <n v="26410.82"/>
    <s v="THERABODY/PMG/25-26/Digital/Scatter/Sports/MWC"/>
    <n v="94648798"/>
    <s v="P2+"/>
    <s v="N/A"/>
    <m/>
    <s v="Carly Sartwell"/>
    <s v="Guaranteed"/>
    <s v="DIO - LFV - TUB - Pre/Mid - MWC - DT/MB/CTV"/>
    <n v="130913"/>
    <d v="2026-06-30T00:00:00"/>
    <d v="2026-06-10T00:00:00"/>
    <d v="2026-07-19T00:00:00"/>
    <s v="Direct LFV"/>
    <m/>
    <d v="2026-07-05T12:53:18"/>
  </r>
  <r>
    <s v="PMG WORLDWIDE"/>
    <n v="12373"/>
    <n v="9244"/>
    <s v="THERABODY INC"/>
    <s v="THERABODY/PMG/25-26/Digital/Scatter/Sports/MWC"/>
    <x v="120"/>
    <s v="Therabody - Run of World Cup Video - Package"/>
    <n v="582278"/>
    <s v="Therabody - DIO - ROV - FS - Pre/Mid - MWC - DT/MB/CTV"/>
    <n v="94648811"/>
    <s v="FOX Sports"/>
    <s v="CPM"/>
    <n v="44"/>
    <s v="3P Imps"/>
    <n v="348051"/>
    <n v="15314.24"/>
    <m/>
    <m/>
    <s v=" "/>
    <s v=""/>
    <m/>
    <m/>
    <n v="348051"/>
    <n v="348051"/>
    <n v="0"/>
    <n v="0"/>
    <n v="1"/>
    <n v="0"/>
    <n v="0"/>
    <n v="0"/>
    <s v="Bill on Actuals - 3rd Party Performance"/>
    <n v="4291.1099999999997"/>
    <n v="511364"/>
    <n v="22500.02"/>
    <s v="THERABODY/PMG/25-26/Digital/Scatter/Sports/MWC"/>
    <n v="94648798"/>
    <s v="P2+"/>
    <s v="N/A"/>
    <m/>
    <s v="Carly Sartwell"/>
    <s v="Guaranteed"/>
    <s v="DIO - ROV - FS - Pre/Mid - MWC - DT/MB/CTV"/>
    <n v="130913"/>
    <d v="2026-06-30T00:00:00"/>
    <d v="2026-06-10T00:00:00"/>
    <d v="2026-07-19T00:00:00"/>
    <s v="Direct ROV"/>
    <m/>
    <d v="2026-07-05T12:53:18"/>
  </r>
  <r>
    <s v="PMG WORLDWIDE"/>
    <n v="12373"/>
    <n v="9244"/>
    <s v="THERABODY INC"/>
    <s v="THERABODY/PMG/25-26/Digital/Scatter/Sports/MWC"/>
    <x v="120"/>
    <s v="Therabody - Run of FOX Sports Video - Package"/>
    <n v="595783"/>
    <s v="Therabody - DIO - ROV - FS - Pre/Mid - ROS - DT/MB/CTV"/>
    <n v="95012339"/>
    <s v="FOX Sports"/>
    <s v="CPM"/>
    <n v="25"/>
    <s v="3P CoView Imps"/>
    <n v="13353"/>
    <n v="333.82"/>
    <m/>
    <m/>
    <s v=" "/>
    <n v="0"/>
    <m/>
    <m/>
    <n v="10341"/>
    <n v="10341"/>
    <n v="13353"/>
    <n v="13353"/>
    <n v="1"/>
    <n v="1.291328698339127"/>
    <n v="0"/>
    <n v="0"/>
    <s v="Bill on Actuals - 3rd Party Performance"/>
    <n v="114.9"/>
    <n v="3000000"/>
    <n v="75000"/>
    <s v="THERABODY/PMG/25-26/Digital/Scatter/Sports/MWC"/>
    <n v="94648798"/>
    <s v="P2+"/>
    <s v="N/A"/>
    <m/>
    <s v="Carly Sartwell"/>
    <s v="Guaranteed"/>
    <s v="DIO - ROV - FS - Pre/Mid - ROS - DT/MB/CTV"/>
    <n v="130913"/>
    <d v="2026-06-30T00:00:00"/>
    <d v="2026-06-24T00:00:00"/>
    <d v="2026-09-30T00:00:00"/>
    <s v="Direct ROV"/>
    <m/>
    <d v="2026-07-05T12:53:18"/>
  </r>
  <r>
    <s v="PROOF ADVERTISING"/>
    <n v="21304"/>
    <n v="4540"/>
    <s v="TRAVEL TEXAS"/>
    <s v="Travel Texas/25-26/Digital/Scatter/Sports/MWC"/>
    <x v="121"/>
    <s v="Travel Texas Run of World Cup Video - Package"/>
    <n v="587699"/>
    <s v="Travel Texas DIO - LFV - TUB - Pre/Mid - MWC - DT/MB/CTV"/>
    <n v="94289177"/>
    <s v="Fox Sold Tubi"/>
    <s v="CPM"/>
    <n v="44"/>
    <s v="3P Imps"/>
    <n v="155815"/>
    <n v="6855.86"/>
    <m/>
    <m/>
    <s v=" "/>
    <n v="0"/>
    <m/>
    <m/>
    <n v="557989"/>
    <n v="155815"/>
    <n v="0"/>
    <n v="0"/>
    <n v="1"/>
    <n v="0"/>
    <n v="0"/>
    <n v="0"/>
    <s v="Bill on Actuals - 3rd Party Performance"/>
    <n v="13060.37"/>
    <n v="1193182"/>
    <n v="52500.01"/>
    <s v="Travel Texas/25-26/Digital/Scatter/Sports/MWC"/>
    <n v="94289174"/>
    <s v="P2+"/>
    <s v="N/A"/>
    <m/>
    <s v="Carly Sartwell"/>
    <s v="Guaranteed"/>
    <s v="DIO - LFV - TUB - Pre/Mid - MWC - DT/MB/CTV"/>
    <n v="129435"/>
    <d v="2026-06-30T00:00:00"/>
    <d v="2026-05-26T00:00:00"/>
    <d v="2026-07-19T00:00:00"/>
    <s v="Direct LFV"/>
    <m/>
    <d v="2026-07-05T12:53:18"/>
  </r>
  <r>
    <s v="PROOF ADVERTISING"/>
    <n v="21304"/>
    <n v="4540"/>
    <s v="TRAVEL TEXAS"/>
    <s v="Travel Texas/25-26/Digital/Scatter/Sports/MWC"/>
    <x v="121"/>
    <s v="Travel Texas Run of World Cup Video - Package"/>
    <n v="587699"/>
    <s v="Travel Texas DIO - ROV - FS - Pre/Mid - MWC - DT/MB/CTV"/>
    <n v="94289187"/>
    <s v="FOX Sports"/>
    <s v="CPM"/>
    <n v="44"/>
    <s v="3P Imps"/>
    <n v="360999"/>
    <n v="15883.96"/>
    <m/>
    <m/>
    <s v=" "/>
    <s v=""/>
    <m/>
    <m/>
    <n v="360999"/>
    <n v="360999"/>
    <n v="0"/>
    <n v="0"/>
    <n v="1"/>
    <n v="0"/>
    <n v="0"/>
    <n v="0"/>
    <s v="Bill on Actuals - 3rd Party Performance"/>
    <n v="5597.3"/>
    <n v="511364"/>
    <n v="22500.02"/>
    <s v="Travel Texas/25-26/Digital/Scatter/Sports/MWC"/>
    <n v="94289174"/>
    <s v="P2+"/>
    <s v="N/A"/>
    <m/>
    <s v="Carly Sartwell"/>
    <s v="Guaranteed"/>
    <s v="DIO - ROV - FS - Pre/Mid - MWC - DT/MB/CTV"/>
    <n v="129435"/>
    <d v="2026-06-30T00:00:00"/>
    <d v="2026-05-26T00:00:00"/>
    <d v="2026-07-19T00:00:00"/>
    <s v="Direct ROV"/>
    <m/>
    <d v="2026-07-05T12:53:18"/>
  </r>
  <r>
    <s v="PROOF ADVERTISING"/>
    <n v="21304"/>
    <n v="4540"/>
    <s v="TRAVEL TEXAS"/>
    <s v="Travel Texas/25-26/Digital/Scatter/Sports/MWC"/>
    <x v="121"/>
    <s v="Travel Texas Run of AllFOX Video - Package"/>
    <n v="587708"/>
    <s v="Travel Texas DIO - LFV - 1F - Tubi - Pre/Mid - ROS - DT/MB/CTV - FW - SXD"/>
    <n v="94289184"/>
    <s v="Fox Sold Tubi"/>
    <s v="CPM"/>
    <n v="20"/>
    <s v="3P Audience Target"/>
    <n v="401075"/>
    <n v="8021.5"/>
    <m/>
    <m/>
    <s v=" "/>
    <n v="0"/>
    <m/>
    <m/>
    <n v="1262871"/>
    <n v="401075"/>
    <n v="0"/>
    <n v="0"/>
    <n v="1"/>
    <n v="0"/>
    <n v="0"/>
    <n v="0"/>
    <s v="Bill on Actuals - 3rd Party Performance"/>
    <n v="12639.31"/>
    <n v="2250000"/>
    <n v="45000"/>
    <s v="Travel Texas/25-26/Digital/Scatter/Sports/MWC"/>
    <n v="94289174"/>
    <s v="Audience Target"/>
    <s v="N/A"/>
    <m/>
    <s v="Carly Sartwell"/>
    <s v="Guaranteed"/>
    <s v="DIO - LFV - 1F - Tubi - Pre/Mid - ROS - DT/MB/CTV - FW - SXD"/>
    <n v="129435"/>
    <d v="2026-06-30T00:00:00"/>
    <d v="2026-05-26T00:00:00"/>
    <d v="2026-07-19T00:00:00"/>
    <s v="Direct LFV"/>
    <m/>
    <d v="2026-07-05T12:53:18"/>
  </r>
  <r>
    <s v="PROOF ADVERTISING"/>
    <n v="21304"/>
    <n v="4540"/>
    <s v="TRAVEL TEXAS"/>
    <s v="Travel Texas/25-26/Digital/Scatter/Sports/MWC"/>
    <x v="121"/>
    <s v="Travel Texas Run of AllFOX Video - Package"/>
    <n v="587708"/>
    <s v="Travel Texas DIO - ROV - 1F - SEN - Pre/Mid - ROS - DT/MB/CTV - SXD"/>
    <n v="94289180"/>
    <s v="OneFOX"/>
    <s v="CPM"/>
    <n v="20"/>
    <s v="3P Audience Target"/>
    <n v="261677"/>
    <n v="5233.54"/>
    <m/>
    <m/>
    <s v=" "/>
    <s v=""/>
    <m/>
    <m/>
    <n v="828511"/>
    <n v="261677"/>
    <n v="0"/>
    <n v="0"/>
    <n v="1"/>
    <n v="0"/>
    <n v="0"/>
    <n v="0"/>
    <s v="Bill on Actuals - 3rd Party Performance"/>
    <n v="8426.2099999999991"/>
    <n v="1500000"/>
    <n v="30000"/>
    <s v="Travel Texas/25-26/Digital/Scatter/Sports/MWC"/>
    <n v="94289174"/>
    <s v="Audience Target"/>
    <s v="N/A"/>
    <m/>
    <s v="Carly Sartwell"/>
    <s v="Guaranteed"/>
    <s v="DIO - ROV - 1F - SEN - Pre/Mid - ROS - DT/MB/CTV - SXD"/>
    <n v="129435"/>
    <d v="2026-06-30T00:00:00"/>
    <d v="2026-05-26T00:00:00"/>
    <d v="2026-07-19T00:00:00"/>
    <s v="Direct ROV"/>
    <m/>
    <d v="2026-07-05T12:53:18"/>
  </r>
  <r>
    <s v="PRUDENTIAL"/>
    <n v="10635"/>
    <n v="1787"/>
    <s v="PRUDENTIAL"/>
    <s v="Prudential/Digital/Scatter/MWC/2026"/>
    <x v="122"/>
    <s v="Prudential - Run of World Cup Video - Package"/>
    <n v="581216"/>
    <s v="Prudential - DIO - LFV - TUB - Pre/Mid - MWC - DT/MB/CTV"/>
    <n v="93660889"/>
    <s v="Fox Sold Tubi"/>
    <s v="Flat Rate"/>
    <n v="40"/>
    <s v="Bill on Contract"/>
    <n v="1570513"/>
    <n v="62820.51"/>
    <m/>
    <m/>
    <s v=" "/>
    <n v="0"/>
    <m/>
    <m/>
    <n v="4034853"/>
    <n v="4034853"/>
    <n v="0"/>
    <n v="0"/>
    <n v="1"/>
    <n v="0"/>
    <n v="0"/>
    <n v="0"/>
    <s v="Bill on Contract - Pro-rated"/>
    <n v="62820.51"/>
    <n v="6125000"/>
    <n v="245000"/>
    <s v="Prudential/Digital/Scatter/MWC/2026"/>
    <n v="93649988"/>
    <s v="P2+"/>
    <s v="O-D2PE4V0-R1"/>
    <m/>
    <s v="Nicole Joscelyn"/>
    <s v="Guaranteed"/>
    <s v="DIO - LFV - TUB - Pre/Mid - MWC - DT/MB/CTV"/>
    <n v="126558"/>
    <d v="2026-06-30T00:00:00"/>
    <d v="2026-06-11T00:00:00"/>
    <d v="2026-07-19T00:00:00"/>
    <s v="Direct LFV"/>
    <m/>
    <d v="2026-07-05T12:53:18"/>
  </r>
  <r>
    <s v="PRUDENTIAL"/>
    <n v="10635"/>
    <n v="1787"/>
    <s v="PRUDENTIAL"/>
    <s v="Prudential/Digital/Scatter/MWC/2026"/>
    <x v="122"/>
    <s v="Prudential - Run of World Cup Video - Package"/>
    <n v="581216"/>
    <s v="Prudential - DIO - ROV - FS - Pre/Mid - MWC - DT/MB/CTV"/>
    <n v="93649991"/>
    <s v="FOX Sports"/>
    <s v="Flat Rate"/>
    <n v="40"/>
    <s v="Bill on Contract"/>
    <n v="1346154"/>
    <n v="53846.15"/>
    <m/>
    <m/>
    <s v=" "/>
    <s v=""/>
    <m/>
    <m/>
    <n v="3538582"/>
    <n v="3538582"/>
    <n v="0"/>
    <n v="0"/>
    <n v="1"/>
    <n v="0"/>
    <n v="0"/>
    <n v="0"/>
    <s v="Bill on Contract - Pro-rated"/>
    <n v="53846.15"/>
    <n v="5250000"/>
    <n v="210000"/>
    <s v="Prudential/Digital/Scatter/MWC/2026"/>
    <n v="93649988"/>
    <s v="P2+"/>
    <s v="O-D2PE4V0-R1"/>
    <m/>
    <s v="Nicole Joscelyn"/>
    <s v="Guaranteed"/>
    <s v="DIO - ROV - FS - Pre/Mid - MWC - DT/MB/CTV"/>
    <n v="126558"/>
    <d v="2026-06-30T00:00:00"/>
    <d v="2026-06-11T00:00:00"/>
    <d v="2026-07-19T00:00:00"/>
    <s v="Direct ROV"/>
    <m/>
    <d v="2026-07-05T12:53:18"/>
  </r>
  <r>
    <s v="PRUDENTIAL"/>
    <n v="10635"/>
    <n v="1787"/>
    <s v="PRUDENTIAL"/>
    <s v="Prudential/Digital/Scatter/MWC/2026"/>
    <x v="122"/>
    <s v="Prudential - Run of World Cup Display - Package"/>
    <n v="581219"/>
    <s v="Prudential - DIS - FS - Display Unit - MWC - 728x90/300x250/320x50"/>
    <n v="7288703016"/>
    <s v="FOX Sports"/>
    <s v="Flat Rate"/>
    <n v="6"/>
    <s v="Bill on Contract"/>
    <n v="4487180"/>
    <n v="26923.08"/>
    <m/>
    <m/>
    <s v=" "/>
    <n v="0"/>
    <m/>
    <m/>
    <n v="0"/>
    <n v="0"/>
    <n v="0"/>
    <n v="0"/>
    <n v="1"/>
    <n v="0"/>
    <n v="0"/>
    <n v="0"/>
    <s v="Bill on Contract - Pro-rated"/>
    <n v="26923.08"/>
    <n v="17500000"/>
    <n v="105000"/>
    <s v="Prudential/Digital/Scatter/MWC/2026"/>
    <n v="257531"/>
    <s v="P2+"/>
    <s v="O-D2PE4V0-R1"/>
    <m/>
    <s v="Nicole Joscelyn"/>
    <s v="Guaranteed"/>
    <s v="DIS - FS - Display Unit - MWC"/>
    <n v="126558"/>
    <d v="2026-06-30T00:00:00"/>
    <d v="2026-06-11T00:00:00"/>
    <d v="2026-07-19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Blank - ROS - Sponsorship - (06/26/26)"/>
    <n v="7288703244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Prudential/Digital/Scatter/MWC/2026"/>
    <n v="257531"/>
    <s v="P2+"/>
    <s v="O-D2PE4V0-R1"/>
    <m/>
    <s v="Nicole Joscelyn"/>
    <s v="Guaranteed"/>
    <s v="DIS - FS - Blank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Display Unit - ROS - Sponsorship  - 300x250 - (06/26/26)"/>
    <n v="7290971686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Prudential/Digital/Scatter/MWC/2026"/>
    <n v="257531"/>
    <s v="P2+"/>
    <s v="O-D2PE4V0-R1"/>
    <m/>
    <s v="Nicole Joscelyn"/>
    <s v="Guaranteed"/>
    <s v="DIS - FS - Display Unit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Display Unit - ROS - Sponsorship - 300x600 - (06/26/26)"/>
    <n v="7288703172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Prudential/Digital/Scatter/MWC/2026"/>
    <n v="257531"/>
    <s v="P2+"/>
    <s v="O-D2PE4V0-R1"/>
    <m/>
    <s v="Nicole Joscelyn"/>
    <s v="Guaranteed"/>
    <s v="DIS - FS - Display Unit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Display Unit - ROS - Sponsorship - 320x50 - (06/26/26)"/>
    <n v="7292677568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Prudential/Digital/Scatter/MWC/2026"/>
    <n v="257531"/>
    <s v="P2+"/>
    <s v="O-D2PE4V0-R1"/>
    <m/>
    <s v="Nicole Joscelyn"/>
    <s v="Guaranteed"/>
    <s v="DIS - FS - Display Unit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Display Unit - ROS - Sponsorship - 728x90 - (06/26/26)"/>
    <n v="7292677403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Prudential/Digital/Scatter/MWC/2026"/>
    <n v="257531"/>
    <s v="P2+"/>
    <s v="O-D2PE4V0-R1"/>
    <m/>
    <s v="Nicole Joscelyn"/>
    <s v="Guaranteed"/>
    <s v="DIS - FS - Display Unit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World Cup FOX Sports Site &amp; App Takeover - Package"/>
    <n v="581221"/>
    <s v="Prudential - DIS - FS - High Impact - ROS - Sponsorship - Skybox - (06/26/26)"/>
    <n v="7292677592"/>
    <s v="FOX Sports"/>
    <s v="Flat Rate"/>
    <n v="51000"/>
    <s v="Bill on Contract"/>
    <n v="500"/>
    <n v="25500"/>
    <m/>
    <m/>
    <s v=" "/>
    <s v=""/>
    <m/>
    <m/>
    <n v="0"/>
    <n v="0"/>
    <n v="0"/>
    <n v="0"/>
    <n v="1"/>
    <n v="0"/>
    <n v="0"/>
    <n v="0"/>
    <s v="Bill on Contract - Pro-rated"/>
    <n v="25500"/>
    <n v="1"/>
    <n v="51000"/>
    <s v="Prudential/Digital/Scatter/MWC/2026"/>
    <n v="257531"/>
    <s v="P2+"/>
    <s v="O-D2PE4V0-R1"/>
    <m/>
    <s v="Nicole Joscelyn"/>
    <s v="Guaranteed"/>
    <s v="DIS - FS - High Impact - ROS - Sponsorship"/>
    <n v="126558"/>
    <d v="2026-06-30T00:00:00"/>
    <d v="2026-06-26T00:00:00"/>
    <d v="2026-06-26T00:00:00"/>
    <s v="Direct Display"/>
    <m/>
    <d v="2026-07-05T12:53:18"/>
  </r>
  <r>
    <s v="PRUDENTIAL"/>
    <n v="10635"/>
    <n v="1787"/>
    <s v="PRUDENTIAL"/>
    <s v="Prudential/Digital/Scatter/MWC/2026"/>
    <x v="122"/>
    <s v="Prudential - Run of FOX Sports Video - Package"/>
    <n v="581225"/>
    <s v="Prudential - DIO - ROV - FS - Pre/Mid - ROS - DT/MB/CTV"/>
    <n v="93649998"/>
    <s v="FOX Sports"/>
    <s v="CPM"/>
    <n v="25"/>
    <s v="1P CoView Imps"/>
    <n v="444654"/>
    <n v="5536.13"/>
    <m/>
    <m/>
    <s v=" "/>
    <n v="0"/>
    <m/>
    <m/>
    <n v="359730"/>
    <n v="359730"/>
    <n v="444654"/>
    <n v="444654"/>
    <n v="1"/>
    <n v="1.236079646410803"/>
    <n v="0"/>
    <n v="0"/>
    <s v="Bill on Contract - Pro-rated"/>
    <n v="5536.13"/>
    <n v="760000"/>
    <n v="19000"/>
    <s v="Prudential/Digital/Scatter/MWC/2026"/>
    <n v="93649988"/>
    <s v="P2+"/>
    <s v="O-D2PE4V0-R1"/>
    <m/>
    <s v="Nicole Joscelyn"/>
    <s v="Guaranteed"/>
    <s v="DIO - ROV - FS - Pre/Mid - ROS - DT/MB/CTV"/>
    <n v="126558"/>
    <d v="2026-06-30T00:00:00"/>
    <d v="2026-06-11T00:00:00"/>
    <d v="2026-07-19T00:00:00"/>
    <s v="Direct ROV"/>
    <m/>
    <d v="2026-07-05T12:53:18"/>
  </r>
  <r>
    <s v="PRUDENTIAL"/>
    <n v="10635"/>
    <n v="1787"/>
    <s v="PRUDENTIAL"/>
    <s v="Prudential/Digital/Scatter/MWC/2026"/>
    <x v="122"/>
    <s v="Prudential - Run of AllFOX Video - Package"/>
    <n v="581227"/>
    <s v="Prudential - DIO - LFV - 1F - Tubi - Pre/Mid - ROS - DT/MB/CTV - FW - SXD - AAT"/>
    <n v="93650002"/>
    <s v="OneFOX"/>
    <s v="CPM"/>
    <n v="22"/>
    <s v="1P Audience Target"/>
    <n v="2177969"/>
    <n v="21538.46"/>
    <m/>
    <m/>
    <s v=" "/>
    <n v="0"/>
    <m/>
    <m/>
    <n v="2177969"/>
    <n v="2177969"/>
    <n v="0"/>
    <n v="0"/>
    <n v="1"/>
    <n v="0"/>
    <n v="0"/>
    <n v="0"/>
    <s v="Bill on Contract - Pro-rated"/>
    <n v="21538.46"/>
    <n v="3818182"/>
    <n v="84000"/>
    <s v="Prudential/Digital/Scatter/MWC/2026"/>
    <n v="93649988"/>
    <s v="Audience Target"/>
    <s v="O-D2PE4V0-R1"/>
    <m/>
    <s v="Nicole Joscelyn"/>
    <s v="Guaranteed"/>
    <s v="DIO - LFV - 1F - Tubi - Pre/Mid - ROS - DT/MB/CTV - FW - SXD"/>
    <n v="126558"/>
    <d v="2026-06-30T00:00:00"/>
    <d v="2026-06-11T00:00:00"/>
    <d v="2026-07-19T00:00:00"/>
    <s v="Direct LFV"/>
    <m/>
    <d v="2026-07-05T12:53:18"/>
  </r>
  <r>
    <s v="PRUDENTIAL"/>
    <n v="10635"/>
    <n v="1787"/>
    <s v="PRUDENTIAL"/>
    <s v="Prudential/Digital/Scatter/MWC/2026"/>
    <x v="122"/>
    <s v="Prudential - Run of AllFOX Video - Package"/>
    <n v="581227"/>
    <s v="Prudential - DIO - ROV - 1F - SEN - Pre/Mid - ROS - DT/MB/CTV - SXD - AAT"/>
    <n v="93649994"/>
    <s v="OneFOX"/>
    <s v="CPM"/>
    <n v="22"/>
    <s v="1P Audience Target"/>
    <n v="1362817"/>
    <n v="14358.98"/>
    <m/>
    <m/>
    <s v=" "/>
    <s v=""/>
    <m/>
    <m/>
    <n v="1362817"/>
    <n v="1362817"/>
    <n v="0"/>
    <n v="0"/>
    <n v="1"/>
    <n v="0"/>
    <n v="0"/>
    <n v="0"/>
    <s v="Bill on Contract - Pro-rated"/>
    <n v="14358.98"/>
    <n v="2545455"/>
    <n v="56000.01"/>
    <s v="Prudential/Digital/Scatter/MWC/2026"/>
    <n v="93649988"/>
    <s v="Audience Target"/>
    <s v="O-D2PE4V0-R1"/>
    <m/>
    <s v="Nicole Joscelyn"/>
    <s v="Guaranteed"/>
    <s v="DIO - ROV - 1F - SEN - Pre/Mid - ROS - DT/MB/CTV - SXD"/>
    <n v="126558"/>
    <d v="2026-06-30T00:00:00"/>
    <d v="2026-06-11T00:00:00"/>
    <d v="2026-07-19T00:00:00"/>
    <s v="Direct ROV"/>
    <m/>
    <d v="2026-07-05T12:53:18"/>
  </r>
  <r>
    <s v="PRUDENTIAL"/>
    <n v="10635"/>
    <n v="1787"/>
    <s v="PRUDENTIAL"/>
    <s v="Prudential/Digital/Scatter/MWC/2026"/>
    <x v="122"/>
    <s v="Prudential - World Cup Social Sponsorship Content - Package"/>
    <n v="581230"/>
    <s v="Prudential - DIO - SOC - FOX Sports - Facebook/Instagram - MWC"/>
    <n v="581231"/>
    <s v="FOX Sports - FB-Inst"/>
    <s v="Flat Rate"/>
    <n v="0.15"/>
    <s v="Bill on Contract"/>
    <n v="239316133"/>
    <n v="35897.42"/>
    <m/>
    <m/>
    <s v=" "/>
    <n v="0"/>
    <m/>
    <m/>
    <n v="0"/>
    <n v="0"/>
    <n v="0"/>
    <n v="0"/>
    <n v="1"/>
    <n v="0"/>
    <n v="0"/>
    <n v="0"/>
    <s v="Bill on Contract - Pro-rated"/>
    <n v="35897.42"/>
    <n v="933333"/>
    <n v="139999.95000000001"/>
    <s v="Prudential/Digital/Scatter/MWC/2026"/>
    <n v="257531"/>
    <s v="P2+"/>
    <s v="O-D2PE4V0-R1"/>
    <m/>
    <s v="Nicole Joscelyn"/>
    <s v="Guaranteed"/>
    <s v="DIO - SOC - FOX Sports - Facebook/Instagram - MWC"/>
    <n v="126558"/>
    <d v="2026-06-30T00:00:00"/>
    <d v="2026-06-11T00:00:00"/>
    <d v="2026-07-19T00:00:00"/>
    <s v="Social Facebook/Instagram"/>
    <m/>
    <d v="2026-07-05T12:53:18"/>
  </r>
  <r>
    <s v="PRUDENTIAL"/>
    <n v="10635"/>
    <n v="1787"/>
    <s v="PRUDENTIAL"/>
    <s v="Prudential/Digital/Scatter/MWC/2026"/>
    <x v="122"/>
    <s v="Prudential - World Cup Social Sponsorship Content - Package"/>
    <n v="581230"/>
    <s v="Prudential - DIO - SOC - FOX Sports - TikTok - MWC"/>
    <n v="581234"/>
    <s v="FOX Sports - TikTok"/>
    <s v="Flat Rate"/>
    <n v="0.15"/>
    <s v="Bill on Contract"/>
    <n v="239316400"/>
    <n v="35897.46"/>
    <m/>
    <m/>
    <s v=" "/>
    <s v=""/>
    <m/>
    <m/>
    <n v="0"/>
    <n v="0"/>
    <n v="0"/>
    <n v="0"/>
    <n v="1"/>
    <n v="0"/>
    <n v="0"/>
    <n v="0"/>
    <s v="Bill on Contract - Pro-rated"/>
    <n v="35897.46"/>
    <n v="933334"/>
    <n v="140000.1"/>
    <s v="Prudential/Digital/Scatter/MWC/2026"/>
    <n v="257531"/>
    <s v="P2+"/>
    <s v="O-D2PE4V0-R1"/>
    <m/>
    <s v="Nicole Joscelyn"/>
    <s v="Guaranteed"/>
    <s v="DIO - SOC - FOX Sports - TikTok - MWC"/>
    <n v="126558"/>
    <d v="2026-06-30T00:00:00"/>
    <d v="2026-06-11T00:00:00"/>
    <d v="2026-07-19T00:00:00"/>
    <s v="Social TikTok"/>
    <m/>
    <d v="2026-07-05T12:53:18"/>
  </r>
  <r>
    <s v="PRUDENTIAL"/>
    <n v="10635"/>
    <n v="1787"/>
    <s v="PRUDENTIAL"/>
    <s v="Prudential/Digital/Scatter/MWC/2026"/>
    <x v="122"/>
    <s v="Prudential - World Cup Social Sponsorship Content - Package"/>
    <n v="581230"/>
    <s v="Prudential - DIO - SOC - FOX Sports - Youtube - Custom Content - MWC"/>
    <n v="581233"/>
    <s v="FOX Sports"/>
    <s v="Flat Rate"/>
    <n v="0.15"/>
    <s v="Bill on Contract"/>
    <n v="239316133"/>
    <n v="35897.42"/>
    <m/>
    <m/>
    <s v=" "/>
    <s v=""/>
    <m/>
    <m/>
    <n v="0"/>
    <n v="0"/>
    <n v="0"/>
    <n v="0"/>
    <n v="1"/>
    <n v="0"/>
    <n v="0"/>
    <n v="0"/>
    <s v="Bill on Contract - Pro-rated"/>
    <n v="35897.42"/>
    <n v="933333"/>
    <n v="139999.95000000001"/>
    <s v="Prudential/Digital/Scatter/MWC/2026"/>
    <n v="257531"/>
    <s v="P2+"/>
    <s v="O-D2PE4V0-R1"/>
    <m/>
    <s v="Nicole Joscelyn"/>
    <s v="Guaranteed"/>
    <s v="DIO - SOC - FOX Sports - Youtube - Custom Content - MWC"/>
    <n v="126558"/>
    <d v="2026-06-30T00:00:00"/>
    <d v="2026-06-11T00:00:00"/>
    <d v="2026-07-19T00:00:00"/>
    <s v="Social"/>
    <m/>
    <d v="2026-07-05T12:53:18"/>
  </r>
  <r>
    <s v="PUBLICIS COLLECTIVE"/>
    <n v="14056"/>
    <n v="1654"/>
    <s v="COCA COLA"/>
    <s v="COCA-COLA/DIGITAL/SCATTER/SPORTS/MLS"/>
    <x v="123"/>
    <s v="Coca-Cola - DIO - SOC - FS - MLS - 2026 Package"/>
    <n v="570181"/>
    <s v="Coke - DIO - SOC - FOX Sports - Facebook/Instagram - MLS - 2026"/>
    <n v="570182"/>
    <s v="FOX Sports - FB-Inst"/>
    <s v="Flat Rate"/>
    <n v="67000"/>
    <s v="Bill on Contract"/>
    <n v="0"/>
    <n v="3045.46"/>
    <m/>
    <m/>
    <s v=" "/>
    <n v="0"/>
    <m/>
    <m/>
    <n v="0"/>
    <n v="0"/>
    <n v="0"/>
    <n v="0"/>
    <n v="1"/>
    <n v="0"/>
    <n v="0"/>
    <n v="0"/>
    <s v="Bill on Contract - Pro-rated"/>
    <n v="3045.46"/>
    <n v="0"/>
    <n v="67000"/>
    <s v="COCA-COLA/DIGITAL/SCATTER/SPORTS/MLS"/>
    <n v="262910"/>
    <s v="P2+"/>
    <s v="O-D2LJ2AU-R0"/>
    <m/>
    <s v="Janna Goldstein"/>
    <s v="Guaranteed"/>
    <s v="DIO - SOC - FOX Sports - Facebook/Instagram - MLS"/>
    <n v="118413"/>
    <d v="2026-06-30T00:00:00"/>
    <d v="2026-02-21T00:00:00"/>
    <d v="2026-12-27T00:00:00"/>
    <s v="Social Facebook/Instagram"/>
    <m/>
    <d v="2026-07-05T12:53:18"/>
  </r>
  <r>
    <s v="PUBLICIS COLLECTIVE"/>
    <n v="14056"/>
    <n v="1654"/>
    <s v="COCA COLA"/>
    <s v="COCA-COLA/DIGITAL/SCATTER/SPORTS/MLS"/>
    <x v="123"/>
    <s v="Coca-Cola - DIO - SOC - FS - MLS - 2026 Package"/>
    <n v="570181"/>
    <s v="Coke - DIO - SOC - FOX Sports - TikTok - MLS - 2026"/>
    <n v="570183"/>
    <s v="FOX Sports - TikTok"/>
    <s v="Flat Rate"/>
    <n v="33000"/>
    <s v="Bill on Contract"/>
    <n v="0"/>
    <n v="1500"/>
    <m/>
    <m/>
    <s v=" "/>
    <s v=""/>
    <m/>
    <m/>
    <n v="0"/>
    <n v="0"/>
    <n v="0"/>
    <n v="0"/>
    <n v="1"/>
    <n v="0"/>
    <n v="0"/>
    <n v="0"/>
    <s v="Bill on Contract - Pro-rated"/>
    <n v="1500"/>
    <n v="0"/>
    <n v="33000"/>
    <s v="COCA-COLA/DIGITAL/SCATTER/SPORTS/MLS"/>
    <n v="262910"/>
    <s v="P2+"/>
    <s v="O-D2LJ2AU-R0"/>
    <m/>
    <s v="Janna Goldstein"/>
    <s v="Guaranteed"/>
    <s v="DIO - SOC - FOX Sports - TikTok - MLS"/>
    <n v="118413"/>
    <d v="2026-06-30T00:00:00"/>
    <d v="2026-02-21T00:00:00"/>
    <d v="2026-12-27T00:00:00"/>
    <s v="Social TikTok"/>
    <m/>
    <d v="2026-07-05T12:53:18"/>
  </r>
  <r>
    <s v="PUBLICIS COLLECTIVE"/>
    <n v="14056"/>
    <n v="1654"/>
    <s v="COCA COLA"/>
    <s v="COCA-COLA/DIGITAL/SCATTER/SPORTS/MWC"/>
    <x v="124"/>
    <s v="Coca-Cola - Run of World Cup Video - 2026 MWC Package"/>
    <n v="582202"/>
    <s v="Coca - Cola - DIO - ROV - FS - Pre/Mid - MWC - DT/MB/CTV"/>
    <n v="94270507"/>
    <s v="FOX Sports"/>
    <s v="CPM"/>
    <n v="40"/>
    <s v="3P Imps"/>
    <n v="2714023"/>
    <n v="108560.92"/>
    <m/>
    <m/>
    <s v=" "/>
    <n v="0"/>
    <m/>
    <m/>
    <n v="2714023"/>
    <n v="2714023"/>
    <n v="0"/>
    <n v="0"/>
    <n v="1"/>
    <n v="0"/>
    <n v="0"/>
    <n v="0"/>
    <s v="Bill on Actuals - 3rd Party Performance"/>
    <n v="52049.01"/>
    <n v="4015500"/>
    <n v="160620"/>
    <s v="COCA-COLA/DIGITAL/SCATTER/SPORTS/MWC"/>
    <n v="94270504"/>
    <s v="P2+"/>
    <s v="O-D2V2BOM-R0"/>
    <m/>
    <s v="Janna Goldstein"/>
    <s v="Guaranteed"/>
    <s v="DIO - ROV - FS - Pre/Mid - MWC - DT/MB/CTV"/>
    <n v="128503"/>
    <d v="2026-06-30T00:00:00"/>
    <d v="2026-06-01T00:00:00"/>
    <d v="2026-07-19T00:00:00"/>
    <s v="Direct ROV"/>
    <m/>
    <d v="2026-07-05T12:53:18"/>
  </r>
  <r>
    <s v="PUBLICIS COLLECTIVE"/>
    <n v="14056"/>
    <n v="1654"/>
    <s v="COCA COLA"/>
    <s v="COCA-COLA/DIGITAL/SCATTER/SPORTS/MWC"/>
    <x v="124"/>
    <s v="Coca-Cola - Run of World Cup Video - 2026 MWC Package"/>
    <n v="582202"/>
    <s v="Coca-Cola - DIO - LFV - TUB - Pre/Mid - MWC - DT/MB/CTV"/>
    <n v="94270511"/>
    <s v="Fox Sold Tubi"/>
    <s v="CPM"/>
    <n v="40"/>
    <s v="3P Imps"/>
    <n v="6181311"/>
    <n v="247252.44"/>
    <m/>
    <m/>
    <s v=" "/>
    <s v=""/>
    <m/>
    <m/>
    <n v="6181311"/>
    <n v="6181311"/>
    <n v="0"/>
    <n v="0"/>
    <n v="1"/>
    <n v="0"/>
    <n v="0"/>
    <n v="0"/>
    <s v="Bill on Actuals - 3rd Party Performance"/>
    <n v="121447.69"/>
    <n v="9369500"/>
    <n v="374780"/>
    <s v="COCA-COLA/DIGITAL/SCATTER/SPORTS/MWC"/>
    <n v="94270504"/>
    <s v="P2+"/>
    <s v="O-D2V2BOM-R0"/>
    <m/>
    <s v="Janna Goldstein"/>
    <s v="Guaranteed"/>
    <s v="DIO - LFV - TUB - Pre/Mid - MWC - DT/MB/CTV"/>
    <n v="128503"/>
    <d v="2026-06-30T00:00:00"/>
    <d v="2026-06-01T00:00:00"/>
    <d v="2026-07-19T00:00:00"/>
    <s v="Direct LFV"/>
    <m/>
    <d v="2026-07-05T12:53:18"/>
  </r>
  <r>
    <s v="PUBLICIS COLLECTIVE"/>
    <n v="14056"/>
    <n v="1654"/>
    <s v="COCA COLA"/>
    <s v="COCA-COLA/DIGITAL/SCATTER/SPORTS/MWC"/>
    <x v="124"/>
    <s v="Coca-Cola - World Cup Social Sponsorship Content - 2026 MWC Package"/>
    <n v="582204"/>
    <s v="Coca-Cola - DIO - SOC - FOX Sports - Facebook/Instagram - MWC 2026"/>
    <n v="582211"/>
    <s v="FOX Sports - FB-Inst"/>
    <s v="Flat Rate"/>
    <n v="631667"/>
    <s v="Bill on Contract"/>
    <n v="0"/>
    <n v="193367.45"/>
    <m/>
    <m/>
    <s v=" "/>
    <n v="0"/>
    <m/>
    <m/>
    <n v="0"/>
    <n v="0"/>
    <n v="0"/>
    <n v="0"/>
    <n v="1"/>
    <n v="0"/>
    <n v="0"/>
    <n v="0"/>
    <s v="Bill on Contract - Pro-rated"/>
    <n v="193367.45"/>
    <n v="1"/>
    <n v="631667"/>
    <s v="COCA-COLA/DIGITAL/SCATTER/SPORTS/MWC"/>
    <n v="261931"/>
    <s v="P2+"/>
    <s v="O-D2V2BOM-R0"/>
    <m/>
    <s v="Janna Goldstein"/>
    <s v="Guaranteed"/>
    <s v="DIO - SOC - FOX Sports - Facebook/Instagram - MWC"/>
    <n v="128503"/>
    <d v="2026-06-30T00:00:00"/>
    <d v="2026-06-01T00:00:00"/>
    <d v="2026-07-19T00:00:00"/>
    <s v="Social Facebook/Instagram"/>
    <m/>
    <d v="2026-07-05T12:53:18"/>
  </r>
  <r>
    <s v="PUBLICIS COLLECTIVE"/>
    <n v="14056"/>
    <n v="1654"/>
    <s v="COCA COLA"/>
    <s v="COCA-COLA/DIGITAL/SCATTER/SPORTS/MWC"/>
    <x v="124"/>
    <s v="Coca-Cola - World Cup Social Sponsorship Content - 2026 MWC Package"/>
    <n v="582204"/>
    <s v="Coca-Cola - DIO - SOC - FOX Sports - TikTok - MWC 2026"/>
    <n v="582214"/>
    <s v="FOX Sports - TikTok"/>
    <s v="Flat Rate"/>
    <n v="631667"/>
    <s v="Bill on Contract"/>
    <n v="0"/>
    <n v="193367.45"/>
    <m/>
    <m/>
    <s v=" "/>
    <s v=""/>
    <m/>
    <m/>
    <n v="0"/>
    <n v="0"/>
    <n v="0"/>
    <n v="0"/>
    <n v="1"/>
    <n v="0"/>
    <n v="0"/>
    <n v="0"/>
    <s v="Bill on Contract - Pro-rated"/>
    <n v="193367.45"/>
    <n v="1"/>
    <n v="631667"/>
    <s v="COCA-COLA/DIGITAL/SCATTER/SPORTS/MWC"/>
    <n v="261931"/>
    <s v="P2+"/>
    <s v="O-D2V2BOM-R0"/>
    <m/>
    <s v="Janna Goldstein"/>
    <s v="Guaranteed"/>
    <s v="DIO - SOC - FOX Sports - TikTok - MWC"/>
    <n v="128503"/>
    <d v="2026-06-30T00:00:00"/>
    <d v="2026-06-01T00:00:00"/>
    <d v="2026-07-19T00:00:00"/>
    <s v="Social TikTok"/>
    <m/>
    <d v="2026-07-05T12:53:18"/>
  </r>
  <r>
    <s v="PUBLICIS COLLECTIVE"/>
    <n v="14056"/>
    <n v="1654"/>
    <s v="COCA COLA"/>
    <s v="COCA-COLA/DIGITAL/SCATTER/SPORTS/MWC"/>
    <x v="124"/>
    <s v="Coca-Cola - World Cup Social Sponsorship Content - 2026 MWC Package"/>
    <n v="582204"/>
    <s v="Coca-Cola - DIO - SOC - FOX Sports - Youtube - Custom Content - MWC 2026"/>
    <n v="582213"/>
    <s v="FOX Sports"/>
    <s v="Flat Rate"/>
    <n v="631666"/>
    <s v="Bill on Contract"/>
    <n v="0"/>
    <n v="193367.14"/>
    <m/>
    <m/>
    <s v=" "/>
    <s v=""/>
    <m/>
    <m/>
    <n v="0"/>
    <n v="0"/>
    <n v="0"/>
    <n v="0"/>
    <n v="1"/>
    <n v="0"/>
    <n v="0"/>
    <n v="0"/>
    <s v="Bill on Contract - Pro-rated"/>
    <n v="193367.14"/>
    <n v="1"/>
    <n v="631666"/>
    <s v="COCA-COLA/DIGITAL/SCATTER/SPORTS/MWC"/>
    <n v="261931"/>
    <s v="P2+"/>
    <s v="O-D2V2BOM-R0"/>
    <m/>
    <s v="Janna Goldstein"/>
    <s v="Guaranteed"/>
    <s v="DIO - SOC - FOX Sports - Youtube - Custom Content - MWC"/>
    <n v="128503"/>
    <d v="2026-06-30T00:00:00"/>
    <d v="2026-06-01T00:00:00"/>
    <d v="2026-07-19T00:00:00"/>
    <s v="Social"/>
    <m/>
    <d v="2026-07-05T12:53:18"/>
  </r>
  <r>
    <s v="PUBLICIS COLLECTIVE"/>
    <n v="14056"/>
    <n v="1654"/>
    <s v="COCA COLA"/>
    <s v="FAIRLIFE/DIGITAL/SCATTER/SPORTS/MWC"/>
    <x v="125"/>
    <s v="Fairlife - Run of World Cup Video - P2+ - 2026 MWC Package"/>
    <n v="582096"/>
    <s v="Fairlife - DIO - LFV - TUB - Pre/Mid - MWC - DT/MB/CTV - 2026 MWC"/>
    <n v="94296797"/>
    <s v="Fox Sold Tubi"/>
    <s v="CPM"/>
    <n v="40"/>
    <s v="3P Imps"/>
    <n v="1429179"/>
    <n v="57167.16"/>
    <m/>
    <m/>
    <s v=" "/>
    <n v="0"/>
    <m/>
    <m/>
    <n v="1429179"/>
    <n v="1429179"/>
    <n v="0"/>
    <n v="0"/>
    <n v="1"/>
    <n v="0"/>
    <n v="0"/>
    <n v="0"/>
    <s v="Bill on Actuals - 3rd Party Performance"/>
    <n v="27004.880000000001"/>
    <n v="1977500"/>
    <n v="79100"/>
    <s v="FAIRLIFE/DIGITAL/SCATTER/SPORTS/MWC"/>
    <n v="94296794"/>
    <s v="P2+"/>
    <s v="O-D2V2BNK-R0"/>
    <m/>
    <s v="Janna Goldstein"/>
    <s v="Guaranteed"/>
    <s v="DIO - LFV - TUB - Pre/Mid - MWC - DT/MB/CTV"/>
    <n v="128500"/>
    <d v="2026-06-30T00:00:00"/>
    <d v="2026-06-01T00:00:00"/>
    <d v="2026-07-19T00:00:00"/>
    <s v="Direct LFV"/>
    <m/>
    <d v="2026-07-05T12:53:18"/>
  </r>
  <r>
    <s v="PUBLICIS COLLECTIVE"/>
    <n v="14056"/>
    <n v="1654"/>
    <s v="COCA COLA"/>
    <s v="FAIRLIFE/DIGITAL/SCATTER/SPORTS/MWC"/>
    <x v="125"/>
    <s v="Fairlife - Run of World Cup Video - P2+ - 2026 MWC Package"/>
    <n v="582096"/>
    <s v="Fairlife - DIO - ROV - FS - Pre/Mid - MWC - DT/MB/CTV - 2026 MWC"/>
    <n v="94296800"/>
    <s v="FOX Sports"/>
    <s v="CPM"/>
    <n v="40"/>
    <s v="3P Imps"/>
    <n v="576048"/>
    <n v="23041.919999999998"/>
    <m/>
    <m/>
    <s v=" "/>
    <s v=""/>
    <m/>
    <m/>
    <n v="576048"/>
    <n v="576048"/>
    <n v="0"/>
    <n v="0"/>
    <n v="1"/>
    <n v="0"/>
    <n v="0"/>
    <n v="0"/>
    <s v="Bill on Actuals - 3rd Party Performance"/>
    <n v="11573.52"/>
    <n v="847500"/>
    <n v="33900"/>
    <s v="FAIRLIFE/DIGITAL/SCATTER/SPORTS/MWC"/>
    <n v="94296794"/>
    <s v="P2+"/>
    <s v="O-D2V2BNK-R0"/>
    <m/>
    <s v="Janna Goldstein"/>
    <s v="Guaranteed"/>
    <s v="DIO - ROV - FS - Pre/Mid - MWC - DT/MB/CTV"/>
    <n v="128500"/>
    <d v="2026-06-30T00:00:00"/>
    <d v="2026-06-01T00:00:00"/>
    <d v="2026-07-19T00:00:00"/>
    <s v="Direct ROV"/>
    <m/>
    <d v="2026-07-05T12:53:18"/>
  </r>
  <r>
    <s v="PUBLICIS COLLECTIVE"/>
    <n v="14056"/>
    <n v="1654"/>
    <s v="COCA COLA"/>
    <s v="FAIRLIFE/DIGITAL/SCATTER/SPORTS/MWC"/>
    <x v="125"/>
    <s v="Fairlife - World Cup Social Sponsorship Content - 2026 MWC Package"/>
    <n v="582113"/>
    <s v="Fairelife - DIO - SOC - FOX Sports - TikTok - MWC"/>
    <n v="582117"/>
    <s v="FOX Sports - TikTok"/>
    <s v="Flat Rate"/>
    <n v="19666"/>
    <s v="Bill on Contract"/>
    <n v="0"/>
    <n v="6020.2"/>
    <m/>
    <m/>
    <s v=" "/>
    <n v="0"/>
    <m/>
    <m/>
    <n v="0"/>
    <n v="0"/>
    <n v="0"/>
    <n v="0"/>
    <n v="1"/>
    <n v="0"/>
    <n v="0"/>
    <n v="0"/>
    <s v="Bill on Contract - Pro-rated"/>
    <n v="6020.2"/>
    <n v="1"/>
    <n v="19666"/>
    <s v="FAIRLIFE/DIGITAL/SCATTER/SPORTS/MWC"/>
    <n v="262034"/>
    <s v="P2+"/>
    <s v="O-D2V2BNK-R0"/>
    <m/>
    <s v="Janna Goldstein"/>
    <s v="Guaranteed"/>
    <s v="DIO - SOC - FOX Sports - TikTok - MWC"/>
    <n v="128500"/>
    <d v="2026-06-30T00:00:00"/>
    <d v="2026-06-01T00:00:00"/>
    <d v="2026-07-19T00:00:00"/>
    <s v="Social TikTok"/>
    <m/>
    <d v="2026-07-05T12:53:18"/>
  </r>
  <r>
    <s v="PUBLICIS COLLECTIVE"/>
    <n v="14056"/>
    <n v="1654"/>
    <s v="COCA COLA"/>
    <s v="FAIRLIFE/DIGITAL/SCATTER/SPORTS/MWC"/>
    <x v="125"/>
    <s v="Fairlife - World Cup Social Sponsorship Content - 2026 MWC Package"/>
    <n v="582113"/>
    <s v="Fairlife - DIO - SOC - FOX Sports - Facebook/Instagram - MWC"/>
    <n v="582114"/>
    <s v="FOX Sports - FB-Inst"/>
    <s v="Flat Rate"/>
    <n v="19667"/>
    <s v="Bill on Contract"/>
    <n v="0"/>
    <n v="6020.51"/>
    <m/>
    <m/>
    <s v=" "/>
    <s v=""/>
    <m/>
    <m/>
    <n v="0"/>
    <n v="0"/>
    <n v="0"/>
    <n v="0"/>
    <n v="1"/>
    <n v="0"/>
    <n v="0"/>
    <n v="0"/>
    <s v="Bill on Contract - Pro-rated"/>
    <n v="6020.51"/>
    <n v="1"/>
    <n v="19667"/>
    <s v="FAIRLIFE/DIGITAL/SCATTER/SPORTS/MWC"/>
    <n v="262034"/>
    <s v="P2+"/>
    <s v="O-D2V2BNK-R0"/>
    <m/>
    <s v="Janna Goldstein"/>
    <s v="Guaranteed"/>
    <s v="DIO - SOC - FOX Sports - Facebook/Instagram - MWC"/>
    <n v="128500"/>
    <d v="2026-06-30T00:00:00"/>
    <d v="2026-06-01T00:00:00"/>
    <d v="2026-07-19T00:00:00"/>
    <s v="Social Facebook/Instagram"/>
    <m/>
    <d v="2026-07-05T12:53:18"/>
  </r>
  <r>
    <s v="PUBLICIS COLLECTIVE"/>
    <n v="14056"/>
    <n v="1654"/>
    <s v="COCA COLA"/>
    <s v="FAIRLIFE/DIGITAL/SCATTER/SPORTS/MWC"/>
    <x v="125"/>
    <s v="Fairlife - World Cup Social Sponsorship Content - 2026 MWC Package"/>
    <n v="582113"/>
    <s v="Fairlife - DIO - SOC - FOX Sports - Youtube - Custom Content - MWC"/>
    <n v="582116"/>
    <s v="FOX Sports"/>
    <s v="Flat Rate"/>
    <n v="19667"/>
    <s v="Bill on Contract"/>
    <n v="0"/>
    <n v="6020.51"/>
    <m/>
    <m/>
    <s v=" "/>
    <s v=""/>
    <m/>
    <m/>
    <n v="0"/>
    <n v="0"/>
    <n v="0"/>
    <n v="0"/>
    <n v="1"/>
    <n v="0"/>
    <n v="0"/>
    <n v="0"/>
    <s v="Bill on Contract - Pro-rated"/>
    <n v="6020.51"/>
    <n v="1"/>
    <n v="19667"/>
    <s v="FAIRLIFE/DIGITAL/SCATTER/SPORTS/MWC"/>
    <n v="262034"/>
    <s v="P2+"/>
    <s v="O-D2V2BNK-R0"/>
    <m/>
    <s v="Janna Goldstein"/>
    <s v="Guaranteed"/>
    <s v="DIO - SOC - FOX Sports - Youtube - Custom Content - MWC"/>
    <n v="128500"/>
    <d v="2026-06-30T00:00:00"/>
    <d v="2026-06-01T00:00:00"/>
    <d v="2026-07-19T00:00:00"/>
    <s v="Social"/>
    <m/>
    <d v="2026-07-05T12:53:18"/>
  </r>
  <r>
    <s v="PUBLICIS COLLECTIVE"/>
    <n v="14056"/>
    <n v="1654"/>
    <s v="COCA COLA"/>
    <s v="POWERADE/DIGITAL/SCATTER/SPORTS/MWC"/>
    <x v="126"/>
    <s v="Powerade - OMP - World Cup Social Sponsorship Content - 2026 MWC Package"/>
    <n v="582127"/>
    <s v="Powerade - OMP - DIO - SOC - FOX Sports - Facebook/Instagram - 2026 MWC"/>
    <n v="582128"/>
    <s v="FOX Sports - FB-Inst"/>
    <s v="Flat Rate"/>
    <n v="66334"/>
    <s v="Bill on Contract"/>
    <n v="0"/>
    <n v="20306.330000000002"/>
    <m/>
    <m/>
    <s v=" "/>
    <n v="0"/>
    <m/>
    <m/>
    <n v="0"/>
    <n v="0"/>
    <n v="0"/>
    <n v="0"/>
    <n v="1"/>
    <n v="0"/>
    <n v="0"/>
    <n v="0"/>
    <s v="Bill on Contract - Pro-rated"/>
    <n v="20306.330000000002"/>
    <n v="1"/>
    <n v="66334"/>
    <s v="POWERADE/DIGITAL/SCATTER/SPORTS/MWC"/>
    <n v="262032"/>
    <s v="P2+"/>
    <s v="O-D2V2BNB-R1"/>
    <m/>
    <s v="Janna Goldstein"/>
    <s v="Guaranteed"/>
    <s v="DIO - SOC - FOX Sports - Facebook/Instagram - MWC"/>
    <n v="128489"/>
    <d v="2026-06-30T00:00:00"/>
    <d v="2026-06-01T00:00:00"/>
    <d v="2026-07-19T00:00:00"/>
    <s v="Social Facebook/Instagram"/>
    <m/>
    <d v="2026-07-05T12:53:18"/>
  </r>
  <r>
    <s v="PUBLICIS COLLECTIVE"/>
    <n v="14056"/>
    <n v="1654"/>
    <s v="COCA COLA"/>
    <s v="POWERADE/DIGITAL/SCATTER/SPORTS/MWC"/>
    <x v="126"/>
    <s v="Powerade - OMP - World Cup Social Sponsorship Content - 2026 MWC Package"/>
    <n v="582127"/>
    <s v="Powerade - OMP - DIO - SOC - FOX Sports - TikTok - 2026 MWC"/>
    <n v="582131"/>
    <s v="FOX Sports - TikTok"/>
    <s v="Flat Rate"/>
    <n v="66333"/>
    <s v="Bill on Contract"/>
    <n v="0"/>
    <n v="20306.02"/>
    <m/>
    <m/>
    <s v=" "/>
    <s v=""/>
    <m/>
    <m/>
    <n v="0"/>
    <n v="0"/>
    <n v="0"/>
    <n v="0"/>
    <n v="1"/>
    <n v="0"/>
    <n v="0"/>
    <n v="0"/>
    <s v="Bill on Contract - Pro-rated"/>
    <n v="20306.02"/>
    <n v="1"/>
    <n v="66333"/>
    <s v="POWERADE/DIGITAL/SCATTER/SPORTS/MWC"/>
    <n v="262032"/>
    <s v="P2+"/>
    <s v="O-D2V2BNB-R1"/>
    <m/>
    <s v="Janna Goldstein"/>
    <s v="Guaranteed"/>
    <s v="DIO - SOC - FOX Sports - TikTok - MWC"/>
    <n v="128489"/>
    <d v="2026-06-30T00:00:00"/>
    <d v="2026-06-01T00:00:00"/>
    <d v="2026-07-19T00:00:00"/>
    <s v="Social TikTok"/>
    <m/>
    <d v="2026-07-05T12:53:18"/>
  </r>
  <r>
    <s v="PUBLICIS COLLECTIVE"/>
    <n v="14056"/>
    <n v="1654"/>
    <s v="COCA COLA"/>
    <s v="POWERADE/DIGITAL/SCATTER/SPORTS/MWC"/>
    <x v="126"/>
    <s v="Powerade - OMP - World Cup Social Sponsorship Content - 2026 MWC Package"/>
    <n v="582127"/>
    <s v="Powerade - OMP - DIO - SOC - FOX Sports - Youtube - Custom Content - 2026 MWC"/>
    <n v="582130"/>
    <s v="FOX Sports"/>
    <s v="Flat Rate"/>
    <n v="66333"/>
    <s v="Bill on Contract"/>
    <n v="0"/>
    <n v="20306.02"/>
    <m/>
    <m/>
    <s v=" "/>
    <s v=""/>
    <m/>
    <m/>
    <n v="0"/>
    <n v="0"/>
    <n v="0"/>
    <n v="0"/>
    <n v="1"/>
    <n v="0"/>
    <n v="0"/>
    <n v="0"/>
    <s v="Bill on Contract - Pro-rated"/>
    <n v="20306.02"/>
    <n v="1"/>
    <n v="66333"/>
    <s v="POWERADE/DIGITAL/SCATTER/SPORTS/MWC"/>
    <n v="262032"/>
    <s v="P2+"/>
    <s v="O-D2V2BNB-R1"/>
    <m/>
    <s v="Janna Goldstein"/>
    <s v="Guaranteed"/>
    <s v="DIO - SOC - FOX Sports - Youtube - Custom Content - MWC"/>
    <n v="128489"/>
    <d v="2026-06-30T00:00:00"/>
    <d v="2026-06-01T00:00:00"/>
    <d v="2026-07-19T00:00:00"/>
    <s v="Social"/>
    <m/>
    <d v="2026-07-05T12:53:18"/>
  </r>
  <r>
    <s v="PUBLICIS COLLECTIVE"/>
    <n v="14056"/>
    <n v="1654"/>
    <s v="COCA COLA"/>
    <s v="POWERADE/DIGITAL/SCATTER/SPORTS/MWC"/>
    <x v="126"/>
    <s v="Powerade - OMP - Run of World Cup Display - 2026 MWC Package"/>
    <n v="582145"/>
    <s v="Powerade - OMP - DIS - FS - Display Unit - OMP - 728x90, 300x250, 320x50 - MWC 2026"/>
    <n v="7311117723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2280.3"/>
    <n v="5583333"/>
    <n v="33500"/>
    <s v="POWERADE/DIGITAL/SCATTER/SPORTS/MWC"/>
    <n v="262032"/>
    <s v="P2+"/>
    <s v="O-D2V2BNB-R1"/>
    <m/>
    <s v="Janna Goldstein"/>
    <s v="Guaranteed"/>
    <s v="DIS - FS - Display Unit - MWC"/>
    <n v="128489"/>
    <d v="2026-06-30T00:00:00"/>
    <d v="2026-06-01T00:00:00"/>
    <d v="2026-07-19T00:00:00"/>
    <s v="Direct Display"/>
    <m/>
    <d v="2026-07-05T12:53:18"/>
  </r>
  <r>
    <s v="PUBLICIS COLLECTIVE"/>
    <n v="14056"/>
    <n v="1654"/>
    <s v="COCA COLA"/>
    <s v="POWERADE/DIGITAL/SCATTER/SPORTS/MWC"/>
    <x v="126"/>
    <s v="Powerade - OMP -  Run of World Cup Video - 2026 MWC Package"/>
    <n v="582166"/>
    <s v="Powerade - OMP - DIO - LFV - TUB - Pre/Mid - MWC - DT/MB/CTV - 2026 MWC"/>
    <n v="94270208"/>
    <s v="Fox Sold Tubi"/>
    <s v="CPM"/>
    <n v="40"/>
    <s v="3P Imps"/>
    <n v="1920276"/>
    <n v="76811.039999999994"/>
    <m/>
    <m/>
    <s v=" "/>
    <n v="0"/>
    <m/>
    <m/>
    <n v="1920276"/>
    <n v="1920276"/>
    <n v="0"/>
    <n v="0"/>
    <n v="1"/>
    <n v="0"/>
    <n v="0"/>
    <n v="0"/>
    <s v="Bill on Actuals - 3rd Party Performance"/>
    <n v="37023.67"/>
    <n v="2889250"/>
    <n v="115570"/>
    <s v="POWERADE/DIGITAL/SCATTER/SPORTS/MWC"/>
    <n v="94270205"/>
    <s v="P2+"/>
    <s v="O-D2V2BNB-R1"/>
    <m/>
    <s v="Janna Goldstein"/>
    <s v="Guaranteed"/>
    <s v="DIO - LFV - TUB - Pre/Mid - MWC - DT/MB/CTV"/>
    <n v="128489"/>
    <d v="2026-06-30T00:00:00"/>
    <d v="2026-06-01T00:00:00"/>
    <d v="2026-07-19T00:00:00"/>
    <s v="Direct LFV"/>
    <m/>
    <d v="2026-07-05T12:53:18"/>
  </r>
  <r>
    <s v="PUBLICIS COLLECTIVE"/>
    <n v="14056"/>
    <n v="1654"/>
    <s v="COCA COLA"/>
    <s v="POWERADE/DIGITAL/SCATTER/SPORTS/MWC"/>
    <x v="126"/>
    <s v="Powerade - OMP -  Run of World Cup Video - 2026 MWC Package"/>
    <n v="582166"/>
    <s v="Powerade - OMP - DIO - ROV - FS - Pre/Mid - MWC - DT/MB/CTV - 2026 MWC"/>
    <n v="94270211"/>
    <s v="FOX Sports"/>
    <s v="CPM"/>
    <n v="40"/>
    <s v="3P Imps"/>
    <n v="842293"/>
    <n v="33691.72"/>
    <m/>
    <m/>
    <s v=" "/>
    <s v=""/>
    <m/>
    <m/>
    <n v="842293"/>
    <n v="842293"/>
    <n v="0"/>
    <n v="0"/>
    <n v="1"/>
    <n v="0"/>
    <n v="0"/>
    <n v="0"/>
    <s v="Bill on Actuals - 3rd Party Performance"/>
    <n v="15867.29"/>
    <n v="1238250"/>
    <n v="49530"/>
    <s v="POWERADE/DIGITAL/SCATTER/SPORTS/MWC"/>
    <n v="94270205"/>
    <s v="P2+"/>
    <s v="O-D2V2BNB-R1"/>
    <m/>
    <s v="Janna Goldstein"/>
    <s v="Guaranteed"/>
    <s v="DIO - ROV - FS - Pre/Mid - MWC - DT/MB/CTV"/>
    <n v="128489"/>
    <d v="2026-06-30T00:00:00"/>
    <d v="2026-06-01T00:00:00"/>
    <d v="2026-07-19T00:00:00"/>
    <s v="Direct ROV"/>
    <m/>
    <d v="2026-07-05T12:53:18"/>
  </r>
  <r>
    <s v="PUBLICIS HEALTH MEDIA"/>
    <n v="10393"/>
    <n v="14880"/>
    <s v="ALKERMES"/>
    <s v="Alkermes:Lybalvi/25-26/Scatter/ Digital/2Q'26"/>
    <x v="127"/>
    <s v="Alkermes Lybalvi - DIO - LFV - Entertainment - Animation Only - AAT A18-54 - :60s - 2Q'26 Package"/>
    <n v="571990"/>
    <s v="Alkermes Lybalvi DIO - LFV - RON Ent - Pre/Mid - ROS - Animation Only - DT/MB/CTV/STB - A18-54 AAT - :60s - 2Q'26"/>
    <n v="92755703"/>
    <s v="RON - Ent"/>
    <s v="CPM"/>
    <n v="17.989999999999998"/>
    <s v="3P Audience Target"/>
    <n v="1007313"/>
    <n v="18121.560000000001"/>
    <m/>
    <m/>
    <s v=" "/>
    <n v="0"/>
    <m/>
    <s v="Show Only Net; NONE"/>
    <n v="593281"/>
    <n v="1007313"/>
    <n v="0"/>
    <n v="0"/>
    <n v="1"/>
    <n v="0"/>
    <n v="0"/>
    <n v="0"/>
    <s v="Bill on Actuals - 3rd Party Performance"/>
    <n v="9580.77"/>
    <n v="2390217"/>
    <n v="43000"/>
    <s v="Alkermes:Lybalvi/25-26/Scatter/ Digital/2Q'26"/>
    <n v="92755700"/>
    <s v="Audience Target"/>
    <s v="O-D2OT3AO-R1"/>
    <m/>
    <s v="Jon Renz"/>
    <s v="Guaranteed"/>
    <s v="DIO - LFV - RON Ent - Pre/Mid - ROS - DT/MB/CTV/STB"/>
    <n v="121331"/>
    <d v="2026-06-30T00:00:00"/>
    <d v="2026-03-30T00:00:00"/>
    <d v="2026-06-21T00:00:00"/>
    <s v="Direct LFV"/>
    <m/>
    <d v="2026-07-05T12:53:18"/>
  </r>
  <r>
    <s v="RAZORFISH"/>
    <n v="21809"/>
    <n v="1474"/>
    <s v="AMERICAN AIRLINES"/>
    <s v="American Airlines/25-26/Digital/Scatter/Sports/MWC"/>
    <x v="128"/>
    <s v="American Airlines - Run of World Cup Video - Package OMP"/>
    <n v="591512"/>
    <s v="American Airlines - DIO - LFV - TUB - Pre/Mid - MWC - DT/MB/CTV OMP"/>
    <n v="94332902"/>
    <s v="Fox Sold Tubi"/>
    <s v="CPM"/>
    <n v="44"/>
    <s v="1P Imps"/>
    <n v="2871860"/>
    <n v="126361.84"/>
    <m/>
    <m/>
    <s v=" "/>
    <n v="0"/>
    <m/>
    <m/>
    <n v="2871860"/>
    <n v="2871860"/>
    <n v="0"/>
    <n v="0"/>
    <n v="1"/>
    <n v="0"/>
    <n v="0"/>
    <n v="0"/>
    <s v="Bill on Actuals - Primary Performance"/>
    <n v="62088.3"/>
    <n v="3977273"/>
    <n v="175000.01"/>
    <s v="American Airlines/25-26/Digital/Scatter/Sports/MWC"/>
    <n v="94332892"/>
    <s v="P2+"/>
    <s v="O-D3094IB"/>
    <m/>
    <s v="Carly Sartwell"/>
    <s v="Guaranteed"/>
    <s v="DIO - LFV - TUB - Pre/Mid - MWC - DT/MB/CTV"/>
    <n v="129814"/>
    <d v="2026-06-30T00:00:00"/>
    <d v="2026-06-01T00:00:00"/>
    <d v="2026-07-19T00:00:00"/>
    <s v="Direct LFV"/>
    <m/>
    <d v="2026-07-05T12:53:18"/>
  </r>
  <r>
    <s v="RAZORFISH"/>
    <n v="21809"/>
    <n v="1474"/>
    <s v="AMERICAN AIRLINES"/>
    <s v="American Airlines/25-26/Digital/Scatter/Sports/MWC"/>
    <x v="128"/>
    <s v="American Airlines - Run of World Cup Video - Package OMP"/>
    <n v="591512"/>
    <s v="American Airlines - DIO - ROV - FS - Pre/Mid - MWC - DT/MB/CTV OMP"/>
    <n v="94332905"/>
    <s v="FOX Sports"/>
    <s v="CPM"/>
    <n v="44"/>
    <s v="1P Imps"/>
    <n v="1159848"/>
    <n v="51033.31"/>
    <m/>
    <m/>
    <s v=" "/>
    <s v=""/>
    <m/>
    <m/>
    <n v="1159848"/>
    <n v="1159848"/>
    <n v="0"/>
    <n v="0"/>
    <n v="1"/>
    <n v="0"/>
    <n v="0"/>
    <n v="0"/>
    <s v="Bill on Actuals - Primary Performance"/>
    <n v="26609.279999999999"/>
    <n v="1704546"/>
    <n v="75000.02"/>
    <s v="American Airlines/25-26/Digital/Scatter/Sports/MWC"/>
    <n v="94332892"/>
    <s v="P2+"/>
    <s v="O-D3094IB"/>
    <m/>
    <s v="Carly Sartwell"/>
    <s v="Guaranteed"/>
    <s v="DIO - ROV - FS - Pre/Mid - MWC - DT/MB/CTV"/>
    <n v="129814"/>
    <d v="2026-06-30T00:00:00"/>
    <d v="2026-06-01T00:00:00"/>
    <d v="2026-07-19T00:00:00"/>
    <s v="Direct ROV"/>
    <m/>
    <d v="2026-07-05T12:53:18"/>
  </r>
  <r>
    <s v="RAZORFISH"/>
    <n v="21809"/>
    <n v="1474"/>
    <s v="AMERICAN AIRLINES"/>
    <s v="American Airlines/25-26/Digital/Scatter/Sports/MWC"/>
    <x v="128"/>
    <s v="American Airlines - Run of AllFOX Video - Package OMP"/>
    <n v="591523"/>
    <s v="American Airlines - DIO - LFV - 1F - Tubi - Pre/Mid - ROS - DT/MB/CTV - FW - SXD OMP SOCCER FANS"/>
    <n v="94332899"/>
    <s v="Fox Sold Tubi"/>
    <s v="CPM"/>
    <n v="23"/>
    <s v="1P Audience Target"/>
    <n v="451277"/>
    <n v="10379.370000000001"/>
    <m/>
    <m/>
    <s v=" "/>
    <n v="0"/>
    <m/>
    <m/>
    <n v="451277"/>
    <n v="451277"/>
    <n v="0"/>
    <n v="0"/>
    <n v="1"/>
    <n v="0"/>
    <n v="0"/>
    <n v="0"/>
    <s v="Bill on Actuals - Primary Performance"/>
    <n v="5146.37"/>
    <n v="652174"/>
    <n v="15000"/>
    <s v="American Airlines/25-26/Digital/Scatter/Sports/MWC"/>
    <n v="94332892"/>
    <s v="Audience Target"/>
    <s v="O-D3094IB"/>
    <m/>
    <s v="Carly Sartwell"/>
    <s v="Guaranteed"/>
    <s v="DIO - LFV - 1F - Tubi - Pre/Mid - ROS - DT/MB/CTV - FW - SXD"/>
    <n v="129814"/>
    <d v="2026-06-30T00:00:00"/>
    <d v="2026-06-01T00:00:00"/>
    <d v="2026-07-19T00:00:00"/>
    <s v="Direct LFV"/>
    <m/>
    <d v="2026-07-05T12:53:18"/>
  </r>
  <r>
    <s v="RAZORFISH"/>
    <n v="21809"/>
    <n v="1474"/>
    <s v="AMERICAN AIRLINES"/>
    <s v="American Airlines/25-26/Digital/Scatter/Sports/MWC"/>
    <x v="128"/>
    <s v="American Airlines - Run of AllFOX Video - Package OMP"/>
    <n v="591523"/>
    <s v="American Airlines - DIO - ROV - 1F - SEN - Pre/Mid - ROS - DT/MB/CTV - SXD OMP SOCCER FANS"/>
    <n v="94332895"/>
    <s v="OneFOX"/>
    <s v="CPM"/>
    <n v="23"/>
    <s v="1P Audience Target"/>
    <n v="294574"/>
    <n v="6775.2"/>
    <m/>
    <m/>
    <s v=" "/>
    <s v=""/>
    <m/>
    <m/>
    <n v="294574"/>
    <n v="294574"/>
    <n v="0"/>
    <n v="0"/>
    <n v="1"/>
    <n v="0"/>
    <n v="0"/>
    <n v="0"/>
    <s v="Bill on Actuals - Primary Performance"/>
    <n v="3430.92"/>
    <n v="434783"/>
    <n v="10000.01"/>
    <s v="American Airlines/25-26/Digital/Scatter/Sports/MWC"/>
    <n v="94332892"/>
    <s v="Audience Target"/>
    <s v="O-D3094IB"/>
    <m/>
    <s v="Carly Sartwell"/>
    <s v="Guaranteed"/>
    <s v="DIO - ROV - 1F - SEN - Pre/Mid - ROS - DT/MB/CTV - SXD"/>
    <n v="129814"/>
    <d v="2026-06-30T00:00:00"/>
    <d v="2026-06-01T00:00:00"/>
    <d v="2026-07-19T00:00:00"/>
    <s v="Direct ROV"/>
    <m/>
    <d v="2026-07-05T12:53:18"/>
  </r>
  <r>
    <s v="RAZORFISH"/>
    <n v="21809"/>
    <n v="1474"/>
    <s v="AMERICAN AIRLINES"/>
    <s v="American Airlines/25-26/Digital/Scatter/Sports/MWC"/>
    <x v="128"/>
    <s v="American Airlines - DIO - Custom Sponsorship - FOX Sports - Placeholder"/>
    <n v="591534"/>
    <s v="American Airlines - DIO - Custom Sponsorship - FOX Sports - Placeholder"/>
    <n v="591534"/>
    <s v="FOX Sports - Custom Sponsorship"/>
    <s v="Flat Rate"/>
    <n v="2000000"/>
    <s v="Bill on Contract"/>
    <n v="0"/>
    <n v="1224489.8"/>
    <m/>
    <m/>
    <s v=" "/>
    <n v="0"/>
    <m/>
    <m/>
    <n v="0"/>
    <n v="0"/>
    <n v="0"/>
    <n v="0"/>
    <n v="1"/>
    <n v="0"/>
    <n v="0"/>
    <n v="0"/>
    <s v="Bill on Contract - Pro-rated"/>
    <n v="1224489.8"/>
    <n v="0"/>
    <n v="2000000"/>
    <s v="American Airlines/25-26/Digital/Scatter/Sports/MWC"/>
    <n v="270419"/>
    <s v="P2+"/>
    <s v="O-D3094IB"/>
    <m/>
    <s v="Carly Sartwell"/>
    <s v="Guaranteed"/>
    <s v="DIO - Custom Sponsorship - FOX Sports - Placeholder"/>
    <n v="129814"/>
    <d v="2026-06-30T00:00:00"/>
    <d v="2026-06-01T00:00:00"/>
    <d v="2026-07-19T00:00:00"/>
    <s v="Sponsorship"/>
    <m/>
    <d v="2026-07-05T12:53:18"/>
  </r>
  <r>
    <s v="SARGENTO"/>
    <n v="22519"/>
    <n v="6769"/>
    <s v="SARGENTO"/>
    <s v="SARGENTO/DIGITAL/FOX/ENTERTAINMENT/2026/SC"/>
    <x v="129"/>
    <s v="SARGENTO DIO - LFV - FOX - Pre/Mid - FOX FOOD - DT/MB/CTV"/>
    <n v="549806"/>
    <s v="SARGENTO DIO - LFV - FOX - Pre/Mid - FOX FOOD - DT/MB/CTV"/>
    <n v="93250847"/>
    <s v="Fox.com"/>
    <s v="CPM"/>
    <n v="20.9"/>
    <s v="3P CoView Imps"/>
    <n v="6874444"/>
    <n v="143675.88"/>
    <m/>
    <m/>
    <s v=" "/>
    <n v="0"/>
    <m/>
    <s v="Show Only Net; NONE"/>
    <n v="2527199"/>
    <n v="5719195"/>
    <n v="3037680"/>
    <n v="6874444"/>
    <n v="1"/>
    <n v="1.201995111734296"/>
    <n v="0"/>
    <n v="0"/>
    <s v="Bill on Actuals - 3rd Party Performance"/>
    <n v="65375.14"/>
    <n v="17000000"/>
    <n v="355300"/>
    <s v="SARGENTO/DIGITAL/FOX/ENTERTAINMENT/2026/SC"/>
    <n v="93250844"/>
    <s v="P2+"/>
    <s v="N/A"/>
    <m/>
    <s v="Tim Wodzisz"/>
    <s v="Guaranteed"/>
    <s v="DIO - LFV - FOX - Pre/Mid - FOX FOOD - DT/MB/CTV"/>
    <n v="125024"/>
    <d v="2026-06-30T00:00:00"/>
    <d v="2026-04-01T00:00:00"/>
    <d v="2026-07-04T00:00:00"/>
    <s v="Direct LFV"/>
    <m/>
    <d v="2026-07-05T12:53:18"/>
  </r>
  <r>
    <s v="SARGENTO"/>
    <n v="22519"/>
    <n v="6769"/>
    <s v="SARGENTO"/>
    <s v="SARGENTO/DIGITAL/FOX/ENTERTAINMENT/2026/SC"/>
    <x v="129"/>
    <s v="SARGENTO DIO - LFV - RON Ent - Absolute A - Show Mix - DT/MB/CTV/STB FLIGHT 2"/>
    <n v="582762"/>
    <s v="SARGENTO DIO - LFV - RON Ent - Absolute A - Show Mix - DT/MB/CTV/STB FLIGHT 2"/>
    <n v="93250867"/>
    <s v="RON - Ent"/>
    <s v="CPM"/>
    <n v="38"/>
    <s v="Absolute A"/>
    <n v="1770027"/>
    <n v="67261.05"/>
    <m/>
    <m/>
    <s v=" "/>
    <n v="0"/>
    <m/>
    <m/>
    <n v="1475023"/>
    <n v="1475023"/>
    <n v="1770027"/>
    <n v="1770027"/>
    <n v="1"/>
    <n v="1.2"/>
    <n v="0"/>
    <n v="0"/>
    <s v="Bill on Actuals - 3rd Party Performance"/>
    <n v="71259.199999999997"/>
    <n v="2689474"/>
    <n v="102200.01"/>
    <s v="SARGENTO/DIGITAL/FOX/ENTERTAINMENT/2026/SC"/>
    <n v="93250844"/>
    <s v="P2+"/>
    <s v="N/A"/>
    <m/>
    <s v="Tim Wodzisz"/>
    <s v="Guaranteed"/>
    <s v="DIO - LFV - RON Ent - Absolute A - Show Mix - DT/MB/CTV/STB"/>
    <n v="125024"/>
    <d v="2026-06-30T00:00:00"/>
    <d v="2026-06-07T00:00:00"/>
    <d v="2026-07-15T00:00:00"/>
    <s v="Direct LFV"/>
    <m/>
    <d v="2026-07-05T12:53:18"/>
  </r>
  <r>
    <s v="SCOPELY c/o MBMG"/>
    <n v="20214"/>
    <n v="7615"/>
    <s v="SCOPELY"/>
    <s v="Scopely Monopoly Go!/Digital/Scatter/Entertainment/2025/26/2Q26"/>
    <x v="130"/>
    <s v="Scopely- DIO - LFV - RON Ent - Absolute A - Show Mix - DT/MB/CTV/STB  (Family Guy, Bob’s Burgers, American Dad, and Simpsons)"/>
    <n v="587304"/>
    <s v="Scopely- DIO - LFV - RON Ent - Absolute A - Show Mix - DT/MB/CTV/STB  (Family Guy, Bob’s Burgers, American Dad, and Simpsons)"/>
    <n v="94301372"/>
    <s v="RON - Ent"/>
    <s v="CPM"/>
    <n v="30"/>
    <s v="Absolute A"/>
    <n v="9251914"/>
    <n v="277557.44"/>
    <m/>
    <m/>
    <s v=" "/>
    <n v="0"/>
    <m/>
    <s v="Show Only Net; NONE"/>
    <n v="7709929"/>
    <n v="7709929"/>
    <n v="9251914"/>
    <n v="9251914"/>
    <n v="1"/>
    <n v="1.2"/>
    <n v="0"/>
    <n v="0"/>
    <s v="Bill on Actuals - 3rd Party Performance"/>
    <n v="296214.69"/>
    <n v="10000000"/>
    <n v="300000"/>
    <s v="Scopely Monopoly Go!/Digital/Scatter/Entertainment/2025/26/2Q26"/>
    <n v="94301358"/>
    <s v="P2+"/>
    <n v="33819"/>
    <m/>
    <s v="Kimberly Caraig"/>
    <s v="Guaranteed"/>
    <s v="DIO - LFV - RON Ent - Absolute A - Show Mix - DT/MB/CTV/STB"/>
    <n v="129536"/>
    <d v="2026-06-30T00:00:00"/>
    <d v="2026-06-03T00:00:00"/>
    <d v="2026-07-05T00:00:00"/>
    <s v="Direct LFV"/>
    <m/>
    <d v="2026-07-05T12:53:18"/>
  </r>
  <r>
    <s v="SCOPELY c/o MBMG"/>
    <n v="20214"/>
    <n v="7615"/>
    <s v="SCOPELY"/>
    <s v="Scopely Monopoly Go!/Digital/Scatter/Entertainment/2025/26/2Q26"/>
    <x v="130"/>
    <s v="Scopely- DIO - LFV - Entertainment ROS - Package"/>
    <n v="587311"/>
    <s v="Scopely- DIO - LFV - RON Ent - Pre/Mid - ROS - DT/MB/CTV/STB"/>
    <n v="94301361"/>
    <s v="RON - Ent"/>
    <s v="CPM"/>
    <n v="18"/>
    <s v="3P CoView Imps"/>
    <n v="2400711"/>
    <n v="43212.800000000003"/>
    <m/>
    <m/>
    <s v=" "/>
    <n v="0"/>
    <m/>
    <m/>
    <n v="1956897"/>
    <n v="1956897"/>
    <n v="2400711"/>
    <n v="2400711"/>
    <n v="1"/>
    <n v="1.2267948913953961"/>
    <n v="0"/>
    <n v="0"/>
    <s v="Bill on Actuals - 3rd Party Performance"/>
    <n v="37932.879999999997"/>
    <n v="2777778"/>
    <n v="50000"/>
    <s v="Scopely Monopoly Go!/Digital/Scatter/Entertainment/2025/26/2Q26"/>
    <n v="94301358"/>
    <s v="P2+"/>
    <n v="33819"/>
    <m/>
    <s v="Kimberly Caraig"/>
    <s v="Guaranteed"/>
    <s v="DIO - LFV - RON Ent - Pre/Mid - ROS - DT/MB/CTV/STB"/>
    <n v="129536"/>
    <d v="2026-06-30T00:00:00"/>
    <d v="2026-06-03T00:00:00"/>
    <d v="2026-07-05T00:00:00"/>
    <s v="Direct LFV"/>
    <m/>
    <d v="2026-07-05T12:53:18"/>
  </r>
  <r>
    <s v="SOLVE(D)"/>
    <n v="17758"/>
    <n v="23408"/>
    <s v="EDWARDS LIFESCIENCES"/>
    <s v="Edwards Lifesciences/2026/Digital/Scatter/ROS"/>
    <x v="131"/>
    <s v="Edwards Lifesciences - DIO - ROV - FS - Pre/Mid - ROS - DT/MB/CTV - Package"/>
    <n v="583709"/>
    <s v="Edward Lifesciences - DIO - ROV - FS - Pre/Mid - ROS - DT/MB/CTV"/>
    <n v="93464086"/>
    <s v="FOX Sports"/>
    <s v="CPM"/>
    <n v="25"/>
    <s v="3P CoView Imps"/>
    <n v="1130179"/>
    <n v="28254.47"/>
    <m/>
    <m/>
    <s v=" "/>
    <n v="0"/>
    <m/>
    <m/>
    <n v="820491"/>
    <n v="961455"/>
    <n v="964478"/>
    <n v="1130179"/>
    <n v="1"/>
    <n v="1.1754889886945159"/>
    <n v="0"/>
    <n v="0"/>
    <s v="Bill on Actuals - 3rd Party Performance"/>
    <n v="12507.86"/>
    <n v="7200000"/>
    <n v="180000"/>
    <s v="Edwards Lifesciences/2026/Digital/Scatter/ROS"/>
    <n v="93464083"/>
    <s v="P2+"/>
    <s v="O-D2RLFM8-R4"/>
    <m/>
    <s v="Meghan Courtney"/>
    <s v="Guaranteed"/>
    <s v="DIO - ROV - FS - Pre/Mid - ROS - DT/MB/CTV"/>
    <n v="126124"/>
    <d v="2026-06-30T00:00:00"/>
    <d v="2026-04-20T00:00:00"/>
    <d v="2026-08-31T00:00:00"/>
    <s v="Direct ROV"/>
    <m/>
    <d v="2026-07-05T12:53:18"/>
  </r>
  <r>
    <s v="SOLVE(D)"/>
    <n v="17758"/>
    <n v="23408"/>
    <s v="EDWARDS LIFESCIENCES"/>
    <s v="Edwards Lifesciences/2026/Digital/Scatter/ROS"/>
    <x v="131"/>
    <s v="Edwards Lifesciences - DIO - DIS - FS - Display - ROS - Package"/>
    <n v="583729"/>
    <s v="Edwards Lifesciences - DIS - FS - Display Unit - ROS"/>
    <n v="7285327085"/>
    <s v="FOX Sports"/>
    <s v="CPM"/>
    <n v="4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2383.63"/>
    <n v="26250000"/>
    <n v="105000"/>
    <s v="Edwards Lifesciences/2026/Digital/Scatter/ROS"/>
    <n v="267453"/>
    <s v="P2+"/>
    <s v="O-D2RLFM8-R4"/>
    <m/>
    <s v="Meghan Courtney"/>
    <s v="Guaranteed"/>
    <s v="DIS - FS - Display Unit - ROS"/>
    <n v="126124"/>
    <d v="2026-06-30T00:00:00"/>
    <d v="2026-04-20T00:00:00"/>
    <d v="2026-08-31T00:00:00"/>
    <s v="Direct Display"/>
    <m/>
    <d v="2026-07-05T12:53:18"/>
  </r>
  <r>
    <s v="SPARK FOUNDRY - CHI"/>
    <n v="10764"/>
    <n v="8880"/>
    <s v="ABBVIE"/>
    <s v="AbbVie Rinvoq AD/25-26/Digital/Upfront/Entertainment/UF 2025/26"/>
    <x v="132"/>
    <s v="Abbvie Rinvoq AD - LFV - RON Ent - ROS - Pre/Mid - DT/MB/CTV - 2Q'26 P2+ :60"/>
    <n v="539627"/>
    <s v="Abbvie Rinvoq AD Vanity - LFV - RON Ent - Pre/Mid - ROS - CTV - 2Q'26 P2+ :60"/>
    <n v="88355206"/>
    <s v="RON - Ent"/>
    <s v="CPM"/>
    <n v="17"/>
    <s v="3P CoView Imps"/>
    <n v="2004508"/>
    <n v="34076.639999999999"/>
    <m/>
    <m/>
    <s v=" "/>
    <n v="0"/>
    <m/>
    <m/>
    <n v="1200250"/>
    <n v="1505460"/>
    <n v="1598123"/>
    <n v="2004508"/>
    <n v="1"/>
    <n v="1.3314922919258849"/>
    <n v="0"/>
    <n v="0"/>
    <s v="Bill on Actuals - 3rd Party Performance"/>
    <n v="27926.83"/>
    <n v="6900000"/>
    <n v="117300"/>
    <s v="AbbVie Rinvoq AD/25-26/Digital/Upfront/Entertainment/UF 2025/26"/>
    <n v="88354740"/>
    <s v="P2+"/>
    <s v="O-D2FGN63"/>
    <m/>
    <s v="Carly Sartwell"/>
    <s v="Guaranteed"/>
    <s v="LFV - RON Ent - Pre/Mid - ROS - DT/MB/CTV/STB"/>
    <n v="93047"/>
    <d v="2026-06-30T00:00:00"/>
    <d v="2026-04-01T00:00:00"/>
    <d v="2026-06-30T00:00:00"/>
    <s v="Direct LFV"/>
    <m/>
    <d v="2026-07-05T12:53:18"/>
  </r>
  <r>
    <s v="SPARK FOUNDRY - CHI"/>
    <n v="10764"/>
    <n v="8880"/>
    <s v="ABBVIE"/>
    <s v="AbbVie Rinvoq AD/25-26/Digital/Upfront/Entertainment/UF 2025/26"/>
    <x v="132"/>
    <s v="Abbvie Rinvoq AD - LFV - RON Ent - ROS - Pre/Mid - DT/MB/CTV - 2Q'26 P2+ :60"/>
    <n v="539627"/>
    <s v="Abbvie Rinvoq AD Vanity - LFV - RON Ent - Pre/Mid - ROS - DT/MOB - 2Q'26 P2+ :60"/>
    <n v="88355087"/>
    <s v="RON - Ent"/>
    <s v="CPM"/>
    <n v="17"/>
    <s v="3P Imps"/>
    <n v="176708"/>
    <n v="3004.04"/>
    <m/>
    <m/>
    <s v=" "/>
    <s v=""/>
    <m/>
    <m/>
    <n v="147217"/>
    <n v="176708"/>
    <n v="0"/>
    <n v="0"/>
    <n v="1"/>
    <n v="0"/>
    <n v="0"/>
    <n v="0"/>
    <s v="Bill on Actuals - 3rd Party Performance"/>
    <n v="2428.42"/>
    <n v="600000"/>
    <n v="10200"/>
    <s v="AbbVie Rinvoq AD/25-26/Digital/Upfront/Entertainment/UF 2025/26"/>
    <n v="88354740"/>
    <s v="P2+"/>
    <s v="O-D2FGN63"/>
    <m/>
    <s v="Carly Sartwell"/>
    <s v="Guaranteed"/>
    <s v="LFV - RON Ent - Pre/Mid - ROS - DT/MB/CTV/STB"/>
    <n v="93047"/>
    <d v="2026-06-30T00:00:00"/>
    <d v="2026-04-01T00:00:00"/>
    <d v="2026-06-30T00:00:00"/>
    <s v="Direct LFV"/>
    <m/>
    <d v="2026-07-05T12:53:18"/>
  </r>
  <r>
    <s v="SPARK FOUNDRY - CHI"/>
    <n v="10764"/>
    <n v="8880"/>
    <s v="ABBVIE"/>
    <s v="AbbVie Rinvoq UC/25-26/Digital/Upfront/Entertainment/UF 2025/26"/>
    <x v="133"/>
    <s v="Abbvie Rinvoq UC - LFV - RON Ent - ROS - Pre/Mid - DT/MB/CTV - P2+ 2Q'26 - :60"/>
    <n v="539615"/>
    <s v="Abbvie Rinvoq UC - LFV - RON Ent - Pre/Mid - ROS - CTV - P2+ 2Q'26 - :60"/>
    <n v="88374421"/>
    <s v="RON - Ent"/>
    <s v="CPM"/>
    <n v="17"/>
    <s v="3P CoView Imps"/>
    <n v="3303160"/>
    <n v="56153.72"/>
    <m/>
    <m/>
    <s v=" "/>
    <n v="0"/>
    <m/>
    <s v="Show Only Net; NONE"/>
    <n v="2179728"/>
    <n v="2555909"/>
    <n v="2816998"/>
    <n v="3303160"/>
    <n v="1"/>
    <n v="1.292362340833547"/>
    <n v="0"/>
    <n v="0"/>
    <s v="Bill on Actuals - 3rd Party Performance"/>
    <n v="50805.26"/>
    <n v="11500000"/>
    <n v="195500"/>
    <s v="AbbVie Rinvoq UC/25-26/Digital/Upfront/Entertainment/UF 2025/26"/>
    <n v="88374010"/>
    <s v="P2+"/>
    <s v="UPFTRES2526"/>
    <m/>
    <s v="Carly Sartwell"/>
    <s v="Guaranteed"/>
    <s v="LFV - RON Ent - Pre/Mid - ROS - DT/MB/CTV/STB"/>
    <n v="93132"/>
    <d v="2026-06-30T00:00:00"/>
    <d v="2026-04-01T00:00:00"/>
    <d v="2026-06-30T00:00:00"/>
    <s v="Direct LFV"/>
    <m/>
    <d v="2026-07-05T12:53:18"/>
  </r>
  <r>
    <s v="SPARK FOUNDRY - CHI"/>
    <n v="10764"/>
    <n v="8880"/>
    <s v="ABBVIE"/>
    <s v="AbbVie Rinvoq UC/25-26/Digital/Upfront/Entertainment/UF 2025/26"/>
    <x v="133"/>
    <s v="Abbvie Rinvoq UC - LFV - RON Ent - ROS - Pre/Mid - DT/MB/CTV - P2+ 2Q'26 - :60"/>
    <n v="539615"/>
    <s v="Abbvie Rinvoq UC - LFV - RON Ent - Pre/Mid - ROS - DT/MB - P2+ 2Q'26 - :60"/>
    <n v="88374013"/>
    <s v="RON - Ent"/>
    <s v="CPM"/>
    <n v="17"/>
    <s v="3P Imps"/>
    <n v="296749"/>
    <n v="5044.7299999999996"/>
    <m/>
    <m/>
    <s v=" "/>
    <s v=""/>
    <m/>
    <m/>
    <n v="275565"/>
    <n v="296749"/>
    <n v="0"/>
    <n v="0"/>
    <n v="1"/>
    <n v="0"/>
    <n v="0"/>
    <n v="0"/>
    <s v="Bill on Actuals - 3rd Party Performance"/>
    <n v="4417.8500000000004"/>
    <n v="1000000"/>
    <n v="17000"/>
    <s v="AbbVie Rinvoq UC/25-26/Digital/Upfront/Entertainment/UF 2025/26"/>
    <n v="88374010"/>
    <s v="P2+"/>
    <s v="UPFTRES2526"/>
    <m/>
    <s v="Carly Sartwell"/>
    <s v="Guaranteed"/>
    <s v="LFV - RON Ent - Pre/Mid - ROS - DT/MB/CTV/STB"/>
    <n v="93132"/>
    <d v="2026-06-30T00:00:00"/>
    <d v="2026-04-01T00:00:00"/>
    <d v="2026-06-30T00:00:00"/>
    <s v="Direct LFV"/>
    <m/>
    <d v="2026-07-05T12:53:18"/>
  </r>
  <r>
    <s v="SPARK FOUNDRY - CHI"/>
    <n v="10764"/>
    <n v="8880"/>
    <s v="ABBVIE"/>
    <s v="AbbVie Skyrizi CD/25-26/Digital/Upfront/Entertainment/UF 2025/26"/>
    <x v="134"/>
    <s v="Abbvie Skyrizi CD - LFV - RON Ent - ROS - Pre/Mid - DT/MB/CTV - P2+ :60 2Q'26"/>
    <n v="539643"/>
    <s v="Abbvie Skyrizi CD - LFV - RON Ent - Pre/Mid - ROS - CTV - P2+ :60 2Q'26"/>
    <n v="88354540"/>
    <s v="RON - Ent"/>
    <s v="CPM"/>
    <n v="17"/>
    <s v="3P CoView Imps"/>
    <n v="2787231"/>
    <n v="47382.93"/>
    <m/>
    <m/>
    <s v=" "/>
    <n v="0"/>
    <m/>
    <s v="Show Only Net; NONE"/>
    <n v="1659261"/>
    <n v="2117845"/>
    <n v="2183702"/>
    <n v="2787231"/>
    <n v="1"/>
    <n v="1.3160695578314321"/>
    <n v="0"/>
    <n v="0"/>
    <s v="Bill on Actuals - 3rd Party Performance"/>
    <n v="37483.620000000003"/>
    <n v="9200000"/>
    <n v="156400"/>
    <s v="AbbVie Skyrizi CD/25-26/Digital/Upfront/Entertainment/UF 2025/26"/>
    <n v="88354001"/>
    <s v="P2+"/>
    <s v="UPFTRES2526"/>
    <m/>
    <s v="Carly Sartwell"/>
    <s v="Guaranteed"/>
    <s v="LFV - RON Ent - Pre/Mid - ROS - DT/MB/CTV/STB"/>
    <n v="92990"/>
    <d v="2026-06-30T00:00:00"/>
    <d v="2026-04-01T00:00:00"/>
    <d v="2026-06-30T00:00:00"/>
    <s v="Direct LFV"/>
    <m/>
    <d v="2026-07-05T12:53:18"/>
  </r>
  <r>
    <s v="SPARK FOUNDRY - CHI"/>
    <n v="10764"/>
    <n v="8880"/>
    <s v="ABBVIE"/>
    <s v="AbbVie Skyrizi CD/25-26/Digital/Upfront/Entertainment/UF 2025/26"/>
    <x v="134"/>
    <s v="Abbvie Skyrizi CD - LFV - RON Ent - ROS - Pre/Mid - DT/MB/CTV - P2+ :60 2Q'26"/>
    <n v="539643"/>
    <s v="Abbvie Skyrizi CD - LFV - RON Ent - Pre/Mid - ROS - DT/MB - P2+ :60 2Q'26"/>
    <n v="88354543"/>
    <s v="RON - Ent"/>
    <s v="CPM"/>
    <n v="17"/>
    <s v="3P Imps"/>
    <n v="235308"/>
    <n v="4000.24"/>
    <m/>
    <m/>
    <s v=" "/>
    <s v=""/>
    <m/>
    <m/>
    <n v="198270"/>
    <n v="235308"/>
    <n v="0"/>
    <n v="0"/>
    <n v="1"/>
    <n v="0"/>
    <n v="0"/>
    <n v="0"/>
    <s v="Bill on Actuals - 3rd Party Performance"/>
    <n v="3259.45"/>
    <n v="800000"/>
    <n v="13600"/>
    <s v="AbbVie Skyrizi CD/25-26/Digital/Upfront/Entertainment/UF 2025/26"/>
    <n v="88354001"/>
    <s v="P2+"/>
    <s v="UPFTRES2526"/>
    <m/>
    <s v="Carly Sartwell"/>
    <s v="Guaranteed"/>
    <s v="LFV - RON Ent - Pre/Mid - ROS - DT/MB/CTV/STB"/>
    <n v="92990"/>
    <d v="2026-06-30T00:00:00"/>
    <d v="2026-04-01T00:00:00"/>
    <d v="2026-06-30T00:00:00"/>
    <s v="Direct LFV"/>
    <m/>
    <d v="2026-07-05T12:53:18"/>
  </r>
  <r>
    <s v="SPARK FOUNDRY - CHI"/>
    <n v="10764"/>
    <n v="3321"/>
    <s v="KENTUCKY FRIED CHICKEN"/>
    <s v="KFC/25-26/Digital/Scatter/Sports/Men's World Cup"/>
    <x v="135"/>
    <s v="KFC - Run of World Cup Video - Package"/>
    <n v="582079"/>
    <s v="KFC - DIO - LFV - TUB - Pre/Mid - MWC - DT/MB/CTV"/>
    <n v="94268630"/>
    <s v="Fox Sold Tubi"/>
    <s v="CPM"/>
    <n v="40"/>
    <s v="3P Imps"/>
    <n v="5761563"/>
    <n v="230462.52"/>
    <m/>
    <m/>
    <s v=" "/>
    <n v="0"/>
    <m/>
    <m/>
    <n v="5761563"/>
    <n v="5761563"/>
    <n v="0"/>
    <n v="0"/>
    <n v="1"/>
    <n v="0"/>
    <n v="0"/>
    <n v="0"/>
    <s v="Bill on Actuals - 3rd Party Performance"/>
    <n v="115985.27"/>
    <n v="8750000"/>
    <n v="350000"/>
    <s v="KFC/25-26/Digital/Scatter/Sports/Men's World Cup"/>
    <n v="94268627"/>
    <s v="P2+"/>
    <s v="O-D2V1U10"/>
    <m/>
    <s v="Carly Sartwell"/>
    <s v="Guaranteed"/>
    <s v="DIO - LFV - TUB - Pre/Mid - MWC - DT/MB/CTV"/>
    <n v="129379"/>
    <d v="2026-06-30T00:00:00"/>
    <d v="2026-06-11T00:00:00"/>
    <d v="2026-07-19T00:00:00"/>
    <s v="Direct LFV"/>
    <m/>
    <d v="2026-07-05T12:53:18"/>
  </r>
  <r>
    <s v="SPARK FOUNDRY - CHI"/>
    <n v="10764"/>
    <n v="3321"/>
    <s v="KENTUCKY FRIED CHICKEN"/>
    <s v="KFC/25-26/Digital/Scatter/Sports/Men's World Cup"/>
    <x v="135"/>
    <s v="KFC - Run of World Cup Video - Package"/>
    <n v="582079"/>
    <s v="KFC - DIO - ROV - FS - Pre/Mid - MWC - DT/MB/CTV"/>
    <n v="94268633"/>
    <s v="FOX Sports"/>
    <s v="CPM"/>
    <n v="40"/>
    <s v="3P Imps"/>
    <n v="2530360"/>
    <n v="101214.39999999999"/>
    <m/>
    <m/>
    <s v=" "/>
    <s v=""/>
    <m/>
    <m/>
    <n v="2530360"/>
    <n v="2530360"/>
    <n v="0"/>
    <n v="0"/>
    <n v="1"/>
    <n v="0"/>
    <n v="0"/>
    <n v="0"/>
    <s v="Bill on Actuals - 3rd Party Performance"/>
    <n v="49707.97"/>
    <n v="3750000"/>
    <n v="150000"/>
    <s v="KFC/25-26/Digital/Scatter/Sports/Men's World Cup"/>
    <n v="94268627"/>
    <s v="P2+"/>
    <s v="O-D2V1U10"/>
    <m/>
    <s v="Carly Sartwell"/>
    <s v="Guaranteed"/>
    <s v="DIO - ROV - FS - Pre/Mid - MWC - DT/MB/CTV"/>
    <n v="129379"/>
    <d v="2026-06-30T00:00:00"/>
    <d v="2026-06-11T00:00:00"/>
    <d v="2026-07-19T00:00:00"/>
    <s v="Direct ROV"/>
    <m/>
    <d v="2026-07-05T12:53:18"/>
  </r>
  <r>
    <s v="SPARK FOUNDRY - CHI"/>
    <n v="10764"/>
    <n v="8732"/>
    <s v="TACO BELL"/>
    <s v="TACO BELL/DIGITAL/UPFRONT/FOXENTERTAINMENT/UF 2025/26/2Q'26"/>
    <x v="136"/>
    <s v="Taco Bell - LFV - RON Ent - Pre/Mid - ROS - DT/MB/CTV - A18+ 2Q'26 E6"/>
    <n v="580681"/>
    <s v="Taco Bell - LFV - RON Ent - Pre/Mid - ROS - DT/MB/CTV - A18+ 2Q'26 E6"/>
    <n v="93028898"/>
    <s v="RON - Ent"/>
    <s v="CPM"/>
    <n v="18.89"/>
    <s v="3P CoView Imps"/>
    <n v="5852175"/>
    <n v="110547.59"/>
    <m/>
    <m/>
    <s v=" "/>
    <n v="0"/>
    <m/>
    <s v="Show Only Net; NONE"/>
    <n v="3659648"/>
    <n v="4854459"/>
    <n v="4411799"/>
    <n v="5852175"/>
    <n v="1"/>
    <n v="1.2055257647273441"/>
    <n v="0"/>
    <n v="0"/>
    <s v="Bill on Actuals - 3rd Party Performance"/>
    <n v="62924.46"/>
    <n v="8913727"/>
    <n v="168380.3"/>
    <s v="TACO BELL/DIGITAL/UPFRONT/FOXENTERTAINMENT/UF 2025/26/2Q'26"/>
    <n v="92929358"/>
    <s v="P18+"/>
    <s v="O-D2OR38F"/>
    <m/>
    <s v="Tim Wodzisz"/>
    <s v="Guaranteed"/>
    <s v="LFV - RON Ent - Pre/Mid - ROS - DT/MB/CTV/STB"/>
    <n v="123238"/>
    <d v="2026-06-30T00:00:00"/>
    <d v="2026-05-21T00:00:00"/>
    <d v="2026-06-17T00:00:00"/>
    <s v="Direct LFV"/>
    <m/>
    <d v="2026-07-05T12:53:18"/>
  </r>
  <r>
    <s v="SPARK FOUNDRY - CHI"/>
    <n v="10764"/>
    <n v="8732"/>
    <s v="TACO BELL"/>
    <s v="TACO BELL/DIGITAL/UPFRONT/FOXENTERTAINMENT/UF 2025/26/2Q'26"/>
    <x v="136"/>
    <s v="Taco Bell - LFV - RON Ent - Pre/Mid - ROS - DT/MB/CTV - A18+ 2Q'26 E7"/>
    <n v="580682"/>
    <s v="Taco Bell - LFV - RON Ent - Pre/Mid - ROS - DT/MB/CTV - A18+ 2Q'26 E7"/>
    <n v="93028892"/>
    <s v="RON - Ent"/>
    <s v="CPM"/>
    <n v="18.89"/>
    <s v="3P CoView Imps"/>
    <n v="3646158"/>
    <n v="66149.42"/>
    <m/>
    <m/>
    <s v=" "/>
    <n v="0"/>
    <m/>
    <m/>
    <n v="3268847"/>
    <n v="3268847"/>
    <n v="3646158"/>
    <n v="3646158"/>
    <n v="1"/>
    <n v="1.1154265108115811"/>
    <n v="0"/>
    <n v="0"/>
    <s v="Bill on Actuals - 3rd Party Performance"/>
    <n v="66149.42"/>
    <n v="3501822"/>
    <n v="66149.42"/>
    <s v="TACO BELL/DIGITAL/UPFRONT/FOXENTERTAINMENT/UF 2025/26/2Q'26"/>
    <n v="92929358"/>
    <s v="P18+"/>
    <s v="O-D2OR38F"/>
    <m/>
    <s v="Tim Wodzisz"/>
    <s v="Guaranteed"/>
    <s v="LFV - RON Ent - Pre/Mid - ROS - DT/MB/CTV/STB"/>
    <n v="123238"/>
    <d v="2026-06-30T00:00:00"/>
    <d v="2026-06-18T00:00:00"/>
    <d v="2026-06-28T00:00:00"/>
    <s v="Direct LFV"/>
    <m/>
    <d v="2026-07-05T12:53:18"/>
  </r>
  <r>
    <s v="SPARK FOUNDRY - CHI"/>
    <n v="10764"/>
    <n v="8732"/>
    <s v="TACO BELL"/>
    <s v="TACO BELL/DIGITAL/UPFRONT/FOXENTERTAINMENT/UF 2025/26/3Q'26 "/>
    <x v="137"/>
    <s v="Taco Bell - LFV - RON Ent - Pre/Mid - ROS - DT/MB/CTV - A18+ 3Q'26 E7"/>
    <n v="595992"/>
    <s v="Taco Bell - LFV - RON Ent - Pre/Mid - ROS - DT/MB/CTV - A18+ 3Q'26 E7"/>
    <n v="95038947"/>
    <s v="RON - Ent"/>
    <s v="CPM"/>
    <n v="18.89"/>
    <s v="3P CoView Imps"/>
    <n v="307412"/>
    <n v="5807.01"/>
    <m/>
    <m/>
    <s v=" "/>
    <n v="0"/>
    <m/>
    <s v="Show Only Net; NONE"/>
    <n v="566493"/>
    <n v="566493"/>
    <n v="307412"/>
    <n v="307412"/>
    <n v="1"/>
    <n v="0.54265826202938716"/>
    <n v="0"/>
    <n v="0"/>
    <s v="Bill on Actuals - 3rd Party Performance"/>
    <n v="7465.33"/>
    <n v="11056623"/>
    <n v="208859.61"/>
    <s v="TACO BELL/DIGITAL/UPFRONT/FOXENTERTAINMENT/UF 2025/26/3Q'26 "/>
    <n v="95038944"/>
    <s v="P18+"/>
    <s v="O-D33GMO5"/>
    <m/>
    <s v="Tim Wodzisz"/>
    <s v="Guaranteed"/>
    <s v="LFV - RON Ent - Pre/Mid - ROS - DT/MB/CTV/STB"/>
    <n v="133461"/>
    <d v="2026-06-30T00:00:00"/>
    <d v="2026-06-29T00:00:00"/>
    <d v="2026-07-22T00:00:00"/>
    <s v="Direct LFV"/>
    <m/>
    <d v="2026-07-05T12:53:18"/>
  </r>
  <r>
    <s v="SPARK FOUNDRY - CHI"/>
    <n v="10764"/>
    <n v="8732"/>
    <s v="TACO BELL"/>
    <s v="TACO BELL/DIGITAL/UPFRONT/FOXSPORTS/UF 2025/26/MWC"/>
    <x v="138"/>
    <s v="Taco Bell - Run of World Cup Video - Package"/>
    <n v="582242"/>
    <s v="Taco Bell - DIO - LFV - TUB - Pre/Mid - MWC - DT/MB/CTV"/>
    <n v="94257561"/>
    <s v="Fox Sold Tubi"/>
    <s v="CPM"/>
    <n v="40"/>
    <s v="3P Imps"/>
    <n v="4116362"/>
    <n v="164654.48000000001"/>
    <m/>
    <m/>
    <s v=" "/>
    <n v="0"/>
    <m/>
    <m/>
    <n v="4116362"/>
    <n v="4116362"/>
    <n v="0"/>
    <n v="0"/>
    <n v="1"/>
    <n v="0"/>
    <n v="0"/>
    <n v="0"/>
    <s v="Bill on Actuals - 3rd Party Performance"/>
    <n v="79728.429999999993"/>
    <n v="6234375"/>
    <n v="249375"/>
    <s v="TACO BELL/DIGITAL/UPFRONT/FOXSPORTS/UF 2025/26/MWC"/>
    <n v="94257554"/>
    <s v="P2+"/>
    <m/>
    <m/>
    <s v="Tim Wodzisz"/>
    <s v="Guaranteed"/>
    <s v="DIO - LFV - TUB - Pre/Mid - MWC - DT/MB/CTV"/>
    <n v="129262"/>
    <d v="2026-06-30T00:00:00"/>
    <d v="2026-06-01T00:00:00"/>
    <d v="2026-07-19T00:00:00"/>
    <s v="Direct LFV"/>
    <m/>
    <d v="2026-07-05T12:53:18"/>
  </r>
  <r>
    <s v="SPARK FOUNDRY - CHI"/>
    <n v="10764"/>
    <n v="8732"/>
    <s v="TACO BELL"/>
    <s v="TACO BELL/DIGITAL/UPFRONT/FOXSPORTS/UF 2025/26/MWC"/>
    <x v="138"/>
    <s v="Taco Bell - Run of World Cup Video - Package"/>
    <n v="582242"/>
    <s v="Taco Bell - DIO - ROV - FS - Pre/Mid - MWC - DT/MB/CTV"/>
    <n v="94257557"/>
    <s v="FOX Sports"/>
    <s v="CPM"/>
    <n v="40"/>
    <s v="3P Imps"/>
    <n v="1803278"/>
    <n v="72131.12"/>
    <m/>
    <m/>
    <s v=" "/>
    <s v=""/>
    <m/>
    <m/>
    <n v="1803278"/>
    <n v="1803278"/>
    <n v="0"/>
    <n v="0"/>
    <n v="1"/>
    <n v="0"/>
    <n v="0"/>
    <n v="0"/>
    <s v="Bill on Actuals - 3rd Party Performance"/>
    <n v="34169.33"/>
    <n v="2671875"/>
    <n v="106875"/>
    <s v="TACO BELL/DIGITAL/UPFRONT/FOXSPORTS/UF 2025/26/MWC"/>
    <n v="94257554"/>
    <s v="P2+"/>
    <m/>
    <m/>
    <s v="Tim Wodzisz"/>
    <s v="Guaranteed"/>
    <s v="DIO - ROV - FS - Pre/Mid - MWC - DT/MB/CTV"/>
    <n v="129262"/>
    <d v="2026-06-30T00:00:00"/>
    <d v="2026-06-01T00:00:00"/>
    <d v="2026-07-19T00:00:00"/>
    <s v="Direct ROV"/>
    <m/>
    <d v="2026-07-05T12:53:18"/>
  </r>
  <r>
    <s v="SPARK FOUNDRY - CHI"/>
    <n v="10764"/>
    <n v="8732"/>
    <s v="TACO BELL"/>
    <s v="TACO BELL/DIGITAL/UPFRONT/FOXSPORTS/UF 2025/26/MWC"/>
    <x v="138"/>
    <s v="Taco Bell - World Cup Social Sponsorship Content - Package"/>
    <n v="582245"/>
    <s v="Taco Bell - DIO - SOC - FOX Sports - Facebook/Instagram - MWC"/>
    <n v="582251"/>
    <s v="FOX Sports - FB-Inst"/>
    <s v="Flat Rate"/>
    <n v="118750"/>
    <s v="Bill on Contract"/>
    <n v="0"/>
    <n v="36352.04"/>
    <m/>
    <m/>
    <s v=" "/>
    <n v="0"/>
    <m/>
    <m/>
    <n v="0"/>
    <n v="0"/>
    <n v="0"/>
    <n v="0"/>
    <n v="1"/>
    <n v="0"/>
    <n v="0"/>
    <n v="0"/>
    <s v="Bill on Contract - Pro-rated"/>
    <n v="36352.04"/>
    <n v="1"/>
    <n v="118750"/>
    <s v="TACO BELL/DIGITAL/UPFRONT/FOXSPORTS/UF 2025/26/MWC"/>
    <n v="259734"/>
    <s v="P2+"/>
    <m/>
    <m/>
    <s v="Tim Wodzisz"/>
    <s v="Guaranteed"/>
    <s v="DIO - SOC - FOX Sports - Facebook/Instagram - MWC"/>
    <n v="129262"/>
    <d v="2026-06-30T00:00:00"/>
    <d v="2026-06-01T00:00:00"/>
    <d v="2026-07-19T00:00:00"/>
    <s v="Social Facebook/Instagram"/>
    <m/>
    <d v="2026-07-05T12:53:18"/>
  </r>
  <r>
    <s v="SPARK FOUNDRY - CHI"/>
    <n v="10764"/>
    <n v="8732"/>
    <s v="TACO BELL"/>
    <s v="TACO BELL/DIGITAL/UPFRONT/FOXSPORTS/UF 2025/26/MWC"/>
    <x v="138"/>
    <s v="Taco Bell - World Cup Social Sponsorship Content - Package"/>
    <n v="582245"/>
    <s v="Taco Bell - DIO - SOC - FOX Sports - TikTok - MWC"/>
    <n v="582254"/>
    <s v="FOX Sports - TikTok"/>
    <s v="Flat Rate"/>
    <n v="118750"/>
    <s v="Bill on Contract"/>
    <n v="0"/>
    <n v="36352.04"/>
    <m/>
    <m/>
    <s v=" "/>
    <s v=""/>
    <m/>
    <m/>
    <n v="0"/>
    <n v="0"/>
    <n v="0"/>
    <n v="0"/>
    <n v="1"/>
    <n v="0"/>
    <n v="0"/>
    <n v="0"/>
    <s v="Bill on Contract - Pro-rated"/>
    <n v="36352.04"/>
    <n v="1"/>
    <n v="118750"/>
    <s v="TACO BELL/DIGITAL/UPFRONT/FOXSPORTS/UF 2025/26/MWC"/>
    <n v="259734"/>
    <s v="P2+"/>
    <m/>
    <m/>
    <s v="Tim Wodzisz"/>
    <s v="Guaranteed"/>
    <s v="DIO - SOC - FOX Sports - TikTok - MWC"/>
    <n v="129262"/>
    <d v="2026-06-30T00:00:00"/>
    <d v="2026-06-01T00:00:00"/>
    <d v="2026-07-19T00:00:00"/>
    <s v="Social TikTok"/>
    <m/>
    <d v="2026-07-05T12:53:18"/>
  </r>
  <r>
    <s v="SPARK FOUNDRY - CHI"/>
    <n v="10764"/>
    <n v="8732"/>
    <s v="TACO BELL"/>
    <s v="TACO BELL/DIGITAL/UPFRONT/FOXSPORTS/UF 2025/26/MWC"/>
    <x v="138"/>
    <s v="Taco Bell - World Cup Social Sponsorship Content - Package"/>
    <n v="582245"/>
    <s v="Taco Bell - DIO - SOC - FOX Sports - Youtube - Custom Content - MWC"/>
    <n v="582253"/>
    <s v="FOX Sports"/>
    <s v="Flat Rate"/>
    <n v="118750"/>
    <s v="Bill on Contract"/>
    <n v="0"/>
    <n v="36352.04"/>
    <m/>
    <m/>
    <s v=" "/>
    <s v=""/>
    <m/>
    <m/>
    <n v="0"/>
    <n v="0"/>
    <n v="0"/>
    <n v="0"/>
    <n v="1"/>
    <n v="0"/>
    <n v="0"/>
    <n v="0"/>
    <s v="Bill on Contract - Pro-rated"/>
    <n v="36352.04"/>
    <n v="1"/>
    <n v="118750"/>
    <s v="TACO BELL/DIGITAL/UPFRONT/FOXSPORTS/UF 2025/26/MWC"/>
    <n v="259734"/>
    <s v="P2+"/>
    <m/>
    <m/>
    <s v="Tim Wodzisz"/>
    <s v="Guaranteed"/>
    <s v="DIO - SOC - FOX Sports - Youtube - Custom Content - MWC"/>
    <n v="129262"/>
    <d v="2026-06-30T00:00:00"/>
    <d v="2026-06-01T00:00:00"/>
    <d v="2026-07-19T00:00:00"/>
    <s v="Social"/>
    <m/>
    <d v="2026-07-05T12:53:18"/>
  </r>
  <r>
    <s v="SPARK FOUNDRY - NY"/>
    <n v="11662"/>
    <n v="7406"/>
    <s v="AFLAC"/>
    <s v="Aflac/Digital/Upfront/Entertainment/UF2025-26/3Q'26"/>
    <x v="139"/>
    <s v="Aflac - Brightline - Fox on Hulu - P2+ - 3Q'26 Package"/>
    <n v="594135"/>
    <s v="Aflac - Brightline - Fox on Hulu - P2+ - 3Q'26 Package"/>
    <n v="94979900"/>
    <s v="FOX on Hulu"/>
    <s v="CPM"/>
    <n v="23"/>
    <s v="3P CoView Imps"/>
    <n v="0"/>
    <n v="0"/>
    <m/>
    <m/>
    <s v=" "/>
    <n v="0"/>
    <m/>
    <s v="Show Only Net; NONE"/>
    <n v="11013"/>
    <n v="11013"/>
    <n v="0"/>
    <n v="0"/>
    <n v="1"/>
    <n v="0"/>
    <n v="0"/>
    <n v="0"/>
    <s v="Bill on Actuals - 3rd Party Performance"/>
    <n v="253.3"/>
    <n v="2014479"/>
    <n v="46333.02"/>
    <s v="Aflac/Digital/Upfront/Entertainment/UF2025-26/3Q'26"/>
    <n v="94979881"/>
    <s v="P2+"/>
    <s v="O-D32SGP6-R1"/>
    <m/>
    <s v="Jeanne Feeley"/>
    <s v="Guaranteed"/>
    <s v="LFV - FOH - Pre/Mid - INTERACTIVE - ROS - CTV"/>
    <n v="133041"/>
    <d v="2026-06-30T00:00:00"/>
    <d v="2026-06-29T00:00:00"/>
    <d v="2026-09-27T00:00:00"/>
    <s v="Direct LFV"/>
    <m/>
    <d v="2026-07-05T12:53:18"/>
  </r>
  <r>
    <s v="SPARK FOUNDRY - NY"/>
    <n v="11662"/>
    <n v="7406"/>
    <s v="AFLAC"/>
    <s v="Aflac/Digital/Upfront/Entertainment/UF2025/26/2Q'26"/>
    <x v="140"/>
    <s v="Aflac - Brightline - Fox on Hulu - P2+ - 2Q'26 Package"/>
    <n v="575474"/>
    <s v="Aflac - Brightline - Fox on Hulu - P2+ - 2Q'26 Package"/>
    <n v="92797813"/>
    <s v="FOX on Hulu"/>
    <s v="CPM"/>
    <n v="23"/>
    <s v="3P Imps"/>
    <n v="996295"/>
    <n v="22914.78"/>
    <m/>
    <m/>
    <s v=" "/>
    <n v="0"/>
    <m/>
    <s v="Show Only Net; NONE"/>
    <n v="526768"/>
    <n v="996295"/>
    <n v="0"/>
    <n v="0"/>
    <n v="1"/>
    <n v="0"/>
    <n v="0"/>
    <n v="0"/>
    <s v="Bill on Actuals - 3rd Party Performance"/>
    <n v="12304.86"/>
    <n v="2797087"/>
    <n v="64333"/>
    <s v="Aflac/Digital/Upfront/Entertainment/UF2025/26/2Q'26"/>
    <n v="92797792"/>
    <s v="P2+"/>
    <s v="O-D2P0SFD-R0"/>
    <m/>
    <s v="Jeanne Feeley"/>
    <s v="Guaranteed"/>
    <s v="LFV - FOH - Pre/Mid - INTERACTIVE - ROS - CTV"/>
    <n v="121653"/>
    <d v="2026-06-30T00:00:00"/>
    <d v="2026-03-30T00:00:00"/>
    <d v="2026-06-28T00:00:00"/>
    <s v="Direct LFV"/>
    <m/>
    <d v="2026-07-05T12:53:18"/>
  </r>
  <r>
    <s v="SPARK FOUNDRY - NY"/>
    <n v="11662"/>
    <n v="4046"/>
    <s v="LOWE'S HOME CENTERS"/>
    <s v="LOWE'S/DIGITAL/SCATTER/SPORTS/MWC/25-26"/>
    <x v="141"/>
    <s v="Lowe's - Run of World Cup Display - 2026 MWC Package"/>
    <n v="582844"/>
    <s v="Lowe's - DIS - FS - Display Unit - 728x90, 300x250, 320x50"/>
    <n v="7319788258"/>
    <s v="FOX Sports"/>
    <s v="Flat Rate"/>
    <n v="6"/>
    <s v="Bill on Contract"/>
    <n v="12755102"/>
    <n v="76530.61"/>
    <m/>
    <m/>
    <s v=" "/>
    <n v="0"/>
    <m/>
    <m/>
    <n v="0"/>
    <n v="0"/>
    <n v="0"/>
    <n v="0"/>
    <n v="1"/>
    <n v="0"/>
    <n v="0"/>
    <n v="0"/>
    <s v="Bill on Contract - Pro-rated"/>
    <n v="76530.61"/>
    <n v="41666667"/>
    <n v="250000"/>
    <s v="LOWE'S/DIGITAL/SCATTER/SPORTS/MWC/25-26"/>
    <n v="259384"/>
    <s v="P2+"/>
    <s v="O-D2T6Q54-R2"/>
    <m/>
    <s v="Janna Goldstein"/>
    <s v="Guaranteed"/>
    <s v="DIS - FS - Display Unit - MWC"/>
    <n v="129141"/>
    <d v="2026-06-30T00:00:00"/>
    <d v="2026-06-01T00:00:00"/>
    <d v="2026-07-19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Run of World Cup Video - 2026 MWC Package"/>
    <n v="582848"/>
    <s v="Lowe's - DIO - LFV - TUB - Pre/Mid - MWC - DT/MB/CTV"/>
    <n v="94270831"/>
    <s v="Fox Sold Tubi"/>
    <s v="Flat Rate"/>
    <n v="40"/>
    <s v="Bill on Contract"/>
    <n v="3348214"/>
    <n v="133928.57"/>
    <m/>
    <m/>
    <s v=" "/>
    <n v="0"/>
    <m/>
    <m/>
    <n v="7204942"/>
    <n v="7204942"/>
    <n v="0"/>
    <n v="0"/>
    <n v="1"/>
    <n v="0"/>
    <n v="0"/>
    <n v="0"/>
    <s v="Bill on Contract - Pro-rated"/>
    <n v="133928.57"/>
    <n v="10937500"/>
    <n v="437500"/>
    <s v="LOWE'S/DIGITAL/SCATTER/SPORTS/MWC/25-26"/>
    <n v="94270638"/>
    <s v="P2+"/>
    <s v="O-D2T6Q54-R2"/>
    <m/>
    <s v="Janna Goldstein"/>
    <s v="Guaranteed"/>
    <s v="DIO - LFV - TUB - Pre/Mid - MWC - DT/MB/CTV"/>
    <n v="129141"/>
    <d v="2026-06-30T00:00:00"/>
    <d v="2026-06-01T00:00:00"/>
    <d v="2026-07-19T00:00:00"/>
    <s v="Direct LFV"/>
    <m/>
    <d v="2026-07-05T12:53:18"/>
  </r>
  <r>
    <s v="SPARK FOUNDRY - NY"/>
    <n v="11662"/>
    <n v="4046"/>
    <s v="LOWE'S HOME CENTERS"/>
    <s v="LOWE'S/DIGITAL/SCATTER/SPORTS/MWC/25-26"/>
    <x v="141"/>
    <s v="Lowe's - Run of World Cup Video - 2026 MWC Package"/>
    <n v="582848"/>
    <s v="Lowe's - DIO - ROV - FS - Pre/Mid - MWC - DT/MB/CTV"/>
    <n v="94270834"/>
    <s v="FOX Sports"/>
    <s v="Flat Rate"/>
    <n v="40"/>
    <s v="Bill on Contract"/>
    <n v="1434949"/>
    <n v="57397.96"/>
    <m/>
    <m/>
    <s v=" "/>
    <s v=""/>
    <m/>
    <m/>
    <n v="3156919"/>
    <n v="3156919"/>
    <n v="0"/>
    <n v="0"/>
    <n v="1"/>
    <n v="0"/>
    <n v="0"/>
    <n v="0"/>
    <s v="Bill on Contract - Pro-rated"/>
    <n v="57397.96"/>
    <n v="4687500"/>
    <n v="187500"/>
    <s v="LOWE'S/DIGITAL/SCATTER/SPORTS/MWC/25-26"/>
    <n v="94270638"/>
    <s v="P2+"/>
    <s v="O-D2T6Q54-R2"/>
    <m/>
    <s v="Janna Goldstein"/>
    <s v="Guaranteed"/>
    <s v="DIO - ROV - FS - Pre/Mid - MWC - DT/MB/CTV"/>
    <n v="129141"/>
    <d v="2026-06-30T00:00:00"/>
    <d v="2026-06-01T00:00:00"/>
    <d v="2026-07-19T00:00:00"/>
    <s v="Direct ROV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Blank - ROS - 6/16 - Sponsorship"/>
    <n v="7321335827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LOWE'S/DIGITAL/SCATTER/SPORTS/MWC/25-26"/>
    <n v="259384"/>
    <s v="P2+"/>
    <s v="O-D2T6Q54-R2"/>
    <m/>
    <s v="Janna Goldstein"/>
    <s v="Guaranteed"/>
    <s v="DIS - FS - Blank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Display Unit - ROS - 300x250 - 6/16 Argentina vs Algeria - Sponsorship"/>
    <n v="7321334849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Pro-rated"/>
    <n v="30000"/>
    <n v="1"/>
    <n v="60000"/>
    <s v="LOWE'S/DIGITAL/SCATTER/SPORTS/MWC/25-26"/>
    <n v="259384"/>
    <s v="P2+"/>
    <s v="O-D2T6Q54-R2"/>
    <m/>
    <s v="Janna Goldstein"/>
    <s v="Guaranteed"/>
    <s v="DIS - FS - Display Unit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Display Unit - ROS - 300x600 - 6/16 Argentina vs Algeria - Sponsorship"/>
    <n v="7321335821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Pro-rated"/>
    <n v="30000"/>
    <n v="1"/>
    <n v="60000"/>
    <s v="LOWE'S/DIGITAL/SCATTER/SPORTS/MWC/25-26"/>
    <n v="259384"/>
    <s v="P2+"/>
    <s v="O-D2T6Q54-R2"/>
    <m/>
    <s v="Janna Goldstein"/>
    <s v="Guaranteed"/>
    <s v="DIS - FS - Display Unit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Display Unit - ROS - 320x50 - 6/16 Argentina vs Algeria -Sponsorship"/>
    <n v="7319773849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Pro-rated"/>
    <n v="30000"/>
    <n v="1"/>
    <n v="60000"/>
    <s v="LOWE'S/DIGITAL/SCATTER/SPORTS/MWC/25-26"/>
    <n v="259384"/>
    <s v="P2+"/>
    <s v="O-D2T6Q54-R2"/>
    <m/>
    <s v="Janna Goldstein"/>
    <s v="Guaranteed"/>
    <s v="DIS - FS - Display Unit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Display Unit - ROS - 728x90 - 6/16 Argentina vs Algeria - Sponsorship"/>
    <n v="7317415842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Pro-rated"/>
    <n v="30000"/>
    <n v="1"/>
    <n v="60000"/>
    <s v="LOWE'S/DIGITAL/SCATTER/SPORTS/MWC/25-26"/>
    <n v="259384"/>
    <s v="P2+"/>
    <s v="O-D2T6Q54-R2"/>
    <m/>
    <s v="Janna Goldstein"/>
    <s v="Guaranteed"/>
    <s v="DIS - FS - Display Unit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World Cup FOX Sports Site &amp; App Takeover - 6/16 Argentina vs. Algeria - 2026 MWC Package"/>
    <n v="582860"/>
    <s v="Lowe's - DIS - FS - High Impact - ROS - 6/16 - Sponsorship"/>
    <n v="7321335833"/>
    <s v="FOX Sports"/>
    <s v="Flat Rate"/>
    <n v="60000"/>
    <s v="Bill on Contract"/>
    <n v="500"/>
    <n v="30000"/>
    <m/>
    <m/>
    <s v=" "/>
    <s v=""/>
    <m/>
    <m/>
    <n v="0"/>
    <n v="0"/>
    <n v="0"/>
    <n v="0"/>
    <n v="1"/>
    <n v="0"/>
    <n v="0"/>
    <n v="0"/>
    <s v="Bill on Contract - Pro-rated"/>
    <n v="30000"/>
    <n v="1"/>
    <n v="60000"/>
    <s v="LOWE'S/DIGITAL/SCATTER/SPORTS/MWC/25-26"/>
    <n v="259384"/>
    <s v="P2+"/>
    <s v="O-D2T6Q54-R2"/>
    <m/>
    <s v="Janna Goldstein"/>
    <s v="Guaranteed"/>
    <s v="DIS - FS - High Impact - ROS - Sponsorship"/>
    <n v="129141"/>
    <d v="2026-06-30T00:00:00"/>
    <d v="2026-06-16T00:00:00"/>
    <d v="2026-06-16T00:00:00"/>
    <s v="Direct Display"/>
    <m/>
    <d v="2026-07-05T12:53:18"/>
  </r>
  <r>
    <s v="SPARK FOUNDRY - NY"/>
    <n v="11662"/>
    <n v="4046"/>
    <s v="LOWE'S HOME CENTERS"/>
    <s v="LOWE'S/DIGITAL/SCATTER/SPORTS/MWC/25-26"/>
    <x v="141"/>
    <s v="Lowe's - Run of FOX Sports Video - 2026 MWC Package"/>
    <n v="582873"/>
    <s v="Lowe's - DIO - ROV - FS - Pre/Mid - ROS - DT/MB/CTV"/>
    <n v="94270641"/>
    <s v="FOX Sports"/>
    <s v="CPM"/>
    <n v="25"/>
    <s v="1P CoView Imps"/>
    <n v="895851"/>
    <n v="11874.18"/>
    <m/>
    <m/>
    <s v=" "/>
    <n v="0"/>
    <m/>
    <m/>
    <n v="752910"/>
    <n v="752910"/>
    <n v="895851"/>
    <n v="895851"/>
    <n v="1"/>
    <n v="1.189852255312374"/>
    <n v="0"/>
    <n v="0"/>
    <s v="Bill on Contract - Pro-rated"/>
    <n v="11874.18"/>
    <n v="1551560"/>
    <n v="38789"/>
    <s v="LOWE'S/DIGITAL/SCATTER/SPORTS/MWC/25-26"/>
    <n v="94270638"/>
    <s v="P2+"/>
    <s v="O-D2T6Q54-R2"/>
    <m/>
    <s v="Janna Goldstein"/>
    <s v="Guaranteed"/>
    <s v="DIO - ROV - FS - Pre/Mid - ROS - DT/MB/CTV"/>
    <n v="129141"/>
    <d v="2026-06-30T00:00:00"/>
    <d v="2026-06-01T00:00:00"/>
    <d v="2026-07-19T00:00:00"/>
    <s v="Direct ROV"/>
    <m/>
    <d v="2026-07-05T12:53:18"/>
  </r>
  <r>
    <s v="SPARK FOUNDRY - NY"/>
    <n v="11662"/>
    <n v="4046"/>
    <s v="LOWE'S HOME CENTERS"/>
    <s v="LOWE'S/DIGITAL/SCATTER/SPORTS/MWC/25-26"/>
    <x v="141"/>
    <s v="Lowe's - Run of FOX Sports Video - 2026 MWC Package"/>
    <n v="582873"/>
    <s v="Lowe's - DIO - SFV - FSEN - Pre - ROS - DT/MB/CTV - non-CoV - STN - 2026"/>
    <n v="94977046"/>
    <s v="FSEN"/>
    <s v="Flat Rate"/>
    <n v="25"/>
    <s v="Bill on Contract"/>
    <n v="198502"/>
    <n v="4962.55"/>
    <m/>
    <m/>
    <s v=" "/>
    <s v=""/>
    <m/>
    <m/>
    <n v="188179"/>
    <n v="188179"/>
    <n v="0"/>
    <n v="0"/>
    <n v="1"/>
    <n v="0"/>
    <n v="0"/>
    <n v="0"/>
    <s v="Bill on Contract - Pro-rated"/>
    <n v="4962.55"/>
    <n v="648440"/>
    <n v="16211"/>
    <s v="LOWE'S/DIGITAL/SCATTER/SPORTS/MWC/25-26"/>
    <n v="94270638"/>
    <s v="P2+"/>
    <s v="O-D2T6Q54-R2"/>
    <m/>
    <s v="Janna Goldstein"/>
    <s v="Guaranteed"/>
    <s v="DIO - SFV - FSEN - Pre - ROS - DT/MB/CTV - non-CoV"/>
    <n v="129141"/>
    <d v="2026-06-30T00:00:00"/>
    <d v="2026-06-01T00:00:00"/>
    <d v="2026-07-19T00:00:00"/>
    <s v="Direct SFV"/>
    <m/>
    <d v="2026-07-05T12:53:18"/>
  </r>
  <r>
    <s v="SPARK FOUNDRY - NY"/>
    <n v="11662"/>
    <n v="4046"/>
    <s v="LOWE'S HOME CENTERS"/>
    <s v="LOWE'S/DIGITAL/SCATTER/SPORTS/MWC/25-26"/>
    <x v="141"/>
    <s v="Lowe's - Run of AllFOX Video - 2026 MWC Package"/>
    <n v="582880"/>
    <s v="Lowe's - DIO - LFV - 1F - Tubi - Pre/Mid - ROS - DT/MB/CTV - FW - SXD - AAT Soccer Fans"/>
    <n v="94270664"/>
    <s v="Fox Sold Tubi"/>
    <s v="CPM"/>
    <n v="20"/>
    <s v="1P Audience Target"/>
    <n v="5173952"/>
    <n v="46487.76"/>
    <m/>
    <m/>
    <s v=" "/>
    <n v="0"/>
    <m/>
    <m/>
    <n v="5173952"/>
    <n v="5173952"/>
    <n v="0"/>
    <n v="0"/>
    <n v="1"/>
    <n v="0"/>
    <n v="0"/>
    <n v="0"/>
    <s v="Bill on Contract - Pro-rated"/>
    <n v="46487.76"/>
    <n v="7593000"/>
    <n v="151860"/>
    <s v="LOWE'S/DIGITAL/SCATTER/SPORTS/MWC/25-26"/>
    <n v="94270638"/>
    <s v="Audience Target"/>
    <s v="O-D2T6Q54-R2"/>
    <m/>
    <s v="Janna Goldstein"/>
    <s v="Guaranteed"/>
    <s v="DIO - LFV - 1F - Tubi - Pre/Mid - ROS - DT/MB/CTV - FW - SXD"/>
    <n v="129141"/>
    <d v="2026-06-30T00:00:00"/>
    <d v="2026-06-01T00:00:00"/>
    <d v="2026-07-19T00:00:00"/>
    <s v="Direct LFV"/>
    <m/>
    <d v="2026-07-05T12:53:18"/>
  </r>
  <r>
    <s v="SPARK FOUNDRY - NY"/>
    <n v="11662"/>
    <n v="4046"/>
    <s v="LOWE'S HOME CENTERS"/>
    <s v="LOWE'S/DIGITAL/SCATTER/SPORTS/MWC/25-26"/>
    <x v="141"/>
    <s v="Lowe's - Run of AllFOX Video - 2026 MWC Package"/>
    <n v="582880"/>
    <s v="Lowe's - DIO - ROV - 1F - SEN - Pre/Mid - ROS - DT/MB/CTV - SXD - AAT Soccer Fans"/>
    <n v="94270652"/>
    <s v="OneFOX"/>
    <s v="CPM"/>
    <n v="20"/>
    <s v="1P Audience Target"/>
    <n v="3422731"/>
    <n v="30991.84"/>
    <m/>
    <m/>
    <s v=" "/>
    <s v=""/>
    <m/>
    <m/>
    <n v="3422731"/>
    <n v="3422731"/>
    <n v="0"/>
    <n v="0"/>
    <n v="1"/>
    <n v="0"/>
    <n v="0"/>
    <n v="0"/>
    <s v="Bill on Contract - Pro-rated"/>
    <n v="30991.84"/>
    <n v="5062000"/>
    <n v="101240"/>
    <s v="LOWE'S/DIGITAL/SCATTER/SPORTS/MWC/25-26"/>
    <n v="94270638"/>
    <s v="Audience Target"/>
    <s v="O-D2T6Q54-R2"/>
    <m/>
    <s v="Janna Goldstein"/>
    <s v="Guaranteed"/>
    <s v="DIO - ROV - 1F - SEN - Pre/Mid - ROS - DT/MB/CTV - SXD"/>
    <n v="129141"/>
    <d v="2026-06-30T00:00:00"/>
    <d v="2026-06-01T00:00:00"/>
    <d v="2026-07-19T00:00:00"/>
    <s v="Direct ROV"/>
    <m/>
    <d v="2026-07-05T12:53:18"/>
  </r>
  <r>
    <s v="SPARK FOUNDRY - NY"/>
    <n v="11662"/>
    <n v="4046"/>
    <s v="LOWE'S HOME CENTERS"/>
    <s v="LOWE'S/DIGITAL/SCATTER/SPORTS/MWC/25-26"/>
    <x v="141"/>
    <s v="Lowe's World Cup Social Sponsorship Content - X - 2026 MWC Package"/>
    <n v="582957"/>
    <s v="Lowe's - DIO - SOC - FOX Sports - X"/>
    <n v="582959"/>
    <s v="FOX Sports - Twitter"/>
    <s v="Flat Rate"/>
    <n v="250000"/>
    <s v="Bill on Contract"/>
    <n v="0"/>
    <n v="76530.61"/>
    <m/>
    <m/>
    <s v=" "/>
    <n v="0"/>
    <m/>
    <m/>
    <n v="0"/>
    <n v="0"/>
    <n v="0"/>
    <n v="0"/>
    <n v="1"/>
    <n v="0"/>
    <n v="0"/>
    <n v="0"/>
    <s v="Bill on Contract - Pro-rated"/>
    <n v="76530.61"/>
    <n v="1"/>
    <n v="250000"/>
    <s v="LOWE'S/DIGITAL/SCATTER/SPORTS/MWC/25-26"/>
    <n v="259384"/>
    <s v="P2+"/>
    <s v="O-D2T6Q54-R2"/>
    <m/>
    <s v="Janna Goldstein"/>
    <s v="Guaranteed"/>
    <s v="DIO - SOC - FOX Sports - X - MWC"/>
    <n v="129141"/>
    <d v="2026-06-30T00:00:00"/>
    <d v="2026-06-01T00:00:00"/>
    <d v="2026-07-19T00:00:00"/>
    <s v="Social X"/>
    <m/>
    <d v="2026-07-05T12:53:18"/>
  </r>
  <r>
    <s v="SPARK FOUNDRY - NY"/>
    <n v="11662"/>
    <n v="4041"/>
    <s v="MARRIOTT"/>
    <s v="MARRIOTT/DIGITAL/SCATTER/SPORTS/MWC"/>
    <x v="142"/>
    <s v="Marriott - Run of World Cup Video - OMP - 2026 MWC Package"/>
    <n v="581420"/>
    <s v="Marriott - OMP - DIO - LFV - TUB - Pre/Mid - MWC - DT/MB/CTV - P2+ - OMP - MWC 2026"/>
    <n v="94270019"/>
    <s v="Fox Sold Tubi"/>
    <s v="CPM"/>
    <n v="40"/>
    <s v="3P Imps"/>
    <n v="5780020"/>
    <n v="231200.8"/>
    <m/>
    <m/>
    <s v=" "/>
    <n v="0"/>
    <m/>
    <m/>
    <n v="5780020"/>
    <n v="5780020"/>
    <n v="0"/>
    <n v="0"/>
    <n v="1"/>
    <n v="0"/>
    <n v="0"/>
    <n v="0"/>
    <s v="Bill on Actuals - 3rd Party Performance"/>
    <n v="112012.89"/>
    <n v="8750000"/>
    <n v="350000"/>
    <s v="MARRIOTT/DIGITAL/SCATTER/SPORTS/MWC"/>
    <n v="94270012"/>
    <s v="P2+"/>
    <s v="O-D30J5H2-R3"/>
    <m/>
    <s v="Janna Goldstein"/>
    <s v="Guaranteed"/>
    <s v="DIO - LFV - TUB - Pre/Mid - MWC - DT/MB/CTV"/>
    <n v="128767"/>
    <d v="2026-06-30T00:00:00"/>
    <d v="2026-06-01T00:00:00"/>
    <d v="2026-07-19T00:00:00"/>
    <s v="Direct LFV"/>
    <m/>
    <d v="2026-07-05T12:53:18"/>
  </r>
  <r>
    <s v="SPARK FOUNDRY - NY"/>
    <n v="11662"/>
    <n v="4041"/>
    <s v="MARRIOTT"/>
    <s v="MARRIOTT/DIGITAL/SCATTER/SPORTS/MWC"/>
    <x v="142"/>
    <s v="Marriott - Run of World Cup Video - OMP - 2026 MWC Package"/>
    <n v="581420"/>
    <s v="Marriott - OMP - DIO - ROV - FS - Pre/Mid - MWC - DT/MB/CTV - P2+ - OMP - MWC 2026"/>
    <n v="94270015"/>
    <s v="FOX Sports"/>
    <s v="CPM"/>
    <n v="40"/>
    <s v="3P Imps"/>
    <n v="2535829"/>
    <n v="101433.16"/>
    <m/>
    <m/>
    <s v=" "/>
    <s v=""/>
    <m/>
    <m/>
    <n v="2535829"/>
    <n v="2535829"/>
    <n v="0"/>
    <n v="0"/>
    <n v="1"/>
    <n v="0"/>
    <n v="0"/>
    <n v="0"/>
    <s v="Bill on Actuals - 3rd Party Performance"/>
    <n v="48005.53"/>
    <n v="3750000"/>
    <n v="150000"/>
    <s v="MARRIOTT/DIGITAL/SCATTER/SPORTS/MWC"/>
    <n v="94270012"/>
    <s v="P2+"/>
    <s v="O-D30J5H2-R3"/>
    <m/>
    <s v="Janna Goldstein"/>
    <s v="Guaranteed"/>
    <s v="DIO - ROV - FS - Pre/Mid - MWC - DT/MB/CTV"/>
    <n v="128767"/>
    <d v="2026-06-30T00:00:00"/>
    <d v="2026-06-01T00:00:00"/>
    <d v="2026-07-19T00:00:00"/>
    <s v="Direct ROV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Social Sponsorship Content - 2Q'26 Package"/>
    <n v="586417"/>
    <s v="Marriott - DIO - SOC - FOX Sports - Facebook/Instagram - US Roster Reveal - MWC 2026"/>
    <n v="586418"/>
    <s v="FOX Sports - FB-Inst"/>
    <s v="Flat Rate"/>
    <n v="50000"/>
    <s v="Bill on Contract"/>
    <n v="0"/>
    <n v="12500"/>
    <m/>
    <m/>
    <s v=" "/>
    <n v="0"/>
    <m/>
    <m/>
    <n v="0"/>
    <n v="0"/>
    <n v="0"/>
    <n v="0"/>
    <n v="1"/>
    <n v="0"/>
    <n v="0"/>
    <n v="0"/>
    <s v="Bill on Contract - Pro-rated"/>
    <n v="12500"/>
    <n v="1"/>
    <n v="50000"/>
    <s v="MARRIOTT/DIGITAL/SCATTER/SPORTS/MWC ROSTER REVEAL"/>
    <n v="268091"/>
    <s v="P2+"/>
    <s v="O-D2V95FJ-R2"/>
    <m/>
    <s v="Janna Goldstein"/>
    <s v="Guaranteed"/>
    <s v="DIO - SOC - FOX Sports - Facebook/Instagram - MWC"/>
    <n v="128669"/>
    <d v="2026-06-30T00:00:00"/>
    <d v="2026-05-23T00:00:00"/>
    <d v="2026-06-07T00:00:00"/>
    <s v="Social Facebook/Instagram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Social Sponsorship Content - 2Q'26 Package"/>
    <n v="586417"/>
    <s v="Marriott - DIO - SOC - FOX Sports - TikTok - US Roster Reveal - MWC 2026"/>
    <n v="586421"/>
    <s v="FOX Sports - TikTok"/>
    <s v="Flat Rate"/>
    <n v="50000"/>
    <s v="Bill on Contract"/>
    <n v="0"/>
    <n v="12500"/>
    <m/>
    <m/>
    <s v=" "/>
    <s v=""/>
    <m/>
    <m/>
    <n v="0"/>
    <n v="0"/>
    <n v="0"/>
    <n v="0"/>
    <n v="1"/>
    <n v="0"/>
    <n v="0"/>
    <n v="0"/>
    <s v="Bill on Contract - Pro-rated"/>
    <n v="12500"/>
    <n v="1"/>
    <n v="50000"/>
    <s v="MARRIOTT/DIGITAL/SCATTER/SPORTS/MWC ROSTER REVEAL"/>
    <n v="268091"/>
    <s v="P2+"/>
    <s v="O-D2V95FJ-R2"/>
    <m/>
    <s v="Janna Goldstein"/>
    <s v="Guaranteed"/>
    <s v="DIO - SOC - FOX Sports - TikTok - MWC"/>
    <n v="128669"/>
    <d v="2026-06-30T00:00:00"/>
    <d v="2026-05-23T00:00:00"/>
    <d v="2026-06-07T00:00:00"/>
    <s v="Social TikTok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Social Sponsorship Content - 2Q'26 Package"/>
    <n v="586417"/>
    <s v="Marriott - DIO - SOC - FOX Sports - Youtube - Custom Content - US Roster Reveal - MWC 2026"/>
    <n v="586420"/>
    <s v="FOX Sports"/>
    <s v="Flat Rate"/>
    <n v="50000"/>
    <s v="Bill on Contract"/>
    <n v="0"/>
    <n v="12500"/>
    <m/>
    <m/>
    <s v=" "/>
    <s v=""/>
    <m/>
    <m/>
    <n v="0"/>
    <n v="0"/>
    <n v="0"/>
    <n v="0"/>
    <n v="1"/>
    <n v="0"/>
    <n v="0"/>
    <n v="0"/>
    <s v="Bill on Contract - Pro-rated"/>
    <n v="12500"/>
    <n v="1"/>
    <n v="50000"/>
    <s v="MARRIOTT/DIGITAL/SCATTER/SPORTS/MWC ROSTER REVEAL"/>
    <n v="268091"/>
    <s v="P2+"/>
    <s v="O-D2V95FJ-R2"/>
    <m/>
    <s v="Janna Goldstein"/>
    <s v="Guaranteed"/>
    <s v="DIO - SOC - FOX Sports - Youtube - Custom Content - MWC"/>
    <n v="128669"/>
    <d v="2026-06-30T00:00:00"/>
    <d v="2026-05-23T00:00:00"/>
    <d v="2026-06-07T00:00:00"/>
    <s v="Social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- FOX Sports Site &amp; App Takeover - 6/6 -  2Q'26 Package"/>
    <n v="586422"/>
    <s v="Marriott - OMP -DIS - FS - Display Unit - ROS - US Roster Reveal Sponsorship 2026 - 300x250 - 6/6"/>
    <n v="7316109554"/>
    <s v="FOX Sports"/>
    <s v="Flat Rate"/>
    <n v="12500"/>
    <s v="Bill on Contract"/>
    <n v="500"/>
    <n v="6250"/>
    <m/>
    <m/>
    <s v=" "/>
    <n v="0"/>
    <m/>
    <m/>
    <n v="0"/>
    <n v="0"/>
    <n v="0"/>
    <n v="0"/>
    <n v="1"/>
    <n v="0"/>
    <n v="0"/>
    <n v="0"/>
    <s v="Bill on Contract - Pro-rated"/>
    <n v="6250"/>
    <n v="1"/>
    <n v="12500"/>
    <s v="MARRIOTT/DIGITAL/SCATTER/SPORTS/MWC ROSTER REVEAL"/>
    <n v="268091"/>
    <s v="P2+"/>
    <s v="O-D2V95FJ-R2"/>
    <m/>
    <s v="Janna Goldstein"/>
    <s v="Guaranteed"/>
    <s v="DIS - FS - Display Unit - ROS - Sponsorship"/>
    <n v="128669"/>
    <d v="2026-06-30T00:00:00"/>
    <d v="2026-06-06T00:00:00"/>
    <d v="2026-06-06T00:00:00"/>
    <s v="Direct Display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- FOX Sports Site &amp; App Takeover - 6/6 -  2Q'26 Package"/>
    <n v="586422"/>
    <s v="Marriott - OMP -DIS - FS - Display Unit - ROS - US Roster Reveal Sponsorship 2026 - 300x600 - 6/6"/>
    <n v="7316110955"/>
    <s v="FOX Sports"/>
    <s v="Flat Rate"/>
    <n v="12500"/>
    <s v="Bill on Contract"/>
    <n v="500"/>
    <n v="6250"/>
    <m/>
    <m/>
    <s v=" "/>
    <s v=""/>
    <m/>
    <m/>
    <n v="0"/>
    <n v="0"/>
    <n v="0"/>
    <n v="0"/>
    <n v="1"/>
    <n v="0"/>
    <n v="0"/>
    <n v="0"/>
    <s v="Bill on Contract - Pro-rated"/>
    <n v="6250"/>
    <n v="1"/>
    <n v="12500"/>
    <s v="MARRIOTT/DIGITAL/SCATTER/SPORTS/MWC ROSTER REVEAL"/>
    <n v="268091"/>
    <s v="P2+"/>
    <s v="O-D2V95FJ-R2"/>
    <m/>
    <s v="Janna Goldstein"/>
    <s v="Guaranteed"/>
    <s v="DIS - FS - Display Unit - ROS - Sponsorship"/>
    <n v="128669"/>
    <d v="2026-06-30T00:00:00"/>
    <d v="2026-06-06T00:00:00"/>
    <d v="2026-06-06T00:00:00"/>
    <s v="Direct Display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- FOX Sports Site &amp; App Takeover - 6/6 -  2Q'26 Package"/>
    <n v="586422"/>
    <s v="Marriott - OMP -DIS - FS - Display Unit - ROS - US Roster Reveal Sponsorship 2026 - 320x50 - 6/6"/>
    <n v="7314559345"/>
    <s v="FOX Sports"/>
    <s v="Flat Rate"/>
    <n v="12500"/>
    <s v="Bill on Contract"/>
    <n v="500"/>
    <n v="6250"/>
    <m/>
    <m/>
    <s v=" "/>
    <s v=""/>
    <m/>
    <m/>
    <n v="0"/>
    <n v="0"/>
    <n v="0"/>
    <n v="0"/>
    <n v="1"/>
    <n v="0"/>
    <n v="0"/>
    <n v="0"/>
    <s v="Bill on Contract - Pro-rated"/>
    <n v="6250"/>
    <n v="1"/>
    <n v="12500"/>
    <s v="MARRIOTT/DIGITAL/SCATTER/SPORTS/MWC ROSTER REVEAL"/>
    <n v="268091"/>
    <s v="P2+"/>
    <s v="O-D2V95FJ-R2"/>
    <m/>
    <s v="Janna Goldstein"/>
    <s v="Guaranteed"/>
    <s v="DIS - FS - Display Unit - ROS - Sponsorship"/>
    <n v="128669"/>
    <d v="2026-06-30T00:00:00"/>
    <d v="2026-06-06T00:00:00"/>
    <d v="2026-06-06T00:00:00"/>
    <s v="Direct Display"/>
    <m/>
    <d v="2026-07-05T12:53:18"/>
  </r>
  <r>
    <s v="SPARK FOUNDRY - NY"/>
    <n v="11662"/>
    <n v="4041"/>
    <s v="MARRIOTT"/>
    <s v="MARRIOTT/DIGITAL/SCATTER/SPORTS/MWC ROSTER REVEAL"/>
    <x v="143"/>
    <s v="Marriott - OMP - World Cup US Roster Reveal - FOX Sports Site &amp; App Takeover - 6/6 -  2Q'26 Package"/>
    <n v="586422"/>
    <s v="Marriott - OMP -DIS - FS - Display Unit - ROS - US Roster Reveal Sponsorship 2026 - 728x90 - 6/6"/>
    <n v="7316110505"/>
    <s v="FOX Sports"/>
    <s v="Flat Rate"/>
    <n v="12500"/>
    <s v="Bill on Contract"/>
    <n v="500"/>
    <n v="6250"/>
    <m/>
    <m/>
    <s v=" "/>
    <s v=""/>
    <m/>
    <m/>
    <n v="0"/>
    <n v="0"/>
    <n v="0"/>
    <n v="0"/>
    <n v="1"/>
    <n v="0"/>
    <n v="0"/>
    <n v="0"/>
    <s v="Bill on Contract - Pro-rated"/>
    <n v="6250"/>
    <n v="1"/>
    <n v="12500"/>
    <s v="MARRIOTT/DIGITAL/SCATTER/SPORTS/MWC ROSTER REVEAL"/>
    <n v="268091"/>
    <s v="P2+"/>
    <s v="O-D2V95FJ-R2"/>
    <m/>
    <s v="Janna Goldstein"/>
    <s v="Guaranteed"/>
    <s v="DIS - FS - Display Unit - ROS - Sponsorship"/>
    <n v="128669"/>
    <d v="2026-06-30T00:00:00"/>
    <d v="2026-06-06T00:00:00"/>
    <d v="2026-06-06T00:00:00"/>
    <s v="Direct Display"/>
    <m/>
    <d v="2026-07-05T12:53:18"/>
  </r>
  <r>
    <s v="SPARK FOUNDRY - NY"/>
    <n v="11662"/>
    <n v="4041"/>
    <s v="MARRIOTT"/>
    <s v="MARRIOTT/DIGITAL/SCATTER/SPORTS/MWC ROSTER REVEAL"/>
    <x v="143"/>
    <s v="Marriott - OMP - Run of AllFOX Video - Soccer Fans AAT - US Roster Reveal 2026 Package"/>
    <n v="586505"/>
    <s v="Marriott - DIO - LFV - 1F - Tubi - Pre/Mid - ROS - DT/MB/CTV - FW - SXD - US Roster Reveal 2026"/>
    <n v="94129568"/>
    <s v="Fox Sold Tubi"/>
    <s v="CPM"/>
    <n v="20"/>
    <s v="3P Audience Target"/>
    <n v="1662058"/>
    <n v="33241.160000000003"/>
    <m/>
    <m/>
    <s v=" "/>
    <n v="0"/>
    <m/>
    <m/>
    <n v="1006385"/>
    <n v="1662058"/>
    <n v="0"/>
    <n v="0"/>
    <n v="1"/>
    <n v="0"/>
    <n v="0"/>
    <n v="0"/>
    <s v="Bill on Actuals - 3rd Party Performance"/>
    <n v="9198.43"/>
    <n v="2625000"/>
    <n v="52500"/>
    <s v="MARRIOTT/DIGITAL/SCATTER/SPORTS/MWC ROSTER REVEAL"/>
    <n v="94129565"/>
    <s v="Audience Target"/>
    <s v="O-D2V95FJ-R2"/>
    <m/>
    <s v="Janna Goldstein"/>
    <s v="Guaranteed"/>
    <s v="DIO - LFV - 1F - Tubi - Pre/Mid - ROS - DT/MB/CTV - FW - SXD"/>
    <n v="128669"/>
    <d v="2026-06-30T00:00:00"/>
    <d v="2026-05-23T00:00:00"/>
    <d v="2026-06-07T00:00:00"/>
    <s v="Direct LFV"/>
    <m/>
    <d v="2026-07-05T12:53:18"/>
  </r>
  <r>
    <s v="SPARK FOUNDRY - NY"/>
    <n v="11662"/>
    <n v="4041"/>
    <s v="MARRIOTT"/>
    <s v="MARRIOTT/DIGITAL/SCATTER/SPORTS/MWC ROSTER REVEAL"/>
    <x v="143"/>
    <s v="Marriott - OMP - Run of AllFOX Video - Soccer Fans AAT - US Roster Reveal 2026 Package"/>
    <n v="586505"/>
    <s v="Marriott - DIO - ROV - 1F - SEN - Pre/Mid - ROS - DT/MB/CTV - SXD - US Roster Reveal 2026"/>
    <n v="94129571"/>
    <s v="OneFOX"/>
    <s v="CPM"/>
    <n v="20"/>
    <s v="3P Audience Target"/>
    <n v="763644"/>
    <n v="15272.88"/>
    <m/>
    <m/>
    <s v=" "/>
    <s v=""/>
    <m/>
    <m/>
    <n v="366874"/>
    <n v="763644"/>
    <n v="0"/>
    <n v="0"/>
    <n v="1"/>
    <n v="0"/>
    <n v="0"/>
    <n v="0"/>
    <s v="Bill on Actuals - 3rd Party Performance"/>
    <n v="3942.19"/>
    <n v="1125000"/>
    <n v="22500"/>
    <s v="MARRIOTT/DIGITAL/SCATTER/SPORTS/MWC ROSTER REVEAL"/>
    <n v="94129565"/>
    <s v="Audience Target"/>
    <s v="O-D2V95FJ-R2"/>
    <m/>
    <s v="Janna Goldstein"/>
    <s v="Guaranteed"/>
    <s v="DIO - ROV - 1F - SEN - Pre/Mid - ROS - DT/MB/CTV - SXD"/>
    <n v="128669"/>
    <d v="2026-06-30T00:00:00"/>
    <d v="2026-05-23T00:00:00"/>
    <d v="2026-06-07T00:00:00"/>
    <s v="Direct ROV"/>
    <m/>
    <d v="2026-07-05T12:53:18"/>
  </r>
  <r>
    <s v="SPARK FOUNDRY - NY"/>
    <n v="11662"/>
    <n v="13289"/>
    <s v="META"/>
    <s v="META/DIGITAL/SCATTER/SPORTS/MWC/INSTAGRAM"/>
    <x v="144"/>
    <s v="META - Instagram - Run of World Cup Video - 2026 MWC Package"/>
    <n v="594161"/>
    <s v="META - DIO - LFV - TUB - Pre/Mid - MWC - DT/MB/CTV - IG - 2026"/>
    <n v="94857964"/>
    <s v="Fox Sold Tubi"/>
    <s v="CPM"/>
    <n v="40"/>
    <s v="3P Imps"/>
    <n v="574766"/>
    <n v="22990.639999999999"/>
    <m/>
    <m/>
    <s v=" "/>
    <n v="0"/>
    <m/>
    <m/>
    <n v="574766"/>
    <n v="574766"/>
    <n v="0"/>
    <n v="0"/>
    <n v="1"/>
    <n v="0"/>
    <n v="0"/>
    <n v="0"/>
    <s v="Bill on Actuals - 3rd Party Performance"/>
    <n v="11704.77"/>
    <n v="875000"/>
    <n v="35000"/>
    <s v="META/DIGITAL/SCATTER/SPORTS/MWC/INSTAGRAM"/>
    <n v="94857953"/>
    <s v="P2+"/>
    <s v="O-D32JSPE-R1"/>
    <m/>
    <s v="Janna Goldstein"/>
    <s v="Guaranteed"/>
    <s v="DIO - LFV - TUB - Pre/Mid - MWC - DT/MB/CTV"/>
    <n v="132247"/>
    <d v="2026-06-30T00:00:00"/>
    <d v="2026-06-17T00:00:00"/>
    <d v="2026-07-19T00:00:00"/>
    <s v="Direct LFV"/>
    <m/>
    <d v="2026-07-05T12:53:18"/>
  </r>
  <r>
    <s v="SPARK FOUNDRY - NY"/>
    <n v="11662"/>
    <n v="13289"/>
    <s v="META"/>
    <s v="META/DIGITAL/SCATTER/SPORTS/MWC/INSTAGRAM"/>
    <x v="144"/>
    <s v="META - Instagram - Run of World Cup Video - 2026 MWC Package"/>
    <n v="594161"/>
    <s v="META - DIO - ROV - FS - Pre/Mid - MWC - DT/MB/CTV - IG - 2026"/>
    <n v="94857967"/>
    <s v="FOX Sports"/>
    <s v="CPM"/>
    <n v="40"/>
    <s v="3P Imps"/>
    <n v="252300"/>
    <n v="10092"/>
    <m/>
    <m/>
    <s v=" "/>
    <s v=""/>
    <m/>
    <m/>
    <n v="252300"/>
    <n v="252300"/>
    <n v="0"/>
    <n v="0"/>
    <n v="1"/>
    <n v="0"/>
    <n v="0"/>
    <n v="0"/>
    <s v="Bill on Actuals - 3rd Party Performance"/>
    <n v="5016.33"/>
    <n v="375000"/>
    <n v="15000"/>
    <s v="META/DIGITAL/SCATTER/SPORTS/MWC/INSTAGRAM"/>
    <n v="94857953"/>
    <s v="P2+"/>
    <s v="O-D32JSPE-R1"/>
    <m/>
    <s v="Janna Goldstein"/>
    <s v="Guaranteed"/>
    <s v="DIO - ROV - FS - Pre/Mid - MWC - DT/MB/CTV"/>
    <n v="132247"/>
    <d v="2026-06-30T00:00:00"/>
    <d v="2026-06-17T00:00:00"/>
    <d v="2026-07-19T00:00:00"/>
    <s v="Direct ROV"/>
    <m/>
    <d v="2026-07-05T12:53:18"/>
  </r>
  <r>
    <s v="SPARK FOUNDRY - NY"/>
    <n v="11662"/>
    <n v="13289"/>
    <s v="META"/>
    <s v="META/DIGITAL/SCATTER/SPORTS/MWC/INSTAGRAM"/>
    <x v="144"/>
    <s v="META - Instagram - Run of FOX Sports Video - 2026 MWC Package"/>
    <n v="594168"/>
    <s v="META - DIO - ROV - FS - Pre/Mid - ROS - DT/MB/CTV - IG - 2026"/>
    <n v="94857970"/>
    <s v="FOX Sports"/>
    <s v="CPM"/>
    <n v="27"/>
    <s v="3P CoView Imps"/>
    <n v="17340"/>
    <n v="468.18"/>
    <m/>
    <m/>
    <s v=" "/>
    <n v="0"/>
    <m/>
    <m/>
    <n v="14392"/>
    <n v="14392"/>
    <n v="17340"/>
    <n v="17340"/>
    <n v="1"/>
    <n v="1.2048844792895299"/>
    <n v="0"/>
    <n v="0"/>
    <s v="Bill on Actuals - 3rd Party Performance"/>
    <n v="11.02"/>
    <n v="44148"/>
    <n v="1192"/>
    <s v="META/DIGITAL/SCATTER/SPORTS/MWC/INSTAGRAM"/>
    <n v="94857953"/>
    <s v="P2+"/>
    <s v="O-D32JSPE-R1"/>
    <m/>
    <s v="Janna Goldstein"/>
    <s v="Guaranteed"/>
    <s v="DIO - ROV - FS - Pre/Mid - ROS - DT/MB/CTV"/>
    <n v="132247"/>
    <d v="2026-06-30T00:00:00"/>
    <d v="2026-06-17T00:00:00"/>
    <d v="2026-07-19T00:00:00"/>
    <s v="Direct ROV"/>
    <m/>
    <d v="2026-07-05T12:53:18"/>
  </r>
  <r>
    <s v="SPARK FOUNDRY - NY"/>
    <n v="11662"/>
    <n v="13289"/>
    <s v="META"/>
    <s v="META/DIGITAL/SCATTER/SPORTS/MWC/INSTAGRAM"/>
    <x v="144"/>
    <s v="META - Instagram - Run of FOX Sports Video - 2026 MWC Package"/>
    <n v="594168"/>
    <s v="META - DIO - SFV - FSEN - Pre - ROS - DT/MB/CTV - non-CoV - IG - 2026"/>
    <n v="95009109"/>
    <s v="FSEN"/>
    <s v="CPM"/>
    <n v="27"/>
    <s v="3P Imps"/>
    <n v="234885"/>
    <n v="6341.9"/>
    <m/>
    <m/>
    <s v=" "/>
    <s v=""/>
    <m/>
    <m/>
    <n v="234885"/>
    <n v="234885"/>
    <n v="0"/>
    <n v="0"/>
    <n v="1"/>
    <n v="0"/>
    <n v="0"/>
    <n v="0"/>
    <s v="Bill on Actuals - 3rd Party Performance"/>
    <n v="220.11"/>
    <n v="881778"/>
    <n v="23808.01"/>
    <s v="META/DIGITAL/SCATTER/SPORTS/MWC/INSTAGRAM"/>
    <n v="94857953"/>
    <s v="P2+"/>
    <s v="O-D32JSPE-R1"/>
    <m/>
    <s v="Janna Goldstein"/>
    <s v="Guaranteed"/>
    <s v="DIO - SFV - FSEN - Pre - ROS - DT/MB/CTV - non-CoV"/>
    <n v="132247"/>
    <d v="2026-06-30T00:00:00"/>
    <d v="2026-06-17T00:00:00"/>
    <d v="2026-07-19T00:00:00"/>
    <s v="Direct SFV"/>
    <m/>
    <d v="2026-07-05T12:53:18"/>
  </r>
  <r>
    <s v="SPARK FOUNDRY - NY"/>
    <n v="11662"/>
    <n v="13289"/>
    <s v="META"/>
    <s v="META/DIGITAL/SCATTER/SPORTS/MWC/INSTAGRAM"/>
    <x v="144"/>
    <s v="META - Instagram - Run of AllFOX Video - AAT Soccer Fans - 2026 MWC Package"/>
    <n v="594170"/>
    <s v="META - DIO - LFV - 1F - Tubi - Pre/Mid - ROS - DT/MB/CTV - FW - SXD - Soccer Fans AAT - 2026"/>
    <n v="94857959"/>
    <s v="Fox Sold Tubi"/>
    <s v="CPM"/>
    <n v="23"/>
    <s v="3P Audience Target"/>
    <n v="3664298"/>
    <n v="84278.85"/>
    <m/>
    <m/>
    <s v=" "/>
    <n v="0"/>
    <m/>
    <m/>
    <n v="3664298"/>
    <n v="3664298"/>
    <n v="0"/>
    <n v="0"/>
    <n v="1"/>
    <n v="0"/>
    <n v="0"/>
    <n v="0"/>
    <s v="Bill on Actuals - 3rd Party Performance"/>
    <n v="39773.51"/>
    <n v="9737792"/>
    <n v="223969.22"/>
    <s v="META/DIGITAL/SCATTER/SPORTS/MWC/INSTAGRAM"/>
    <n v="94857953"/>
    <s v="Audience Target"/>
    <s v="O-D32JSPE-R1"/>
    <m/>
    <s v="Janna Goldstein"/>
    <s v="Guaranteed"/>
    <s v="DIO - LFV - 1F - Tubi - Pre/Mid - ROS - DT/MB/CTV - FW - SXD"/>
    <n v="132247"/>
    <d v="2026-06-30T00:00:00"/>
    <d v="2026-06-17T00:00:00"/>
    <d v="2026-07-19T00:00:00"/>
    <s v="Direct LFV"/>
    <m/>
    <d v="2026-07-05T12:53:18"/>
  </r>
  <r>
    <s v="SPARK FOUNDRY - NY"/>
    <n v="11662"/>
    <n v="13289"/>
    <s v="META"/>
    <s v="META/DIGITAL/SCATTER/SPORTS/MWC/INSTAGRAM"/>
    <x v="144"/>
    <s v="META - Instagram - Run of AllFOX Video - AAT Soccer Fans - 2026 MWC Package"/>
    <n v="594170"/>
    <s v="META - DIO - ROV - 1F - SEN - Pre/Mid - ROS - DT/MB/CTV - SXD - Soccer Fans AAT - 2026"/>
    <n v="94857956"/>
    <s v="OneFOX"/>
    <s v="CPM"/>
    <n v="23"/>
    <s v="3P Audience Target"/>
    <n v="2081072"/>
    <n v="47864.66"/>
    <m/>
    <m/>
    <s v=" "/>
    <s v=""/>
    <m/>
    <m/>
    <n v="2081072"/>
    <n v="2081072"/>
    <n v="0"/>
    <n v="0"/>
    <n v="1"/>
    <n v="0"/>
    <n v="0"/>
    <n v="0"/>
    <s v="Bill on Actuals - 3rd Party Performance"/>
    <n v="26515.67"/>
    <n v="6491860"/>
    <n v="149312.78"/>
    <s v="META/DIGITAL/SCATTER/SPORTS/MWC/INSTAGRAM"/>
    <n v="94857953"/>
    <s v="Audience Target"/>
    <s v="O-D32JSPE-R1"/>
    <m/>
    <s v="Janna Goldstein"/>
    <s v="Guaranteed"/>
    <s v="DIO - ROV - 1F - SEN - Pre/Mid - ROS - DT/MB/CTV - SXD"/>
    <n v="132247"/>
    <d v="2026-06-30T00:00:00"/>
    <d v="2026-06-17T00:00:00"/>
    <d v="2026-07-19T00:00:00"/>
    <s v="Direct ROV"/>
    <m/>
    <d v="2026-07-05T12:53:18"/>
  </r>
  <r>
    <s v="SPARK FOUNDRY - NY"/>
    <n v="11662"/>
    <n v="13289"/>
    <s v="META"/>
    <s v="META/DIGITAL/SCATTER/SPORTS/MWC/INSTAGRAM"/>
    <x v="144"/>
    <s v="META - Instagram - Tubi Premium Video - DIO - Tubi Prime - Rotational Video 2026 MWC"/>
    <n v="594619"/>
    <s v="META - Instagram - Tubi Premium Video - DIO - Tubi Prime - Rotational Video 2026 MWC"/>
    <n v="103901"/>
    <s v="Fox Sports Sold Tubi"/>
    <s v="CPM"/>
    <n v="19.25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5368.63"/>
    <n v="9740260"/>
    <n v="187500.01"/>
    <s v="META/DIGITAL/SCATTER/SPORTS/MWC/INSTAGRAM"/>
    <n v="271386"/>
    <s v="P2+"/>
    <s v="O-D32JSPE-R1"/>
    <m/>
    <s v="Janna Goldstein"/>
    <s v="Guaranteed"/>
    <s v="DIO - MWC - Tubi Prime - Rotational Video - Updated"/>
    <n v="132247"/>
    <d v="2026-06-30T00:00:00"/>
    <d v="2026-06-25T00:00:00"/>
    <d v="2026-07-19T00:00:00"/>
    <s v="Direct Video"/>
    <m/>
    <d v="2026-07-05T12:53:18"/>
  </r>
  <r>
    <s v="SPARK FOUNDRY - NY"/>
    <n v="11662"/>
    <n v="13289"/>
    <s v="META"/>
    <s v="META/DIGITAL/SCATTER/SPORTS/MWC/Wearables"/>
    <x v="145"/>
    <s v="META - Wearables - Run of AllFOX Video - AAT Soccer Fan Audience - 2026 MWC Package"/>
    <n v="594390"/>
    <s v="META - Wearables - DIO - LFV - 1F - Tubi - Pre/Mid - ROS - DT/MB/CTV - FW - SXD - Soccer Fans - 2026"/>
    <n v="95009280"/>
    <s v="Fox Sold Tubi"/>
    <s v="CPM"/>
    <n v="23"/>
    <s v="3P Audience Target"/>
    <n v="86976"/>
    <n v="2000.45"/>
    <m/>
    <m/>
    <s v=" "/>
    <n v="0"/>
    <m/>
    <m/>
    <n v="86976"/>
    <n v="86976"/>
    <n v="0"/>
    <n v="0"/>
    <n v="1"/>
    <n v="0"/>
    <n v="0"/>
    <n v="0"/>
    <s v="Bill on Actuals - 3rd Party Performance"/>
    <n v="1119.01"/>
    <n v="1564383"/>
    <n v="35980.81"/>
    <s v="META/DIGITAL/SCATTER/SPORTS/MWC/Wearables"/>
    <n v="95009267"/>
    <s v="Audience Target"/>
    <s v="O-D34GC09-R0"/>
    <m/>
    <s v="Janna Goldstein"/>
    <s v="Guaranteed"/>
    <s v="DIO - LFV - 1F - Tubi - Pre/Mid - ROS - DT/MB/CTV - FW - SXD"/>
    <n v="133182"/>
    <d v="2026-06-30T00:00:00"/>
    <d v="2026-06-30T00:00:00"/>
    <d v="2026-07-19T00:00:00"/>
    <s v="Direct LFV"/>
    <m/>
    <d v="2026-07-05T12:53:18"/>
  </r>
  <r>
    <s v="SPARK FOUNDRY - NY"/>
    <n v="11662"/>
    <n v="13289"/>
    <s v="META"/>
    <s v="META/DIGITAL/SCATTER/SPORTS/MWC/Wearables"/>
    <x v="145"/>
    <s v="META - Wearables - Run of AllFOX Video - AAT Soccer Fan Audience - 2026 MWC Package"/>
    <n v="594390"/>
    <s v="META - Wearables - DIO - ROV - 1F - SEN - Pre/Mid - ROS - DT/MB/CTV - SXD - Soccer Fans - 2026"/>
    <n v="95009277"/>
    <s v="OneFOX"/>
    <s v="CPM"/>
    <n v="23"/>
    <s v="3P Audience Target"/>
    <n v="57909"/>
    <n v="1331.91"/>
    <m/>
    <m/>
    <s v=" "/>
    <s v=""/>
    <m/>
    <m/>
    <n v="57909"/>
    <n v="57909"/>
    <n v="0"/>
    <n v="0"/>
    <n v="1"/>
    <n v="0"/>
    <n v="0"/>
    <n v="0"/>
    <s v="Bill on Actuals - 3rd Party Performance"/>
    <n v="746.01"/>
    <n v="1042922"/>
    <n v="23987.21"/>
    <s v="META/DIGITAL/SCATTER/SPORTS/MWC/Wearables"/>
    <n v="95009267"/>
    <s v="Audience Target"/>
    <s v="O-D34GC09-R0"/>
    <m/>
    <s v="Janna Goldstein"/>
    <s v="Guaranteed"/>
    <s v="DIO - ROV - 1F - SEN - Pre/Mid - ROS - DT/MB/CTV - SXD"/>
    <n v="133182"/>
    <d v="2026-06-30T00:00:00"/>
    <d v="2026-06-30T00:00:00"/>
    <d v="2026-07-19T00:00:00"/>
    <s v="Direct ROV"/>
    <m/>
    <d v="2026-07-05T12:53:18"/>
  </r>
  <r>
    <s v="SPARK FOUNDRY - NY"/>
    <n v="11662"/>
    <n v="13289"/>
    <s v="META"/>
    <s v="META/DIGITAL/SCATTER/SPORTS/MWC/Wearables"/>
    <x v="145"/>
    <s v="META - Wearables - World Cup Social Sponsorship Content - 2026 MWC Package"/>
    <n v="594394"/>
    <s v="META - Wearables - DIO - SOC - FOX Sports - Facebook/Instagram - 2026"/>
    <n v="594395"/>
    <s v="FOX Sports - FB-Inst"/>
    <s v="Flat Rate"/>
    <n v="124333"/>
    <s v="Bill on Contract"/>
    <n v="0"/>
    <n v="18419.7"/>
    <m/>
    <m/>
    <s v=" "/>
    <n v="0"/>
    <m/>
    <m/>
    <n v="0"/>
    <n v="0"/>
    <n v="0"/>
    <n v="0"/>
    <n v="1"/>
    <n v="0"/>
    <n v="0"/>
    <n v="0"/>
    <s v="Bill on Contract - Pro-rated"/>
    <n v="18419.7"/>
    <n v="1"/>
    <n v="124333"/>
    <s v="META/DIGITAL/SCATTER/SPORTS/MWC/Wearables"/>
    <n v="271465"/>
    <s v="P2+"/>
    <s v="O-D34GC09-R0"/>
    <m/>
    <s v="Janna Goldstein"/>
    <s v="Guaranteed"/>
    <s v="DIO - SOC - FOX Sports - Facebook/Instagram - MWC"/>
    <n v="133182"/>
    <d v="2026-06-30T00:00:00"/>
    <d v="2026-06-23T00:00:00"/>
    <d v="2026-07-19T00:00:00"/>
    <s v="Social Facebook/Instagram"/>
    <m/>
    <d v="2026-07-05T12:53:18"/>
  </r>
  <r>
    <s v="SPARK FOUNDRY - NY"/>
    <n v="11662"/>
    <n v="13289"/>
    <s v="META"/>
    <s v="META/DIGITAL/SCATTER/SPORTS/MWC/Wearables"/>
    <x v="145"/>
    <s v="META - Wearables - World Cup Social Sponsorship Content - 2026 MWC Package"/>
    <n v="594394"/>
    <s v="META - Wearables - DIO - SOC - FOX Sports - TikTok - 2026"/>
    <n v="594397"/>
    <s v="FOX Sports - TikTok"/>
    <s v="Flat Rate"/>
    <n v="124333"/>
    <s v="Bill on Contract"/>
    <n v="0"/>
    <n v="18419.7"/>
    <m/>
    <m/>
    <s v=" "/>
    <s v=""/>
    <m/>
    <m/>
    <n v="0"/>
    <n v="0"/>
    <n v="0"/>
    <n v="0"/>
    <n v="1"/>
    <n v="0"/>
    <n v="0"/>
    <n v="0"/>
    <s v="Bill on Contract - Pro-rated"/>
    <n v="18419.7"/>
    <n v="1"/>
    <n v="124333"/>
    <s v="META/DIGITAL/SCATTER/SPORTS/MWC/Wearables"/>
    <n v="271465"/>
    <s v="P2+"/>
    <s v="O-D34GC09-R0"/>
    <m/>
    <s v="Janna Goldstein"/>
    <s v="Guaranteed"/>
    <s v="DIO - SOC - FOX Sports - TikTok - MWC"/>
    <n v="133182"/>
    <d v="2026-06-30T00:00:00"/>
    <d v="2026-06-23T00:00:00"/>
    <d v="2026-07-19T00:00:00"/>
    <s v="Social TikTok"/>
    <m/>
    <d v="2026-07-05T12:53:18"/>
  </r>
  <r>
    <s v="SPARK FOUNDRY - NY"/>
    <n v="11662"/>
    <n v="13289"/>
    <s v="META"/>
    <s v="META/DIGITAL/SCATTER/SPORTS/MWC/Wearables"/>
    <x v="145"/>
    <s v="META - Wearables - World Cup Social Sponsorship Content - 2026 MWC Package"/>
    <n v="594394"/>
    <s v="META - Wearables - DIO - SOC - FOX Sports - Youtube - Custom Content - 2026"/>
    <n v="594396"/>
    <s v="FOX Sports"/>
    <s v="Flat Rate"/>
    <n v="124334"/>
    <s v="Bill on Contract"/>
    <n v="0"/>
    <n v="18419.849999999999"/>
    <m/>
    <m/>
    <s v=" "/>
    <s v=""/>
    <m/>
    <m/>
    <n v="0"/>
    <n v="0"/>
    <n v="0"/>
    <n v="0"/>
    <n v="1"/>
    <n v="0"/>
    <n v="0"/>
    <n v="0"/>
    <s v="Bill on Contract - Pro-rated"/>
    <n v="18419.849999999999"/>
    <n v="1"/>
    <n v="124334"/>
    <s v="META/DIGITAL/SCATTER/SPORTS/MWC/Wearables"/>
    <n v="271465"/>
    <s v="P2+"/>
    <s v="O-D34GC09-R0"/>
    <m/>
    <s v="Janna Goldstein"/>
    <s v="Guaranteed"/>
    <s v="DIO - SOC - FOX Sports - Youtube - Custom Content - MWC"/>
    <n v="133182"/>
    <d v="2026-06-30T00:00:00"/>
    <d v="2026-06-23T00:00:00"/>
    <d v="2026-07-19T00:00:00"/>
    <s v="Social"/>
    <m/>
    <d v="2026-07-05T12:53:18"/>
  </r>
  <r>
    <s v="SPARK FOUNDRY - NY"/>
    <n v="11662"/>
    <n v="13289"/>
    <s v="META"/>
    <s v="META/DIGITAL/SCATTER/SPORTS/MWC/Wearables"/>
    <x v="145"/>
    <s v="META - Wearables - World Cup Social Sponsorship Fee - 2026 MWC Package"/>
    <n v="598555"/>
    <s v="META - Wearables - World Cup Social Sponsorship Fee_DIO - FEE - FOX Sports - Production"/>
    <n v="598559"/>
    <s v="FOX Sports"/>
    <s v="Flat Rate"/>
    <n v="455000"/>
    <s v="Bill on Contract"/>
    <n v="0"/>
    <n v="67407.41"/>
    <m/>
    <m/>
    <s v=" "/>
    <n v="0"/>
    <m/>
    <m/>
    <n v="0"/>
    <n v="0"/>
    <n v="0"/>
    <n v="0"/>
    <n v="1"/>
    <n v="0"/>
    <n v="0"/>
    <n v="0"/>
    <s v="Bill on Contract - Pro-rated"/>
    <n v="67407.41"/>
    <n v="0"/>
    <n v="455000"/>
    <s v="META/DIGITAL/SCATTER/SPORTS/MWC/Wearables"/>
    <n v="271465"/>
    <s v="P2+"/>
    <s v="O-D34GC09-R0"/>
    <m/>
    <s v="Janna Goldstein"/>
    <s v="Guaranteed"/>
    <s v="DIO - FEE - FOX Sports - Production"/>
    <n v="133182"/>
    <d v="2026-06-30T00:00:00"/>
    <d v="2026-06-23T00:00:00"/>
    <d v="2026-07-19T00:00:00"/>
    <s v="Production"/>
    <m/>
    <d v="2026-07-05T12:53:18"/>
  </r>
  <r>
    <s v="SPARK FOUNDRY - NY"/>
    <n v="11662"/>
    <n v="13289"/>
    <s v="META"/>
    <s v="META/DIGITAL/SCATTER/SPORTS/MWC/WhatsApp"/>
    <x v="146"/>
    <s v="META - WhatsApp - Run of World Cup Video - 2026 MWC Package"/>
    <n v="594211"/>
    <s v="META - DIO - LFV - TUB - Pre/Mid - MWC - DT/MB/CTV - FB - 2026"/>
    <n v="94978286"/>
    <s v="Fox Sold Tubi"/>
    <s v="CPM"/>
    <n v="40"/>
    <s v="3P Imps"/>
    <n v="2531802"/>
    <n v="101272.08"/>
    <m/>
    <m/>
    <s v=" "/>
    <n v="0"/>
    <m/>
    <m/>
    <n v="2531802"/>
    <n v="2531802"/>
    <n v="0"/>
    <n v="0"/>
    <n v="1"/>
    <n v="0"/>
    <n v="0"/>
    <n v="0"/>
    <s v="Bill on Actuals - 3rd Party Performance"/>
    <n v="55491.37"/>
    <n v="4637500"/>
    <n v="185500"/>
    <s v="META/DIGITAL/SCATTER/SPORTS/MWC/WhatsApp"/>
    <n v="94978259"/>
    <s v="P2+"/>
    <s v="O-D333PI4-R3"/>
    <m/>
    <s v="Janna Goldstein"/>
    <s v="Guaranteed"/>
    <s v="DIO - LFV - TUB - Pre/Mid - MWC - DT/MB/CTV"/>
    <n v="132948"/>
    <d v="2026-06-30T00:00:00"/>
    <d v="2026-06-17T00:00:00"/>
    <d v="2026-07-19T00:00:00"/>
    <s v="Direct LFV"/>
    <m/>
    <d v="2026-07-05T12:53:18"/>
  </r>
  <r>
    <s v="SPARK FOUNDRY - NY"/>
    <n v="11662"/>
    <n v="13289"/>
    <s v="META"/>
    <s v="META/DIGITAL/SCATTER/SPORTS/MWC/WhatsApp"/>
    <x v="146"/>
    <s v="META - WhatsApp - Run of World Cup Video - 2026 MWC Package"/>
    <n v="594211"/>
    <s v="META - DIO - ROV - FS - Pre/Mid - MWC - DT/MB/CTV - FB - 2026"/>
    <n v="94978289"/>
    <s v="FOX Sports"/>
    <s v="CPM"/>
    <n v="40"/>
    <s v="3P Imps"/>
    <n v="1252891"/>
    <n v="50115.64"/>
    <m/>
    <m/>
    <s v=" "/>
    <s v=""/>
    <m/>
    <m/>
    <n v="1252891"/>
    <n v="1252891"/>
    <n v="0"/>
    <n v="0"/>
    <n v="1"/>
    <n v="0"/>
    <n v="0"/>
    <n v="0"/>
    <s v="Bill on Actuals - 3rd Party Performance"/>
    <n v="23782.01"/>
    <n v="1987500"/>
    <n v="79500"/>
    <s v="META/DIGITAL/SCATTER/SPORTS/MWC/WhatsApp"/>
    <n v="94978259"/>
    <s v="P2+"/>
    <s v="O-D333PI4-R3"/>
    <m/>
    <s v="Janna Goldstein"/>
    <s v="Guaranteed"/>
    <s v="DIO - ROV - FS - Pre/Mid - MWC - DT/MB/CTV"/>
    <n v="132948"/>
    <d v="2026-06-30T00:00:00"/>
    <d v="2026-06-17T00:00:00"/>
    <d v="2026-07-19T00:00:00"/>
    <s v="Direct ROV"/>
    <m/>
    <d v="2026-07-05T12:53:18"/>
  </r>
  <r>
    <s v="SPARK FOUNDRY - NY"/>
    <n v="11662"/>
    <n v="13289"/>
    <s v="META"/>
    <s v="META/DIGITAL/SCATTER/SPORTS/MWC/WhatsApp"/>
    <x v="146"/>
    <s v="META - WhatsApp - Run of AllFOX Video - AAT Soccer Fan Audience - 2026 MWC Package"/>
    <n v="594217"/>
    <s v="META - DIO - ROV - 1F - SEN - Pre/Mid - ROS - DT/MB/CTV - SXD - Soccer Fans - FB - 2026"/>
    <n v="94978262"/>
    <s v="OneFOX"/>
    <s v="CPM"/>
    <n v="23"/>
    <s v="3P Audience Target"/>
    <n v="134289"/>
    <n v="3088.65"/>
    <m/>
    <m/>
    <s v=" "/>
    <n v="0"/>
    <m/>
    <m/>
    <n v="134289"/>
    <n v="134289"/>
    <n v="0"/>
    <n v="0"/>
    <n v="1"/>
    <n v="0"/>
    <n v="0"/>
    <n v="0"/>
    <s v="Bill on Actuals - 3rd Party Performance"/>
    <n v="1134.3599999999999"/>
    <n v="1269565"/>
    <n v="29200"/>
    <s v="META/DIGITAL/SCATTER/SPORTS/MWC/WhatsApp"/>
    <n v="94978259"/>
    <s v="Audience Target"/>
    <s v="O-D333PI4-R3"/>
    <m/>
    <s v="Janna Goldstein"/>
    <s v="Guaranteed"/>
    <s v="DIO - ROV - 1F - SEN - Pre/Mid - ROS - DT/MB/CTV - SXD"/>
    <n v="132948"/>
    <d v="2026-06-30T00:00:00"/>
    <d v="2026-06-17T00:00:00"/>
    <d v="2026-07-19T00:00:00"/>
    <s v="Direct ROV"/>
    <m/>
    <d v="2026-07-05T12:53:18"/>
  </r>
  <r>
    <s v="SPARK FOUNDRY - NY"/>
    <n v="11662"/>
    <n v="13289"/>
    <s v="META"/>
    <s v="META/DIGITAL/SCATTER/SPORTS/MWC/WhatsApp"/>
    <x v="146"/>
    <s v="META - WhatsApp - Run of AllFOX Video - AAT Soccer Fan Audience - 2026 MWC Package"/>
    <n v="594217"/>
    <s v="META - WhatsApp - DIO - LFV - 1F - Tubi - Pre/Mid - ROS - DT/MB/CTV - FW - SXD - Soccer Fans - 2026"/>
    <n v="94978265"/>
    <s v="Fox Sold Tubi"/>
    <s v="CPM"/>
    <n v="23"/>
    <s v="3P Audience Target"/>
    <n v="210489"/>
    <n v="4841.25"/>
    <m/>
    <m/>
    <s v=" "/>
    <s v=""/>
    <m/>
    <m/>
    <n v="210489"/>
    <n v="210489"/>
    <n v="0"/>
    <n v="0"/>
    <n v="1"/>
    <n v="0"/>
    <n v="0"/>
    <n v="0"/>
    <s v="Bill on Actuals - 3rd Party Performance"/>
    <n v="1701.54"/>
    <n v="1904348"/>
    <n v="43800"/>
    <s v="META/DIGITAL/SCATTER/SPORTS/MWC/WhatsApp"/>
    <n v="94978259"/>
    <s v="Audience Target"/>
    <s v="O-D333PI4-R3"/>
    <m/>
    <s v="Janna Goldstein"/>
    <s v="Guaranteed"/>
    <s v="DIO - LFV - 1F - Tubi - Pre/Mid - ROS - DT/MB/CTV - FW - SXD"/>
    <n v="132948"/>
    <d v="2026-06-30T00:00:00"/>
    <d v="2026-06-17T00:00:00"/>
    <d v="2026-07-19T00:00:00"/>
    <s v="Direct LFV"/>
    <m/>
    <d v="2026-07-05T12:53:18"/>
  </r>
  <r>
    <s v="SPARK FOUNDRY - NY"/>
    <n v="11662"/>
    <n v="13289"/>
    <s v="META"/>
    <s v="META/DIGITAL/SCATTER/SPORTS/MWC/WhatsApp"/>
    <x v="146"/>
    <s v="META - WhatsApp - World Cup Social Sponsorship Content - 2026 MWC Package"/>
    <n v="594333"/>
    <s v="META - WhatsApp - DIO - SOC - FOX Sports - Facebook/Instagram - 2026"/>
    <n v="594334"/>
    <s v="FOX Sports - FB-Inst"/>
    <s v="Flat Rate"/>
    <n v="275667"/>
    <s v="Bill on Contract"/>
    <n v="0"/>
    <n v="58474.82"/>
    <m/>
    <m/>
    <s v=" "/>
    <n v="0"/>
    <m/>
    <m/>
    <n v="0"/>
    <n v="0"/>
    <n v="0"/>
    <n v="0"/>
    <n v="1"/>
    <n v="0"/>
    <n v="0"/>
    <n v="0"/>
    <s v="Bill on Contract - Pro-rated"/>
    <n v="58474.82"/>
    <n v="1"/>
    <n v="275667"/>
    <s v="META/DIGITAL/SCATTER/SPORTS/MWC/WhatsApp"/>
    <n v="271405"/>
    <s v="P2+"/>
    <s v="O-D333PI4-R3"/>
    <m/>
    <s v="Janna Goldstein"/>
    <s v="Guaranteed"/>
    <s v="DIO - SOC - FOX Sports - Facebook/Instagram - MWC"/>
    <n v="132948"/>
    <d v="2026-06-30T00:00:00"/>
    <d v="2026-06-17T00:00:00"/>
    <d v="2026-07-19T00:00:00"/>
    <s v="Social Facebook/Instagram"/>
    <m/>
    <d v="2026-07-05T12:53:18"/>
  </r>
  <r>
    <s v="SPARK FOUNDRY - NY"/>
    <n v="11662"/>
    <n v="13289"/>
    <s v="META"/>
    <s v="META/DIGITAL/SCATTER/SPORTS/MWC/WhatsApp"/>
    <x v="146"/>
    <s v="META - WhatsApp - World Cup Social Sponsorship Content - 2026 MWC Package"/>
    <n v="594333"/>
    <s v="META - WhatsApp - DIO - SOC - FOX Sports - TikTok - 2026"/>
    <n v="594337"/>
    <s v="FOX Sports - TikTok"/>
    <s v="Flat Rate"/>
    <n v="275667"/>
    <s v="Bill on Contract"/>
    <n v="0"/>
    <n v="58474.82"/>
    <m/>
    <m/>
    <s v=" "/>
    <s v=""/>
    <m/>
    <m/>
    <n v="0"/>
    <n v="0"/>
    <n v="0"/>
    <n v="0"/>
    <n v="1"/>
    <n v="0"/>
    <n v="0"/>
    <n v="0"/>
    <s v="Bill on Contract - Pro-rated"/>
    <n v="58474.82"/>
    <n v="1"/>
    <n v="275667"/>
    <s v="META/DIGITAL/SCATTER/SPORTS/MWC/WhatsApp"/>
    <n v="271405"/>
    <s v="P2+"/>
    <s v="O-D333PI4-R3"/>
    <m/>
    <s v="Janna Goldstein"/>
    <s v="Guaranteed"/>
    <s v="DIO - SOC - FOX Sports - TikTok - MWC"/>
    <n v="132948"/>
    <d v="2026-06-30T00:00:00"/>
    <d v="2026-06-17T00:00:00"/>
    <d v="2026-07-19T00:00:00"/>
    <s v="Social TikTok"/>
    <m/>
    <d v="2026-07-05T12:53:18"/>
  </r>
  <r>
    <s v="SPARK FOUNDRY - NY"/>
    <n v="11662"/>
    <n v="13289"/>
    <s v="META"/>
    <s v="META/DIGITAL/SCATTER/SPORTS/MWC/WhatsApp"/>
    <x v="146"/>
    <s v="META - WhatsApp - World Cup Social Sponsorship Content - 2026 MWC Package"/>
    <n v="594333"/>
    <s v="META - WhatsApp - DIO - SOC - FOX Sports - Youtube - Custom Content - 2026"/>
    <n v="594336"/>
    <s v="FOX Sports"/>
    <s v="Flat Rate"/>
    <n v="275667"/>
    <s v="Bill on Contract"/>
    <n v="0"/>
    <n v="58474.82"/>
    <m/>
    <m/>
    <s v=" "/>
    <s v=""/>
    <m/>
    <m/>
    <n v="0"/>
    <n v="0"/>
    <n v="0"/>
    <n v="0"/>
    <n v="1"/>
    <n v="0"/>
    <n v="0"/>
    <n v="0"/>
    <s v="Bill on Contract - Pro-rated"/>
    <n v="58474.82"/>
    <n v="1"/>
    <n v="275667"/>
    <s v="META/DIGITAL/SCATTER/SPORTS/MWC/WhatsApp"/>
    <n v="271405"/>
    <s v="P2+"/>
    <s v="O-D333PI4-R3"/>
    <m/>
    <s v="Janna Goldstein"/>
    <s v="Guaranteed"/>
    <s v="DIO - SOC - FOX Sports - Youtube - Custom Content - MWC"/>
    <n v="132948"/>
    <d v="2026-06-30T00:00:00"/>
    <d v="2026-06-17T00:00:00"/>
    <d v="2026-07-19T00:00:00"/>
    <s v="Social"/>
    <m/>
    <d v="2026-07-05T12:53:18"/>
  </r>
  <r>
    <s v="SPARK FOUNDRY - NY"/>
    <n v="11662"/>
    <n v="13289"/>
    <s v="META"/>
    <s v="META/DIGITAL/SCATTER/SPORTS/MWC/WhatsApp"/>
    <x v="146"/>
    <s v="META - WhatsApp - World Cup Social Sponsorship Fee - Package"/>
    <n v="597861"/>
    <s v="META - WhatsApp - DIO - FEE - FOX Sports - Production"/>
    <n v="597869"/>
    <s v="FOX Sports"/>
    <s v="Flat Rate"/>
    <n v="45000"/>
    <s v="Bill on Contract"/>
    <n v="0"/>
    <n v="9545.4500000000007"/>
    <m/>
    <m/>
    <s v=" "/>
    <n v="0"/>
    <m/>
    <m/>
    <n v="0"/>
    <n v="0"/>
    <n v="0"/>
    <n v="0"/>
    <n v="1"/>
    <n v="0"/>
    <n v="0"/>
    <n v="0"/>
    <s v="Bill on Contract - Pro-rated"/>
    <n v="9545.4500000000007"/>
    <n v="0"/>
    <n v="45000"/>
    <s v="META/DIGITAL/SCATTER/SPORTS/MWC/WhatsApp"/>
    <n v="271405"/>
    <s v="P2+"/>
    <s v="O-D333PI4-R3"/>
    <m/>
    <s v="Janna Goldstein"/>
    <s v="Guaranteed"/>
    <s v="DIO - FEE - FOX Sports - Production"/>
    <n v="132948"/>
    <d v="2026-06-30T00:00:00"/>
    <d v="2026-06-17T00:00:00"/>
    <d v="2026-07-19T00:00:00"/>
    <s v="Production"/>
    <m/>
    <d v="2026-07-05T12:53:18"/>
  </r>
  <r>
    <s v="SPARK FOUNDRY - NY"/>
    <n v="11662"/>
    <n v="6081"/>
    <s v="STARBUCKS"/>
    <s v="THE STARBUCKS COMPANY/DIGITAL/SCATTER/SPORTS/MWC/2Q'26"/>
    <x v="147"/>
    <s v="Starbucks - World Cup Social Sponsorship Content - 2026 MWC Package"/>
    <n v="582320"/>
    <s v="Starbucks - DIO - SOC - FOX Sports - Facebook/Instagram"/>
    <n v="582321"/>
    <s v="FOX Sports - FB-Inst"/>
    <s v="Flat Rate"/>
    <n v="33234"/>
    <s v="Bill on Contract"/>
    <n v="0"/>
    <n v="16617"/>
    <m/>
    <m/>
    <s v=" "/>
    <n v="0"/>
    <m/>
    <m/>
    <n v="0"/>
    <n v="0"/>
    <n v="0"/>
    <n v="0"/>
    <n v="1"/>
    <n v="0"/>
    <n v="0"/>
    <n v="0"/>
    <s v="Bill on Contract - Pro-rated"/>
    <n v="16617"/>
    <n v="1"/>
    <n v="33234"/>
    <s v="THE STARBUCKS COMPANY/DIGITAL/SCATTER/SPORTS/MWC/2Q'26"/>
    <n v="259125"/>
    <s v="P2+"/>
    <s v="O-D2TPGPT-R1"/>
    <m/>
    <s v="Janna Goldstein"/>
    <s v="Guaranteed"/>
    <s v="DIO - SOC - FOX Sports - Facebook/Instagram - MWC"/>
    <n v="129149"/>
    <d v="2026-06-30T00:00:00"/>
    <d v="2026-06-01T00:00:00"/>
    <d v="2026-06-28T00:00:00"/>
    <s v="Social Facebook/Instagram"/>
    <m/>
    <d v="2026-07-05T12:53:18"/>
  </r>
  <r>
    <s v="SPARK FOUNDRY - NY"/>
    <n v="11662"/>
    <n v="6081"/>
    <s v="STARBUCKS"/>
    <s v="THE STARBUCKS COMPANY/DIGITAL/SCATTER/SPORTS/MWC/2Q'26"/>
    <x v="147"/>
    <s v="Starbucks - World Cup Social Sponsorship Content - 2026 MWC Package"/>
    <n v="582320"/>
    <s v="Starbucks - DIO - SOC - FOX Sports - TikTok - 2026 MWC"/>
    <n v="582324"/>
    <s v="FOX Sports - TikTok"/>
    <s v="Flat Rate"/>
    <n v="33233"/>
    <s v="Bill on Contract"/>
    <n v="0"/>
    <n v="16616.5"/>
    <m/>
    <m/>
    <s v=" "/>
    <s v=""/>
    <m/>
    <m/>
    <n v="0"/>
    <n v="0"/>
    <n v="0"/>
    <n v="0"/>
    <n v="1"/>
    <n v="0"/>
    <n v="0"/>
    <n v="0"/>
    <s v="Bill on Contract - Pro-rated"/>
    <n v="16616.5"/>
    <n v="1"/>
    <n v="33233"/>
    <s v="THE STARBUCKS COMPANY/DIGITAL/SCATTER/SPORTS/MWC/2Q'26"/>
    <n v="259125"/>
    <s v="P2+"/>
    <s v="O-D2TPGPT-R1"/>
    <m/>
    <s v="Janna Goldstein"/>
    <s v="Guaranteed"/>
    <s v="DIO - SOC - FOX Sports - TikTok - MWC"/>
    <n v="129149"/>
    <d v="2026-06-30T00:00:00"/>
    <d v="2026-06-01T00:00:00"/>
    <d v="2026-06-28T00:00:00"/>
    <s v="Social TikTok"/>
    <m/>
    <d v="2026-07-05T12:53:18"/>
  </r>
  <r>
    <s v="SPARK FOUNDRY - NY"/>
    <n v="11662"/>
    <n v="6081"/>
    <s v="STARBUCKS"/>
    <s v="THE STARBUCKS COMPANY/DIGITAL/SCATTER/SPORTS/MWC/2Q'26"/>
    <x v="147"/>
    <s v="Starbucks - World Cup Social Sponsorship Content - 2026 MWC Package"/>
    <n v="582320"/>
    <s v="Starbucks - DIO - SOC - FOX Sports - Youtube - Custom Content"/>
    <n v="582323"/>
    <s v="FOX Sports"/>
    <s v="Flat Rate"/>
    <n v="33233"/>
    <s v="Bill on Contract"/>
    <n v="0"/>
    <n v="16616.5"/>
    <m/>
    <m/>
    <s v=" "/>
    <s v=""/>
    <m/>
    <m/>
    <n v="0"/>
    <n v="0"/>
    <n v="0"/>
    <n v="0"/>
    <n v="1"/>
    <n v="0"/>
    <n v="0"/>
    <n v="0"/>
    <s v="Bill on Contract - Pro-rated"/>
    <n v="16616.5"/>
    <n v="1"/>
    <n v="33233"/>
    <s v="THE STARBUCKS COMPANY/DIGITAL/SCATTER/SPORTS/MWC/2Q'26"/>
    <n v="259125"/>
    <s v="P2+"/>
    <s v="O-D2TPGPT-R1"/>
    <m/>
    <s v="Janna Goldstein"/>
    <s v="Guaranteed"/>
    <s v="DIO - SOC - FOX Sports - Youtube - Custom Content - MWC"/>
    <n v="129149"/>
    <d v="2026-06-30T00:00:00"/>
    <d v="2026-06-01T00:00:00"/>
    <d v="2026-06-28T00:00:00"/>
    <s v="Social"/>
    <m/>
    <d v="2026-07-05T12:53:18"/>
  </r>
  <r>
    <s v="SPARK FOUNDRY - NY"/>
    <n v="11662"/>
    <n v="6081"/>
    <s v="STARBUCKS"/>
    <s v="THE STARBUCKS COMPANY/DIGITAL/SCATTER/SPORTS/MWC/2Q'26"/>
    <x v="147"/>
    <s v="Starbucks - Run of World Cup Video - 2026 MWC Package"/>
    <n v="582328"/>
    <s v="Starbucks - DIO - LFV - TUB - Pre/Mid - MWC - DT/MB/CTV"/>
    <n v="94270345"/>
    <s v="Fox Sold Tubi"/>
    <s v="CPM"/>
    <n v="40"/>
    <s v="3P Imps"/>
    <n v="5403787"/>
    <n v="210000"/>
    <m/>
    <m/>
    <s v=" "/>
    <n v="0"/>
    <m/>
    <m/>
    <n v="5403787"/>
    <n v="5403787"/>
    <n v="0"/>
    <n v="0"/>
    <n v="1"/>
    <n v="0"/>
    <n v="0"/>
    <n v="0"/>
    <s v="Bill on Actuals - 3rd Party Performance"/>
    <n v="105000"/>
    <n v="5250000"/>
    <n v="210000"/>
    <s v="THE STARBUCKS COMPANY/DIGITAL/SCATTER/SPORTS/MWC/2Q'26"/>
    <n v="94270338"/>
    <s v="P2+"/>
    <s v="O-D2TPGPT-R1"/>
    <m/>
    <s v="Janna Goldstein"/>
    <s v="Guaranteed"/>
    <s v="DIO - LFV - TUB - Pre/Mid - MWC - DT/MB/CTV"/>
    <n v="129149"/>
    <d v="2026-06-30T00:00:00"/>
    <d v="2026-06-01T00:00:00"/>
    <d v="2026-06-28T00:00:00"/>
    <s v="Direct LFV"/>
    <m/>
    <d v="2026-07-05T12:53:18"/>
  </r>
  <r>
    <s v="SPARK FOUNDRY - NY"/>
    <n v="11662"/>
    <n v="6081"/>
    <s v="STARBUCKS"/>
    <s v="THE STARBUCKS COMPANY/DIGITAL/SCATTER/SPORTS/MWC/2Q'26"/>
    <x v="147"/>
    <s v="Starbucks - Run of World Cup Video - 2026 MWC Package"/>
    <n v="582328"/>
    <s v="Starbucks - DIO - ROV - FS - Pre/Mid - MWC - DT/MB/CTV"/>
    <n v="94270341"/>
    <s v="FOX Sports"/>
    <s v="CPM"/>
    <n v="40"/>
    <s v="3P Imps"/>
    <n v="2304046"/>
    <n v="90000"/>
    <m/>
    <m/>
    <s v=" "/>
    <s v=""/>
    <m/>
    <m/>
    <n v="2304046"/>
    <n v="2304046"/>
    <n v="0"/>
    <n v="0"/>
    <n v="1"/>
    <n v="0"/>
    <n v="0"/>
    <n v="0"/>
    <s v="Bill on Actuals - 3rd Party Performance"/>
    <n v="45000"/>
    <n v="2250000"/>
    <n v="90000"/>
    <s v="THE STARBUCKS COMPANY/DIGITAL/SCATTER/SPORTS/MWC/2Q'26"/>
    <n v="94270338"/>
    <s v="P2+"/>
    <s v="O-D2TPGPT-R1"/>
    <m/>
    <s v="Janna Goldstein"/>
    <s v="Guaranteed"/>
    <s v="DIO - ROV - FS - Pre/Mid - MWC - DT/MB/CTV"/>
    <n v="129149"/>
    <d v="2026-06-30T00:00:00"/>
    <d v="2026-06-01T00:00:00"/>
    <d v="2026-06-28T00:00:00"/>
    <s v="Direct ROV"/>
    <m/>
    <d v="2026-07-05T12:53:18"/>
  </r>
  <r>
    <s v="SPARK FOUNDRY - NY"/>
    <n v="11662"/>
    <n v="6081"/>
    <s v="STARBUCKS"/>
    <s v="THE STARBUCKS COMPANY/DIGITAL/SCATTER/SPORTS/MWC/2Q'26"/>
    <x v="147"/>
    <s v="Starbucks - Run of FOX Sports Video - 2026 MWC Package"/>
    <n v="582346"/>
    <s v="Starbucks - DIO - ROV - FS - Pre/Mid - ROS - DT/MB/CTV"/>
    <n v="94270348"/>
    <s v="FOX Sports"/>
    <s v="CPM"/>
    <n v="25"/>
    <s v="3P CoView Imps"/>
    <n v="5381197"/>
    <n v="133782"/>
    <m/>
    <m/>
    <s v=" "/>
    <n v="0"/>
    <m/>
    <m/>
    <n v="4740884"/>
    <n v="4740884"/>
    <n v="5381197"/>
    <n v="5381197"/>
    <n v="1"/>
    <n v="1.135062074257233"/>
    <n v="0"/>
    <n v="0"/>
    <s v="Bill on Actuals - 3rd Party Performance"/>
    <n v="45636.86"/>
    <n v="5351280"/>
    <n v="133782"/>
    <s v="THE STARBUCKS COMPANY/DIGITAL/SCATTER/SPORTS/MWC/2Q'26"/>
    <n v="94270338"/>
    <s v="P2+"/>
    <s v="O-D2TPGPT-R1"/>
    <m/>
    <s v="Janna Goldstein"/>
    <s v="Guaranteed"/>
    <s v="DIO - ROV - FS - Pre/Mid - ROS - DT/MB/CTV"/>
    <n v="129149"/>
    <d v="2026-06-30T00:00:00"/>
    <d v="2026-06-01T00:00:00"/>
    <d v="2026-06-28T00:00:00"/>
    <s v="Direct ROV"/>
    <m/>
    <d v="2026-07-05T12:53:18"/>
  </r>
  <r>
    <s v="SPARK FOUNDRY - NY"/>
    <n v="11662"/>
    <n v="6081"/>
    <s v="STARBUCKS"/>
    <s v="THE STARBUCKS COMPANY/DIGITAL/SCATTER/SPORTS/MWC/2Q'26"/>
    <x v="147"/>
    <s v="Starbucks - Run of FOX Sports Video - 2026 MWC Package"/>
    <n v="582346"/>
    <s v="Starbucks - DIO - SFV - FSEN - Pre - ROS - DT/MB/CTV - non-CoV - STN"/>
    <n v="94968420"/>
    <s v="FSEN"/>
    <s v="CPM"/>
    <n v="25"/>
    <s v="3P Imps"/>
    <n v="2594961"/>
    <n v="64874.03"/>
    <m/>
    <m/>
    <s v=" "/>
    <s v=""/>
    <m/>
    <m/>
    <n v="2594961"/>
    <n v="2594961"/>
    <n v="0"/>
    <n v="0"/>
    <n v="1"/>
    <n v="0"/>
    <n v="0"/>
    <n v="0"/>
    <s v="Bill on Actuals - 3rd Party Performance"/>
    <n v="22173.35"/>
    <n v="2600000"/>
    <n v="65000"/>
    <s v="THE STARBUCKS COMPANY/DIGITAL/SCATTER/SPORTS/MWC/2Q'26"/>
    <n v="94270338"/>
    <s v="P2+"/>
    <s v="O-D2TPGPT-R1"/>
    <m/>
    <s v="Janna Goldstein"/>
    <s v="Guaranteed"/>
    <s v="DIO - SFV - FSEN - Pre - ROS - DT/MB/CTV - non-CoV"/>
    <n v="129149"/>
    <d v="2026-06-30T00:00:00"/>
    <d v="2026-06-01T00:00:00"/>
    <d v="2026-06-28T00:00:00"/>
    <s v="Direct SFV"/>
    <m/>
    <d v="2026-07-05T12:53:18"/>
  </r>
  <r>
    <s v="SPARK FOUNDRY - NY"/>
    <n v="11662"/>
    <n v="6081"/>
    <s v="STARBUCKS"/>
    <s v="THE STARBUCKS COMPANY/DIGITAL/SCATTER/SPORTS/MWC/3Q'26"/>
    <x v="148"/>
    <s v="Starbucks - World Cup Social Sponsorship Content - 2026 MWC Package"/>
    <n v="589938"/>
    <s v="Starbucks - DIO - SOC - FOX Sports - Facebook/Instagram"/>
    <n v="589939"/>
    <s v="FOX Sports - FB-Inst"/>
    <s v="Flat Rate"/>
    <n v="33265"/>
    <s v="Bill on Contract"/>
    <n v="0"/>
    <n v="1584.05"/>
    <m/>
    <m/>
    <s v=" "/>
    <n v="0"/>
    <m/>
    <m/>
    <n v="0"/>
    <n v="0"/>
    <n v="0"/>
    <n v="0"/>
    <n v="1"/>
    <n v="0"/>
    <n v="0"/>
    <n v="0"/>
    <s v="Bill on Contract - Pro-rated"/>
    <n v="1584.05"/>
    <n v="1"/>
    <n v="33265"/>
    <s v="THE STARBUCKS COMPANY/DIGITAL/SCATTER/SPORTS/MWC/3Q'26"/>
    <n v="269943"/>
    <s v="P2+"/>
    <s v="O-D2TPGRF-R1"/>
    <m/>
    <s v="Janna Goldstein"/>
    <s v="Guaranteed"/>
    <s v="DIO - SOC - FOX Sports - Facebook/Instagram - MWC"/>
    <n v="129462"/>
    <d v="2026-06-30T00:00:00"/>
    <d v="2026-06-29T00:00:00"/>
    <d v="2026-07-19T00:00:00"/>
    <s v="Social Facebook/Instagram"/>
    <m/>
    <d v="2026-07-05T12:53:18"/>
  </r>
  <r>
    <s v="SPARK FOUNDRY - NY"/>
    <n v="11662"/>
    <n v="6081"/>
    <s v="STARBUCKS"/>
    <s v="THE STARBUCKS COMPANY/DIGITAL/SCATTER/SPORTS/MWC/3Q'26"/>
    <x v="148"/>
    <s v="Starbucks - World Cup Social Sponsorship Content - 2026 MWC Package"/>
    <n v="589938"/>
    <s v="Starbucks - DIO - SOC - FOX Sports - TikTok"/>
    <n v="589941"/>
    <s v="FOX Sports - TikTok"/>
    <s v="Flat Rate"/>
    <n v="33264"/>
    <s v="Bill on Contract"/>
    <n v="0"/>
    <n v="1584"/>
    <m/>
    <m/>
    <s v=" "/>
    <s v=""/>
    <m/>
    <m/>
    <n v="0"/>
    <n v="0"/>
    <n v="0"/>
    <n v="0"/>
    <n v="1"/>
    <n v="0"/>
    <n v="0"/>
    <n v="0"/>
    <s v="Bill on Contract - Pro-rated"/>
    <n v="1584"/>
    <n v="1"/>
    <n v="33264"/>
    <s v="THE STARBUCKS COMPANY/DIGITAL/SCATTER/SPORTS/MWC/3Q'26"/>
    <n v="269943"/>
    <s v="P2+"/>
    <s v="O-D2TPGRF-R1"/>
    <m/>
    <s v="Janna Goldstein"/>
    <s v="Guaranteed"/>
    <s v="DIO - SOC - FOX Sports - TikTok - MWC"/>
    <n v="129462"/>
    <d v="2026-06-30T00:00:00"/>
    <d v="2026-06-29T00:00:00"/>
    <d v="2026-07-19T00:00:00"/>
    <s v="Social TikTok"/>
    <m/>
    <d v="2026-07-05T12:53:18"/>
  </r>
  <r>
    <s v="SPARK FOUNDRY - NY"/>
    <n v="11662"/>
    <n v="6081"/>
    <s v="STARBUCKS"/>
    <s v="THE STARBUCKS COMPANY/DIGITAL/SCATTER/SPORTS/MWC/3Q'26"/>
    <x v="148"/>
    <s v="Starbucks - World Cup Social Sponsorship Content - 2026 MWC Package"/>
    <n v="589938"/>
    <s v="Starbucks - DIO - SOC - FOX Sports - Youtube - Custom Content"/>
    <n v="589940"/>
    <s v="FOX Sports"/>
    <s v="Flat Rate"/>
    <n v="33265"/>
    <s v="Bill on Contract"/>
    <n v="0"/>
    <n v="1584.05"/>
    <m/>
    <m/>
    <s v=" "/>
    <s v=""/>
    <m/>
    <m/>
    <n v="0"/>
    <n v="0"/>
    <n v="0"/>
    <n v="0"/>
    <n v="1"/>
    <n v="0"/>
    <n v="0"/>
    <n v="0"/>
    <s v="Bill on Contract - Pro-rated"/>
    <n v="1584.05"/>
    <n v="1"/>
    <n v="33265"/>
    <s v="THE STARBUCKS COMPANY/DIGITAL/SCATTER/SPORTS/MWC/3Q'26"/>
    <n v="269943"/>
    <s v="P2+"/>
    <s v="O-D2TPGRF-R1"/>
    <m/>
    <s v="Janna Goldstein"/>
    <s v="Guaranteed"/>
    <s v="DIO - SOC - FOX Sports - Youtube - Custom Content - MWC"/>
    <n v="129462"/>
    <d v="2026-06-30T00:00:00"/>
    <d v="2026-06-29T00:00:00"/>
    <d v="2026-07-19T00:00:00"/>
    <s v="Social"/>
    <m/>
    <d v="2026-07-05T12:53:18"/>
  </r>
  <r>
    <s v="SPARK FOUNDRY - NY"/>
    <n v="11662"/>
    <n v="6081"/>
    <s v="STARBUCKS"/>
    <s v="THE STARBUCKS COMPANY/DIGITAL/SCATTER/SPORTS/MWC/3Q'26"/>
    <x v="148"/>
    <s v="Starbucks - Run of World Cup Video - 2026 MWC Package"/>
    <n v="589942"/>
    <s v="Starbucks - DIO - LFV - TUB - Pre/Mid - MWC - DT/MB/CTV"/>
    <n v="94295384"/>
    <s v="Fox Sold Tubi"/>
    <s v="CPM"/>
    <n v="40"/>
    <s v="3P Imps"/>
    <n v="371639"/>
    <n v="14865.56"/>
    <m/>
    <m/>
    <s v=" "/>
    <n v="0"/>
    <m/>
    <m/>
    <n v="371639"/>
    <n v="371639"/>
    <n v="0"/>
    <n v="0"/>
    <n v="1"/>
    <n v="0"/>
    <n v="0"/>
    <n v="0"/>
    <s v="Bill on Actuals - 3rd Party Performance"/>
    <n v="7176.41"/>
    <n v="3500000"/>
    <n v="140000"/>
    <s v="THE STARBUCKS COMPANY/DIGITAL/SCATTER/SPORTS/MWC/3Q'26"/>
    <n v="94295377"/>
    <s v="P2+"/>
    <s v="O-D2TPGRF-R1"/>
    <m/>
    <s v="Janna Goldstein"/>
    <s v="Guaranteed"/>
    <s v="DIO - LFV - TUB - Pre/Mid - MWC - DT/MB/CTV"/>
    <n v="129462"/>
    <d v="2026-06-30T00:00:00"/>
    <d v="2026-06-29T00:00:00"/>
    <d v="2026-07-19T00:00:00"/>
    <s v="Direct LFV"/>
    <m/>
    <d v="2026-07-05T12:53:18"/>
  </r>
  <r>
    <s v="SPARK FOUNDRY - NY"/>
    <n v="11662"/>
    <n v="6081"/>
    <s v="STARBUCKS"/>
    <s v="THE STARBUCKS COMPANY/DIGITAL/SCATTER/SPORTS/MWC/3Q'26"/>
    <x v="148"/>
    <s v="Starbucks - Run of World Cup Video - 2026 MWC Package"/>
    <n v="589942"/>
    <s v="Starbucks - DIO - ROV - FS - Pre/Mid - MWC - DT/MB/CTV"/>
    <n v="94295387"/>
    <s v="FOX Sports"/>
    <s v="CPM"/>
    <n v="40"/>
    <s v="3P Imps"/>
    <n v="138019"/>
    <n v="5520.76"/>
    <m/>
    <m/>
    <s v=" "/>
    <s v=""/>
    <m/>
    <m/>
    <n v="138019"/>
    <n v="138019"/>
    <n v="0"/>
    <n v="0"/>
    <n v="1"/>
    <n v="0"/>
    <n v="0"/>
    <n v="0"/>
    <s v="Bill on Actuals - 3rd Party Performance"/>
    <n v="3075.61"/>
    <n v="1500000"/>
    <n v="60000"/>
    <s v="THE STARBUCKS COMPANY/DIGITAL/SCATTER/SPORTS/MWC/3Q'26"/>
    <n v="94295377"/>
    <s v="P2+"/>
    <s v="O-D2TPGRF-R1"/>
    <m/>
    <s v="Janna Goldstein"/>
    <s v="Guaranteed"/>
    <s v="DIO - ROV - FS - Pre/Mid - MWC - DT/MB/CTV"/>
    <n v="129462"/>
    <d v="2026-06-30T00:00:00"/>
    <d v="2026-06-29T00:00:00"/>
    <d v="2026-07-19T00:00:00"/>
    <s v="Direct ROV"/>
    <m/>
    <d v="2026-07-05T12:53:18"/>
  </r>
  <r>
    <s v="SPARK FOUNDRY - NY"/>
    <n v="11662"/>
    <n v="6081"/>
    <s v="STARBUCKS"/>
    <s v="THE STARBUCKS COMPANY/DIGITAL/SCATTER/SPORTS/MWC/3Q'26"/>
    <x v="148"/>
    <s v="Starbucks - Run of FOX Sports Video - 2026 MWC Package"/>
    <n v="589945"/>
    <s v="Starbucks - DIO - ROV - FS - Pre/Mid - ROS - DT/MB/CTV"/>
    <n v="94295380"/>
    <s v="FOX Sports"/>
    <s v="CPM"/>
    <n v="25"/>
    <s v="3P CoView Imps"/>
    <n v="283771"/>
    <n v="7094.27"/>
    <m/>
    <m/>
    <s v=" "/>
    <n v="0"/>
    <m/>
    <m/>
    <n v="263875"/>
    <n v="263875"/>
    <n v="283771"/>
    <n v="283771"/>
    <n v="1"/>
    <n v="1.0754002911208149"/>
    <n v="0"/>
    <n v="0"/>
    <s v="Bill on Actuals - 3rd Party Performance"/>
    <n v="3574.98"/>
    <n v="3967800"/>
    <n v="99195"/>
    <s v="THE STARBUCKS COMPANY/DIGITAL/SCATTER/SPORTS/MWC/3Q'26"/>
    <n v="94295377"/>
    <s v="P2+"/>
    <s v="O-D2TPGRF-R1"/>
    <m/>
    <s v="Janna Goldstein"/>
    <s v="Guaranteed"/>
    <s v="DIO - ROV - FS - Pre/Mid - ROS - DT/MB/CTV"/>
    <n v="129462"/>
    <d v="2026-06-30T00:00:00"/>
    <d v="2026-06-29T00:00:00"/>
    <d v="2026-07-19T00:00:00"/>
    <s v="Direct ROV"/>
    <m/>
    <d v="2026-07-05T12:53:18"/>
  </r>
  <r>
    <s v="SPARK FOUNDRY - NY"/>
    <n v="11662"/>
    <n v="3706"/>
    <s v="USAA INSURANCE"/>
    <s v="USAA/DIGITAL/UPFRONT/SOCIAL/UF 2025/26/2Q'26/MLB"/>
    <x v="149"/>
    <s v="USAA - Fox Sports - X Social Sponsorship - MLB Q2'26 Package"/>
    <n v="573139"/>
    <s v="USAA - DIO - SOC - FOX Sports - X - MLB - Q2'26"/>
    <n v="573141"/>
    <s v="FOX Sports - Twitter"/>
    <s v="Flat Rate"/>
    <n v="500000"/>
    <s v="Bill on Contract"/>
    <n v="0"/>
    <n v="76923.08"/>
    <m/>
    <m/>
    <s v=" "/>
    <n v="0"/>
    <m/>
    <m/>
    <n v="0"/>
    <n v="0"/>
    <n v="0"/>
    <n v="0"/>
    <n v="1"/>
    <n v="0"/>
    <n v="0"/>
    <n v="0"/>
    <s v="Bill on Contract - Pro-rated"/>
    <n v="76923.08"/>
    <n v="1"/>
    <n v="500000"/>
    <s v="USAA/DIGITAL/UPFRONT/SOCIAL/UF 2025/26/2Q'26/MLB"/>
    <n v="264707"/>
    <s v="P2+"/>
    <s v="O-D2NLO0-R0"/>
    <m/>
    <s v="Janna Goldstein"/>
    <s v="Guaranteed"/>
    <s v="DIO - SOC - FOX Sports - X - MLB"/>
    <n v="120117"/>
    <d v="2026-06-30T00:00:00"/>
    <d v="2026-03-30T00:00:00"/>
    <d v="2026-06-28T00:00:00"/>
    <s v="Social X"/>
    <m/>
    <d v="2026-07-05T12:53:18"/>
  </r>
  <r>
    <s v="SPARK FOUNDRY - NY"/>
    <n v="11662"/>
    <n v="3706"/>
    <s v="USAA INSURANCE"/>
    <s v="USAA/DIGITAL/UPFRONT/SOCIAL/UF 2025/26/3Q'26/MLB/NFL"/>
    <x v="150"/>
    <s v="USAA - FOX Sports - X MLB Social Sponsorship - 3Q'26 Package"/>
    <n v="594755"/>
    <s v="USAA - DIO - SOC - FOX Sports - X - MLB - 3Q'26"/>
    <n v="594766"/>
    <s v="FOX Sports - Twitter"/>
    <s v="Flat Rate"/>
    <n v="250000"/>
    <s v="Bill on Contract"/>
    <n v="0"/>
    <n v="2747.25"/>
    <m/>
    <m/>
    <s v=" "/>
    <n v="0"/>
    <m/>
    <m/>
    <n v="0"/>
    <n v="0"/>
    <n v="0"/>
    <n v="0"/>
    <n v="1"/>
    <n v="0"/>
    <n v="0"/>
    <n v="0"/>
    <s v="Bill on Contract - Pro-rated"/>
    <n v="2747.25"/>
    <n v="1"/>
    <n v="250000"/>
    <s v="USAA/DIGITAL/UPFRONT/SOCIAL/UF 2025/26/3Q'26/MLB/NFL"/>
    <n v="271544"/>
    <s v="P2+"/>
    <s v="O-D339G08-R1"/>
    <m/>
    <s v="Janna Goldstein"/>
    <s v="Guaranteed"/>
    <s v="DIO - SOC - FOX Sports - X - MLB"/>
    <n v="132891"/>
    <d v="2026-06-30T00:00:00"/>
    <d v="2026-06-29T00:00:00"/>
    <d v="2026-09-27T00:00:00"/>
    <s v="Social X"/>
    <m/>
    <d v="2026-07-05T12:53:18"/>
  </r>
  <r>
    <s v="SPARK FOUNDRY - NY"/>
    <n v="11662"/>
    <n v="5098"/>
    <s v="WENDY'S"/>
    <s v="Wendy's/25-26/Upfront/Digital/Sports - 2025/26 - 2Q'26"/>
    <x v="151"/>
    <s v="Wendy's - ROV - ROS - A18-49 - 25/26 UPFT - Q2'26 Package - VAL1"/>
    <n v="576699"/>
    <s v="Wendy's - ROV - FS - Pre/Mid - ROS - A18-49 - DT/MB/CTV  - VAL1 - Q2'26 - JUNE"/>
    <n v="93500843"/>
    <s v="FOX Sports"/>
    <s v="CPM"/>
    <n v="14.61"/>
    <s v="3P CoView Imps"/>
    <n v="34621"/>
    <n v="429.81"/>
    <m/>
    <m/>
    <s v=" "/>
    <n v="0"/>
    <m/>
    <m/>
    <n v="57041"/>
    <n v="57041"/>
    <n v="34621"/>
    <n v="34621"/>
    <n v="1"/>
    <n v="0.6069565521828939"/>
    <n v="0"/>
    <n v="0"/>
    <s v="Bill on Actuals - 3rd Party Performance"/>
    <n v="429.81"/>
    <n v="29419"/>
    <n v="429.81"/>
    <s v="Wendy's/25-26/Upfront/Digital/Sports - 2025/26 - 2Q'26"/>
    <n v="93014102"/>
    <s v="P18-49"/>
    <s v="O-D2PE09F-R3"/>
    <m/>
    <s v="Dylan Giordano"/>
    <s v="Guaranteed"/>
    <s v="DIO - ROV - FS - Pre/Mid - ROS - DT/MB/CTV"/>
    <n v="123831"/>
    <d v="2026-06-30T00:00:00"/>
    <d v="2026-03-30T00:00:00"/>
    <d v="2026-06-28T00:00:00"/>
    <s v="Direct ROV"/>
    <m/>
    <d v="2026-07-05T12:53:18"/>
  </r>
  <r>
    <s v="SPARK FOUNDRY - NY"/>
    <n v="11662"/>
    <n v="5098"/>
    <s v="WENDY'S"/>
    <s v="Wendy's/25-26/Upfront/Digital/Sports - 2025/26 - 2Q'26"/>
    <x v="151"/>
    <s v="Wendy's - DIO - ROV - ALLFOX Sports Bundle - A18-49 - Pre/Mid - ROS - 2Q'26 Package - VAL1"/>
    <n v="576705"/>
    <s v="Wendy's - DIO - LFV - 1F - Tubi Sports Bundle - Pre/Mid - ROS - DT/MB/CTV - FW - SXD - A18-49 - VAL1"/>
    <n v="93014105"/>
    <s v="OneFOX"/>
    <s v="CPM"/>
    <n v="14.61"/>
    <s v="3P Audience Target"/>
    <n v="1294947"/>
    <n v="18919.18"/>
    <m/>
    <m/>
    <s v=" "/>
    <n v="0"/>
    <m/>
    <m/>
    <n v="2819849"/>
    <n v="1294947"/>
    <n v="0"/>
    <n v="0"/>
    <n v="1"/>
    <n v="0"/>
    <n v="0"/>
    <n v="0"/>
    <s v="Bill on Actuals - 3rd Party Performance"/>
    <n v="20057.689999999999"/>
    <n v="4400001"/>
    <n v="64284.01"/>
    <s v="Wendy's/25-26/Upfront/Digital/Sports - 2025/26 - 2Q'26"/>
    <n v="93014102"/>
    <s v="Audience Target"/>
    <s v="O-D2PE09F-R3"/>
    <m/>
    <s v="Dylan Giordano"/>
    <s v="Guaranteed"/>
    <s v="DIO - LFV - 1F - Tubi Sports Bundle - Pre/Mid - ROS - DT/MB/CTV - FW - SXD"/>
    <n v="123831"/>
    <d v="2026-06-30T00:00:00"/>
    <d v="2026-03-30T00:00:00"/>
    <d v="2026-06-28T00:00:00"/>
    <s v="Direct LFV"/>
    <m/>
    <d v="2026-07-05T12:53:18"/>
  </r>
  <r>
    <s v="SPARK FOUNDRY - NY"/>
    <n v="11662"/>
    <n v="5098"/>
    <s v="WENDY'S"/>
    <s v="Wendy's/25-26/Upfront/Digital/Sports - 2025/26 - 2Q'26"/>
    <x v="151"/>
    <s v="Wendy's - DIO - ROV - ALLFOX Sports Bundle - A18-49 - Pre/Mid - ROS - 2Q'26 Package - VAL1"/>
    <n v="576705"/>
    <s v="Wendy's - DIO - ROV - 1F - FS - Pre/Mid - ROS - DT/MB/CTV - FW - SXD - A18-49 - VAL1"/>
    <n v="93014111"/>
    <s v="OneFOX"/>
    <s v="CPM"/>
    <n v="14.61"/>
    <s v="3P Audience Target"/>
    <n v="59430"/>
    <n v="868.27"/>
    <m/>
    <m/>
    <s v=" "/>
    <s v=""/>
    <m/>
    <m/>
    <n v="43363"/>
    <n v="59430"/>
    <n v="0"/>
    <n v="0"/>
    <n v="1"/>
    <n v="0"/>
    <n v="0"/>
    <n v="0"/>
    <s v="Bill on Actuals - 3rd Party Performance"/>
    <n v="798.76"/>
    <n v="175222"/>
    <n v="2559.9899999999998"/>
    <s v="Wendy's/25-26/Upfront/Digital/Sports - 2025/26 - 2Q'26"/>
    <n v="93014102"/>
    <s v="Audience Target"/>
    <s v="O-D2PE09F-R3"/>
    <m/>
    <s v="Dylan Giordano"/>
    <s v="Guaranteed"/>
    <s v="DIO - ROV - 1F - FS - Pre/Mid - ROS - DT/MB/CTV - FW - SXD"/>
    <n v="123831"/>
    <d v="2026-06-30T00:00:00"/>
    <d v="2026-03-30T00:00:00"/>
    <d v="2026-06-28T00:00:00"/>
    <s v="Direct ROV"/>
    <m/>
    <d v="2026-07-05T12:53:18"/>
  </r>
  <r>
    <s v="SPARK FOUNDRY - NY"/>
    <n v="11662"/>
    <n v="5098"/>
    <s v="WENDY'S"/>
    <s v="Wendy's/25-26/Upfront/Digital/Sports - 2025/26 - 2Q'26"/>
    <x v="151"/>
    <s v="Wendy's - DIO - ROV - ALLFOX Sports Bundle - A18-49 - Pre/Mid - ROS - 2Q'26 Package - EQU1"/>
    <n v="576851"/>
    <s v="Wendy's - DIO - LFV - 1F - Tubi Sports Bundle - Pre/Mid - ROS - DT/MB/CTV - FW - SXD - A18-49 - EQU1"/>
    <n v="93014195"/>
    <s v="OneFOX"/>
    <s v="CPM"/>
    <n v="14.61"/>
    <s v="3P Audience Target"/>
    <n v="4851060"/>
    <n v="69800.820000000007"/>
    <m/>
    <m/>
    <s v=" "/>
    <n v="0"/>
    <m/>
    <m/>
    <n v="4851060"/>
    <n v="4851060"/>
    <n v="0"/>
    <n v="0"/>
    <n v="1"/>
    <n v="0"/>
    <n v="0"/>
    <n v="0"/>
    <s v="Bill on Actuals - 3rd Party Performance"/>
    <n v="34900.410000000003"/>
    <n v="4777606"/>
    <n v="69800.820000000007"/>
    <s v="Wendy's/25-26/Upfront/Digital/Sports - 2025/26 - 2Q'26"/>
    <n v="93014102"/>
    <s v="Audience Target"/>
    <s v="O-D2PE09F-R3"/>
    <m/>
    <s v="Dylan Giordano"/>
    <s v="Guaranteed"/>
    <s v="DIO - LFV - 1F - Tubi Sports Bundle - Pre/Mid - ROS - DT/MB/CTV - FW - SXD"/>
    <n v="123831"/>
    <d v="2026-06-30T00:00:00"/>
    <d v="2026-06-15T00:00:00"/>
    <d v="2026-06-28T00:00:00"/>
    <s v="Direct LFV"/>
    <m/>
    <d v="2026-07-05T12:53:18"/>
  </r>
  <r>
    <s v="SPARK FOUNDRY - NY"/>
    <n v="11662"/>
    <n v="5098"/>
    <s v="WENDY'S"/>
    <s v="Wendy's/25-26/Upfront/Digital/Sports - 2025/26 - 2Q'26"/>
    <x v="151"/>
    <s v="Wendy's - DIO - ROV - ALLFOX Sports Bundle - A18-49 - Pre/Mid - ROS - 2Q'26 Package - EQU1"/>
    <n v="576851"/>
    <s v="Wendy's - DIO - ROV - 1F - FS - Pre/Mid - ROS - DT/MB/CTV - FW - SXD - A18-49 - EQU1"/>
    <n v="93014198"/>
    <s v="OneFOX"/>
    <s v="CPM"/>
    <n v="14.61"/>
    <s v="3P Audience Target"/>
    <n v="20420"/>
    <n v="298.33999999999997"/>
    <m/>
    <m/>
    <s v=" "/>
    <s v=""/>
    <m/>
    <m/>
    <n v="20420"/>
    <n v="20420"/>
    <n v="0"/>
    <n v="0"/>
    <n v="1"/>
    <n v="0"/>
    <n v="0"/>
    <n v="0"/>
    <s v="Bill on Actuals - 3rd Party Performance"/>
    <n v="365.25"/>
    <n v="50000"/>
    <n v="730.5"/>
    <s v="Wendy's/25-26/Upfront/Digital/Sports - 2025/26 - 2Q'26"/>
    <n v="93014102"/>
    <s v="Audience Target"/>
    <s v="O-D2PE09F-R3"/>
    <m/>
    <s v="Dylan Giordano"/>
    <s v="Guaranteed"/>
    <s v="DIO - ROV - 1F - FS - Pre/Mid - ROS - DT/MB/CTV - FW - SXD"/>
    <n v="123831"/>
    <d v="2026-06-30T00:00:00"/>
    <d v="2026-06-15T00:00:00"/>
    <d v="2026-06-28T00:00:00"/>
    <s v="Direct ROV"/>
    <m/>
    <d v="2026-07-05T12:53:18"/>
  </r>
  <r>
    <s v="SPARK FOUNDRY - NY"/>
    <n v="11662"/>
    <n v="5098"/>
    <s v="WENDY'S"/>
    <s v="Wendy's/25-26/Upfront/Digital/Sports - UF 2025/26"/>
    <x v="152"/>
    <s v="Wendy's - ROV - ROS - A18-49 - 25/26 UPFT RES - Q3'26 Package - UPFT RES"/>
    <n v="536602"/>
    <s v="Wendy's - ROV - FS - Pre/Mid - ROS - DT/MB/CTV - UPFTRES - Q3'26 Package - UPFT RES"/>
    <n v="88192821"/>
    <s v="FOX Sports"/>
    <s v="CPM"/>
    <n v="14.61"/>
    <s v="3P CoView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18572622"/>
    <n v="271346.01"/>
    <s v="Wendy's/25-26/Upfront/Digital/Sports - UF 2025/26"/>
    <n v="252135"/>
    <s v="P2+"/>
    <s v="UPFTRES2526"/>
    <m/>
    <s v="Dylan Giordano"/>
    <s v="Guaranteed"/>
    <s v="ROV - FS - Pre/Mid - ROS - DT/MB/CTV"/>
    <n v="91198"/>
    <d v="2026-06-30T00:00:00"/>
    <d v="2026-06-29T00:00:00"/>
    <d v="2026-09-27T00:00:00"/>
    <s v="Direct ROV"/>
    <m/>
    <d v="2026-07-05T12:53:18"/>
  </r>
  <r>
    <s v="STARCOM - CHI"/>
    <n v="11023"/>
    <n v="5567"/>
    <s v="ALLSTATE"/>
    <s v="Allstate/Digital/Scatter/MWC/Q2-Q3'26"/>
    <x v="153"/>
    <s v="Allstate - World Cup Social Sponsorship Content - Package"/>
    <n v="582215"/>
    <s v="Allstate - DIO - SOC - FOX Sports - Facebook/Instagram - MWC"/>
    <n v="582216"/>
    <s v="FOX Sports - FB-Inst"/>
    <s v="Flat Rate"/>
    <n v="0.15"/>
    <s v="Bill on Contract"/>
    <n v="166666533"/>
    <n v="24999.98"/>
    <m/>
    <m/>
    <s v=" "/>
    <n v="0"/>
    <m/>
    <m/>
    <n v="0"/>
    <n v="0"/>
    <n v="0"/>
    <n v="0"/>
    <n v="1"/>
    <n v="0"/>
    <n v="0"/>
    <n v="0"/>
    <s v="Bill on Contract - Straightline"/>
    <n v="24999.98"/>
    <n v="666666"/>
    <n v="99999.9"/>
    <s v="Allstate/Digital/Scatter/MWC/Q2-Q3'26"/>
    <n v="259301"/>
    <s v="P2+"/>
    <s v="O-D2SOETU"/>
    <m/>
    <s v="Matt Frey"/>
    <s v="Guaranteed"/>
    <s v="DIO - SOC - FOX Sports - Facebook/Instagram - MWC"/>
    <n v="127695"/>
    <d v="2026-06-30T00:00:00"/>
    <d v="2026-06-01T00:00:00"/>
    <d v="2026-07-19T00:00:00"/>
    <s v="Social Facebook/Instagram"/>
    <m/>
    <d v="2026-07-05T12:53:18"/>
  </r>
  <r>
    <s v="STARCOM - CHI"/>
    <n v="11023"/>
    <n v="5567"/>
    <s v="ALLSTATE"/>
    <s v="Allstate/Digital/Scatter/MWC/Q2-Q3'26"/>
    <x v="153"/>
    <s v="Allstate - World Cup Social Sponsorship Content - Package"/>
    <n v="582215"/>
    <s v="Allstate - DIO - SOC - FOX Sports - TikTok - MWC"/>
    <n v="582219"/>
    <s v="FOX Sports - TikTok"/>
    <s v="Flat Rate"/>
    <n v="0.15"/>
    <s v="Bill on Contract"/>
    <n v="166666733"/>
    <n v="25000.01"/>
    <m/>
    <m/>
    <s v=" "/>
    <s v=""/>
    <m/>
    <m/>
    <n v="0"/>
    <n v="0"/>
    <n v="0"/>
    <n v="0"/>
    <n v="1"/>
    <n v="0"/>
    <n v="0"/>
    <n v="0"/>
    <s v="Bill on Contract - Straightline"/>
    <n v="25000.01"/>
    <n v="666667"/>
    <n v="100000.05"/>
    <s v="Allstate/Digital/Scatter/MWC/Q2-Q3'26"/>
    <n v="259301"/>
    <s v="P2+"/>
    <s v="O-D2SOETU"/>
    <m/>
    <s v="Matt Frey"/>
    <s v="Guaranteed"/>
    <s v="DIO - SOC - FOX Sports - TikTok - MWC"/>
    <n v="127695"/>
    <d v="2026-06-30T00:00:00"/>
    <d v="2026-06-01T00:00:00"/>
    <d v="2026-07-19T00:00:00"/>
    <s v="Social TikTok"/>
    <m/>
    <d v="2026-07-05T12:53:18"/>
  </r>
  <r>
    <s v="STARCOM - CHI"/>
    <n v="11023"/>
    <n v="5567"/>
    <s v="ALLSTATE"/>
    <s v="Allstate/Digital/Scatter/MWC/Q2-Q3'26"/>
    <x v="153"/>
    <s v="Allstate - World Cup Social Sponsorship Content - Package"/>
    <n v="582215"/>
    <s v="Allstate - DIO - SOC - FOX Sports - Youtube - Custom Content - MWC"/>
    <n v="582218"/>
    <s v="FOX Sports"/>
    <s v="Flat Rate"/>
    <n v="0.15"/>
    <s v="Bill on Contract"/>
    <n v="166666733"/>
    <n v="25000.01"/>
    <m/>
    <m/>
    <s v=" "/>
    <s v=""/>
    <m/>
    <m/>
    <n v="0"/>
    <n v="0"/>
    <n v="0"/>
    <n v="0"/>
    <n v="1"/>
    <n v="0"/>
    <n v="0"/>
    <n v="0"/>
    <s v="Bill on Contract - Straightline"/>
    <n v="25000.01"/>
    <n v="666667"/>
    <n v="100000.05"/>
    <s v="Allstate/Digital/Scatter/MWC/Q2-Q3'26"/>
    <n v="259301"/>
    <s v="P2+"/>
    <s v="O-D2SOETU"/>
    <m/>
    <s v="Matt Frey"/>
    <s v="Guaranteed"/>
    <s v="DIO - SOC - FOX Sports - Youtube - Custom Content - MWC"/>
    <n v="127695"/>
    <d v="2026-06-30T00:00:00"/>
    <d v="2026-06-01T00:00:00"/>
    <d v="2026-07-19T00:00:00"/>
    <s v="Social"/>
    <m/>
    <d v="2026-07-05T12:53:18"/>
  </r>
  <r>
    <s v="STARCOM - CHI"/>
    <n v="11023"/>
    <n v="5567"/>
    <s v="ALLSTATE"/>
    <s v="Allstate/Digital/Scatter/MWC/Q2-Q3'26"/>
    <x v="153"/>
    <s v="Allstate - Run of World Cup Video - Package"/>
    <n v="582226"/>
    <s v="Allstate - DIO - LFV - TUB - Pre/Mid - MWC - DT/MB/CTV"/>
    <n v="93830250"/>
    <s v="Fox Sold Tubi"/>
    <s v="CPM"/>
    <n v="40"/>
    <s v="3P Imps"/>
    <n v="5786056"/>
    <n v="231442.24"/>
    <m/>
    <m/>
    <s v=" "/>
    <n v="0"/>
    <m/>
    <m/>
    <n v="5786056"/>
    <n v="5786056"/>
    <n v="0"/>
    <n v="0"/>
    <n v="1"/>
    <n v="0"/>
    <n v="0"/>
    <n v="0"/>
    <s v="Bill on Actuals - 3rd Party Performance"/>
    <n v="96862.36"/>
    <n v="8750000"/>
    <n v="350000"/>
    <s v="Allstate/Digital/Scatter/MWC/Q2-Q3'26"/>
    <n v="93830247"/>
    <s v="P2+"/>
    <s v="O-D2SOETU"/>
    <m/>
    <s v="Matt Frey"/>
    <s v="Guaranteed"/>
    <s v="DIO - LFV - TUB - Pre/Mid - MWC - DT/MB/CTV"/>
    <n v="127695"/>
    <d v="2026-06-30T00:00:00"/>
    <d v="2026-06-01T00:00:00"/>
    <d v="2026-07-19T00:00:00"/>
    <s v="Direct LFV"/>
    <m/>
    <d v="2026-07-05T12:53:18"/>
  </r>
  <r>
    <s v="STARCOM - CHI"/>
    <n v="11023"/>
    <n v="5567"/>
    <s v="ALLSTATE"/>
    <s v="Allstate/Digital/Scatter/MWC/Q2-Q3'26"/>
    <x v="153"/>
    <s v="Allstate - Run of World Cup Video - Package"/>
    <n v="582226"/>
    <s v="Allstate - DIO - ROV - FS - Pre/Mid - MWC - DT/MB/CTV"/>
    <n v="93830253"/>
    <s v="FOX Sports"/>
    <s v="CPM"/>
    <n v="40"/>
    <s v="3P Imps"/>
    <n v="2527113"/>
    <n v="101084.52"/>
    <m/>
    <m/>
    <s v=" "/>
    <s v=""/>
    <m/>
    <m/>
    <n v="2527113"/>
    <n v="2527113"/>
    <n v="0"/>
    <n v="0"/>
    <n v="1"/>
    <n v="0"/>
    <n v="0"/>
    <n v="0"/>
    <s v="Bill on Actuals - 3rd Party Performance"/>
    <n v="69187.399999999994"/>
    <n v="6250000"/>
    <n v="250000"/>
    <s v="Allstate/Digital/Scatter/MWC/Q2-Q3'26"/>
    <n v="93830247"/>
    <s v="P2+"/>
    <s v="O-D2SOETU"/>
    <m/>
    <s v="Matt Frey"/>
    <s v="Guaranteed"/>
    <s v="DIO - ROV - FS - Pre/Mid - MWC - DT/MB/CTV"/>
    <n v="127695"/>
    <d v="2026-06-30T00:00:00"/>
    <d v="2026-06-01T00:00:00"/>
    <d v="2026-07-19T00:00:00"/>
    <s v="Direct ROV"/>
    <m/>
    <d v="2026-07-05T12:53:18"/>
  </r>
  <r>
    <s v="STARCOM - CHI"/>
    <n v="11023"/>
    <n v="5567"/>
    <s v="ALLSTATE"/>
    <s v="Allstate/Digital/Scatter/MWC/Q2-Q3'26"/>
    <x v="153"/>
    <s v="Allstate - Run of World Cup Display - Package"/>
    <n v="582237"/>
    <s v="Allstate DIS - FS - Display Unit - MWC 728x90/300x250/320x50"/>
    <n v="7301849685"/>
    <s v="FOX Sports"/>
    <s v="Flat Rate"/>
    <n v="6"/>
    <s v="Bill on Contract"/>
    <n v="4166667"/>
    <n v="25000"/>
    <m/>
    <m/>
    <s v=" "/>
    <n v="0"/>
    <m/>
    <m/>
    <n v="0"/>
    <n v="0"/>
    <n v="0"/>
    <n v="0"/>
    <n v="1"/>
    <n v="0"/>
    <n v="0"/>
    <n v="0"/>
    <s v="Bill on Contract - Straightline"/>
    <n v="25000"/>
    <n v="16666667"/>
    <n v="100000"/>
    <s v="Allstate/Digital/Scatter/MWC/Q2-Q3'26"/>
    <n v="259301"/>
    <s v="P2+"/>
    <s v="O-D2SOETU"/>
    <m/>
    <s v="Matt Frey"/>
    <s v="Guaranteed"/>
    <s v="DIS - FS - Display Unit - MWC"/>
    <n v="127695"/>
    <d v="2026-06-30T00:00:00"/>
    <d v="2026-06-01T00:00:00"/>
    <d v="2026-07-19T00:00:00"/>
    <s v="Direct Display"/>
    <m/>
    <d v="2026-07-05T12:53:18"/>
  </r>
  <r>
    <s v="STARCOM - CHI"/>
    <n v="11023"/>
    <n v="8419"/>
    <s v="BANK OF AMERICA"/>
    <s v="Bank of America/Digital/Scatter/FOX Sports DAI/Q2-Q4'26"/>
    <x v="154"/>
    <s v="Bank of America - DIO - ROV - FS - Pre/Mid - ROS - DT/MB/CTV - Package"/>
    <n v="588479"/>
    <s v="Bank of America - DIO - ROV - FS - Pre/Mid - ROS - DT/MB/CTV"/>
    <n v="94373363"/>
    <s v="FOX Sports"/>
    <s v="CPM"/>
    <n v="23.76"/>
    <s v="3P CoView Imps"/>
    <n v="7086"/>
    <n v="168.36"/>
    <m/>
    <m/>
    <s v=" "/>
    <n v="0"/>
    <m/>
    <m/>
    <n v="6146"/>
    <n v="6146"/>
    <n v="7086"/>
    <n v="7086"/>
    <n v="1"/>
    <n v="1.1530579050097589"/>
    <n v="0"/>
    <n v="0"/>
    <s v="Bill on Actuals - 3rd Party Performance"/>
    <n v="17.55"/>
    <n v="17676768"/>
    <n v="420000.01"/>
    <s v="Bank of America/Digital/Scatter/FOX Sports DAI/Q2-Q4'26"/>
    <n v="94373360"/>
    <s v="P2+"/>
    <s v="O-D2T450I"/>
    <m/>
    <s v="Matt Frey"/>
    <s v="Guaranteed"/>
    <s v="DIO - ROV - FS - Pre/Mid - ROS - DT/MB/CTV"/>
    <n v="129915"/>
    <d v="2026-06-30T00:00:00"/>
    <d v="2026-05-28T00:00:00"/>
    <d v="2026-11-29T00:00:00"/>
    <s v="Direct ROV"/>
    <m/>
    <d v="2026-07-05T12:53:18"/>
  </r>
  <r>
    <s v="STARCOM - CHI"/>
    <n v="11023"/>
    <n v="8419"/>
    <s v="BANK OF AMERICA"/>
    <s v="Bank of America/Digital/Scatter/Men's World Cup/Q2-Q3'26"/>
    <x v="155"/>
    <s v="Bank of America - Premium Video Package: FOX Sports + Tubi - Package"/>
    <n v="590640"/>
    <s v="Bank of America - DIO - MWC - Fox.com + Tubi ROS - Rotational Video - Updated"/>
    <n v="104117"/>
    <s v="Fox Sports Sold Tubi"/>
    <s v="CPM"/>
    <n v="12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56.88"/>
    <n v="20416667"/>
    <n v="245000"/>
    <s v="Bank of America/Digital/Scatter/Men's World Cup/Q2-Q3'26"/>
    <n v="269931"/>
    <s v="P2+"/>
    <s v="O-D2U6KDA"/>
    <m/>
    <s v="Matt Frey"/>
    <s v="Guaranteed"/>
    <s v="DIO - MWC - Fox.com + Tubi ROS - Rotational Video - Updated"/>
    <n v="130464"/>
    <d v="2026-06-30T00:00:00"/>
    <d v="2026-06-22T00:00:00"/>
    <d v="2026-07-19T00:00:00"/>
    <s v="Direct Video"/>
    <m/>
    <d v="2026-07-05T12:53:18"/>
  </r>
  <r>
    <s v="STARCOM - CHI"/>
    <n v="11023"/>
    <n v="8419"/>
    <s v="BANK OF AMERICA"/>
    <s v="Bank of America/Digital/Scatter/Men's World Cup/Q2-Q3'26"/>
    <x v="155"/>
    <s v="Bank of America - Premium Video Package: FOX Sports + Tubi - Package"/>
    <n v="590640"/>
    <s v="Bank of America - DIO - ROV - FS - Pre/Mid - ROS - DT/MB/CTV"/>
    <n v="94484984"/>
    <s v="FOX Sports"/>
    <s v="CPM"/>
    <n v="12"/>
    <s v="3P CoView Imps"/>
    <n v="33954"/>
    <n v="407.45"/>
    <m/>
    <m/>
    <s v=" "/>
    <s v=""/>
    <m/>
    <m/>
    <n v="26680"/>
    <n v="26680"/>
    <n v="33954"/>
    <n v="33954"/>
    <n v="1"/>
    <n v="1.2726386806596699"/>
    <n v="0"/>
    <n v="0"/>
    <s v="Bill on Actuals - 3rd Party Performance"/>
    <n v="3.2"/>
    <n v="416667"/>
    <n v="5000"/>
    <s v="Bank of America/Digital/Scatter/Men's World Cup/Q2-Q3'26"/>
    <n v="94484979"/>
    <s v="P2+"/>
    <s v="O-D2U6KDA"/>
    <m/>
    <s v="Matt Frey"/>
    <s v="Guaranteed"/>
    <s v="DIO - ROV - FS - Pre/Mid - ROS - DT/MB/CTV"/>
    <n v="130464"/>
    <d v="2026-06-30T00:00:00"/>
    <d v="2026-06-22T00:00:00"/>
    <d v="2026-07-19T00:00:00"/>
    <s v="Direct ROV"/>
    <m/>
    <d v="2026-07-05T12:53:18"/>
  </r>
  <r>
    <s v="STARCOM - CHI"/>
    <n v="11023"/>
    <n v="8419"/>
    <s v="BANK OF AMERICA"/>
    <s v="Bank of America/Digital/Scatter/Men's World Cup/Q2-Q3'26"/>
    <x v="155"/>
    <s v="Bank of America - Run of World Cup Video Hub Premium Video - WC Hub ROS"/>
    <n v="592087"/>
    <s v="Bank of America - DIO - LFV - TUB - Pre/Mid - MWC - DT/MB/CTV"/>
    <n v="94484991"/>
    <s v="Fox Sold Tubi"/>
    <s v="CPM"/>
    <n v="19.25"/>
    <s v="3P Imps"/>
    <n v="930477"/>
    <n v="17911.68"/>
    <m/>
    <m/>
    <s v=" "/>
    <n v="0"/>
    <m/>
    <m/>
    <n v="930477"/>
    <n v="930477"/>
    <n v="0"/>
    <n v="0"/>
    <n v="1"/>
    <n v="0"/>
    <n v="0"/>
    <n v="0"/>
    <s v="Bill on Actuals - 3rd Party Performance"/>
    <n v="8955.84"/>
    <n v="10389611"/>
    <n v="200000.01"/>
    <s v="Bank of America/Digital/Scatter/Men's World Cup/Q2-Q3'26"/>
    <n v="94484979"/>
    <s v="P2+"/>
    <s v="O-D2U6KDA"/>
    <m/>
    <s v="Matt Frey"/>
    <s v="Guaranteed"/>
    <s v="DIO - LFV - TUB - Pre/Mid - MWC - DT/MB/CTV"/>
    <n v="130464"/>
    <d v="2026-06-30T00:00:00"/>
    <d v="2026-06-22T00:00:00"/>
    <d v="2026-07-19T00:00:00"/>
    <s v="Direct LFV"/>
    <m/>
    <d v="2026-07-05T12:53:18"/>
  </r>
  <r>
    <s v="STARCOM - CHI"/>
    <n v="11023"/>
    <n v="7877"/>
    <s v="BEST BUY"/>
    <s v="BEST BUY/DIGITAL/TUBI/FOXSPORTS/MENSWORLDCUP/2Q-3Q'26/SC"/>
    <x v="156"/>
    <s v="Best Buy - Run of World Cup Video - Package"/>
    <n v="589891"/>
    <s v="Best Buy - DIO - LFV - TUB - Pre/Mid - MWC - DT/MB/CTV"/>
    <n v="94517992"/>
    <s v="Fox Sold Tubi"/>
    <s v="CPM"/>
    <n v="40"/>
    <s v="3P Imps"/>
    <n v="828997"/>
    <n v="33159.879999999997"/>
    <m/>
    <m/>
    <s v=" "/>
    <n v="0"/>
    <m/>
    <m/>
    <n v="828997"/>
    <n v="828997"/>
    <n v="0"/>
    <n v="0"/>
    <n v="1"/>
    <n v="0"/>
    <n v="0"/>
    <n v="0"/>
    <s v="Bill on Actuals - 3rd Party Performance"/>
    <n v="16204.47"/>
    <n v="1250000"/>
    <n v="50000"/>
    <s v="BEST BUY/DIGITAL/TUBI/FOXSPORTS/MENSWORLDCUP/2Q-3Q'26/SC"/>
    <n v="94517989"/>
    <s v="P2+"/>
    <s v="O-D318AHU"/>
    <m/>
    <s v="Tim Wodzisz"/>
    <s v="Guaranteed"/>
    <s v="DIO - LFV - TUB - Pre/Mid - MWC - DT/MB/CTV"/>
    <n v="130553"/>
    <d v="2026-06-30T00:00:00"/>
    <d v="2026-06-15T00:00:00"/>
    <d v="2026-07-19T00:00:00"/>
    <s v="Direct LFV"/>
    <m/>
    <d v="2026-07-05T12:53:18"/>
  </r>
  <r>
    <s v="STARCOM - CHI"/>
    <n v="11023"/>
    <n v="7877"/>
    <s v="BEST BUY"/>
    <s v="BEST BUY/DIGITAL/TUBI/FOXSPORTS/MENSWORLDCUP/2Q-3Q'26/SC"/>
    <x v="156"/>
    <s v="Best Buy - Run of World Cup Video - Package"/>
    <n v="589891"/>
    <s v="Best Buy - DIO - ROV - FS - Pre/Mid - MWC - DT/MB/CTV"/>
    <n v="94517995"/>
    <s v="FOX Sports"/>
    <s v="CPM"/>
    <n v="40"/>
    <s v="3P Imps"/>
    <n v="841699"/>
    <n v="33667.96"/>
    <m/>
    <m/>
    <s v=" "/>
    <s v=""/>
    <m/>
    <m/>
    <n v="841699"/>
    <n v="841699"/>
    <n v="0"/>
    <n v="0"/>
    <n v="1"/>
    <n v="0"/>
    <n v="0"/>
    <n v="0"/>
    <s v="Bill on Actuals - 3rd Party Performance"/>
    <n v="16204.47"/>
    <n v="1250000"/>
    <n v="50000"/>
    <s v="BEST BUY/DIGITAL/TUBI/FOXSPORTS/MENSWORLDCUP/2Q-3Q'26/SC"/>
    <n v="94517989"/>
    <s v="P2+"/>
    <s v="O-D318AHU"/>
    <m/>
    <s v="Tim Wodzisz"/>
    <s v="Guaranteed"/>
    <s v="DIO - ROV - FS - Pre/Mid - MWC - DT/MB/CTV"/>
    <n v="130553"/>
    <d v="2026-06-30T00:00:00"/>
    <d v="2026-06-15T00:00:00"/>
    <d v="2026-07-19T00:00:00"/>
    <s v="Direct ROV"/>
    <m/>
    <d v="2026-07-05T12:53:18"/>
  </r>
  <r>
    <s v="STARCOM - CHI"/>
    <n v="11023"/>
    <n v="7877"/>
    <s v="BEST BUY"/>
    <s v="BEST BUY/DIGITAL/TUBI/FOXSPORTS/MENSWORLDCUP/2Q-3Q'26/SC"/>
    <x v="156"/>
    <s v="Best Buy - DIO - LFV - Tubi - Pre/Mid - ROS - DT/MB/CTV - FW - AAT"/>
    <n v="590703"/>
    <s v="Best Buy - DIO - LFV - Tubi - Pre/Mid - ROS - DT/MB/CTV - FW - AAT"/>
    <n v="94517999"/>
    <s v="Fox Sold Tubi"/>
    <s v="CPM"/>
    <n v="16.73"/>
    <s v="3P Audience Target"/>
    <n v="2501020"/>
    <n v="41842.06"/>
    <m/>
    <m/>
    <s v=" "/>
    <n v="0"/>
    <m/>
    <m/>
    <n v="2501020"/>
    <n v="2501020"/>
    <n v="0"/>
    <n v="0"/>
    <n v="1"/>
    <n v="0"/>
    <n v="0"/>
    <n v="0"/>
    <s v="Bill on Actuals - 3rd Party Performance"/>
    <n v="41785.67"/>
    <n v="5977287"/>
    <n v="100000.01"/>
    <s v="BEST BUY/DIGITAL/TUBI/FOXSPORTS/MENSWORLDCUP/2Q-3Q'26/SC"/>
    <n v="94517989"/>
    <s v="Audience Target"/>
    <s v="O-D318AHU"/>
    <m/>
    <s v="Tim Wodzisz"/>
    <s v="Guaranteed"/>
    <s v="DIO - LFV - Tubi - Pre/Mid - ROS - DT/MB/CTV - FW"/>
    <n v="130553"/>
    <d v="2026-06-30T00:00:00"/>
    <d v="2026-06-15T00:00:00"/>
    <d v="2026-07-26T00:00:00"/>
    <s v="Direct LFV"/>
    <m/>
    <d v="2026-07-05T12:53:18"/>
  </r>
  <r>
    <s v="STARCOM - CHI"/>
    <n v="11023"/>
    <n v="3709"/>
    <s v="DIRECTV"/>
    <s v="DIRECTV/DIGITAL SCATTER/25 26/MWC/X AMPLIFY - WC PORTAL"/>
    <x v="157"/>
    <s v="DTV World Cup Social Sponsorship Content - Package - X JUNE"/>
    <n v="583235"/>
    <s v="DTV DIO - SOC - FOX Sports - X - MWC JUNE"/>
    <n v="583237"/>
    <s v="FOX Sports - Twitter"/>
    <s v="Flat Rate"/>
    <n v="833333.5"/>
    <s v="Bill on Contract"/>
    <n v="0"/>
    <n v="153061.22"/>
    <m/>
    <m/>
    <s v=" "/>
    <n v="0"/>
    <m/>
    <m/>
    <n v="0"/>
    <n v="0"/>
    <n v="0"/>
    <n v="0"/>
    <n v="1"/>
    <n v="0"/>
    <n v="0"/>
    <n v="0"/>
    <s v="Bill on Contract - Pro-rated"/>
    <n v="153061.22"/>
    <n v="1"/>
    <n v="833333.5"/>
    <s v="DIRECTV/DIGITAL SCATTER/25 26/MWC/X AMPLIFY - WC PORTAL"/>
    <n v="265069"/>
    <s v="P2+"/>
    <s v="O-D2N5AD0"/>
    <m/>
    <s v="Lisa Geraldson"/>
    <s v="Guaranteed"/>
    <s v="DIO - SOC - FOX Sports - X - MWC"/>
    <n v="120776"/>
    <d v="2026-06-30T00:00:00"/>
    <d v="2026-06-08T00:00:00"/>
    <d v="2026-06-30T00:00:00"/>
    <s v="Social X"/>
    <m/>
    <d v="2026-07-05T12:53:18"/>
  </r>
  <r>
    <s v="STARCOM - CHI"/>
    <n v="11023"/>
    <n v="3709"/>
    <s v="DIRECTV"/>
    <s v="DIRECTV/DIGITAL SCATTER/25 26/MWC/X AMPLIFY - WC PORTAL"/>
    <x v="157"/>
    <s v="DTV World Cup Social Sponsorship Content - Package JUNE"/>
    <n v="592494"/>
    <s v="DTV DIO - SOC - FOX Sports - Facebook/Instagram - MWC JUNE"/>
    <n v="592495"/>
    <s v="FOX Sports - FB-Inst"/>
    <s v="Cost Per Unit"/>
    <n v="0.15"/>
    <s v="1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555555"/>
    <n v="83333.25"/>
    <s v="DIRECTV/DIGITAL SCATTER/25 26/MWC/X AMPLIFY - WC PORTAL"/>
    <n v="265069"/>
    <s v="P2+"/>
    <s v="O-D2N5AD0"/>
    <m/>
    <s v="Lisa Geraldson"/>
    <s v="Guaranteed"/>
    <s v="DIO - SOC - FOX Sports - Facebook/Instagram - MWC"/>
    <m/>
    <d v="2026-06-30T00:00:00"/>
    <d v="2026-06-08T00:00:00"/>
    <d v="2026-06-30T00:00:00"/>
    <s v="Social Facebook/Instagram"/>
    <m/>
    <d v="2026-07-05T12:53:18"/>
  </r>
  <r>
    <s v="STARCOM - CHI"/>
    <n v="11023"/>
    <n v="3709"/>
    <s v="DIRECTV"/>
    <s v="DIRECTV/DIGITAL SCATTER/25 26/MWC/X AMPLIFY - WC PORTAL"/>
    <x v="157"/>
    <s v="DTV World Cup Social Sponsorship Content - Package JUNE"/>
    <n v="592494"/>
    <s v="DTV DIO - SOC - FOX Sports - TikTok - MWC JUNE"/>
    <n v="592498"/>
    <s v="FOX Sports - TikTok"/>
    <s v="Cost Per Unit"/>
    <n v="0.15"/>
    <s v="1P Imps"/>
    <n v="0"/>
    <n v="0"/>
    <m/>
    <m/>
    <s v=" "/>
    <s v=""/>
    <m/>
    <m/>
    <n v="0"/>
    <n v="0"/>
    <n v="0"/>
    <n v="0"/>
    <n v="1"/>
    <n v="0"/>
    <n v="0"/>
    <n v="0"/>
    <s v="Bill on Actuals - 3rd Party Performance"/>
    <n v="0"/>
    <n v="555555"/>
    <n v="83333.25"/>
    <s v="DIRECTV/DIGITAL SCATTER/25 26/MWC/X AMPLIFY - WC PORTAL"/>
    <n v="265069"/>
    <s v="P2+"/>
    <s v="O-D2N5AD0"/>
    <m/>
    <s v="Lisa Geraldson"/>
    <s v="Guaranteed"/>
    <s v="DIO - SOC - FOX Sports - TikTok - MWC"/>
    <m/>
    <d v="2026-06-30T00:00:00"/>
    <d v="2026-06-08T00:00:00"/>
    <d v="2026-06-30T00:00:00"/>
    <s v="Social TikTok"/>
    <m/>
    <d v="2026-07-05T12:53:18"/>
  </r>
  <r>
    <s v="STARCOM - CHI"/>
    <n v="11023"/>
    <n v="3709"/>
    <s v="DIRECTV"/>
    <s v="DTV/Digital/Deportes MLB/X Amplify/2526/Scatter"/>
    <x v="158"/>
    <s v="DTV - DIO - SOC - FOX Sports - X - FOXD"/>
    <n v="587884"/>
    <s v="DTV - DIO - SOC - FOX Sports - X - FOXD"/>
    <n v="587884"/>
    <s v="Deportes - Digital"/>
    <s v="Flat Rate"/>
    <n v="250000.5"/>
    <s v="Bill on Contract"/>
    <n v="0"/>
    <n v="49019.71"/>
    <m/>
    <m/>
    <s v=" "/>
    <n v="0"/>
    <m/>
    <m/>
    <n v="0"/>
    <n v="0"/>
    <n v="0"/>
    <n v="0"/>
    <n v="1"/>
    <n v="0"/>
    <n v="0"/>
    <n v="0"/>
    <s v="Bill on Contract - Pro-rated"/>
    <n v="49019.71"/>
    <n v="0"/>
    <n v="250000.5"/>
    <s v="DTV/Digital/Deportes MLB/X Amplify/2526/Scatter"/>
    <n v="265056"/>
    <s v="P2+"/>
    <s v="O-D2N5AMH"/>
    <m/>
    <s v="Diana Montenegro"/>
    <s v="Guaranteed"/>
    <s v="DIO - SOC - FOX Sports - X - FOXD"/>
    <n v="121539"/>
    <d v="2026-06-30T00:00:00"/>
    <d v="2026-04-01T00:00:00"/>
    <d v="2026-10-31T00:00:00"/>
    <s v="Social X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11 - OMP"/>
    <n v="579585"/>
    <s v="MCD - DIS - FS - Display Unit - ROS - Sponsorship - 300x250 - 6/11 - OMP"/>
    <n v="7318704120"/>
    <s v="FOX Sports"/>
    <s v="Flat Rate"/>
    <n v="75000"/>
    <s v="Bill on Contract"/>
    <n v="500"/>
    <n v="37500"/>
    <m/>
    <m/>
    <s v=" "/>
    <n v="0"/>
    <m/>
    <m/>
    <n v="0"/>
    <n v="0"/>
    <n v="0"/>
    <n v="0"/>
    <n v="1"/>
    <n v="0"/>
    <n v="0"/>
    <n v="0"/>
    <s v="Bill on Contract - Pro-rated"/>
    <n v="37500"/>
    <n v="1"/>
    <n v="75000"/>
    <s v="McDonalds/Digital/Scatter/Sports/World Cup '26"/>
    <n v="259726"/>
    <s v="P2+"/>
    <s v="O-D2SB5JU"/>
    <m/>
    <s v="Lisa Geraldson"/>
    <s v="Guaranteed"/>
    <s v="DIS - FS - Display Unit - ROS - Sponsorship"/>
    <n v="129276"/>
    <d v="2026-06-30T00:00:00"/>
    <d v="2026-06-11T00:00:00"/>
    <d v="2026-06-11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11 - OMP"/>
    <n v="579585"/>
    <s v="MCD - DIS - FS - Display Unit - ROS - Sponsorship - 300x600 - 6/11 - OMP"/>
    <n v="7318703997"/>
    <s v="FOX Sports"/>
    <s v="Flat Rate"/>
    <n v="75000"/>
    <s v="Bill on Contract"/>
    <n v="500"/>
    <n v="37500"/>
    <m/>
    <m/>
    <s v=" "/>
    <s v=""/>
    <m/>
    <m/>
    <n v="0"/>
    <n v="0"/>
    <n v="0"/>
    <n v="0"/>
    <n v="1"/>
    <n v="0"/>
    <n v="0"/>
    <n v="0"/>
    <s v="Bill on Contract - Pro-rated"/>
    <n v="37500"/>
    <n v="1"/>
    <n v="75000"/>
    <s v="McDonalds/Digital/Scatter/Sports/World Cup '26"/>
    <n v="259726"/>
    <s v="P2+"/>
    <s v="O-D2SB5JU"/>
    <m/>
    <s v="Lisa Geraldson"/>
    <s v="Guaranteed"/>
    <s v="DIS - FS - Display Unit - ROS - Sponsorship"/>
    <n v="129276"/>
    <d v="2026-06-30T00:00:00"/>
    <d v="2026-06-11T00:00:00"/>
    <d v="2026-06-11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11 - OMP"/>
    <n v="579585"/>
    <s v="MCD - DIS - FS - Display Unit - ROS - Sponsorship - 320x50 - 6/11 - OMP"/>
    <n v="7322601986"/>
    <s v="FOX Sports"/>
    <s v="Flat Rate"/>
    <n v="75000"/>
    <s v="Bill on Contract"/>
    <n v="500"/>
    <n v="37500"/>
    <m/>
    <m/>
    <s v=" "/>
    <s v=""/>
    <m/>
    <m/>
    <n v="0"/>
    <n v="0"/>
    <n v="0"/>
    <n v="0"/>
    <n v="1"/>
    <n v="0"/>
    <n v="0"/>
    <n v="0"/>
    <s v="Bill on Contract - Pro-rated"/>
    <n v="37500"/>
    <n v="1"/>
    <n v="75000"/>
    <s v="McDonalds/Digital/Scatter/Sports/World Cup '26"/>
    <n v="259726"/>
    <s v="P2+"/>
    <s v="O-D2SB5JU"/>
    <m/>
    <s v="Lisa Geraldson"/>
    <s v="Guaranteed"/>
    <s v="DIS - FS - Display Unit - ROS - Sponsorship"/>
    <n v="129276"/>
    <d v="2026-06-30T00:00:00"/>
    <d v="2026-06-11T00:00:00"/>
    <d v="2026-06-11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11 - OMP"/>
    <n v="579585"/>
    <s v="MCD - DIS - FS - Display Unit - ROS - Sponsorship - 728x90 - 6/11 - OMP"/>
    <n v="7318703937"/>
    <s v="FOX Sports"/>
    <s v="Flat Rate"/>
    <n v="75000"/>
    <s v="Bill on Contract"/>
    <n v="500"/>
    <n v="37500"/>
    <m/>
    <m/>
    <s v=" "/>
    <s v=""/>
    <m/>
    <m/>
    <n v="0"/>
    <n v="0"/>
    <n v="0"/>
    <n v="0"/>
    <n v="1"/>
    <n v="0"/>
    <n v="0"/>
    <n v="0"/>
    <s v="Bill on Contract - Pro-rated"/>
    <n v="37500"/>
    <n v="1"/>
    <n v="75000"/>
    <s v="McDonalds/Digital/Scatter/Sports/World Cup '26"/>
    <n v="259726"/>
    <s v="P2+"/>
    <s v="O-D2SB5JU"/>
    <m/>
    <s v="Lisa Geraldson"/>
    <s v="Guaranteed"/>
    <s v="DIS - FS - Display Unit - ROS - Sponsorship"/>
    <n v="129276"/>
    <d v="2026-06-30T00:00:00"/>
    <d v="2026-06-11T00:00:00"/>
    <d v="2026-06-11T00:00:00"/>
    <s v="Direct Display"/>
    <m/>
    <d v="2026-07-05T12:53:18"/>
  </r>
  <r>
    <s v="STARCOM - CHI"/>
    <n v="11023"/>
    <n v="6130"/>
    <s v="MCDONALDS"/>
    <s v="McDonalds/Digital/Scatter/Sports/World Cup '26"/>
    <x v="159"/>
    <s v="MCD - Run of World Cup Video - Package - OMP"/>
    <n v="581035"/>
    <s v="MCD - DIO - LFV - TUB - Pre/Mid - MWC - DT/MB/CTV - OMP"/>
    <n v="94257760"/>
    <s v="Fox Sold Tubi"/>
    <s v="CPM"/>
    <n v="40"/>
    <s v="3P Imps"/>
    <n v="6343107"/>
    <n v="253724.28"/>
    <m/>
    <m/>
    <s v=" "/>
    <n v="0"/>
    <m/>
    <m/>
    <n v="6343107"/>
    <n v="6343107"/>
    <n v="0"/>
    <n v="0"/>
    <n v="1"/>
    <n v="0"/>
    <n v="0"/>
    <n v="0"/>
    <s v="Bill on Actuals - 3rd Party Performance"/>
    <n v="127569.65"/>
    <n v="9625000"/>
    <n v="385000"/>
    <s v="McDonalds/Digital/Scatter/Sports/World Cup '26"/>
    <n v="94257757"/>
    <s v="P2+"/>
    <s v="O-D2SB5JU"/>
    <m/>
    <s v="Lisa Geraldson"/>
    <s v="Guaranteed"/>
    <s v="DIO - LFV - TUB - Pre/Mid - MWC - DT/MB/CTV"/>
    <n v="129276"/>
    <d v="2026-06-30T00:00:00"/>
    <d v="2026-06-09T00:00:00"/>
    <d v="2026-07-19T00:00:00"/>
    <s v="Direct LFV"/>
    <m/>
    <d v="2026-07-05T12:53:18"/>
  </r>
  <r>
    <s v="STARCOM - CHI"/>
    <n v="11023"/>
    <n v="6130"/>
    <s v="MCDONALDS"/>
    <s v="McDonalds/Digital/Scatter/Sports/World Cup '26"/>
    <x v="159"/>
    <s v="MCD - Run of World Cup Video - Package - OMP"/>
    <n v="581035"/>
    <s v="MCD - DIO - ROV - FS - Pre/Mid - MWC - DT/MB/CTV - OMP"/>
    <n v="94257763"/>
    <s v="FOX Sports"/>
    <s v="CPM"/>
    <n v="40"/>
    <s v="3P Imps"/>
    <n v="2778576"/>
    <n v="111143.03999999999"/>
    <m/>
    <m/>
    <s v=" "/>
    <s v=""/>
    <m/>
    <m/>
    <n v="2778576"/>
    <n v="2778576"/>
    <n v="0"/>
    <n v="0"/>
    <n v="1"/>
    <n v="0"/>
    <n v="0"/>
    <n v="0"/>
    <s v="Bill on Actuals - 3rd Party Performance"/>
    <n v="54672.71"/>
    <n v="4125000"/>
    <n v="165000"/>
    <s v="McDonalds/Digital/Scatter/Sports/World Cup '26"/>
    <n v="94257757"/>
    <s v="P2+"/>
    <s v="O-D2SB5JU"/>
    <m/>
    <s v="Lisa Geraldson"/>
    <s v="Guaranteed"/>
    <s v="DIO - ROV - FS - Pre/Mid - MWC - DT/MB/CTV"/>
    <n v="129276"/>
    <d v="2026-06-30T00:00:00"/>
    <d v="2026-06-09T00:00:00"/>
    <d v="2026-07-19T00:00:00"/>
    <s v="Direct ROV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30 - OMP MG"/>
    <n v="596271"/>
    <s v="MCD - DIS - FS - Display Unit - ROS - Sponsorship - 300x250 - 6/30 - OMP MG"/>
    <n v="7351517428"/>
    <s v="FOX Sports"/>
    <s v="Flat Rate"/>
    <n v="7500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McDonalds/Digital/Scatter/Sports/World Cup '26"/>
    <n v="259726"/>
    <s v="P2+"/>
    <s v="O-D2SB5JU"/>
    <m/>
    <s v="Lisa Geraldson"/>
    <s v="Make Good"/>
    <s v="DIS - FS - Display Unit - ROS - Sponsorship"/>
    <n v="129276"/>
    <d v="2026-06-30T00:00:00"/>
    <d v="2026-06-30T00:00:00"/>
    <d v="2026-06-30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30 - OMP MG"/>
    <n v="596271"/>
    <s v="MCD - DIS - FS - Display Unit - ROS - Sponsorship - 300x600 - 6/30 - OMP MG"/>
    <n v="7348936533"/>
    <s v="FOX Sports"/>
    <s v="Flat Rate"/>
    <n v="75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0"/>
    <s v="McDonalds/Digital/Scatter/Sports/World Cup '26"/>
    <n v="259726"/>
    <s v="P2+"/>
    <s v="O-D2SB5JU"/>
    <m/>
    <s v="Lisa Geraldson"/>
    <s v="Make Good"/>
    <s v="DIS - FS - Display Unit - ROS - Sponsorship"/>
    <n v="129276"/>
    <d v="2026-06-30T00:00:00"/>
    <d v="2026-06-30T00:00:00"/>
    <d v="2026-06-30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30 - OMP MG"/>
    <n v="596271"/>
    <s v="MCD - DIS - FS - Display Unit - ROS - Sponsorship - 320x50 - 6/30 - OMP MG"/>
    <n v="7348935291"/>
    <s v="FOX Sports"/>
    <s v="Flat Rate"/>
    <n v="75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0"/>
    <s v="McDonalds/Digital/Scatter/Sports/World Cup '26"/>
    <n v="259726"/>
    <s v="P2+"/>
    <s v="O-D2SB5JU"/>
    <m/>
    <s v="Lisa Geraldson"/>
    <s v="Make Good"/>
    <s v="DIS - FS - Display Unit - ROS - Sponsorship"/>
    <n v="129276"/>
    <d v="2026-06-30T00:00:00"/>
    <d v="2026-06-30T00:00:00"/>
    <d v="2026-06-30T00:00:00"/>
    <s v="Direct Display"/>
    <m/>
    <d v="2026-07-05T12:53:18"/>
  </r>
  <r>
    <s v="STARCOM - CHI"/>
    <n v="11023"/>
    <n v="6130"/>
    <s v="MCDONALDS"/>
    <s v="McDonalds/Digital/Scatter/Sports/World Cup '26"/>
    <x v="159"/>
    <s v="MCD - World Cup FOX Sports Site &amp; App Takeover - Package - 6/30 - OMP MG"/>
    <n v="596271"/>
    <s v="MCD - DIS - FS - Display Unit - ROS - Sponsorship - 728x90 - 6/30 - OMP MG"/>
    <n v="7351517434"/>
    <s v="FOX Sports"/>
    <s v="Flat Rate"/>
    <n v="75000"/>
    <s v="Bill on Contract"/>
    <n v="0"/>
    <n v="0"/>
    <m/>
    <m/>
    <s v=" "/>
    <s v=""/>
    <m/>
    <m/>
    <n v="0"/>
    <n v="0"/>
    <n v="0"/>
    <n v="0"/>
    <n v="1"/>
    <n v="0"/>
    <n v="0"/>
    <n v="0"/>
    <s v="Bill on Contract - Pro-rated"/>
    <n v="0"/>
    <n v="1"/>
    <n v="0"/>
    <s v="McDonalds/Digital/Scatter/Sports/World Cup '26"/>
    <n v="259726"/>
    <s v="P2+"/>
    <s v="O-D2SB5JU"/>
    <m/>
    <s v="Lisa Geraldson"/>
    <s v="Make Good"/>
    <s v="DIS - FS - Display Unit - ROS - Sponsorship"/>
    <n v="129276"/>
    <d v="2026-06-30T00:00:00"/>
    <d v="2026-06-30T00:00:00"/>
    <d v="2026-06-30T00:00:00"/>
    <s v="Direct Display"/>
    <m/>
    <d v="2026-07-05T12:53:18"/>
  </r>
  <r>
    <s v="STARCOM - NY"/>
    <n v="11565"/>
    <n v="7664"/>
    <s v="ANHEUSER BUSCH"/>
    <s v="AB/DIGITAL/SCATTER/SPORTS/MWC"/>
    <x v="160"/>
    <s v="Anheuser-Busch - OMP - World Cup Social Sponsorship Content - Player of the Match - 2026 Package"/>
    <n v="581380"/>
    <s v="Anheuser-Busch - DIO - SOC - FOX Sports - Facebook/Instagram - MWC - 2026"/>
    <n v="581381"/>
    <s v="FOX Sports - FB-Inst"/>
    <s v="Flat Rate"/>
    <n v="484708"/>
    <s v="Bill on Contract"/>
    <n v="0"/>
    <n v="148380"/>
    <m/>
    <m/>
    <s v=" "/>
    <n v="0"/>
    <m/>
    <m/>
    <n v="0"/>
    <n v="0"/>
    <n v="0"/>
    <n v="0"/>
    <n v="1"/>
    <n v="0"/>
    <n v="0"/>
    <n v="0"/>
    <s v="Bill on Contract - Pro-rated"/>
    <n v="148380"/>
    <n v="1"/>
    <n v="484708"/>
    <s v="AB/DIGITAL/SCATTER/SPORTS/MWC"/>
    <n v="259270"/>
    <s v="P2+"/>
    <s v="O-D2UBO73-R1"/>
    <m/>
    <s v="Janna Goldstein"/>
    <s v="Guaranteed"/>
    <s v="DIO - SOC - FOX Sports - Facebook/Instagram - MWC"/>
    <n v="128025"/>
    <d v="2026-06-30T00:00:00"/>
    <d v="2026-06-01T00:00:00"/>
    <d v="2026-07-19T00:00:00"/>
    <s v="Social Facebook/Instagram"/>
    <m/>
    <d v="2026-07-05T12:53:18"/>
  </r>
  <r>
    <s v="STARCOM - NY"/>
    <n v="11565"/>
    <n v="7664"/>
    <s v="ANHEUSER BUSCH"/>
    <s v="AB/DIGITAL/SCATTER/SPORTS/MWC"/>
    <x v="160"/>
    <s v="Anheuser-Busch - OMP - World Cup Social Sponsorship Content - Player of the Match - 2026 Package"/>
    <n v="581380"/>
    <s v="Anheuser-Busch - DIO - SOC - FOX Sports - TikTok - MWC - 2026"/>
    <n v="581384"/>
    <s v="FOX Sports - TikTok"/>
    <s v="Flat Rate"/>
    <n v="484708"/>
    <s v="Bill on Contract"/>
    <n v="0"/>
    <n v="148380"/>
    <m/>
    <m/>
    <s v=" "/>
    <s v=""/>
    <m/>
    <m/>
    <n v="0"/>
    <n v="0"/>
    <n v="0"/>
    <n v="0"/>
    <n v="1"/>
    <n v="0"/>
    <n v="0"/>
    <n v="0"/>
    <s v="Bill on Contract - Pro-rated"/>
    <n v="148380"/>
    <n v="1"/>
    <n v="484708"/>
    <s v="AB/DIGITAL/SCATTER/SPORTS/MWC"/>
    <n v="259270"/>
    <s v="P2+"/>
    <s v="O-D2UBO73-R1"/>
    <m/>
    <s v="Janna Goldstein"/>
    <s v="Guaranteed"/>
    <s v="DIO - SOC - FOX Sports - TikTok - MWC"/>
    <n v="128025"/>
    <d v="2026-06-30T00:00:00"/>
    <d v="2026-06-01T00:00:00"/>
    <d v="2026-07-19T00:00:00"/>
    <s v="Social TikTok"/>
    <m/>
    <d v="2026-07-05T12:53:18"/>
  </r>
  <r>
    <s v="STARCOM - NY"/>
    <n v="11565"/>
    <n v="7664"/>
    <s v="ANHEUSER BUSCH"/>
    <s v="AB/DIGITAL/SCATTER/SPORTS/MWC"/>
    <x v="160"/>
    <s v="Anheuser-Busch - OMP - World Cup Social Sponsorship Content - Player of the Match - 2026 Package"/>
    <n v="581380"/>
    <s v="Anheuser-Busch - DIO - SOC - FOX Sports - Youtube - Custom Content - MWC - 2026"/>
    <n v="581383"/>
    <s v="FOX Sports"/>
    <s v="Flat Rate"/>
    <n v="484708"/>
    <s v="Bill on Contract"/>
    <n v="0"/>
    <n v="148380"/>
    <m/>
    <m/>
    <s v=" "/>
    <s v=""/>
    <m/>
    <m/>
    <n v="0"/>
    <n v="0"/>
    <n v="0"/>
    <n v="0"/>
    <n v="1"/>
    <n v="0"/>
    <n v="0"/>
    <n v="0"/>
    <s v="Bill on Contract - Pro-rated"/>
    <n v="148380"/>
    <n v="1"/>
    <n v="484708"/>
    <s v="AB/DIGITAL/SCATTER/SPORTS/MWC"/>
    <n v="259270"/>
    <s v="P2+"/>
    <s v="O-D2UBO73-R1"/>
    <m/>
    <s v="Janna Goldstein"/>
    <s v="Guaranteed"/>
    <s v="DIO - SOC - FOX Sports - Youtube - Custom Content - MWC"/>
    <n v="128025"/>
    <d v="2026-06-30T00:00:00"/>
    <d v="2026-06-01T00:00:00"/>
    <d v="2026-07-19T00:00:00"/>
    <s v="Social"/>
    <m/>
    <d v="2026-07-05T12:53:18"/>
  </r>
  <r>
    <s v="STARCOM - NY"/>
    <n v="11565"/>
    <n v="7664"/>
    <s v="ANHEUSER BUSCH"/>
    <s v="AB/DIGITAL/SCATTER/SPORTS/MWC/X AMPLIFY"/>
    <x v="161"/>
    <s v="Anheuser Busch - OMP - World Cup Social Sponsorship Content - X Amplify - 2026 Package"/>
    <n v="581387"/>
    <s v="Anheuser Busch - OMP - DIO - SOC - FOX Sports - X Amplify - MWC - 2026"/>
    <n v="581389"/>
    <s v="FOX Sports - Twitter"/>
    <s v="Flat Rate"/>
    <n v="500000"/>
    <s v="Bill on Contract"/>
    <n v="0"/>
    <n v="153061.22"/>
    <m/>
    <m/>
    <s v=" "/>
    <n v="0"/>
    <m/>
    <m/>
    <n v="0"/>
    <n v="0"/>
    <n v="0"/>
    <n v="0"/>
    <n v="1"/>
    <n v="0"/>
    <n v="0"/>
    <n v="0"/>
    <s v="Bill on Contract - Pro-rated"/>
    <n v="153061.22"/>
    <n v="1"/>
    <n v="500000"/>
    <s v="AB/DIGITAL/SCATTER/SPORTS/MWC/X AMPLIFY"/>
    <n v="266911"/>
    <s v="P2+"/>
    <s v="O-D2RNHU8-R1"/>
    <m/>
    <s v="Janna Goldstein"/>
    <s v="Guaranteed"/>
    <s v="DIO - SOC - FOX Sports - X - MWC"/>
    <n v="125698"/>
    <d v="2026-06-30T00:00:00"/>
    <d v="2026-06-01T00:00:00"/>
    <d v="2026-07-19T00:00:00"/>
    <s v="Social X"/>
    <m/>
    <d v="2026-07-05T12:53:18"/>
  </r>
  <r>
    <s v="STARCOM - NY"/>
    <n v="11565"/>
    <n v="9050"/>
    <s v="FCA NORTH AMERICA HOLDINGS"/>
    <s v="FCA(Stellantis)/DIGITAL/SCATTER/SPORTS/MWC"/>
    <x v="162"/>
    <s v="Stellantis - Run of World Cup Video + Tubi - Package 2026"/>
    <n v="582769"/>
    <s v="Stellantis - DIO - LFV - TUB - Pre/Mid - MWC - DT/MB/CTV - 2026"/>
    <n v="93502261"/>
    <s v="Fox Sold Tubi"/>
    <s v="CPM"/>
    <n v="40"/>
    <s v="3P Imps"/>
    <n v="8072217"/>
    <n v="322888.68"/>
    <m/>
    <m/>
    <s v=" "/>
    <n v="0"/>
    <m/>
    <m/>
    <n v="8072217"/>
    <n v="8072217"/>
    <n v="0"/>
    <n v="0"/>
    <n v="1"/>
    <n v="0"/>
    <n v="0"/>
    <n v="0"/>
    <s v="Bill on Actuals - 3rd Party Performance"/>
    <n v="162803.49"/>
    <n v="12250000"/>
    <n v="490000"/>
    <s v="FCA(Stellantis)/DIGITAL/SCATTER/SPORTS/MWC"/>
    <n v="93502245"/>
    <s v="P2+"/>
    <s v="O-D2SBAJ4-R1"/>
    <m/>
    <s v="Janna Goldstein"/>
    <s v="Guaranteed"/>
    <s v="DIO - LFV - TUB - Pre/Mid - MWC - DT/MB/CTV"/>
    <n v="126262"/>
    <d v="2026-06-30T00:00:00"/>
    <d v="2026-06-01T00:00:00"/>
    <d v="2026-07-19T00:00:00"/>
    <s v="Direct LFV"/>
    <m/>
    <d v="2026-07-05T12:53:18"/>
  </r>
  <r>
    <s v="STARCOM - NY"/>
    <n v="11565"/>
    <n v="9050"/>
    <s v="FCA NORTH AMERICA HOLDINGS"/>
    <s v="FCA(Stellantis)/DIGITAL/SCATTER/SPORTS/MWC"/>
    <x v="162"/>
    <s v="Stellantis - Run of World Cup Video + Tubi - Package 2026"/>
    <n v="582769"/>
    <s v="Stellantis - DIO - ROV - FS - Pre/Mid - MWC - DT/MB/CTV - 2026"/>
    <n v="93502264"/>
    <s v="FOX Sports"/>
    <s v="CPM"/>
    <n v="40"/>
    <s v="3P Imps"/>
    <n v="3535076"/>
    <n v="141403.04"/>
    <m/>
    <m/>
    <s v=" "/>
    <s v=""/>
    <m/>
    <m/>
    <n v="3535076"/>
    <n v="3535076"/>
    <n v="0"/>
    <n v="0"/>
    <n v="1"/>
    <n v="0"/>
    <n v="0"/>
    <n v="0"/>
    <s v="Bill on Actuals - 3rd Party Performance"/>
    <n v="69772.929999999993"/>
    <n v="5250000"/>
    <n v="210000"/>
    <s v="FCA(Stellantis)/DIGITAL/SCATTER/SPORTS/MWC"/>
    <n v="93502245"/>
    <s v="P2+"/>
    <s v="O-D2SBAJ4-R1"/>
    <m/>
    <s v="Janna Goldstein"/>
    <s v="Guaranteed"/>
    <s v="DIO - ROV - FS - Pre/Mid - MWC - DT/MB/CTV"/>
    <n v="126262"/>
    <d v="2026-06-30T00:00:00"/>
    <d v="2026-06-01T00:00:00"/>
    <d v="2026-07-19T00:00:00"/>
    <s v="Direct ROV"/>
    <m/>
    <d v="2026-07-05T12:53:18"/>
  </r>
  <r>
    <s v="STARCOM - NY"/>
    <n v="11565"/>
    <n v="9050"/>
    <s v="FCA NORTH AMERICA HOLDINGS"/>
    <s v="FCA(Stellantis)/DIGITAL/SCATTER/SPORTS/MWC"/>
    <x v="162"/>
    <s v="Stellantis - Run of AllFOX Video - Package -AAT- 2026"/>
    <n v="582772"/>
    <s v="Stellantis - DIO - LFV - 1F - Tubi - Pre/Mid - ROS - DT/MB/CTV - AAT- FW - SXD - 2026"/>
    <n v="93502258"/>
    <s v="Fox Sold Tubi"/>
    <s v="CPM"/>
    <n v="18.25"/>
    <s v="3P Audience Target"/>
    <n v="7303071"/>
    <n v="133281.04999999999"/>
    <m/>
    <m/>
    <s v=" "/>
    <n v="0"/>
    <m/>
    <m/>
    <n v="7303071"/>
    <n v="7303071"/>
    <n v="0"/>
    <n v="0"/>
    <n v="1"/>
    <n v="0"/>
    <n v="0"/>
    <n v="0"/>
    <s v="Bill on Actuals - 3rd Party Performance"/>
    <n v="66298.27"/>
    <n v="10684932"/>
    <n v="195000.01"/>
    <s v="FCA(Stellantis)/DIGITAL/SCATTER/SPORTS/MWC"/>
    <n v="93502245"/>
    <s v="Audience Target"/>
    <s v="O-D2SBAJ4-R1"/>
    <m/>
    <s v="Janna Goldstein"/>
    <s v="Guaranteed"/>
    <s v="DIO - LFV - 1F - Tubi - Pre/Mid - ROS - DT/MB/CTV - FW - SXD"/>
    <n v="126262"/>
    <d v="2026-06-30T00:00:00"/>
    <d v="2026-06-01T00:00:00"/>
    <d v="2026-07-19T00:00:00"/>
    <s v="Direct LFV"/>
    <m/>
    <d v="2026-07-05T12:53:18"/>
  </r>
  <r>
    <s v="STARCOM - NY"/>
    <n v="11565"/>
    <n v="9050"/>
    <s v="FCA NORTH AMERICA HOLDINGS"/>
    <s v="FCA(Stellantis)/DIGITAL/SCATTER/SPORTS/MWC"/>
    <x v="162"/>
    <s v="Stellantis - Run of AllFOX Video - Package -AAT- 2026"/>
    <n v="582772"/>
    <s v="Stellantis - DIO - ROV - 1F - SEN - Pre/Mid - ROS - DT/MB/CTV -AAT- SXD - 2026"/>
    <n v="93502250"/>
    <s v="OneFOX"/>
    <s v="CPM"/>
    <n v="18.25"/>
    <s v="3P Audience Target"/>
    <n v="4821190"/>
    <n v="87986.72"/>
    <m/>
    <m/>
    <s v=" "/>
    <s v=""/>
    <m/>
    <m/>
    <n v="4821190"/>
    <n v="4821190"/>
    <n v="0"/>
    <n v="0"/>
    <n v="1"/>
    <n v="0"/>
    <n v="0"/>
    <n v="0"/>
    <s v="Bill on Actuals - 3rd Party Performance"/>
    <n v="44198.85"/>
    <n v="7123288"/>
    <n v="130000.01"/>
    <s v="FCA(Stellantis)/DIGITAL/SCATTER/SPORTS/MWC"/>
    <n v="93502245"/>
    <s v="Audience Target"/>
    <s v="O-D2SBAJ4-R1"/>
    <m/>
    <s v="Janna Goldstein"/>
    <s v="Guaranteed"/>
    <s v="DIO - ROV - 1F - SEN - Pre/Mid - ROS - DT/MB/CTV - SXD"/>
    <n v="126262"/>
    <d v="2026-06-30T00:00:00"/>
    <d v="2026-06-01T00:00:00"/>
    <d v="2026-07-19T00:00:00"/>
    <s v="Direct ROV"/>
    <m/>
    <d v="2026-07-05T12:53:18"/>
  </r>
  <r>
    <s v="STARCOM - NY"/>
    <n v="11565"/>
    <n v="9050"/>
    <s v="FCA NORTH AMERICA HOLDINGS"/>
    <s v="FCA(Stellantis)/DIGITAL/SCATTER/SPORTS/MWC"/>
    <x v="162"/>
    <s v="Stellantis - World Cup Social Sponsorship Content - X Amplify - Package - 2026"/>
    <n v="582785"/>
    <s v="Stellantis - DIO - SOC - FOX Sports - X - MWC - 2026"/>
    <n v="582787"/>
    <s v="FOX Sports - Twitter"/>
    <s v="Flat Rate"/>
    <n v="250000"/>
    <s v="Bill on Contract"/>
    <n v="0"/>
    <n v="76530.61"/>
    <m/>
    <m/>
    <s v=" "/>
    <n v="0"/>
    <m/>
    <m/>
    <n v="0"/>
    <n v="0"/>
    <n v="0"/>
    <n v="0"/>
    <n v="1"/>
    <n v="0"/>
    <n v="0"/>
    <n v="0"/>
    <s v="Bill on Contract - Pro-rated"/>
    <n v="76530.61"/>
    <n v="1"/>
    <n v="250000"/>
    <s v="FCA(Stellantis)/DIGITAL/SCATTER/SPORTS/MWC"/>
    <n v="259149"/>
    <s v="P2+"/>
    <s v="O-D2SBAJ4-R1"/>
    <m/>
    <s v="Janna Goldstein"/>
    <s v="Guaranteed"/>
    <s v="DIO - SOC - FOX Sports - X - MWC"/>
    <n v="126262"/>
    <d v="2026-06-30T00:00:00"/>
    <d v="2026-06-01T00:00:00"/>
    <d v="2026-07-19T00:00:00"/>
    <s v="Social X"/>
    <m/>
    <d v="2026-07-05T12:53:18"/>
  </r>
  <r>
    <s v="STARCOM - NY"/>
    <n v="11565"/>
    <n v="6503"/>
    <s v="MARS INC"/>
    <s v="Mars/AllFOX/3Q26/DIO/Extra"/>
    <x v="163"/>
    <s v="Mars - Extra - Run of AllFOX Video - 3Q'26 Package"/>
    <n v="595803"/>
    <s v="Mars - Extra - DIO - LFV - 1F - Tubi - Pre/Mid - ROS - DT/MB/CTV - FW - SXD - 3Q'26"/>
    <n v="95105745"/>
    <s v="Fox Sold Tubi"/>
    <s v="CPM"/>
    <n v="14.46"/>
    <s v="3P Imps"/>
    <n v="84567"/>
    <n v="1222.8399999999999"/>
    <m/>
    <m/>
    <s v=" "/>
    <n v="0"/>
    <m/>
    <m/>
    <n v="84567"/>
    <n v="84567"/>
    <n v="0"/>
    <n v="0"/>
    <n v="1"/>
    <n v="0"/>
    <n v="0"/>
    <n v="0"/>
    <s v="Bill on Actuals - 3rd Party Performance"/>
    <n v="558.49"/>
    <n v="736832"/>
    <n v="10654.59"/>
    <s v="Mars/AllFOX/3Q26/DIO/Extra"/>
    <n v="95105742"/>
    <s v="P2+"/>
    <s v="O-D339CPC-R3"/>
    <m/>
    <s v="Erin Ilchuk"/>
    <s v="Guaranteed"/>
    <s v="DIO - LFV - 1F - Tubi - Pre/Mid - ROS - DT/MB/CTV - FW - SXD"/>
    <n v="134065"/>
    <d v="2026-06-30T00:00:00"/>
    <d v="2026-06-29T00:00:00"/>
    <d v="2026-08-16T00:00:00"/>
    <s v="Direct LFV"/>
    <m/>
    <d v="2026-07-05T12:53:18"/>
  </r>
  <r>
    <s v="STARCOM - NY"/>
    <n v="11565"/>
    <n v="6503"/>
    <s v="MARS INC"/>
    <s v="Mars/AllFOX/3Q26/DIO/Extra"/>
    <x v="163"/>
    <s v="Mars - Extra - Run of AllFOX Video - 3Q'26 Package"/>
    <n v="595803"/>
    <s v="Mars - Extra - DIO - ROV - 1F - SEN - Pre/Mid - ROS - DT/MB/CTV - SXD - 3Q'26"/>
    <n v="95105751"/>
    <s v="OneFOX"/>
    <s v="CPM"/>
    <n v="14.46"/>
    <s v="3P Imps"/>
    <n v="107756"/>
    <n v="1558.15"/>
    <m/>
    <m/>
    <s v=" "/>
    <s v=""/>
    <m/>
    <m/>
    <n v="107756"/>
    <n v="107756"/>
    <n v="0"/>
    <n v="0"/>
    <n v="1"/>
    <n v="0"/>
    <n v="0"/>
    <n v="0"/>
    <s v="Bill on Actuals - 3rd Party Performance"/>
    <n v="837.73"/>
    <n v="1105248"/>
    <n v="15981.89"/>
    <s v="Mars/AllFOX/3Q26/DIO/Extra"/>
    <n v="95105742"/>
    <s v="P2+"/>
    <s v="O-D339CPC-R3"/>
    <m/>
    <s v="Erin Ilchuk"/>
    <s v="Guaranteed"/>
    <s v="DIO - ROV - 1F - SEN - Pre/Mid - ROS - DT/MB/CTV - SXD"/>
    <n v="134065"/>
    <d v="2026-06-30T00:00:00"/>
    <d v="2026-06-29T00:00:00"/>
    <d v="2026-08-16T00:00:00"/>
    <s v="Direct ROV"/>
    <m/>
    <d v="2026-07-05T12:53:18"/>
  </r>
  <r>
    <s v="STARCOM - NY"/>
    <n v="11565"/>
    <n v="6503"/>
    <s v="MARS INC"/>
    <s v="Mars/AllFOX/3Q26/DIO/M&amp;MsCaramelPopd"/>
    <x v="164"/>
    <s v="Mars - M&amp;Ms Caramel Pop'd - Run of AllFOX Video - 3Q'26 Package"/>
    <n v="595247"/>
    <s v="Mars - M&amp;Ms Caramel Pop'd - DIO - LFV - 1F - Tubi - Pre/Mid - ROS - DT/MB/CTV - FW - SXD - 3Q'26"/>
    <n v="95051884"/>
    <s v="Fox Sold Tubi"/>
    <s v="CPM"/>
    <n v="14.46"/>
    <s v="3P Imps"/>
    <n v="219515"/>
    <n v="3174.19"/>
    <m/>
    <m/>
    <s v=" "/>
    <n v="0"/>
    <m/>
    <m/>
    <n v="219515"/>
    <n v="219515"/>
    <n v="0"/>
    <n v="0"/>
    <n v="1"/>
    <n v="0"/>
    <n v="0"/>
    <n v="0"/>
    <s v="Bill on Actuals - 3rd Party Performance"/>
    <n v="558.30999999999995"/>
    <n v="2443016"/>
    <n v="35326.01"/>
    <s v="Mars/AllFOX/3Q26/DIO/M&amp;MsCaramelPopd"/>
    <n v="95051881"/>
    <s v="P2+"/>
    <s v="O-D3381JQ-R3"/>
    <m/>
    <s v="Erin Ilchuk"/>
    <s v="Guaranteed"/>
    <s v="DIO - LFV - 1F - Tubi - Pre/Mid - ROS - DT/MB/CTV - FW - SXD"/>
    <n v="133645"/>
    <d v="2026-06-30T00:00:00"/>
    <d v="2026-06-29T00:00:00"/>
    <d v="2026-09-13T00:00:00"/>
    <s v="Direct LFV"/>
    <m/>
    <d v="2026-07-05T12:53:18"/>
  </r>
  <r>
    <s v="STARCOM - NY"/>
    <n v="11565"/>
    <n v="6503"/>
    <s v="MARS INC"/>
    <s v="Mars/AllFOX/3Q26/DIO/M&amp;MsCaramelPopd"/>
    <x v="164"/>
    <s v="Mars - M&amp;Ms Caramel Pop'd - Run of AllFOX Video - 3Q'26 Package"/>
    <n v="595247"/>
    <s v="Mars - M&amp;Ms Caramel Pop'd - DIO - ROV - 1F - SEN - Pre/Mid - ROS - DT/MB/CTV - SXD - 3Q'26"/>
    <n v="95051887"/>
    <s v="OneFOX"/>
    <s v="CPM"/>
    <n v="14.46"/>
    <s v="3P Imps"/>
    <n v="297890"/>
    <n v="4307.49"/>
    <m/>
    <m/>
    <s v=" "/>
    <s v=""/>
    <m/>
    <m/>
    <n v="297890"/>
    <n v="297890"/>
    <n v="0"/>
    <n v="0"/>
    <n v="1"/>
    <n v="0"/>
    <n v="0"/>
    <n v="0"/>
    <s v="Bill on Actuals - 3rd Party Performance"/>
    <n v="837.47"/>
    <n v="3664524"/>
    <n v="52989.02"/>
    <s v="Mars/AllFOX/3Q26/DIO/M&amp;MsCaramelPopd"/>
    <n v="95051881"/>
    <s v="P2+"/>
    <s v="O-D3381JQ-R3"/>
    <m/>
    <s v="Erin Ilchuk"/>
    <s v="Guaranteed"/>
    <s v="DIO - ROV - 1F - SEN - Pre/Mid - ROS - DT/MB/CTV - SXD"/>
    <n v="133645"/>
    <d v="2026-06-30T00:00:00"/>
    <d v="2026-06-29T00:00:00"/>
    <d v="2026-09-13T00:00:00"/>
    <s v="Direct ROV"/>
    <m/>
    <d v="2026-07-05T12:53:18"/>
  </r>
  <r>
    <s v="STARCOM - NY"/>
    <n v="11565"/>
    <n v="6503"/>
    <s v="MARS INC"/>
    <s v="Mars/AllFOX/3Q26/DIO/M&amp;MsPeanut"/>
    <x v="165"/>
    <s v="Mars - M&amp;Ms Peanut - Run of AllFOX Video - 3Q'26 Package"/>
    <n v="595017"/>
    <s v="Mars - M&amp;Ms Peanut - DIO - LFV - 1F - Tubi - Pre/Mid - ROS - DT/MB/CTV - FW - SXD - 3Q'26"/>
    <n v="95050422"/>
    <s v="Fox Sold Tubi"/>
    <s v="CPM"/>
    <n v="14.46"/>
    <s v="3P Imps"/>
    <n v="225773"/>
    <n v="3264.68"/>
    <m/>
    <m/>
    <s v=" "/>
    <n v="0"/>
    <m/>
    <m/>
    <n v="225773"/>
    <n v="225773"/>
    <n v="0"/>
    <n v="0"/>
    <n v="1"/>
    <n v="0"/>
    <n v="0"/>
    <n v="0"/>
    <s v="Bill on Actuals - 3rd Party Performance"/>
    <n v="725.07"/>
    <n v="2525201"/>
    <n v="36514.410000000003"/>
    <s v="Mars/AllFOX/3Q26/DIO/M&amp;MsPeanut"/>
    <n v="95050415"/>
    <s v="P2+"/>
    <s v="O-D33815T-R3"/>
    <m/>
    <s v="Erin Ilchuk"/>
    <s v="Guaranteed"/>
    <s v="DIO - LFV - 1F - Tubi - Pre/Mid - ROS - DT/MB/CTV - FW - SXD"/>
    <n v="133623"/>
    <d v="2026-06-30T00:00:00"/>
    <d v="2026-06-29T00:00:00"/>
    <d v="2026-09-13T00:00:00"/>
    <s v="Direct LFV"/>
    <m/>
    <d v="2026-07-05T12:53:18"/>
  </r>
  <r>
    <s v="STARCOM - NY"/>
    <n v="11565"/>
    <n v="6503"/>
    <s v="MARS INC"/>
    <s v="Mars/AllFOX/3Q26/DIO/M&amp;MsPeanut"/>
    <x v="165"/>
    <s v="Mars - M&amp;Ms Peanut - Run of AllFOX Video - 3Q'26 Package"/>
    <n v="595017"/>
    <s v="Mars - M&amp;Ms Peanut - DIO - ROV - 1F - SEN - Pre/Mid - ROS - DT/MB/CTV - SXD - 3Q'26"/>
    <n v="95050418"/>
    <s v="OneFOX"/>
    <s v="CPM"/>
    <n v="14.46"/>
    <s v="3P Imps"/>
    <n v="283614"/>
    <n v="4101.0600000000004"/>
    <m/>
    <m/>
    <s v=" "/>
    <s v=""/>
    <m/>
    <m/>
    <n v="283614"/>
    <n v="283614"/>
    <n v="0"/>
    <n v="0"/>
    <n v="1"/>
    <n v="0"/>
    <n v="0"/>
    <n v="0"/>
    <s v="Bill on Actuals - 3rd Party Performance"/>
    <n v="1087.5999999999999"/>
    <n v="3787802"/>
    <n v="54771.62"/>
    <s v="Mars/AllFOX/3Q26/DIO/M&amp;MsPeanut"/>
    <n v="95050415"/>
    <s v="P2+"/>
    <s v="O-D33815T-R3"/>
    <m/>
    <s v="Erin Ilchuk"/>
    <s v="Guaranteed"/>
    <s v="DIO - ROV - 1F - SEN - Pre/Mid - ROS - DT/MB/CTV - SXD"/>
    <n v="133623"/>
    <d v="2026-06-30T00:00:00"/>
    <d v="2026-06-29T00:00:00"/>
    <d v="2026-09-13T00:00:00"/>
    <s v="Direct ROV"/>
    <m/>
    <d v="2026-07-05T12:53:18"/>
  </r>
  <r>
    <s v="STARCOM - NY"/>
    <n v="11565"/>
    <n v="6503"/>
    <s v="MARS INC"/>
    <s v="Mars/AllFOX/3Q26/DIO/TwixCore"/>
    <x v="166"/>
    <s v="Mars - Twix Core - Run of AllFOX Video - 3Q'26 Package"/>
    <n v="595806"/>
    <s v="Mars - Twix Core - DIO - LFV - 1F - Tubi - Pre/Mid - ROS - DT/MB/CTV - FW - SXD - 3Q'26"/>
    <n v="95042792"/>
    <s v="Fox Sold Tubi"/>
    <s v="CPM"/>
    <n v="14.46"/>
    <s v="3P Imps"/>
    <n v="306510"/>
    <n v="4432.13"/>
    <m/>
    <m/>
    <s v=" "/>
    <n v="0"/>
    <m/>
    <m/>
    <n v="306510"/>
    <n v="306510"/>
    <n v="0"/>
    <n v="0"/>
    <n v="1"/>
    <n v="0"/>
    <n v="0"/>
    <n v="0"/>
    <s v="Bill on Actuals - 3rd Party Performance"/>
    <n v="1110.99"/>
    <n v="2266054"/>
    <n v="32767.14"/>
    <s v="Mars/AllFOX/3Q26/DIO/TwixCore"/>
    <n v="95042775"/>
    <s v="P2+"/>
    <s v="O-D3380VJ-R2"/>
    <m/>
    <s v="Erin Ilchuk"/>
    <s v="Guaranteed"/>
    <s v="DIO - LFV - 1F - Tubi - Pre/Mid - ROS - DT/MB/CTV - FW - SXD"/>
    <n v="133499"/>
    <d v="2026-06-30T00:00:00"/>
    <d v="2026-06-29T00:00:00"/>
    <d v="2026-07-26T00:00:00"/>
    <s v="Direct LFV"/>
    <m/>
    <d v="2026-07-05T12:53:18"/>
  </r>
  <r>
    <s v="STARCOM - NY"/>
    <n v="11565"/>
    <n v="6503"/>
    <s v="MARS INC"/>
    <s v="Mars/AllFOX/3Q26/DIO/TwixCore"/>
    <x v="166"/>
    <s v="Mars - Twix Core - Run of AllFOX Video - 3Q'26 Package"/>
    <n v="595806"/>
    <s v="Mars - Twix Core - DIO - ROV - 1F - SEN - Pre/Mid - ROS - DT/MB/CTV - SXD - 3Q'26"/>
    <n v="95042778"/>
    <s v="OneFOX"/>
    <s v="CPM"/>
    <n v="14.46"/>
    <s v="3P Imps"/>
    <n v="445813"/>
    <n v="6446.46"/>
    <m/>
    <m/>
    <s v=" "/>
    <s v=""/>
    <m/>
    <m/>
    <n v="445813"/>
    <n v="445813"/>
    <n v="0"/>
    <n v="0"/>
    <n v="1"/>
    <n v="0"/>
    <n v="0"/>
    <n v="0"/>
    <s v="Bill on Actuals - 3rd Party Performance"/>
    <n v="1666.49"/>
    <n v="3399082"/>
    <n v="49150.73"/>
    <s v="Mars/AllFOX/3Q26/DIO/TwixCore"/>
    <n v="95042775"/>
    <s v="P2+"/>
    <s v="O-D3380VJ-R2"/>
    <m/>
    <s v="Erin Ilchuk"/>
    <s v="Guaranteed"/>
    <s v="DIO - ROV - 1F - SEN - Pre/Mid - ROS - DT/MB/CTV - SXD"/>
    <n v="133499"/>
    <d v="2026-06-30T00:00:00"/>
    <d v="2026-06-29T00:00:00"/>
    <d v="2026-07-26T00:00:00"/>
    <s v="Direct ROV"/>
    <m/>
    <d v="2026-07-05T12:53:18"/>
  </r>
  <r>
    <s v="STARCOM - NY"/>
    <n v="11565"/>
    <n v="5665"/>
    <s v="VISA"/>
    <s v="VISA/DIGITAL/SCATTER/SPORTS/MWC ROSTER REVEAL"/>
    <x v="167"/>
    <s v="Visa - Roster Reveal - Run of AllFOX Video -AAT- &quot;Soccer Fan&quot; - 2Q'26 Package"/>
    <n v="586040"/>
    <s v="Visa - DIO - LFV - 1F - Tubi - Pre/Mid - ROS - DT/MB/CTV - FW - SXD - AAT - &quot;Soccer Fan&quot; - 2Q'26"/>
    <n v="93944616"/>
    <s v="Fox Sold Tubi"/>
    <s v="CPM"/>
    <n v="20"/>
    <s v="3P Audience Target"/>
    <n v="1991582"/>
    <n v="39831.64"/>
    <m/>
    <m/>
    <s v=" "/>
    <n v="0"/>
    <m/>
    <m/>
    <n v="2477106"/>
    <n v="1991582"/>
    <n v="0"/>
    <n v="0"/>
    <n v="1"/>
    <n v="0"/>
    <n v="0"/>
    <n v="0"/>
    <s v="Bill on Actuals - 3rd Party Performance"/>
    <n v="23663.29"/>
    <n v="4500000"/>
    <n v="90000"/>
    <s v="VISA/DIGITAL/SCATTER/SPORTS/MWC ROSTER REVEAL"/>
    <n v="93944613"/>
    <s v="Audience Target"/>
    <s v="O-D2UJBN6-R1"/>
    <m/>
    <s v="Janna Goldstein"/>
    <s v="Guaranteed"/>
    <s v="DIO - LFV - 1F - Tubi - Pre/Mid - ROS - DT/MB/CTV - FW - SXD"/>
    <n v="128142"/>
    <d v="2026-06-30T00:00:00"/>
    <d v="2026-05-26T00:00:00"/>
    <d v="2026-06-10T00:00:00"/>
    <s v="Direct LFV"/>
    <m/>
    <d v="2026-07-05T12:53:18"/>
  </r>
  <r>
    <s v="STARCOM - NY"/>
    <n v="11565"/>
    <n v="5665"/>
    <s v="VISA"/>
    <s v="VISA/DIGITAL/SCATTER/SPORTS/MWC ROSTER REVEAL"/>
    <x v="167"/>
    <s v="Visa - Roster Reveal - Run of AllFOX Video -AAT- &quot;Soccer Fan&quot; - 2Q'26 Package"/>
    <n v="586040"/>
    <s v="Visa - DIO - ROV - 1F - SEN - Pre/Mid - ROS - DT/MB/CTV - SXD - AAT - &quot;Soccer Fan&quot; - 2Q'26"/>
    <n v="93944619"/>
    <s v="OneFOX"/>
    <s v="CPM"/>
    <n v="20"/>
    <s v="3P Audience Target"/>
    <n v="1310498"/>
    <n v="26209.96"/>
    <m/>
    <m/>
    <s v=" "/>
    <s v=""/>
    <m/>
    <m/>
    <n v="1617326"/>
    <n v="1310498"/>
    <n v="0"/>
    <n v="0"/>
    <n v="1"/>
    <n v="0"/>
    <n v="0"/>
    <n v="0"/>
    <s v="Bill on Actuals - 3rd Party Performance"/>
    <n v="15775.53"/>
    <n v="3000000"/>
    <n v="60000"/>
    <s v="VISA/DIGITAL/SCATTER/SPORTS/MWC ROSTER REVEAL"/>
    <n v="93944613"/>
    <s v="Audience Target"/>
    <s v="O-D2UJBN6-R1"/>
    <m/>
    <s v="Janna Goldstein"/>
    <s v="Guaranteed"/>
    <s v="DIO - ROV - 1F - SEN - Pre/Mid - ROS - DT/MB/CTV - SXD"/>
    <n v="128142"/>
    <d v="2026-06-30T00:00:00"/>
    <d v="2026-05-26T00:00:00"/>
    <d v="2026-06-10T00:00:00"/>
    <s v="Direct ROV"/>
    <m/>
    <d v="2026-07-05T12:53:18"/>
  </r>
  <r>
    <s v="STARCOM - NY"/>
    <n v="11565"/>
    <n v="5665"/>
    <s v="VISA"/>
    <s v="VISA/DIGITAL/SCATTER/SPORTS/MWC ROSTER REVEAL"/>
    <x v="167"/>
    <s v="Visa - Roster Reveal - World Cup Social Sponsorship Content - 2Q'26 Package"/>
    <n v="586087"/>
    <s v="Visa - Roster Reveal - DIO - SOC - FOX Sports - TikTok - MWC - 2Q'26"/>
    <n v="586091"/>
    <s v="FOX Sports - TikTok"/>
    <s v="Flat Rate"/>
    <n v="50000"/>
    <s v="Bill on Contract"/>
    <n v="0"/>
    <n v="12500"/>
    <m/>
    <m/>
    <s v=" "/>
    <n v="0"/>
    <m/>
    <m/>
    <n v="0"/>
    <n v="0"/>
    <n v="0"/>
    <n v="0"/>
    <n v="1"/>
    <n v="0"/>
    <n v="0"/>
    <n v="0"/>
    <s v="Bill on Contract - Pro-rated"/>
    <n v="12500"/>
    <n v="1"/>
    <n v="50000"/>
    <s v="VISA/DIGITAL/SCATTER/SPORTS/MWC ROSTER REVEAL"/>
    <n v="267432"/>
    <s v="P2+"/>
    <s v="O-D2UJBN6-R1"/>
    <m/>
    <s v="Janna Goldstein"/>
    <s v="Guaranteed"/>
    <s v="DIO - SOC - FOX Sports - TikTok - MWC"/>
    <n v="128142"/>
    <d v="2026-06-30T00:00:00"/>
    <d v="2026-05-26T00:00:00"/>
    <d v="2026-06-10T00:00:00"/>
    <s v="Social TikTok"/>
    <m/>
    <d v="2026-07-05T12:53:18"/>
  </r>
  <r>
    <s v="STARCOM - NY"/>
    <n v="11565"/>
    <n v="5665"/>
    <s v="VISA"/>
    <s v="VISA/DIGITAL/SCATTER/SPORTS/MWC ROSTER REVEAL"/>
    <x v="167"/>
    <s v="Visa - Roster Reveal - World Cup Social Sponsorship Content - 2Q'26 Package"/>
    <n v="586087"/>
    <s v="Visa- Roster Reveal - DIO - SOC - FOX Sports - Facebook/Instagram - MWC - 2Q'26"/>
    <n v="586088"/>
    <s v="FOX Sports - FB-Inst"/>
    <s v="Flat Rate"/>
    <n v="50000"/>
    <s v="Bill on Contract"/>
    <n v="0"/>
    <n v="12500"/>
    <m/>
    <m/>
    <s v=" "/>
    <s v=""/>
    <m/>
    <m/>
    <n v="0"/>
    <n v="0"/>
    <n v="0"/>
    <n v="0"/>
    <n v="1"/>
    <n v="0"/>
    <n v="0"/>
    <n v="0"/>
    <s v="Bill on Contract - Pro-rated"/>
    <n v="12500"/>
    <n v="1"/>
    <n v="50000"/>
    <s v="VISA/DIGITAL/SCATTER/SPORTS/MWC ROSTER REVEAL"/>
    <n v="267432"/>
    <s v="P2+"/>
    <s v="O-D2UJBN6-R1"/>
    <m/>
    <s v="Janna Goldstein"/>
    <s v="Guaranteed"/>
    <s v="DIO - SOC - FOX Sports - Facebook/Instagram - MWC"/>
    <n v="128142"/>
    <d v="2026-06-30T00:00:00"/>
    <d v="2026-05-26T00:00:00"/>
    <d v="2026-06-10T00:00:00"/>
    <s v="Social Facebook/Instagram"/>
    <m/>
    <d v="2026-07-05T12:53:18"/>
  </r>
  <r>
    <s v="STARCOM - NY"/>
    <n v="11565"/>
    <n v="5665"/>
    <s v="VISA"/>
    <s v="VISA/DIGITAL/SCATTER/SPORTS/MWC ROSTER REVEAL"/>
    <x v="167"/>
    <s v="Visa - Roster Reveal - World Cup Social Sponsorship Content - 2Q'26 Package"/>
    <n v="586087"/>
    <s v="Visa- Roster Reveal - DIO - SOC - FOX Sports - Youtube - Custom Content - MWC - 2Q'26"/>
    <n v="586090"/>
    <s v="FOX Sports"/>
    <s v="Flat Rate"/>
    <n v="50000"/>
    <s v="Bill on Contract"/>
    <n v="0"/>
    <n v="12500"/>
    <m/>
    <m/>
    <s v=" "/>
    <s v=""/>
    <m/>
    <m/>
    <n v="0"/>
    <n v="0"/>
    <n v="0"/>
    <n v="0"/>
    <n v="1"/>
    <n v="0"/>
    <n v="0"/>
    <n v="0"/>
    <s v="Bill on Contract - Pro-rated"/>
    <n v="12500"/>
    <n v="1"/>
    <n v="50000"/>
    <s v="VISA/DIGITAL/SCATTER/SPORTS/MWC ROSTER REVEAL"/>
    <n v="267432"/>
    <s v="P2+"/>
    <s v="O-D2UJBN6-R1"/>
    <m/>
    <s v="Janna Goldstein"/>
    <s v="Guaranteed"/>
    <s v="DIO - SOC - FOX Sports - Youtube - Custom Content - MWC"/>
    <n v="128142"/>
    <d v="2026-06-30T00:00:00"/>
    <d v="2026-05-26T00:00:00"/>
    <d v="2026-06-10T00:00:00"/>
    <s v="Social"/>
    <m/>
    <d v="2026-07-05T12:53:18"/>
  </r>
  <r>
    <s v="STARCOM - NY"/>
    <n v="11565"/>
    <n v="5665"/>
    <s v="VISA"/>
    <s v="VISA/DIGITAL/SCATTER/SPORTS/MWC/VISABrand"/>
    <x v="168"/>
    <s v="VISA - VISA Brand - OMP - Run of World Cup Video - Package - 2026"/>
    <n v="583466"/>
    <s v="VISA - VISA Brand - OMP - DIO - LFV - TUB - Pre/Mid - MWC - DT/MB/CTV - 2026"/>
    <n v="93774992"/>
    <s v="Fox Sold Tubi"/>
    <s v="CPM"/>
    <n v="40"/>
    <s v="3P Imps"/>
    <n v="11533766"/>
    <n v="461350.64"/>
    <m/>
    <m/>
    <s v=" "/>
    <n v="0"/>
    <m/>
    <m/>
    <n v="11533766"/>
    <n v="11533766"/>
    <n v="0"/>
    <n v="0"/>
    <n v="1"/>
    <n v="0"/>
    <n v="0"/>
    <n v="0"/>
    <s v="Bill on Actuals - 3rd Party Performance"/>
    <n v="231766.33"/>
    <n v="17500000"/>
    <n v="700000"/>
    <s v="VISA/DIGITAL/SCATTER/SPORTS/MWC/VISABrand"/>
    <n v="93774986"/>
    <s v="P2+"/>
    <s v="O-D2TP48C-R3"/>
    <m/>
    <s v="Janna Goldstein"/>
    <s v="Guaranteed"/>
    <s v="DIO - LFV - TUB - Pre/Mid - MWC - DT/MB/CTV"/>
    <n v="127415"/>
    <d v="2026-06-30T00:00:00"/>
    <d v="2026-06-01T00:00:00"/>
    <d v="2026-07-19T00:00:00"/>
    <s v="Direct LFV"/>
    <m/>
    <d v="2026-07-05T12:53:18"/>
  </r>
  <r>
    <s v="STARCOM - NY"/>
    <n v="11565"/>
    <n v="5665"/>
    <s v="VISA"/>
    <s v="VISA/DIGITAL/SCATTER/SPORTS/MWC/VISABrand"/>
    <x v="168"/>
    <s v="VISA - VISA Brand - OMP - Run of World Cup Video - Package - 2026"/>
    <n v="583466"/>
    <s v="VISA - VISA Brand - OMP - DIO - ROV - FS - Pre/Mid - MWC - DT/MB/CTV - 2026"/>
    <n v="93774989"/>
    <s v="FOX Sports"/>
    <s v="CPM"/>
    <n v="40"/>
    <s v="3P Imps"/>
    <n v="5048042"/>
    <n v="201921.68"/>
    <m/>
    <m/>
    <s v=" "/>
    <s v=""/>
    <m/>
    <m/>
    <n v="5048042"/>
    <n v="5048042"/>
    <n v="0"/>
    <n v="0"/>
    <n v="1"/>
    <n v="0"/>
    <n v="0"/>
    <n v="0"/>
    <s v="Bill on Actuals - 3rd Party Performance"/>
    <n v="99328.43"/>
    <n v="7500000"/>
    <n v="300000"/>
    <s v="VISA/DIGITAL/SCATTER/SPORTS/MWC/VISABrand"/>
    <n v="93774986"/>
    <s v="P2+"/>
    <s v="O-D2TP48C-R3"/>
    <m/>
    <s v="Janna Goldstein"/>
    <s v="Guaranteed"/>
    <s v="DIO - ROV - FS - Pre/Mid - MWC - DT/MB/CTV"/>
    <n v="127415"/>
    <d v="2026-06-30T00:00:00"/>
    <d v="2026-06-01T00:00:00"/>
    <d v="2026-07-19T00:00:00"/>
    <s v="Direct ROV"/>
    <m/>
    <d v="2026-07-05T12:53:18"/>
  </r>
  <r>
    <s v="STARCOM - NY"/>
    <n v="11565"/>
    <n v="5665"/>
    <s v="VISA"/>
    <s v="VISA/DIGITAL/SCATTER/SPORTS/MWC/VISABrand"/>
    <x v="168"/>
    <s v="VISA - VISA Brand - OMP - Run of World Cup Video - Roster Reveal MG - Package - 2026"/>
    <n v="593778"/>
    <s v="VISA - VISA Brand - OMP - DIO - LFV - TUB -  Roster Reveal MG - Pre/Mid - MWC - DT/MB/CTV - 2026"/>
    <n v="94805543"/>
    <s v="Fox Sold Tubi"/>
    <s v="CPM"/>
    <n v="40"/>
    <s v="3P Imps"/>
    <n v="321004"/>
    <n v="0"/>
    <m/>
    <m/>
    <s v=" "/>
    <n v="0"/>
    <m/>
    <m/>
    <n v="321004"/>
    <n v="321004"/>
    <n v="0"/>
    <n v="0"/>
    <n v="1"/>
    <n v="0"/>
    <n v="0"/>
    <n v="0"/>
    <s v="Bill on Actuals - 3rd Party Performance"/>
    <n v="0"/>
    <n v="490794"/>
    <n v="0"/>
    <s v="VISA/DIGITAL/SCATTER/SPORTS/MWC/VISABrand"/>
    <n v="93774986"/>
    <s v="P2+"/>
    <s v="O-D2TP48C-R3"/>
    <m/>
    <s v="Janna Goldstein"/>
    <s v="Make Good"/>
    <s v="DIO - LFV - TUB - Pre/Mid - MWC - DT/MB/CTV"/>
    <n v="127415"/>
    <d v="2026-06-30T00:00:00"/>
    <d v="2026-06-16T00:00:00"/>
    <d v="2026-07-31T00:00:00"/>
    <s v="Direct LFV"/>
    <m/>
    <d v="2026-07-05T12:53:18"/>
  </r>
  <r>
    <s v="STARCOM - NY"/>
    <n v="11565"/>
    <n v="5665"/>
    <s v="VISA"/>
    <s v="VISA/DIGITAL/SCATTER/SPORTS/MWC/VISABrand"/>
    <x v="168"/>
    <s v="VISA - VISA Brand - OMP - Run of World Cup Video - Roster Reveal MG - Package - 2026"/>
    <n v="593778"/>
    <s v="VISA - VISA Brand - OMP - DIO - ROV - FS - Roster Reveal MG - Pre/Mid - MWC - DT/MB/CTV - 2026"/>
    <n v="94805540"/>
    <s v="FOX Sports"/>
    <s v="CPM"/>
    <n v="40"/>
    <s v="3P Imps"/>
    <n v="142264"/>
    <n v="0"/>
    <m/>
    <m/>
    <s v=" "/>
    <s v=""/>
    <m/>
    <m/>
    <n v="142264"/>
    <n v="142264"/>
    <n v="0"/>
    <n v="0"/>
    <n v="1"/>
    <n v="0"/>
    <n v="0"/>
    <n v="0"/>
    <s v="Bill on Actuals - 3rd Party Performance"/>
    <n v="0"/>
    <n v="210338"/>
    <n v="0"/>
    <s v="VISA/DIGITAL/SCATTER/SPORTS/MWC/VISABrand"/>
    <n v="93774986"/>
    <s v="P2+"/>
    <s v="O-D2TP48C-R3"/>
    <m/>
    <s v="Janna Goldstein"/>
    <s v="Make Good"/>
    <s v="DIO - ROV - FS - Pre/Mid - MWC - DT/MB/CTV"/>
    <n v="127415"/>
    <d v="2026-06-30T00:00:00"/>
    <d v="2026-06-16T00:00:00"/>
    <d v="2026-07-31T00:00:00"/>
    <s v="Direct ROV"/>
    <m/>
    <d v="2026-07-05T12:53:18"/>
  </r>
  <r>
    <s v="STARCOM - NY"/>
    <n v="11565"/>
    <n v="5665"/>
    <s v="VISA"/>
    <s v="VISA/DIGITAL/SCATTER/SPORTS/MWC/WellsFargo"/>
    <x v="169"/>
    <s v="VISA - Wells Fargo - OMP - World Cup Social Sponsorship Content - Package - 2026"/>
    <n v="581608"/>
    <s v="VISA - Wells Fargo - OMP - DIO - SOC - FOX Sports - TikTok - MWC - 2026"/>
    <n v="581612"/>
    <s v="FOX Sports - TikTok"/>
    <s v="Flat Rate"/>
    <n v="333334"/>
    <s v="Bill on Contract"/>
    <n v="0"/>
    <n v="102041.02"/>
    <m/>
    <m/>
    <s v=" "/>
    <n v="0"/>
    <m/>
    <m/>
    <n v="0"/>
    <n v="0"/>
    <n v="0"/>
    <n v="0"/>
    <n v="1"/>
    <n v="0"/>
    <n v="0"/>
    <n v="0"/>
    <s v="Bill on Contract - Pro-rated"/>
    <n v="102041.02"/>
    <n v="1"/>
    <n v="333334"/>
    <s v="VISA/DIGITAL/SCATTER/SPORTS/MWC/WellsFargo"/>
    <n v="259155"/>
    <s v="P2+"/>
    <s v="O-D2TPJ3V-R1"/>
    <m/>
    <s v="Janna Goldstein"/>
    <s v="Guaranteed"/>
    <s v="DIO - SOC - FOX Sports - TikTok - MWC"/>
    <n v="127440"/>
    <d v="2026-06-30T00:00:00"/>
    <d v="2026-06-01T00:00:00"/>
    <d v="2026-07-19T00:00:00"/>
    <s v="Social TikTok"/>
    <m/>
    <d v="2026-07-05T12:53:18"/>
  </r>
  <r>
    <s v="STARCOM - NY"/>
    <n v="11565"/>
    <n v="5665"/>
    <s v="VISA"/>
    <s v="VISA/DIGITAL/SCATTER/SPORTS/MWC/WellsFargo"/>
    <x v="169"/>
    <s v="VISA - Wells Fargo - OMP - World Cup Social Sponsorship Content - Package - 2026"/>
    <n v="581608"/>
    <s v="VISA - Wells Fargo - OMP - DIO - SOC - FOX Sports - Youtube - Custom Content - MWC - 2026"/>
    <n v="581611"/>
    <s v="FOX Sports"/>
    <s v="Flat Rate"/>
    <n v="333333"/>
    <s v="Bill on Contract"/>
    <n v="0"/>
    <n v="102040.71"/>
    <m/>
    <m/>
    <s v=" "/>
    <s v=""/>
    <m/>
    <m/>
    <n v="0"/>
    <n v="0"/>
    <n v="0"/>
    <n v="0"/>
    <n v="1"/>
    <n v="0"/>
    <n v="0"/>
    <n v="0"/>
    <s v="Bill on Contract - Pro-rated"/>
    <n v="102040.71"/>
    <n v="1"/>
    <n v="333333"/>
    <s v="VISA/DIGITAL/SCATTER/SPORTS/MWC/WellsFargo"/>
    <n v="259155"/>
    <s v="P2+"/>
    <s v="O-D2TPJ3V-R1"/>
    <m/>
    <s v="Janna Goldstein"/>
    <s v="Guaranteed"/>
    <s v="DIO - SOC - FOX Sports - Youtube - Custom Content - MWC"/>
    <n v="127440"/>
    <d v="2026-06-30T00:00:00"/>
    <d v="2026-06-01T00:00:00"/>
    <d v="2026-07-19T00:00:00"/>
    <s v="Social"/>
    <m/>
    <d v="2026-07-05T12:53:18"/>
  </r>
  <r>
    <s v="STARCOM - NY"/>
    <n v="11565"/>
    <n v="5665"/>
    <s v="VISA"/>
    <s v="VISA/DIGITAL/SCATTER/SPORTS/MWC/WellsFargo"/>
    <x v="169"/>
    <s v="VISA - Wells Fargo - OMP - World Cup Social Sponsorship Content - Package - 2026"/>
    <n v="581608"/>
    <s v="VISA- Wells Fargo - OMP - DIO - SOC - FOX Sports - Facebook/Instagram - MWC - 2026"/>
    <n v="581609"/>
    <s v="FOX Sports - FB-Inst"/>
    <s v="Flat Rate"/>
    <n v="333333"/>
    <s v="Bill on Contract"/>
    <n v="0"/>
    <n v="102040.71"/>
    <m/>
    <m/>
    <s v=" "/>
    <s v=""/>
    <m/>
    <m/>
    <n v="0"/>
    <n v="0"/>
    <n v="0"/>
    <n v="0"/>
    <n v="1"/>
    <n v="0"/>
    <n v="0"/>
    <n v="0"/>
    <s v="Bill on Contract - Pro-rated"/>
    <n v="102040.71"/>
    <n v="1"/>
    <n v="333333"/>
    <s v="VISA/DIGITAL/SCATTER/SPORTS/MWC/WellsFargo"/>
    <n v="259155"/>
    <s v="P2+"/>
    <s v="O-D2TPJ3V-R1"/>
    <m/>
    <s v="Janna Goldstein"/>
    <s v="Guaranteed"/>
    <s v="DIO - SOC - FOX Sports - Facebook/Instagram - MWC"/>
    <n v="127440"/>
    <d v="2026-06-30T00:00:00"/>
    <d v="2026-06-01T00:00:00"/>
    <d v="2026-07-19T00:00:00"/>
    <s v="Social Facebook/Instagram"/>
    <m/>
    <d v="2026-07-05T12:53:18"/>
  </r>
  <r>
    <s v="TARGETCAST LLC"/>
    <n v="10773"/>
    <n v="9189"/>
    <s v="THRIVENT FINANCIAL FOR LUTHERANS FOUNDATION"/>
    <s v="Thrivent/Digital/Upfront/Sports - UF 2025/26 - 2Q'26"/>
    <x v="170"/>
    <s v="Thrivent - DIO - ROV - FS - Pre/Mid - ROS - DT/MB/CTV - P2+ - 2Q'26 Package"/>
    <n v="578617"/>
    <s v="Thrivent - DIO - SFV - FSEN - Pre - ROS - DT/MB/CTV - non-CoV - STN - 2Q'26 Package"/>
    <n v="93853352"/>
    <s v="FSEN"/>
    <s v="CPM"/>
    <n v="21.79"/>
    <s v="3P Imps"/>
    <n v="2119314"/>
    <n v="46179.85"/>
    <m/>
    <m/>
    <s v=" "/>
    <n v="0"/>
    <m/>
    <m/>
    <n v="3461386"/>
    <n v="2119314"/>
    <n v="0"/>
    <n v="0"/>
    <n v="1"/>
    <n v="0"/>
    <n v="0"/>
    <n v="0"/>
    <s v="Bill on Actuals - 3rd Party Performance"/>
    <n v="23854.82"/>
    <n v="5644791"/>
    <n v="123000"/>
    <s v="Thrivent/Digital/Upfront/Sports - UF 2025/26 - 2Q'26"/>
    <n v="93028885"/>
    <s v="P2+"/>
    <s v="O-D2PP8U9-R1"/>
    <m/>
    <s v="Tom Cecil"/>
    <s v="Guaranteed"/>
    <s v="DIO - SFV - FSEN - Pre - ROS - DT/MB/CTV - non-CoV"/>
    <n v="123974"/>
    <d v="2026-06-30T00:00:00"/>
    <d v="2026-04-01T00:00:00"/>
    <d v="2026-06-30T00:00:00"/>
    <s v="Direct SFV"/>
    <m/>
    <d v="2026-07-05T12:53:18"/>
  </r>
  <r>
    <s v="TARGETCAST LLC"/>
    <n v="10773"/>
    <n v="9189"/>
    <s v="THRIVENT FINANCIAL FOR LUTHERANS FOUNDATION"/>
    <s v="Thrivent/Digital/Upfront/Sports - UF 2025/26 - 2Q'26"/>
    <x v="170"/>
    <s v="Thrivent - DIO - ROV - FS - Pre/Mid - ROS - DT/MB/CTV - P2+ - 2Q'26 Package"/>
    <n v="578617"/>
    <s v="Thrivent - ROV - FS - Pre/Mid - ROS - DT/MB/CTV - P2+ - 2Q'26 Package - June"/>
    <n v="93500977"/>
    <s v="FOX Sports"/>
    <s v="CPM"/>
    <n v="21.79"/>
    <s v="3P CoView Imps"/>
    <n v="188328"/>
    <n v="4103.67"/>
    <m/>
    <m/>
    <s v=" "/>
    <s v=""/>
    <m/>
    <m/>
    <n v="149089"/>
    <n v="149089"/>
    <n v="188328"/>
    <n v="188328"/>
    <n v="1"/>
    <n v="1.26319529165717"/>
    <n v="0"/>
    <n v="0"/>
    <s v="Bill on Actuals - 3rd Party Performance"/>
    <n v="1974.4"/>
    <n v="467205"/>
    <n v="10180.4"/>
    <s v="Thrivent/Digital/Upfront/Sports - UF 2025/26 - 2Q'26"/>
    <n v="93028885"/>
    <s v="P2+"/>
    <s v="O-D2PP8U9-R1"/>
    <m/>
    <s v="Tom Cecil"/>
    <s v="Guaranteed"/>
    <s v="ROV - FS - Pre/Mid - ROS - DT/MB/CTV"/>
    <n v="123974"/>
    <d v="2026-06-30T00:00:00"/>
    <d v="2026-04-01T00:00:00"/>
    <d v="2026-06-30T00:00:00"/>
    <s v="Direct ROV"/>
    <m/>
    <d v="2026-07-05T12:53:18"/>
  </r>
  <r>
    <s v="TATARI"/>
    <n v="10417"/>
    <n v="19472"/>
    <s v="ARENA CLUB"/>
    <s v="ArenaClub/Tatari/Digital/25-26/SCT"/>
    <x v="171"/>
    <s v="Arena Club - DIO - LFV - FSLS - Pre/Mid - ROS - DT/MB/CTV - Preemptible - Package"/>
    <n v="586943"/>
    <s v="Arena Club - DIO - LFV - FSLS - Pre/Mid - ROS - DT/MB/CTV - Preemptible - Flight 10 - 6.29 - 6.30"/>
    <n v="94899328"/>
    <s v="FOX Sports Streaming"/>
    <s v="CPM"/>
    <n v="15"/>
    <s v="3P Imps"/>
    <n v="904"/>
    <n v="13.56"/>
    <m/>
    <m/>
    <s v=" "/>
    <n v="0"/>
    <m/>
    <m/>
    <n v="904"/>
    <n v="904"/>
    <n v="0"/>
    <n v="0"/>
    <n v="1"/>
    <n v="0"/>
    <n v="0"/>
    <n v="0"/>
    <s v="Bill on Actuals - 3rd Party Performance"/>
    <n v="0.05"/>
    <n v="166667"/>
    <n v="2500.0100000000002"/>
    <s v="ArenaClub/Tatari/Digital/25-26/SCT"/>
    <n v="93744074"/>
    <s v="P2+"/>
    <n v="1661198"/>
    <m/>
    <s v="Nicole Joscelyn"/>
    <s v="Guaranteed"/>
    <s v="DIO - LFV - FSLS - Pre/Mid - ROS - DT/MB/CTV - Preemptible"/>
    <n v="130332"/>
    <d v="2026-06-30T00:00:00"/>
    <d v="2026-05-01T00:00:00"/>
    <d v="2026-06-30T00:00:00"/>
    <s v="Direct LFV"/>
    <m/>
    <d v="2026-07-05T12:53:18"/>
  </r>
  <r>
    <s v="TATARI"/>
    <n v="10417"/>
    <n v="19472"/>
    <s v="ARENA CLUB"/>
    <s v="ArenaClub/Tatari/Digital/25-26/SCT"/>
    <x v="171"/>
    <s v="Arena Club - DIO - LFV - FSLS - Pre/Mid - ROS - DT/MB/CTV - Preemptible - Package"/>
    <n v="586943"/>
    <s v="Arena Club - DIO - LFV - FSLS - Pre/Mid - ROS - DT/MB/CTV - Preemptible - Flight 6 - 6.1 - 6.7"/>
    <n v="94463028"/>
    <s v="FOX Sports Streaming"/>
    <s v="CPM"/>
    <n v="15"/>
    <s v="3P Imps"/>
    <n v="91"/>
    <n v="1.36"/>
    <m/>
    <m/>
    <s v=" "/>
    <s v=""/>
    <m/>
    <m/>
    <n v="91"/>
    <n v="91"/>
    <n v="0"/>
    <n v="0"/>
    <n v="1"/>
    <n v="0"/>
    <n v="0"/>
    <n v="0"/>
    <s v="Bill on Actuals - 3rd Party Performance"/>
    <n v="0.05"/>
    <n v="166666"/>
    <n v="2499.9899999999998"/>
    <s v="ArenaClub/Tatari/Digital/25-26/SCT"/>
    <n v="93744074"/>
    <s v="P2+"/>
    <n v="1661198"/>
    <m/>
    <s v="Nicole Joscelyn"/>
    <s v="Guaranteed"/>
    <s v="DIO - LFV - FSLS - Pre/Mid - ROS - DT/MB/CTV - Preemptible"/>
    <n v="130332"/>
    <d v="2026-06-30T00:00:00"/>
    <d v="2026-05-01T00:00:00"/>
    <d v="2026-06-30T00:00:00"/>
    <s v="Direct LFV"/>
    <m/>
    <d v="2026-07-05T12:53:18"/>
  </r>
  <r>
    <s v="TATARI"/>
    <n v="10417"/>
    <n v="19472"/>
    <s v="ARENA CLUB"/>
    <s v="ArenaClub/Tatari/Digital/25-26/SCT"/>
    <x v="171"/>
    <s v="Arena Club - DIO - LFV - FSLS - Pre/Mid - ROS - DT/MB/CTV - Preemptible - Package"/>
    <n v="586943"/>
    <s v="Arena Club - DIO - LFV - FSLS - Pre/Mid - ROS - DT/MB/CTV - Preemptible - Flight 7 - 6.8 - 6.14"/>
    <n v="94463025"/>
    <s v="FOX Sports Streaming"/>
    <s v="CPM"/>
    <n v="15"/>
    <s v="3P Imps"/>
    <n v="335"/>
    <n v="5.03"/>
    <m/>
    <m/>
    <s v=" "/>
    <s v=""/>
    <m/>
    <m/>
    <n v="335"/>
    <n v="335"/>
    <n v="0"/>
    <n v="0"/>
    <n v="1"/>
    <n v="0"/>
    <n v="0"/>
    <n v="0"/>
    <s v="Bill on Actuals - 3rd Party Performance"/>
    <n v="0.05"/>
    <n v="166666"/>
    <n v="2499.9899999999998"/>
    <s v="ArenaClub/Tatari/Digital/25-26/SCT"/>
    <n v="93744074"/>
    <s v="P2+"/>
    <n v="1661198"/>
    <m/>
    <s v="Nicole Joscelyn"/>
    <s v="Guaranteed"/>
    <s v="DIO - LFV - FSLS - Pre/Mid - ROS - DT/MB/CTV - Preemptible"/>
    <n v="130332"/>
    <d v="2026-06-30T00:00:00"/>
    <d v="2026-05-01T00:00:00"/>
    <d v="2026-06-30T00:00:00"/>
    <s v="Direct LFV"/>
    <m/>
    <d v="2026-07-05T12:53:18"/>
  </r>
  <r>
    <s v="TATARI"/>
    <n v="10417"/>
    <n v="19472"/>
    <s v="ARENA CLUB"/>
    <s v="ArenaClub/Tatari/Digital/25-26/SCT"/>
    <x v="171"/>
    <s v="Arena Club - DIO - LFV - FSLS - Pre/Mid - ROS - DT/MB/CTV - Preemptible - Package"/>
    <n v="586943"/>
    <s v="Arena Club - DIO - LFV - FSLS - Pre/Mid - ROS - DT/MB/CTV - Preemptible - Flight 8 - 6.15 - 6.21"/>
    <n v="94744675"/>
    <s v="FOX Sports Streaming"/>
    <s v="CPM"/>
    <n v="15"/>
    <s v="3P Imps"/>
    <n v="2016"/>
    <n v="30.24"/>
    <m/>
    <m/>
    <s v=" "/>
    <s v=""/>
    <m/>
    <m/>
    <n v="2016"/>
    <n v="2016"/>
    <n v="0"/>
    <n v="0"/>
    <n v="1"/>
    <n v="0"/>
    <n v="0"/>
    <n v="0"/>
    <s v="Bill on Actuals - 3rd Party Performance"/>
    <n v="0.1"/>
    <n v="333334"/>
    <n v="5000.01"/>
    <s v="ArenaClub/Tatari/Digital/25-26/SCT"/>
    <n v="93744074"/>
    <s v="P2+"/>
    <n v="1661198"/>
    <m/>
    <s v="Nicole Joscelyn"/>
    <s v="Guaranteed"/>
    <s v="DIO - LFV - FSLS - Pre/Mid - ROS - DT/MB/CTV - Preemptible"/>
    <n v="130332"/>
    <d v="2026-06-30T00:00:00"/>
    <d v="2026-05-01T00:00:00"/>
    <d v="2026-06-30T00:00:00"/>
    <s v="Direct LFV"/>
    <m/>
    <d v="2026-07-05T12:53:18"/>
  </r>
  <r>
    <s v="TATARI"/>
    <n v="10417"/>
    <n v="19472"/>
    <s v="ARENA CLUB"/>
    <s v="ArenaClub/Tatari/Digital/25-26/SCT"/>
    <x v="171"/>
    <s v="Arena Club - DIO - LFV - FSLS - Pre/Mid - ROS - DT/MB/CTV - Preemptible - Package"/>
    <n v="586943"/>
    <s v="Arena Club - DIO - LFV - FSLS - Pre/Mid - ROS - DT/MB/CTV - Preemptible - Flight 9 - 6.22 - 6.28"/>
    <n v="94899332"/>
    <s v="FOX Sports Streaming"/>
    <s v="CPM"/>
    <n v="15"/>
    <s v="3P Imps"/>
    <n v="2419"/>
    <n v="36.28"/>
    <m/>
    <m/>
    <s v=" "/>
    <s v=""/>
    <m/>
    <m/>
    <n v="2419"/>
    <n v="2419"/>
    <n v="0"/>
    <n v="0"/>
    <n v="1"/>
    <n v="0"/>
    <n v="0"/>
    <n v="0"/>
    <s v="Bill on Actuals - 3rd Party Performance"/>
    <n v="0.05"/>
    <n v="166667"/>
    <n v="2500.0100000000002"/>
    <s v="ArenaClub/Tatari/Digital/25-26/SCT"/>
    <n v="93744074"/>
    <s v="P2+"/>
    <n v="1661198"/>
    <m/>
    <s v="Nicole Joscelyn"/>
    <s v="Guaranteed"/>
    <s v="DIO - LFV - FSLS - Pre/Mid - ROS - DT/MB/CTV - Preemptible"/>
    <n v="130332"/>
    <d v="2026-06-30T00:00:00"/>
    <d v="2026-05-01T00:00:00"/>
    <d v="2026-06-30T00:00:00"/>
    <s v="Direct LFV"/>
    <m/>
    <d v="2026-07-05T12:53:18"/>
  </r>
  <r>
    <s v="TATARI"/>
    <n v="10417"/>
    <n v="7157"/>
    <s v="CHIME"/>
    <s v="Chime/25-26/Digital/Scatter/Entertainment/2Q"/>
    <x v="172"/>
    <s v="Chime - DIO - LFV - Entertainment ROS Preemptible - Package"/>
    <n v="581417"/>
    <s v="Chime - DIO - LFV - RON Ent - Pre/Mid - ROS - DT/MB/CTV/STB - Preemptible - Flight 5 - 6.8 - 6.14"/>
    <n v="94456010"/>
    <s v="RON - Ent"/>
    <s v="Flat Rate"/>
    <n v="12.5"/>
    <s v="Bill on Contract"/>
    <n v="138757"/>
    <n v="1734.46"/>
    <m/>
    <m/>
    <s v=" "/>
    <n v="0"/>
    <m/>
    <m/>
    <n v="413413"/>
    <n v="413413"/>
    <n v="0"/>
    <n v="0"/>
    <n v="1"/>
    <n v="0"/>
    <n v="0"/>
    <n v="0"/>
    <s v="Bill on Contract - Manual Entry"/>
    <n v="1734.46"/>
    <n v="400000"/>
    <n v="5000"/>
    <s v="Chime/25-26/Digital/Scatter/Entertainment/2Q"/>
    <n v="93097837"/>
    <s v="P2+"/>
    <n v="1646457"/>
    <m/>
    <s v="Tierney Flynn"/>
    <s v="Guaranteed"/>
    <s v="DIO - LFV - RON Ent - Pre/Mid - ROS - DT/MB/CTV/STB - Preemptible"/>
    <n v="130276"/>
    <d v="2026-06-30T00:00:00"/>
    <d v="2026-04-06T00:00:00"/>
    <d v="2026-06-28T00:00:00"/>
    <s v="Direct LFV"/>
    <m/>
    <d v="2026-07-05T12:53:18"/>
  </r>
  <r>
    <s v="TATARI"/>
    <n v="10417"/>
    <n v="7157"/>
    <s v="CHIME"/>
    <s v="Chime/25-26/Digital/Scatter/Entertainment/2Q"/>
    <x v="172"/>
    <s v="Chime - DIO - LFV - Entertainment ROS Preemptible - Package"/>
    <n v="581417"/>
    <s v="Chime - DIO - LFV - RON Ent - Pre/Mid - ROS - DT/MB/CTV/STB - Preemptible - Flight 6 - 6.15 - 6.21"/>
    <n v="94664351"/>
    <s v="RON - Ent"/>
    <s v="Flat Rate"/>
    <n v="12.5"/>
    <s v="Bill on Contract"/>
    <n v="138757"/>
    <n v="1734.46"/>
    <m/>
    <m/>
    <s v=" "/>
    <s v=""/>
    <m/>
    <m/>
    <n v="100014"/>
    <n v="100014"/>
    <n v="0"/>
    <n v="0"/>
    <n v="1"/>
    <n v="0"/>
    <n v="0"/>
    <n v="0"/>
    <s v="Bill on Contract - Manual Entry"/>
    <n v="1734.46"/>
    <n v="400000"/>
    <n v="5000"/>
    <s v="Chime/25-26/Digital/Scatter/Entertainment/2Q"/>
    <n v="93097837"/>
    <s v="P2+"/>
    <n v="1646457"/>
    <m/>
    <s v="Tierney Flynn"/>
    <s v="Guaranteed"/>
    <s v="DIO - LFV - RON Ent - Pre/Mid - ROS - DT/MB/CTV/STB - Preemptible"/>
    <n v="130276"/>
    <d v="2026-06-30T00:00:00"/>
    <d v="2026-04-06T00:00:00"/>
    <d v="2026-06-28T00:00:00"/>
    <s v="Direct LFV"/>
    <m/>
    <d v="2026-07-05T12:53:18"/>
  </r>
  <r>
    <s v="TATARI"/>
    <n v="10417"/>
    <n v="7157"/>
    <s v="CHIME"/>
    <s v="Chime/25-26/Digital/Scatter/Entertainment/2Q"/>
    <x v="172"/>
    <s v="Chime - DIO - LFV - Entertainment ROS Preemptible - Package"/>
    <n v="581417"/>
    <s v="Chime - DIO - LFV - RON Ent - Pre/Mid - ROS - DT/MB/CTV/STB - Preemptible - Flight 7 - 6.22 - 6.28"/>
    <n v="94824860"/>
    <s v="RON - Ent"/>
    <s v="Flat Rate"/>
    <n v="12.5"/>
    <s v="Bill on Contract"/>
    <n v="416270"/>
    <n v="5203.38"/>
    <m/>
    <m/>
    <s v=" "/>
    <s v=""/>
    <m/>
    <m/>
    <n v="180656"/>
    <n v="180656"/>
    <n v="0"/>
    <n v="0"/>
    <n v="1"/>
    <n v="0"/>
    <n v="0"/>
    <n v="0"/>
    <s v="Bill on Contract - Manual Entry"/>
    <n v="5203.38"/>
    <n v="1200000"/>
    <n v="15000"/>
    <s v="Chime/25-26/Digital/Scatter/Entertainment/2Q"/>
    <n v="93097837"/>
    <s v="P2+"/>
    <n v="1646457"/>
    <m/>
    <s v="Tierney Flynn"/>
    <s v="Guaranteed"/>
    <s v="DIO - LFV - RON Ent - Pre/Mid - ROS - DT/MB/CTV/STB - Preemptible"/>
    <n v="130276"/>
    <d v="2026-06-30T00:00:00"/>
    <d v="2026-04-06T00:00:00"/>
    <d v="2026-06-28T00:00:00"/>
    <s v="Direct LFV"/>
    <m/>
    <d v="2026-07-05T12:53:18"/>
  </r>
  <r>
    <s v="TATARI"/>
    <n v="10417"/>
    <n v="21686"/>
    <s v="DAC GROUP / BRIDGESTONE"/>
    <s v="Bridgestone/25-26/Digital/Scatter/Entertainment/2Q"/>
    <x v="173"/>
    <s v="Bridgestone - DIO - LFV - Entertainment ROS Preemptible - Package"/>
    <n v="576695"/>
    <s v="Bridgestone - DIO - LFV - RON Ent - Pre/Mid - ROS - DT/MB/CTV/STB - Preemptible - 6.1 - 6.7 Flight 9"/>
    <n v="94009601"/>
    <s v="RON - Ent"/>
    <s v="CPM"/>
    <n v="12.5"/>
    <s v="3P Imps"/>
    <n v="494517"/>
    <n v="6000"/>
    <m/>
    <m/>
    <s v=" "/>
    <n v="0"/>
    <m/>
    <m/>
    <n v="494517"/>
    <n v="494517"/>
    <n v="0"/>
    <n v="0"/>
    <n v="1"/>
    <n v="0"/>
    <n v="0"/>
    <n v="0"/>
    <s v="Bill on Actuals - 3rd Party Performance"/>
    <n v="464.58"/>
    <n v="480000"/>
    <n v="6000"/>
    <s v="Bridgestone/25-26/Digital/Scatter/Entertainment/2Q"/>
    <n v="92822936"/>
    <s v="P2+"/>
    <n v="1640163"/>
    <m/>
    <s v="Tierney Flynn"/>
    <s v="Guaranteed"/>
    <s v="DIO - LFV - RON Ent - Pre/Mid - ROS - DT/MB/CTV/STB - Preemptible"/>
    <n v="128399"/>
    <d v="2026-06-30T00:00:00"/>
    <d v="2026-04-01T00:00:00"/>
    <d v="2026-06-28T00:00:00"/>
    <s v="Direct LFV"/>
    <m/>
    <d v="2026-07-05T12:53:18"/>
  </r>
  <r>
    <s v="TATARI"/>
    <n v="10417"/>
    <n v="21686"/>
    <s v="DAC GROUP / BRIDGESTONE"/>
    <s v="Bridgestone/25-26/Digital/Scatter/Entertainment/2Q"/>
    <x v="173"/>
    <s v="Bridgestone - DIO - LFV - Entertainment ROS Preemptible - Package"/>
    <n v="576695"/>
    <s v="Bridgestone - DIO - LFV - RON Ent - Pre/Mid - ROS - DT/MB/CTV/STB - Preemptible - 6.15 - 6.21 Flight 11"/>
    <n v="94720573"/>
    <s v="RON - Ent"/>
    <s v="CPM"/>
    <n v="12.5"/>
    <s v="3P Imps"/>
    <n v="411074"/>
    <n v="5000"/>
    <m/>
    <m/>
    <s v=" "/>
    <s v=""/>
    <m/>
    <m/>
    <n v="411074"/>
    <n v="411074"/>
    <n v="0"/>
    <n v="0"/>
    <n v="1"/>
    <n v="0"/>
    <n v="0"/>
    <n v="0"/>
    <s v="Bill on Actuals - 3rd Party Performance"/>
    <n v="387.15"/>
    <n v="400000"/>
    <n v="5000"/>
    <s v="Bridgestone/25-26/Digital/Scatter/Entertainment/2Q"/>
    <n v="92822936"/>
    <s v="P2+"/>
    <n v="1640163"/>
    <m/>
    <s v="Tierney Flynn"/>
    <s v="Guaranteed"/>
    <s v="DIO - LFV - RON Ent - Pre/Mid - ROS - DT/MB/CTV/STB - Preemptible"/>
    <n v="128399"/>
    <d v="2026-06-30T00:00:00"/>
    <d v="2026-04-01T00:00:00"/>
    <d v="2026-06-28T00:00:00"/>
    <s v="Direct LFV"/>
    <m/>
    <d v="2026-07-05T12:53:18"/>
  </r>
  <r>
    <s v="TATARI"/>
    <n v="10417"/>
    <n v="21686"/>
    <s v="DAC GROUP / BRIDGESTONE"/>
    <s v="Bridgestone/25-26/Digital/Scatter/Entertainment/2Q"/>
    <x v="173"/>
    <s v="Bridgestone - DIO - LFV - Entertainment ROS Preemptible - Package"/>
    <n v="576695"/>
    <s v="Bridgestone - DIO - LFV - RON Ent - Pre/Mid - ROS - DT/MB/CTV/STB - Preemptible - 6.22 - 6.28 Flight 12"/>
    <n v="94720570"/>
    <s v="RON - Ent"/>
    <s v="CPM"/>
    <n v="12.5"/>
    <s v="3P Imps"/>
    <n v="410782"/>
    <n v="5000"/>
    <m/>
    <m/>
    <s v=" "/>
    <s v=""/>
    <m/>
    <m/>
    <n v="410782"/>
    <n v="410782"/>
    <n v="0"/>
    <n v="0"/>
    <n v="1"/>
    <n v="0"/>
    <n v="0"/>
    <n v="0"/>
    <s v="Bill on Actuals - 3rd Party Performance"/>
    <n v="387.15"/>
    <n v="400000"/>
    <n v="5000"/>
    <s v="Bridgestone/25-26/Digital/Scatter/Entertainment/2Q"/>
    <n v="92822936"/>
    <s v="P2+"/>
    <n v="1640163"/>
    <m/>
    <s v="Tierney Flynn"/>
    <s v="Guaranteed"/>
    <s v="DIO - LFV - RON Ent - Pre/Mid - ROS - DT/MB/CTV/STB - Preemptible"/>
    <n v="128399"/>
    <d v="2026-06-30T00:00:00"/>
    <d v="2026-04-01T00:00:00"/>
    <d v="2026-06-28T00:00:00"/>
    <s v="Direct LFV"/>
    <m/>
    <d v="2026-07-05T12:53:18"/>
  </r>
  <r>
    <s v="TATARI"/>
    <n v="10417"/>
    <n v="21686"/>
    <s v="DAC GROUP / BRIDGESTONE"/>
    <s v="Bridgestone/25-26/Digital/Scatter/Entertainment/2Q"/>
    <x v="173"/>
    <s v="Bridgestone - DIO - LFV - Entertainment ROS Preemptible - Package"/>
    <n v="576695"/>
    <s v="Bridgestone - DIO - LFV - RON Ent - Pre/Mid - ROS - DT/MB/CTV/STB - Preemptible - 6.8 - 6.14 Flight 10"/>
    <n v="94257676"/>
    <s v="RON - Ent"/>
    <s v="CPM"/>
    <n v="12.5"/>
    <s v="3P Imps"/>
    <n v="494137"/>
    <n v="6000"/>
    <m/>
    <m/>
    <s v=" "/>
    <s v=""/>
    <m/>
    <m/>
    <n v="494137"/>
    <n v="494137"/>
    <n v="0"/>
    <n v="0"/>
    <n v="1"/>
    <n v="0"/>
    <n v="0"/>
    <n v="0"/>
    <s v="Bill on Actuals - 3rd Party Performance"/>
    <n v="464.58"/>
    <n v="480000"/>
    <n v="6000"/>
    <s v="Bridgestone/25-26/Digital/Scatter/Entertainment/2Q"/>
    <n v="92822936"/>
    <s v="P2+"/>
    <n v="1640163"/>
    <m/>
    <s v="Tierney Flynn"/>
    <s v="Guaranteed"/>
    <s v="DIO - LFV - RON Ent - Pre/Mid - ROS - DT/MB/CTV/STB - Preemptible"/>
    <n v="128399"/>
    <d v="2026-06-30T00:00:00"/>
    <d v="2026-04-01T00:00:00"/>
    <d v="2026-06-28T00:00:00"/>
    <s v="Direct LFV"/>
    <m/>
    <d v="2026-07-05T12:53:18"/>
  </r>
  <r>
    <s v="TATARI"/>
    <n v="10417"/>
    <n v="5480"/>
    <s v="NUTRAFOL"/>
    <s v="Nutrafol/25-26/2Q26/Digital/Sports/DR "/>
    <x v="174"/>
    <s v="Tatari/Nutrafol/25-26/Digital/Sports/ROS/Preempt -3Q26"/>
    <n v="556835"/>
    <s v="Tatari - Nutrafol - LFV - FSLS - Pre/Mid - ROS - DT/MB/CTV - Preemptible- Flight 1"/>
    <n v="92702580"/>
    <s v="FOX Sports Streaming"/>
    <s v="CPM"/>
    <n v="15"/>
    <s v="3P Imps"/>
    <n v="371"/>
    <n v="5.57"/>
    <m/>
    <m/>
    <s v=" "/>
    <n v="0"/>
    <m/>
    <s v="Show Only Net; NONE"/>
    <n v="371"/>
    <n v="371"/>
    <n v="0"/>
    <n v="0"/>
    <n v="1"/>
    <n v="0"/>
    <n v="0"/>
    <n v="0"/>
    <s v="Bill on Actuals - 3rd Party Performance"/>
    <n v="0.18"/>
    <n v="694467"/>
    <n v="10417.01"/>
    <s v="Nutrafol/25-26/2Q26/Digital/Sports/DR "/>
    <n v="92702574"/>
    <s v="P2+"/>
    <n v="1537016"/>
    <m/>
    <s v="Nunzio Belfiore"/>
    <s v="Guaranteed"/>
    <s v="LFV - FSLS - Pre/Mid - ROS - DT/MB/CTV - Preemptible"/>
    <n v="121116"/>
    <d v="2026-06-30T00:00:00"/>
    <d v="2026-06-08T00:00:00"/>
    <d v="2026-06-30T00:00:00"/>
    <s v="Direct LFV"/>
    <m/>
    <d v="2026-07-05T12:53:18"/>
  </r>
  <r>
    <s v="TATARI"/>
    <n v="10417"/>
    <n v="5480"/>
    <s v="NUTRAFOL"/>
    <s v="Nutrafol/25-26/2Q26/Digital/Sports/DR "/>
    <x v="174"/>
    <s v="Tatari/Nutrafol/25-26/Digital/Sports/ROS/Preempt -3Q26"/>
    <n v="556835"/>
    <s v="Tatari - Nutrafol - LFV - FSLS - Pre/Mid - ROS - DT/MB/CTV - Preemptible- Flight 2"/>
    <n v="92702590"/>
    <s v="FOX Sports Streaming"/>
    <s v="CPM"/>
    <n v="15"/>
    <s v="3P Imps"/>
    <n v="2283"/>
    <n v="34.24"/>
    <m/>
    <m/>
    <s v=" "/>
    <s v=""/>
    <m/>
    <m/>
    <n v="2283"/>
    <n v="2283"/>
    <n v="0"/>
    <n v="0"/>
    <n v="1"/>
    <n v="0"/>
    <n v="0"/>
    <n v="0"/>
    <s v="Bill on Actuals - 3rd Party Performance"/>
    <n v="0.18"/>
    <n v="694467"/>
    <n v="10417.01"/>
    <s v="Nutrafol/25-26/2Q26/Digital/Sports/DR "/>
    <n v="92702574"/>
    <s v="P2+"/>
    <n v="1537016"/>
    <m/>
    <s v="Nunzio Belfiore"/>
    <s v="Guaranteed"/>
    <s v="LFV - FSLS - Pre/Mid - ROS - DT/MB/CTV - Preemptible"/>
    <n v="121116"/>
    <d v="2026-06-30T00:00:00"/>
    <d v="2026-06-08T00:00:00"/>
    <d v="2026-06-30T00:00:00"/>
    <s v="Direct LFV"/>
    <m/>
    <d v="2026-07-05T12:53:18"/>
  </r>
  <r>
    <s v="TATARI"/>
    <n v="10417"/>
    <n v="5480"/>
    <s v="NUTRAFOL"/>
    <s v="Nutrafol/25-26/2Q26/Digital/Sports/DR "/>
    <x v="174"/>
    <s v="Tatari/Nutrafol/25-26/Digital/Sports/ROS/Preempt -3Q26"/>
    <n v="556835"/>
    <s v="Tatari - Nutrafol - LFV - FSLS - Pre/Mid - ROS - DT/MB/CTV - Preemptible- Flight 3"/>
    <n v="92702587"/>
    <s v="FOX Sports Streaming"/>
    <s v="CPM"/>
    <n v="15"/>
    <s v="3P Imps"/>
    <n v="3837"/>
    <n v="57.55"/>
    <m/>
    <m/>
    <s v=" "/>
    <s v=""/>
    <m/>
    <m/>
    <n v="3837"/>
    <n v="3837"/>
    <n v="0"/>
    <n v="0"/>
    <n v="1"/>
    <n v="0"/>
    <n v="0"/>
    <n v="0"/>
    <s v="Bill on Actuals - 3rd Party Performance"/>
    <n v="0.18"/>
    <n v="694460"/>
    <n v="10416.9"/>
    <s v="Nutrafol/25-26/2Q26/Digital/Sports/DR "/>
    <n v="92702574"/>
    <s v="P2+"/>
    <n v="1537016"/>
    <m/>
    <s v="Nunzio Belfiore"/>
    <s v="Guaranteed"/>
    <s v="LFV - FSLS - Pre/Mid - ROS - DT/MB/CTV - Preemptible"/>
    <n v="121116"/>
    <d v="2026-06-30T00:00:00"/>
    <d v="2026-06-08T00:00:00"/>
    <d v="2026-06-30T00:00:00"/>
    <s v="Direct LFV"/>
    <m/>
    <d v="2026-07-05T12:53:18"/>
  </r>
  <r>
    <s v="TATARI"/>
    <n v="10417"/>
    <n v="5480"/>
    <s v="NUTRAFOL"/>
    <s v="Nutrafol/25-26/Digital/Scatter/Entertainment/2Q"/>
    <x v="175"/>
    <s v="Nutrafol - DIO - LFV - Entertainment ROS Preemptible - Package"/>
    <n v="577967"/>
    <s v="Nutrafol - DIO - LFV - RON Ent - Pre/Mid - ROS - DT/MB/CTV/STB - Preemptible - Flight 10 - 6.1 - 6.7"/>
    <n v="94163858"/>
    <s v="RON - Ent"/>
    <s v="CPM"/>
    <n v="12.5"/>
    <s v="3P Imps"/>
    <n v="415622"/>
    <n v="5000"/>
    <m/>
    <m/>
    <s v=" "/>
    <n v="0"/>
    <m/>
    <m/>
    <n v="415622"/>
    <n v="415622"/>
    <n v="0"/>
    <n v="0"/>
    <n v="1"/>
    <n v="0"/>
    <n v="0"/>
    <n v="0"/>
    <s v="Bill on Actuals - 3rd Party Performance"/>
    <n v="152.56"/>
    <n v="400000"/>
    <n v="5000"/>
    <s v="Nutrafol/25-26/Digital/Scatter/Entertainment/2Q"/>
    <n v="92905559"/>
    <s v="P2+"/>
    <n v="1642018"/>
    <m/>
    <s v="Tierney Flynn"/>
    <s v="Guaranteed"/>
    <s v="DIO - LFV - RON Ent - Pre/Mid - ROS - DT/MB/CTV/STB - Preemptible"/>
    <n v="128838"/>
    <d v="2026-06-30T00:00:00"/>
    <d v="2026-04-01T00:00:00"/>
    <d v="2026-06-07T00:00:00"/>
    <s v="Direct LFV"/>
    <m/>
    <d v="2026-07-05T12:53:18"/>
  </r>
  <r>
    <s v="TATARI"/>
    <n v="10417"/>
    <n v="5480"/>
    <s v="NUTRAFOL"/>
    <s v="Nutrafol/2Q26/Digital/Entertainment/DR "/>
    <x v="176"/>
    <s v="Nutrafol - LFV - RON Ent - Pre/Mid - ROS - DT/MB/CTV/STB - non-CoV Preemptible - 2Q26"/>
    <n v="556672"/>
    <s v="Nutrafol - LFV - RON Ent - Pre/Mid - ROS - DT/MB/CTV/STB - non-CoV Preemptible - Flight 1"/>
    <n v="92687952"/>
    <s v="RON - Ent"/>
    <s v="CPM"/>
    <n v="12.5"/>
    <s v="3P Imps"/>
    <n v="744991"/>
    <n v="9312.39"/>
    <m/>
    <m/>
    <s v=" "/>
    <n v="0"/>
    <m/>
    <s v="Show Only Net; NONE"/>
    <n v="744991"/>
    <n v="744991"/>
    <n v="0"/>
    <n v="0"/>
    <n v="1"/>
    <n v="0"/>
    <n v="0"/>
    <n v="0"/>
    <s v="Bill on Actuals - 3rd Party Performance"/>
    <n v="3124.57"/>
    <n v="833360"/>
    <n v="10417"/>
    <s v="Nutrafol/2Q26/Digital/Entertainment/DR "/>
    <n v="92687949"/>
    <s v="P2+"/>
    <n v="1537017"/>
    <m/>
    <s v="Nunzio Belfiore"/>
    <s v="Guaranteed"/>
    <s v="LFV - RON Ent - Pre/Mid - ROS - DT/MB/CTV/STB - Preemptible"/>
    <n v="120914"/>
    <d v="2026-06-30T00:00:00"/>
    <d v="2026-06-08T00:00:00"/>
    <d v="2026-06-30T00:00:00"/>
    <s v="Direct LFV"/>
    <m/>
    <d v="2026-07-05T12:53:18"/>
  </r>
  <r>
    <s v="TATARI"/>
    <n v="10417"/>
    <n v="5480"/>
    <s v="NUTRAFOL"/>
    <s v="Nutrafol/2Q26/Digital/Entertainment/DR "/>
    <x v="176"/>
    <s v="Nutrafol - LFV - RON Ent - Pre/Mid - ROS - DT/MB/CTV/STB - non-CoV Preemptible - 2Q26"/>
    <n v="556672"/>
    <s v="Nutrafol - LFV - RON Ent - Pre/Mid - ROS - DT/MB/CTV/STB - non-CoV Preemptible - Flight 2"/>
    <n v="92687957"/>
    <s v="RON - Ent"/>
    <s v="CPM"/>
    <n v="12.5"/>
    <s v="3P Imps"/>
    <n v="114734"/>
    <n v="1434.17"/>
    <m/>
    <m/>
    <s v=" "/>
    <s v=""/>
    <m/>
    <m/>
    <n v="114734"/>
    <n v="114734"/>
    <n v="0"/>
    <n v="0"/>
    <n v="1"/>
    <n v="0"/>
    <n v="0"/>
    <n v="0"/>
    <s v="Bill on Actuals - 3rd Party Performance"/>
    <n v="3124.57"/>
    <n v="833360"/>
    <n v="10417"/>
    <s v="Nutrafol/2Q26/Digital/Entertainment/DR "/>
    <n v="92687949"/>
    <s v="P2+"/>
    <n v="1537017"/>
    <m/>
    <s v="Nunzio Belfiore"/>
    <s v="Guaranteed"/>
    <s v="LFV - RON Ent - Pre/Mid - ROS - DT/MB/CTV/STB - Preemptible"/>
    <n v="120914"/>
    <d v="2026-06-30T00:00:00"/>
    <d v="2026-06-08T00:00:00"/>
    <d v="2026-06-30T00:00:00"/>
    <s v="Direct LFV"/>
    <m/>
    <d v="2026-07-05T12:53:18"/>
  </r>
  <r>
    <s v="TATARI"/>
    <n v="10417"/>
    <n v="5480"/>
    <s v="NUTRAFOL"/>
    <s v="Nutrafol/2Q26/Digital/Entertainment/DR "/>
    <x v="176"/>
    <s v="Nutrafol - LFV - RON Ent - Pre/Mid - ROS - DT/MB/CTV/STB - non-CoV Preemptible - 2Q26"/>
    <n v="556672"/>
    <s v="Nutrafol - LFV - RON Ent - Pre/Mid - ROS - DT/MB/CTV/STB - non-CoV Preemptible - Flight 3"/>
    <n v="92687968"/>
    <s v="RON - Ent"/>
    <s v="CPM"/>
    <n v="12.5"/>
    <s v="3P Imps"/>
    <n v="255200"/>
    <n v="3190"/>
    <m/>
    <m/>
    <s v=" "/>
    <s v=""/>
    <m/>
    <m/>
    <n v="255200"/>
    <n v="255200"/>
    <n v="0"/>
    <n v="0"/>
    <n v="1"/>
    <n v="0"/>
    <n v="0"/>
    <n v="0"/>
    <s v="Bill on Actuals - 3rd Party Performance"/>
    <n v="3124.57"/>
    <n v="833360"/>
    <n v="10417"/>
    <s v="Nutrafol/2Q26/Digital/Entertainment/DR "/>
    <n v="92687949"/>
    <s v="P2+"/>
    <n v="1537017"/>
    <m/>
    <s v="Nunzio Belfiore"/>
    <s v="Guaranteed"/>
    <s v="LFV - RON Ent - Pre/Mid - ROS - DT/MB/CTV/STB - Preemptible"/>
    <n v="120914"/>
    <d v="2026-06-30T00:00:00"/>
    <d v="2026-06-08T00:00:00"/>
    <d v="2026-06-30T00:00:00"/>
    <s v="Direct LFV"/>
    <m/>
    <d v="2026-07-05T12:53:18"/>
  </r>
  <r>
    <s v="TATARI"/>
    <n v="10417"/>
    <n v="9028"/>
    <s v="SAATVA"/>
    <s v="Saatva/25-26/Digital/Scatter/Entertainment/2Q"/>
    <x v="177"/>
    <s v="Satva - DIO - LFV - Entertainment ROS Preemptible - Package"/>
    <n v="579781"/>
    <s v="Satva - DIO - LFV - RON Ent - Pre/Mid - ROS - DT/MB/CTV/STB - Preemptible Flight 11 - 6.15 - 6.21"/>
    <n v="94744742"/>
    <s v="RON - Ent"/>
    <s v="CPM"/>
    <n v="12.5"/>
    <s v="3P Imps"/>
    <n v="113329"/>
    <n v="1416.61"/>
    <m/>
    <m/>
    <s v=" "/>
    <n v="0"/>
    <m/>
    <m/>
    <n v="113329"/>
    <n v="113329"/>
    <n v="0"/>
    <n v="0"/>
    <n v="1"/>
    <n v="0"/>
    <n v="0"/>
    <n v="0"/>
    <s v="Bill on Actuals - 3rd Party Performance"/>
    <n v="436.37"/>
    <n v="1600000"/>
    <n v="20000"/>
    <s v="Saatva/25-26/Digital/Scatter/Entertainment/2Q"/>
    <n v="92981872"/>
    <s v="P2+"/>
    <n v="1644291"/>
    <m/>
    <s v="Tierney Flynn"/>
    <s v="Guaranteed"/>
    <s v="DIO - LFV - RON Ent - Pre/Mid - ROS - DT/MB/CTV/STB - Preemptible"/>
    <n v="129174"/>
    <d v="2026-06-30T00:00:00"/>
    <d v="2026-04-01T00:00:00"/>
    <d v="2026-06-21T00:00:00"/>
    <s v="Direct LFV"/>
    <m/>
    <d v="2026-07-05T12:53:18"/>
  </r>
  <r>
    <s v="TATARI"/>
    <n v="10417"/>
    <n v="9028"/>
    <s v="SAATVA"/>
    <s v="Saatva/25-26/Digital/Scatter/Entertainment/2Q"/>
    <x v="177"/>
    <s v="Satva - DIO - LFV - Entertainment ROS Preemptible - Package"/>
    <n v="579781"/>
    <s v="Satva - DIO - LFV - RON Ent - Pre/Mid - ROS - DT/MB/CTV/STB - Preemptible Flight 5 - 6.1 -6 .7"/>
    <n v="94238376"/>
    <s v="RON - Ent"/>
    <s v="CPM"/>
    <n v="12.5"/>
    <s v="3P Imps"/>
    <n v="415144"/>
    <n v="5000"/>
    <m/>
    <m/>
    <s v=" "/>
    <s v=""/>
    <m/>
    <m/>
    <n v="415144"/>
    <n v="415144"/>
    <n v="0"/>
    <n v="0"/>
    <n v="1"/>
    <n v="0"/>
    <n v="0"/>
    <n v="0"/>
    <s v="Bill on Actuals - 3rd Party Performance"/>
    <n v="109.09"/>
    <n v="400000"/>
    <n v="5000"/>
    <s v="Saatva/25-26/Digital/Scatter/Entertainment/2Q"/>
    <n v="92981872"/>
    <s v="P2+"/>
    <n v="1644291"/>
    <m/>
    <s v="Tierney Flynn"/>
    <s v="Guaranteed"/>
    <s v="DIO - LFV - RON Ent - Pre/Mid - ROS - DT/MB/CTV/STB - Preemptible"/>
    <n v="129174"/>
    <d v="2026-06-30T00:00:00"/>
    <d v="2026-04-01T00:00:00"/>
    <d v="2026-06-21T00:00:00"/>
    <s v="Direct LFV"/>
    <m/>
    <d v="2026-07-05T12:53:18"/>
  </r>
  <r>
    <s v="TATARI"/>
    <n v="10417"/>
    <n v="9028"/>
    <s v="SAATVA"/>
    <s v="Saatva/25-26/Digital/Scatter/Entertainment/2Q"/>
    <x v="177"/>
    <s v="Satva - DIO - LFV - Entertainment ROS Preemptible - Package"/>
    <n v="579781"/>
    <s v="Satva - DIO - LFV - RON Ent - Pre/Mid - ROS - DT/MB/CTV/STB - Preemptible Flight 5 - 6.8 - 6.14"/>
    <n v="94465402"/>
    <s v="RON - Ent"/>
    <s v="CPM"/>
    <n v="12.5"/>
    <s v="3P Imps"/>
    <n v="1014898"/>
    <n v="12686.23"/>
    <m/>
    <m/>
    <s v=" "/>
    <s v=""/>
    <m/>
    <m/>
    <n v="1014898"/>
    <n v="1014898"/>
    <n v="0"/>
    <n v="0"/>
    <n v="1"/>
    <n v="0"/>
    <n v="0"/>
    <n v="0"/>
    <s v="Bill on Actuals - 3rd Party Performance"/>
    <n v="327.27999999999997"/>
    <n v="1200000"/>
    <n v="15000"/>
    <s v="Saatva/25-26/Digital/Scatter/Entertainment/2Q"/>
    <n v="92981872"/>
    <s v="P2+"/>
    <n v="1644291"/>
    <m/>
    <s v="Tierney Flynn"/>
    <s v="Guaranteed"/>
    <s v="DIO - LFV - RON Ent - Pre/Mid - ROS - DT/MB/CTV/STB - Preemptible"/>
    <n v="129174"/>
    <d v="2026-06-30T00:00:00"/>
    <d v="2026-04-01T00:00:00"/>
    <d v="2026-06-21T00:00:00"/>
    <s v="Direct LFV"/>
    <m/>
    <d v="2026-07-05T12:53:18"/>
  </r>
  <r>
    <s v="TATARI"/>
    <n v="10417"/>
    <n v="20322"/>
    <s v="TURTLEBOX"/>
    <s v="TurtleBox/Tatari/Digital/25-26/SCT"/>
    <x v="178"/>
    <s v="Turtlebox - DIO - LFV - FSLS - Pre/Mid - ROS - DT/MB/CTV - Preemptible - Package"/>
    <n v="587030"/>
    <s v="Turtlebox - DIO - LFV - FSLS - Pre/Mid - ROS - DT/MB/CTV - Preemptible - Flight 5 - 6.1 - 6.7"/>
    <n v="94230076"/>
    <s v="FOX Sports Streaming"/>
    <s v="CPM"/>
    <n v="15"/>
    <s v="3P Imps"/>
    <n v="177"/>
    <n v="2.65"/>
    <m/>
    <m/>
    <s v=" "/>
    <n v="0"/>
    <m/>
    <m/>
    <n v="177"/>
    <n v="177"/>
    <n v="0"/>
    <n v="0"/>
    <n v="1"/>
    <n v="0"/>
    <n v="0"/>
    <n v="0"/>
    <s v="Bill on Actuals - 3rd Party Performance"/>
    <n v="0.18"/>
    <n v="133333"/>
    <n v="2000"/>
    <s v="TurtleBox/Tatari/Digital/25-26/SCT"/>
    <n v="93745387"/>
    <s v="P2+"/>
    <n v="1663758"/>
    <m/>
    <s v="Nicole Joscelyn"/>
    <s v="Guaranteed"/>
    <s v="DIO - LFV - FSLS - Pre/Mid - ROS - DT/MB/CTV - Preemptible"/>
    <n v="129139"/>
    <d v="2026-06-30T00:00:00"/>
    <d v="2026-05-04T00:00:00"/>
    <d v="2026-06-30T00:00:00"/>
    <s v="Direct LFV"/>
    <m/>
    <d v="2026-07-05T12:53:18"/>
  </r>
  <r>
    <s v="TATARI"/>
    <n v="10417"/>
    <n v="20322"/>
    <s v="TURTLEBOX"/>
    <s v="TurtleBox/Tatari/Digital/25-26/SCT"/>
    <x v="178"/>
    <s v="Turtlebox - DIO - LFV - FSLS - Pre/Mid - ROS - DT/MB/CTV - Preemptible - Package"/>
    <n v="587030"/>
    <s v="Turtlebox - DIO - LFV - FSLS - Pre/Mid - ROS - DT/MB/CTV - Preemptible - Flight 6 - 6.8 - 6.14"/>
    <n v="94517872"/>
    <s v="FOX Sports Streaming"/>
    <s v="CPM"/>
    <n v="15"/>
    <s v="3P Imps"/>
    <n v="304"/>
    <n v="4.5599999999999996"/>
    <m/>
    <m/>
    <s v=" "/>
    <s v=""/>
    <m/>
    <m/>
    <n v="304"/>
    <n v="304"/>
    <n v="0"/>
    <n v="0"/>
    <n v="1"/>
    <n v="0"/>
    <n v="0"/>
    <n v="0"/>
    <s v="Bill on Actuals - 3rd Party Performance"/>
    <n v="0.17"/>
    <n v="123067"/>
    <n v="1846.01"/>
    <s v="TurtleBox/Tatari/Digital/25-26/SCT"/>
    <n v="93745387"/>
    <s v="P2+"/>
    <n v="1663758"/>
    <m/>
    <s v="Nicole Joscelyn"/>
    <s v="Guaranteed"/>
    <s v="DIO - LFV - FSLS - Pre/Mid - ROS - DT/MB/CTV - Preemptible"/>
    <n v="129139"/>
    <d v="2026-06-30T00:00:00"/>
    <d v="2026-05-04T00:00:00"/>
    <d v="2026-06-30T00:00:00"/>
    <s v="Direct LFV"/>
    <m/>
    <d v="2026-07-05T12:53:18"/>
  </r>
  <r>
    <s v="TATARI"/>
    <n v="10417"/>
    <n v="20322"/>
    <s v="TURTLEBOX"/>
    <s v="TurtleBox/Tatari/Digital/25-26/SCT"/>
    <x v="178"/>
    <s v="Turtlebox - DIO - LFV - FSLS - Pre/Mid - ROS - DT/MB/CTV - Preemptible - Package"/>
    <n v="587030"/>
    <s v="Turtlebox - DIO - LFV - FSLS - Pre/Mid - ROS - DT/MB/CTV - Preemptible - Flight 7 - 6.15 - 6.21"/>
    <n v="94517866"/>
    <s v="FOX Sports Streaming"/>
    <s v="CPM"/>
    <n v="15"/>
    <s v="3P Imps"/>
    <n v="2122"/>
    <n v="31.83"/>
    <m/>
    <m/>
    <s v=" "/>
    <s v=""/>
    <m/>
    <m/>
    <n v="2122"/>
    <n v="2122"/>
    <n v="0"/>
    <n v="0"/>
    <n v="1"/>
    <n v="0"/>
    <n v="0"/>
    <n v="0"/>
    <s v="Bill on Actuals - 3rd Party Performance"/>
    <n v="0.17"/>
    <n v="123067"/>
    <n v="1846.01"/>
    <s v="TurtleBox/Tatari/Digital/25-26/SCT"/>
    <n v="93745387"/>
    <s v="P2+"/>
    <n v="1663758"/>
    <m/>
    <s v="Nicole Joscelyn"/>
    <s v="Guaranteed"/>
    <s v="DIO - LFV - FSLS - Pre/Mid - ROS - DT/MB/CTV - Preemptible"/>
    <n v="129139"/>
    <d v="2026-06-30T00:00:00"/>
    <d v="2026-05-04T00:00:00"/>
    <d v="2026-06-30T00:00:00"/>
    <s v="Direct LFV"/>
    <m/>
    <d v="2026-07-05T12:53:18"/>
  </r>
  <r>
    <s v="TATARI"/>
    <n v="10417"/>
    <n v="20322"/>
    <s v="TURTLEBOX"/>
    <s v="TurtleBox/Tatari/Digital/25-26/SCT"/>
    <x v="178"/>
    <s v="Turtlebox - DIO - LFV - FSLS - Pre/Mid - ROS - DT/MB/CTV - Preemptible - Package"/>
    <n v="587030"/>
    <s v="Turtlebox - DIO - LFV - FSLS - Pre/Mid - ROS - DT/MB/CTV - Preemptible - Flight 8 - 6.22 - 6.28"/>
    <n v="94817197"/>
    <s v="FOX Sports Streaming"/>
    <s v="CPM"/>
    <n v="15"/>
    <s v="3P Imps"/>
    <n v="2678"/>
    <n v="40.17"/>
    <m/>
    <m/>
    <s v=" "/>
    <s v=""/>
    <m/>
    <m/>
    <n v="2678"/>
    <n v="2678"/>
    <n v="0"/>
    <n v="0"/>
    <n v="1"/>
    <n v="0"/>
    <n v="0"/>
    <n v="0"/>
    <s v="Bill on Actuals - 3rd Party Performance"/>
    <n v="0.14000000000000001"/>
    <n v="102600"/>
    <n v="1539"/>
    <s v="TurtleBox/Tatari/Digital/25-26/SCT"/>
    <n v="93745387"/>
    <s v="P2+"/>
    <n v="1663758"/>
    <m/>
    <s v="Nicole Joscelyn"/>
    <s v="Guaranteed"/>
    <s v="DIO - LFV - FSLS - Pre/Mid - ROS - DT/MB/CTV - Preemptible"/>
    <n v="129139"/>
    <d v="2026-06-30T00:00:00"/>
    <d v="2026-05-04T00:00:00"/>
    <d v="2026-06-30T00:00:00"/>
    <s v="Direct LFV"/>
    <m/>
    <d v="2026-07-05T12:53:18"/>
  </r>
  <r>
    <s v="TATARI"/>
    <n v="10417"/>
    <n v="20322"/>
    <s v="TURTLEBOX"/>
    <s v="TurtleBox/Tatari/Digital/25-26/SCT"/>
    <x v="178"/>
    <s v="Turtlebox - DIO - LFV - FSLS - Pre/Mid - ROS - DT/MB/CTV - Preemptible - Package"/>
    <n v="587030"/>
    <s v="Turtlebox - DIO - LFV - FSLS - Pre/Mid - ROS - DT/MB/CTV - Preemptible - Flight 9 - 6.29 - 6.30"/>
    <n v="94963794"/>
    <s v="FOX Sports Streaming"/>
    <s v="CPM"/>
    <n v="15"/>
    <s v="3P Imps"/>
    <n v="891"/>
    <n v="13.37"/>
    <m/>
    <m/>
    <s v=" "/>
    <s v=""/>
    <m/>
    <m/>
    <n v="891"/>
    <n v="891"/>
    <n v="0"/>
    <n v="0"/>
    <n v="1"/>
    <n v="0"/>
    <n v="0"/>
    <n v="0"/>
    <s v="Bill on Actuals - 3rd Party Performance"/>
    <n v="0.03"/>
    <n v="22800"/>
    <n v="342"/>
    <s v="TurtleBox/Tatari/Digital/25-26/SCT"/>
    <n v="93745387"/>
    <s v="P2+"/>
    <n v="1663758"/>
    <m/>
    <s v="Nicole Joscelyn"/>
    <s v="Guaranteed"/>
    <s v="DIO - LFV - FSLS - Pre/Mid - ROS - DT/MB/CTV - Preemptible"/>
    <n v="129139"/>
    <d v="2026-06-30T00:00:00"/>
    <d v="2026-05-04T00:00:00"/>
    <d v="2026-06-30T00:00:00"/>
    <s v="Direct LFV"/>
    <m/>
    <d v="2026-07-05T12:53:18"/>
  </r>
  <r>
    <s v="UNIVERSAL MCCANN - NY"/>
    <n v="11759"/>
    <n v="2156"/>
    <s v="AMERICAN EXPRESS"/>
    <s v="2026 FIFA MWC/AMEX/Digital"/>
    <x v="179"/>
    <s v="AMEX - Run of World Cup Video - Package"/>
    <n v="581680"/>
    <s v="AMEX - DIO - LFV - TUB - Pre/Mid - MWC - DT/MB/CTV"/>
    <n v="94322019"/>
    <s v="Fox Sold Tubi"/>
    <s v="CPM"/>
    <n v="40"/>
    <s v="3P Imps"/>
    <n v="7607319"/>
    <n v="304292.76"/>
    <m/>
    <m/>
    <s v=" "/>
    <n v="0"/>
    <m/>
    <m/>
    <n v="7607319"/>
    <n v="7607319"/>
    <n v="0"/>
    <n v="0"/>
    <n v="1"/>
    <n v="0"/>
    <n v="0"/>
    <n v="0"/>
    <s v="Bill on Actuals - 3rd Party Performance"/>
    <n v="153192.20000000001"/>
    <n v="11550000"/>
    <n v="462000"/>
    <s v="2026 FIFA MWC/AMEX/Digital"/>
    <n v="93985619"/>
    <s v="P2+"/>
    <s v="O-D2QS6K6"/>
    <m/>
    <s v="Meghan Courtney"/>
    <s v="Guaranteed"/>
    <s v="DIO - LFV - TUB - Pre/Mid - MWC - DT/MB/CTV"/>
    <n v="128038"/>
    <d v="2026-06-30T00:00:00"/>
    <d v="2026-06-11T00:00:00"/>
    <d v="2026-07-19T00:00:00"/>
    <s v="Direct LFV"/>
    <m/>
    <d v="2026-07-05T12:53:18"/>
  </r>
  <r>
    <s v="UNIVERSAL MCCANN - NY"/>
    <n v="11759"/>
    <n v="2156"/>
    <s v="AMERICAN EXPRESS"/>
    <s v="2026 FIFA MWC/AMEX/Digital"/>
    <x v="179"/>
    <s v="AMEX - Run of World Cup Video - Package"/>
    <n v="581680"/>
    <s v="AMEX - DIO - ROV - FS - Pre/Mid - MWC - DT/MB/CTV"/>
    <n v="94322022"/>
    <s v="FOX Sports"/>
    <s v="CPM"/>
    <n v="40"/>
    <s v="3P Imps"/>
    <n v="3334981"/>
    <n v="133399.24"/>
    <m/>
    <m/>
    <s v=" "/>
    <s v=""/>
    <m/>
    <m/>
    <n v="3334981"/>
    <n v="3334981"/>
    <n v="0"/>
    <n v="0"/>
    <n v="1"/>
    <n v="0"/>
    <n v="0"/>
    <n v="0"/>
    <s v="Bill on Actuals - 3rd Party Performance"/>
    <n v="65653.8"/>
    <n v="4950000"/>
    <n v="198000"/>
    <s v="2026 FIFA MWC/AMEX/Digital"/>
    <n v="93985619"/>
    <s v="P2+"/>
    <s v="O-D2QS6K6"/>
    <m/>
    <s v="Meghan Courtney"/>
    <s v="Guaranteed"/>
    <s v="DIO - ROV - FS - Pre/Mid - MWC - DT/MB/CTV"/>
    <n v="128038"/>
    <d v="2026-06-30T00:00:00"/>
    <d v="2026-06-11T00:00:00"/>
    <d v="2026-07-19T00:00:00"/>
    <s v="Direct ROV"/>
    <m/>
    <d v="2026-07-05T12:53:18"/>
  </r>
  <r>
    <s v="UNIVERSAL MCCANN - NY"/>
    <n v="11759"/>
    <n v="2156"/>
    <s v="AMERICAN EXPRESS"/>
    <s v="2026 FIFA MWC/AMEX/Digital"/>
    <x v="179"/>
    <s v="AMEX - World Cup Social Sponsorship Content - Package - X"/>
    <n v="582833"/>
    <s v="AMEX - DIO - SOC - FOX Sports - X - MWC"/>
    <n v="582835"/>
    <s v="FOX Sports - Twitter"/>
    <s v="Flat Rate"/>
    <n v="1000000"/>
    <s v="Bill on Contract"/>
    <n v="0"/>
    <n v="256410.26"/>
    <m/>
    <m/>
    <s v=" "/>
    <n v="0"/>
    <m/>
    <m/>
    <n v="0"/>
    <n v="0"/>
    <n v="0"/>
    <n v="0"/>
    <n v="1"/>
    <n v="0"/>
    <n v="0"/>
    <n v="0"/>
    <s v="Bill on Contract - Pro-rated"/>
    <n v="256410.26"/>
    <n v="0"/>
    <n v="1000000"/>
    <s v="2026 FIFA MWC/AMEX/Digital"/>
    <n v="265747"/>
    <s v="P2+"/>
    <s v="O-D2QS6K6"/>
    <m/>
    <s v="Meghan Courtney"/>
    <s v="Guaranteed"/>
    <s v="DIO - SOC - FOX Sports - X - MWC"/>
    <n v="128038"/>
    <d v="2026-06-30T00:00:00"/>
    <d v="2026-06-11T00:00:00"/>
    <d v="2026-07-19T00:00:00"/>
    <s v="Social X"/>
    <m/>
    <d v="2026-07-05T12:53:18"/>
  </r>
  <r>
    <s v="UNIVERSAL MCCANN - NY"/>
    <n v="11759"/>
    <n v="2156"/>
    <s v="AMERICAN EXPRESS"/>
    <s v="2026 FIFA MWC/AMEX/Digital"/>
    <x v="179"/>
    <s v="AMEX - World Cup Social Sponsorship Content - Package - FB/IG/TT/YT"/>
    <n v="582838"/>
    <s v="AMEX - DIO - SOC - FOX Sports - Facebook/Instagram - MWC"/>
    <n v="582839"/>
    <s v="FOX Sports - FB-Inst"/>
    <s v="Flat Rate"/>
    <n v="0.15"/>
    <s v="Bill on Contract"/>
    <n v="507122533"/>
    <n v="76068.38"/>
    <m/>
    <m/>
    <s v=" "/>
    <n v="0"/>
    <m/>
    <m/>
    <n v="0"/>
    <n v="0"/>
    <n v="0"/>
    <n v="0"/>
    <n v="1"/>
    <n v="0"/>
    <n v="0"/>
    <n v="0"/>
    <s v="Bill on Contract - Pro-rated"/>
    <n v="76068.38"/>
    <n v="1977778"/>
    <n v="296666.7"/>
    <s v="2026 FIFA MWC/AMEX/Digital"/>
    <n v="265747"/>
    <s v="P2+"/>
    <s v="O-D2QS6K6"/>
    <m/>
    <s v="Meghan Courtney"/>
    <s v="Guaranteed"/>
    <s v="DIO - SOC - FOX Sports - Facebook/Instagram - MWC"/>
    <n v="128038"/>
    <d v="2026-06-30T00:00:00"/>
    <d v="2026-06-11T00:00:00"/>
    <d v="2026-07-19T00:00:00"/>
    <s v="Social Facebook/Instagram"/>
    <m/>
    <d v="2026-07-05T12:53:18"/>
  </r>
  <r>
    <s v="UNIVERSAL MCCANN - NY"/>
    <n v="11759"/>
    <n v="2156"/>
    <s v="AMERICAN EXPRESS"/>
    <s v="2026 FIFA MWC/AMEX/Digital"/>
    <x v="179"/>
    <s v="AMEX - World Cup Social Sponsorship Content - Package - FB/IG/TT/YT"/>
    <n v="582838"/>
    <s v="AMEX - DIO - SOC - FOX Sports - TikTok - MWC"/>
    <n v="582842"/>
    <s v="FOX Sports - TikTok"/>
    <s v="Flat Rate"/>
    <n v="0.15"/>
    <s v="Bill on Contract"/>
    <n v="507122533"/>
    <n v="76068.38"/>
    <m/>
    <m/>
    <s v=" "/>
    <s v=""/>
    <m/>
    <m/>
    <n v="0"/>
    <n v="0"/>
    <n v="0"/>
    <n v="0"/>
    <n v="1"/>
    <n v="0"/>
    <n v="0"/>
    <n v="0"/>
    <s v="Bill on Contract - Pro-rated"/>
    <n v="76068.38"/>
    <n v="1977778"/>
    <n v="296666.7"/>
    <s v="2026 FIFA MWC/AMEX/Digital"/>
    <n v="265747"/>
    <s v="P2+"/>
    <s v="O-D2QS6K6"/>
    <m/>
    <s v="Meghan Courtney"/>
    <s v="Guaranteed"/>
    <s v="DIO - SOC - FOX Sports - TikTok - MWC"/>
    <n v="128038"/>
    <d v="2026-06-30T00:00:00"/>
    <d v="2026-06-11T00:00:00"/>
    <d v="2026-07-19T00:00:00"/>
    <s v="Social TikTok"/>
    <m/>
    <d v="2026-07-05T12:53:18"/>
  </r>
  <r>
    <s v="UNIVERSAL MCCANN - NY"/>
    <n v="11759"/>
    <n v="2156"/>
    <s v="AMERICAN EXPRESS"/>
    <s v="2026 FIFA MWC/AMEX/Digital"/>
    <x v="179"/>
    <s v="AMEX - World Cup Social Sponsorship Content - Package - FB/IG/TT/YT"/>
    <n v="582838"/>
    <s v="AMEX - DIO - SOC - FOX Sports - Youtube - Custom Content - MWC"/>
    <n v="582841"/>
    <s v="FOX Sports"/>
    <s v="Flat Rate"/>
    <n v="0.15"/>
    <s v="Bill on Contract"/>
    <n v="507122533"/>
    <n v="76068.38"/>
    <m/>
    <m/>
    <s v=" "/>
    <s v=""/>
    <m/>
    <m/>
    <n v="0"/>
    <n v="0"/>
    <n v="0"/>
    <n v="0"/>
    <n v="1"/>
    <n v="0"/>
    <n v="0"/>
    <n v="0"/>
    <s v="Bill on Contract - Pro-rated"/>
    <n v="76068.38"/>
    <n v="1977778"/>
    <n v="296666.7"/>
    <s v="2026 FIFA MWC/AMEX/Digital"/>
    <n v="265747"/>
    <s v="P2+"/>
    <s v="O-D2QS6K6"/>
    <m/>
    <s v="Meghan Courtney"/>
    <s v="Guaranteed"/>
    <s v="DIO - SOC - FOX Sports - Youtube - Custom Content - MWC"/>
    <n v="128038"/>
    <d v="2026-06-30T00:00:00"/>
    <d v="2026-06-11T00:00:00"/>
    <d v="2026-07-19T00:00:00"/>
    <s v="Social"/>
    <m/>
    <d v="2026-07-05T12:53:18"/>
  </r>
  <r>
    <s v="VM1"/>
    <n v="10978"/>
    <n v="7034"/>
    <s v="VERIZON"/>
    <s v="Verizon/2026 MWC/Digital/Scatter/Mobility"/>
    <x v="180"/>
    <s v="Verizon - OMP - Mobility - World Cup Social Sponsorship Content - Package - 2026"/>
    <n v="582267"/>
    <s v="Verizon - OMP - Mobility - DIO - SOC - FOX Sports - Facebook/Instagram - MWC - 2026"/>
    <n v="582268"/>
    <s v="FOX Sports - FB-Inst"/>
    <s v="Flat Rate"/>
    <n v="250000"/>
    <s v="Bill on Contract"/>
    <n v="0"/>
    <n v="76530.61"/>
    <m/>
    <m/>
    <s v=" "/>
    <n v="0"/>
    <m/>
    <m/>
    <n v="0"/>
    <n v="0"/>
    <n v="0"/>
    <n v="0"/>
    <n v="1"/>
    <n v="0"/>
    <n v="0"/>
    <n v="0"/>
    <s v="Bill on Contract - Pro-rated"/>
    <n v="76530.61"/>
    <n v="1"/>
    <n v="250000"/>
    <s v="Verizon/2026 MWC/Digital/Scatter/Mobility"/>
    <n v="267105"/>
    <s v="P2+"/>
    <s v="O-D2PQGPA-R9"/>
    <m/>
    <s v="Tom Cecil"/>
    <s v="Guaranteed"/>
    <s v="DIO - SOC - FOX Sports - Facebook/Instagram - MWC"/>
    <n v="131161"/>
    <d v="2026-06-30T00:00:00"/>
    <d v="2026-06-01T00:00:00"/>
    <d v="2026-07-19T00:00:00"/>
    <s v="Social Facebook/Instagram"/>
    <m/>
    <d v="2026-07-05T12:53:18"/>
  </r>
  <r>
    <s v="VM1"/>
    <n v="10978"/>
    <n v="7034"/>
    <s v="VERIZON"/>
    <s v="Verizon/2026 MWC/Digital/Scatter/Mobility"/>
    <x v="180"/>
    <s v="Verizon - OMP - Mobility - World Cup Social Sponsorship Content - Package - 2026"/>
    <n v="582267"/>
    <s v="Verizon - OMP - Mobility - DIO - SOC - FOX Sports - TikTok - MWC - 2026"/>
    <n v="582270"/>
    <s v="FOX Sports - TikTok"/>
    <s v="Flat Rate"/>
    <n v="250000"/>
    <s v="Bill on Contract"/>
    <n v="0"/>
    <n v="76530.61"/>
    <m/>
    <m/>
    <s v=" "/>
    <s v=""/>
    <m/>
    <m/>
    <n v="0"/>
    <n v="0"/>
    <n v="0"/>
    <n v="0"/>
    <n v="1"/>
    <n v="0"/>
    <n v="0"/>
    <n v="0"/>
    <s v="Bill on Contract - Pro-rated"/>
    <n v="76530.61"/>
    <n v="1"/>
    <n v="250000"/>
    <s v="Verizon/2026 MWC/Digital/Scatter/Mobility"/>
    <n v="267105"/>
    <s v="P2+"/>
    <s v="O-D2PQGPA-R9"/>
    <m/>
    <s v="Tom Cecil"/>
    <s v="Guaranteed"/>
    <s v="DIO - SOC - FOX Sports - TikTok - MWC"/>
    <n v="131161"/>
    <d v="2026-06-30T00:00:00"/>
    <d v="2026-06-01T00:00:00"/>
    <d v="2026-07-19T00:00:00"/>
    <s v="Social TikTok"/>
    <m/>
    <d v="2026-07-05T12:53:18"/>
  </r>
  <r>
    <s v="VM1"/>
    <n v="10978"/>
    <n v="7034"/>
    <s v="VERIZON"/>
    <s v="Verizon/2026 MWC/Digital/Scatter/Mobility"/>
    <x v="180"/>
    <s v="Verizon - OMP - Mobility - World Cup Social Sponsorship Content - Package - 2026"/>
    <n v="582267"/>
    <s v="Verizon - OMP - Mobility - DIO - SOC - FOX Sports - Youtube - Custom Content - MWC - 2026"/>
    <n v="582269"/>
    <s v="FOX Sports"/>
    <s v="Flat Rate"/>
    <n v="250000"/>
    <s v="Bill on Contract"/>
    <n v="0"/>
    <n v="76530.61"/>
    <m/>
    <m/>
    <s v=" "/>
    <s v=""/>
    <m/>
    <m/>
    <n v="0"/>
    <n v="0"/>
    <n v="0"/>
    <n v="0"/>
    <n v="1"/>
    <n v="0"/>
    <n v="0"/>
    <n v="0"/>
    <s v="Bill on Contract - Pro-rated"/>
    <n v="76530.61"/>
    <n v="1"/>
    <n v="250000"/>
    <s v="Verizon/2026 MWC/Digital/Scatter/Mobility"/>
    <n v="267105"/>
    <s v="P2+"/>
    <s v="O-D2PQGPA-R9"/>
    <m/>
    <s v="Tom Cecil"/>
    <s v="Guaranteed"/>
    <s v="DIO - SOC - FOX Sports - Youtube - Custom Content - MWC"/>
    <n v="131161"/>
    <d v="2026-06-30T00:00:00"/>
    <d v="2026-06-01T00:00:00"/>
    <d v="2026-07-19T00:00:00"/>
    <s v="Social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 OMP - FS - Blank - ROS - Sponsorship - 6/19"/>
    <n v="7328010885"/>
    <s v="FOX Sports"/>
    <s v="Flat Rate"/>
    <n v="0"/>
    <s v="Bill on Contract"/>
    <n v="0"/>
    <n v="0"/>
    <m/>
    <m/>
    <s v=" "/>
    <n v="0"/>
    <m/>
    <m/>
    <n v="0"/>
    <n v="0"/>
    <n v="0"/>
    <n v="0"/>
    <n v="1"/>
    <n v="0"/>
    <n v="0"/>
    <n v="0"/>
    <s v="Bill on Contract - Pro-rated"/>
    <n v="0"/>
    <n v="1"/>
    <n v="0"/>
    <s v="Verizon/2026 MWC/Digital/Scatter/VBG/Display"/>
    <n v="261763"/>
    <s v="P2+"/>
    <s v="O-D31BKH5-R4"/>
    <m/>
    <s v="Tom Cecil"/>
    <s v="Guaranteed"/>
    <s v="DIS - FS - Blank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OMP - DIS - FS - Display Unit - ROS - Sponsorship - 300x250 - 6/19"/>
    <n v="7328010873"/>
    <s v="FOX Sports"/>
    <s v="Flat Rate"/>
    <n v="160000"/>
    <s v="Bill on Contract"/>
    <n v="500"/>
    <n v="80000"/>
    <m/>
    <m/>
    <s v=" "/>
    <s v=""/>
    <m/>
    <m/>
    <n v="0"/>
    <n v="0"/>
    <n v="0"/>
    <n v="0"/>
    <n v="1"/>
    <n v="0"/>
    <n v="0"/>
    <n v="0"/>
    <s v="Bill on Contract - Pro-rated"/>
    <n v="80000"/>
    <n v="1"/>
    <n v="160000"/>
    <s v="Verizon/2026 MWC/Digital/Scatter/VBG/Display"/>
    <n v="261763"/>
    <s v="P2+"/>
    <s v="O-D31BKH5-R4"/>
    <m/>
    <s v="Tom Cecil"/>
    <s v="Guaranteed"/>
    <s v="DIS - FS - Display Unit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OMP - DIS - FS - Display Unit - ROS - Sponsorship - 300x600 - 6/19"/>
    <n v="7328010876"/>
    <s v="FOX Sports"/>
    <s v="Flat Rate"/>
    <n v="160000"/>
    <s v="Bill on Contract"/>
    <n v="500"/>
    <n v="80000"/>
    <m/>
    <m/>
    <s v=" "/>
    <s v=""/>
    <m/>
    <m/>
    <n v="0"/>
    <n v="0"/>
    <n v="0"/>
    <n v="0"/>
    <n v="1"/>
    <n v="0"/>
    <n v="0"/>
    <n v="0"/>
    <s v="Bill on Contract - Pro-rated"/>
    <n v="80000"/>
    <n v="1"/>
    <n v="160000"/>
    <s v="Verizon/2026 MWC/Digital/Scatter/VBG/Display"/>
    <n v="261763"/>
    <s v="P2+"/>
    <s v="O-D31BKH5-R4"/>
    <m/>
    <s v="Tom Cecil"/>
    <s v="Guaranteed"/>
    <s v="DIS - FS - Display Unit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OMP - DIS - FS - Display Unit - ROS - Sponsorship - 320x50 - 6/19"/>
    <n v="7328010879"/>
    <s v="FOX Sports"/>
    <s v="Flat Rate"/>
    <n v="160000"/>
    <s v="Bill on Contract"/>
    <n v="500"/>
    <n v="80000"/>
    <m/>
    <m/>
    <s v=" "/>
    <s v=""/>
    <m/>
    <m/>
    <n v="0"/>
    <n v="0"/>
    <n v="0"/>
    <n v="0"/>
    <n v="1"/>
    <n v="0"/>
    <n v="0"/>
    <n v="0"/>
    <s v="Bill on Contract - Pro-rated"/>
    <n v="80000"/>
    <n v="1"/>
    <n v="160000"/>
    <s v="Verizon/2026 MWC/Digital/Scatter/VBG/Display"/>
    <n v="261763"/>
    <s v="P2+"/>
    <s v="O-D31BKH5-R4"/>
    <m/>
    <s v="Tom Cecil"/>
    <s v="Guaranteed"/>
    <s v="DIS - FS - Display Unit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OMP - DIS - FS - Display Unit - ROS - Sponsorship - 728x90 - 6/19"/>
    <n v="7328013591"/>
    <s v="FOX Sports"/>
    <s v="Flat Rate"/>
    <n v="160000"/>
    <s v="Bill on Contract"/>
    <n v="500"/>
    <n v="80000"/>
    <m/>
    <m/>
    <s v=" "/>
    <s v=""/>
    <m/>
    <m/>
    <n v="0"/>
    <n v="0"/>
    <n v="0"/>
    <n v="0"/>
    <n v="1"/>
    <n v="0"/>
    <n v="0"/>
    <n v="0"/>
    <s v="Bill on Contract - Pro-rated"/>
    <n v="80000"/>
    <n v="1"/>
    <n v="160000"/>
    <s v="Verizon/2026 MWC/Digital/Scatter/VBG/Display"/>
    <n v="261763"/>
    <s v="P2+"/>
    <s v="O-D31BKH5-R4"/>
    <m/>
    <s v="Tom Cecil"/>
    <s v="Guaranteed"/>
    <s v="DIS - FS - Display Unit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Display"/>
    <x v="181"/>
    <s v="Verizon - OMP - World Cup FOX Sports Site &amp; App Takeover - Package - 6/19"/>
    <n v="582197"/>
    <s v="Verizon - OMP - DIS - FS - High Impact - ROS - Sponsorship - Skybox - 6/19"/>
    <n v="7330341259"/>
    <s v="FOX Sports"/>
    <s v="Flat Rate"/>
    <n v="160000"/>
    <s v="Bill on Contract"/>
    <n v="500"/>
    <n v="80000"/>
    <m/>
    <m/>
    <s v=" "/>
    <s v=""/>
    <m/>
    <m/>
    <n v="0"/>
    <n v="0"/>
    <n v="0"/>
    <n v="0"/>
    <n v="1"/>
    <n v="0"/>
    <n v="0"/>
    <n v="0"/>
    <s v="Bill on Contract - Pro-rated"/>
    <n v="80000"/>
    <n v="1"/>
    <n v="160000"/>
    <s v="Verizon/2026 MWC/Digital/Scatter/VBG/Display"/>
    <n v="261763"/>
    <s v="P2+"/>
    <s v="O-D31BKH5-R4"/>
    <m/>
    <s v="Tom Cecil"/>
    <s v="Guaranteed"/>
    <s v="DIS - FS - High Impact - ROS - Sponsorship"/>
    <n v="130400"/>
    <d v="2026-06-30T00:00:00"/>
    <d v="2026-06-19T00:00:00"/>
    <d v="2026-06-19T00:00:00"/>
    <s v="Direct Display"/>
    <m/>
    <d v="2026-07-05T12:53:18"/>
  </r>
  <r>
    <s v="VM1"/>
    <n v="10978"/>
    <n v="7034"/>
    <s v="VERIZON"/>
    <s v="Verizon/2026 MWC/Digital/Scatter/VBG/Video"/>
    <x v="182"/>
    <s v="Verizon - OMP - VBG - Run of World Cup Video - Package - 2026"/>
    <n v="591925"/>
    <s v="Verizon - OMP - VBG - DIO - LFV - TUB - Pre/Mid - MWC - DT/MB/CTV - 2026"/>
    <n v="94702115"/>
    <s v="Fox Sold Tubi"/>
    <s v="CPM"/>
    <n v="40"/>
    <s v="3P Imps"/>
    <n v="9700812"/>
    <n v="388032.48"/>
    <m/>
    <m/>
    <s v=" "/>
    <n v="0"/>
    <m/>
    <m/>
    <n v="9700812"/>
    <n v="9700812"/>
    <n v="0"/>
    <n v="0"/>
    <n v="1"/>
    <n v="0"/>
    <n v="0"/>
    <n v="0"/>
    <s v="Bill on Actuals - 3rd Party Performance"/>
    <n v="204439.8"/>
    <n v="15400000"/>
    <n v="616000"/>
    <s v="Verizon/2026 MWC/Digital/Scatter/VBG/Video"/>
    <n v="94702108"/>
    <s v="P2+"/>
    <s v="O-D324V9C-R3"/>
    <m/>
    <s v="Tom Cecil"/>
    <s v="Guaranteed"/>
    <s v="DIO - LFV - TUB - Pre/Mid - MWC - DT/MB/CTV"/>
    <n v="130990"/>
    <d v="2026-06-30T00:00:00"/>
    <d v="2026-06-11T00:00:00"/>
    <d v="2026-07-19T00:00:00"/>
    <s v="Direct LFV"/>
    <m/>
    <d v="2026-07-05T12:53:18"/>
  </r>
  <r>
    <s v="VM1"/>
    <n v="10978"/>
    <n v="7034"/>
    <s v="VERIZON"/>
    <s v="Verizon/2026 MWC/Digital/Scatter/VBG/Video"/>
    <x v="182"/>
    <s v="Verizon - OMP - VBG - Run of World Cup Video - Package - 2026"/>
    <n v="591925"/>
    <s v="Verizon - OMP - VBG - DIO - ROV - FS - Pre/Mid - MWC - DT/MB/CTV - 2026"/>
    <n v="94702111"/>
    <s v="FOX Sports"/>
    <s v="CPM"/>
    <n v="40"/>
    <s v="3P Imps"/>
    <n v="4438470"/>
    <n v="177538.8"/>
    <m/>
    <m/>
    <s v=" "/>
    <s v=""/>
    <m/>
    <m/>
    <n v="4438470"/>
    <n v="4438470"/>
    <n v="0"/>
    <n v="0"/>
    <n v="1"/>
    <n v="0"/>
    <n v="0"/>
    <n v="0"/>
    <s v="Bill on Actuals - 3rd Party Performance"/>
    <n v="87617.06"/>
    <n v="6600000"/>
    <n v="264000"/>
    <s v="Verizon/2026 MWC/Digital/Scatter/VBG/Video"/>
    <n v="94702108"/>
    <s v="P2+"/>
    <s v="O-D324V9C-R3"/>
    <m/>
    <s v="Tom Cecil"/>
    <s v="Guaranteed"/>
    <s v="DIO - ROV - FS - Pre/Mid - MWC - DT/MB/CTV"/>
    <n v="130990"/>
    <d v="2026-06-30T00:00:00"/>
    <d v="2026-06-11T00:00:00"/>
    <d v="2026-07-19T00:00:00"/>
    <s v="Direct ROV"/>
    <m/>
    <d v="2026-07-05T12:53:18"/>
  </r>
  <r>
    <s v="VM1"/>
    <n v="10978"/>
    <n v="7034"/>
    <s v="VERIZON"/>
    <s v="Verizon/2026 MWC/Digital/Scatter/VBG/Video"/>
    <x v="182"/>
    <s v="Verizon - OMP - Run of World Cup Display - Package - 2026"/>
    <n v="591932"/>
    <s v="Verizon - OMP - DIS - FS - Display Unit - 300x250, 320x50, 728x90 - MWC - 2026"/>
    <n v="7337962532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6071.22"/>
    <n v="11666667"/>
    <n v="70000"/>
    <s v="Verizon/2026 MWC/Digital/Scatter/VBG/Video"/>
    <n v="270546"/>
    <s v="P2+"/>
    <s v="O-D324V9C-R3"/>
    <m/>
    <s v="Tom Cecil"/>
    <s v="Guaranteed"/>
    <s v="DIS - FS - Display Unit - MWC"/>
    <n v="130990"/>
    <d v="2026-06-30T00:00:00"/>
    <d v="2026-06-11T00:00:00"/>
    <d v="2026-07-19T00:00:00"/>
    <s v="Direct Display"/>
    <m/>
    <d v="2026-07-05T12:53:18"/>
  </r>
  <r>
    <s v="VM1"/>
    <n v="10978"/>
    <n v="7034"/>
    <s v="VERIZON"/>
    <s v="Verizon/2026 MWC/Digital/Scatter/VBG/Video"/>
    <x v="182"/>
    <s v="Verizon - OMP - VBG - Run of World Cup Video - Makegood Package - 2026"/>
    <n v="595946"/>
    <s v="Verizon - OMP - VBG - DIO - LFV - TUB - Pre/Mid - MWC - DT/MB/CTV - 2026 - MAKEGOOD"/>
    <n v="95005891"/>
    <s v="Fox Sold Tubi"/>
    <s v="CPM"/>
    <n v="40"/>
    <s v="3P Imps"/>
    <n v="3400138"/>
    <n v="0"/>
    <m/>
    <m/>
    <s v=" "/>
    <n v="0"/>
    <m/>
    <m/>
    <n v="3400138"/>
    <n v="3400138"/>
    <n v="0"/>
    <n v="0"/>
    <n v="1"/>
    <n v="0"/>
    <n v="0"/>
    <n v="0"/>
    <s v="Bill on Actuals - 3rd Party Performance"/>
    <n v="0"/>
    <n v="11190380"/>
    <n v="0"/>
    <s v="Verizon/2026 MWC/Digital/Scatter/VBG/Video"/>
    <n v="94702108"/>
    <s v="P2+"/>
    <s v="O-D324V9C-R3"/>
    <m/>
    <s v="Tom Cecil"/>
    <s v="Make Good"/>
    <s v="DIO - LFV - TUB - Pre/Mid - MWC - DT/MB/CTV"/>
    <n v="130990"/>
    <d v="2026-06-30T00:00:00"/>
    <d v="2026-06-24T00:00:00"/>
    <d v="2026-07-19T00:00:00"/>
    <s v="Direct LFV"/>
    <m/>
    <d v="2026-07-05T12:53:18"/>
  </r>
  <r>
    <s v="VM1"/>
    <n v="10978"/>
    <n v="7034"/>
    <s v="VERIZON"/>
    <s v="Verizon/2026 MWC/Digital/Scatter/VBG/Video"/>
    <x v="182"/>
    <s v="Verizon - OMP - VBG - Run of World Cup Video - Makegood Package - 2026"/>
    <n v="595946"/>
    <s v="Verizon - OMP - VBG - DIO - ROV - FS - Pre/Mid - MWC - DT/MB/CTV - 2026 - MAKEGOOD"/>
    <n v="95005887"/>
    <s v="FOX Sports"/>
    <s v="CPM"/>
    <n v="40"/>
    <s v="3P Imps"/>
    <n v="3225767"/>
    <n v="0"/>
    <m/>
    <m/>
    <s v=" "/>
    <s v=""/>
    <m/>
    <m/>
    <n v="3225767"/>
    <n v="3225767"/>
    <n v="0"/>
    <n v="0"/>
    <n v="1"/>
    <n v="0"/>
    <n v="0"/>
    <n v="0"/>
    <s v="Bill on Actuals - 3rd Party Performance"/>
    <n v="0"/>
    <n v="4795877"/>
    <n v="0"/>
    <s v="Verizon/2026 MWC/Digital/Scatter/VBG/Video"/>
    <n v="94702108"/>
    <s v="P2+"/>
    <s v="O-D324V9C-R3"/>
    <m/>
    <s v="Tom Cecil"/>
    <s v="Make Good"/>
    <s v="DIO - ROV - FS - Pre/Mid - MWC - DT/MB/CTV"/>
    <n v="130990"/>
    <d v="2026-06-30T00:00:00"/>
    <d v="2026-06-24T00:00:00"/>
    <d v="2026-07-19T00:00:00"/>
    <s v="Direct ROV"/>
    <m/>
    <d v="2026-07-05T12:53:18"/>
  </r>
  <r>
    <s v="WAVEMAKER GLOBAL, LLC"/>
    <n v="11723"/>
    <n v="1552"/>
    <s v="AUDIBLE INC"/>
    <s v="Audible/MWC/scatter/25.26/ALLFOX"/>
    <x v="183"/>
    <s v="Audible - MWC - Run of AllFOX Video - Package"/>
    <n v="585121"/>
    <s v="Audible  - DIO - LFV - 1F - Tubi - Pre/Mid - ROS - DT/MB/CTV - FW - SXD"/>
    <n v="93652391"/>
    <s v="Fox Sold Tubi"/>
    <s v="CPM"/>
    <n v="16.5"/>
    <s v="3P Imps"/>
    <n v="3776033"/>
    <n v="62304.54"/>
    <m/>
    <m/>
    <s v=" "/>
    <n v="0"/>
    <m/>
    <m/>
    <n v="3776033"/>
    <n v="3776033"/>
    <n v="0"/>
    <n v="0"/>
    <n v="1"/>
    <n v="0"/>
    <n v="0"/>
    <n v="0"/>
    <s v="Bill on Actuals - 3rd Party Performance"/>
    <n v="30791.37"/>
    <n v="8745455"/>
    <n v="144300.01"/>
    <s v="Audible/MWC/scatter/25.26/ALLFOX"/>
    <n v="93652384"/>
    <s v="P2+"/>
    <s v="O-D2S50MJ-R4"/>
    <m/>
    <s v="Leslie Lowenthal"/>
    <s v="Guaranteed"/>
    <s v="DIO - LFV - 1F - Tubi - Pre/Mid - ROS - DT/MB/CTV - FW - SXD"/>
    <n v="126803"/>
    <d v="2026-06-30T00:00:00"/>
    <d v="2026-06-11T00:00:00"/>
    <d v="2026-07-31T00:00:00"/>
    <s v="Direct LFV"/>
    <m/>
    <d v="2026-07-05T12:53:18"/>
  </r>
  <r>
    <s v="WAVEMAKER GLOBAL, LLC"/>
    <n v="11723"/>
    <n v="1552"/>
    <s v="AUDIBLE INC"/>
    <s v="Audible/MWC/scatter/25.26/ALLFOX"/>
    <x v="183"/>
    <s v="Audible - MWC - Run of AllFOX Video - Package"/>
    <n v="585121"/>
    <s v="Audible  - DIO - ROV - 1F - SEN - Pre/Mid - ROS - DT/MB/CTV - SXD"/>
    <n v="93652387"/>
    <s v="OneFOX"/>
    <s v="CPM"/>
    <n v="16.5"/>
    <s v="3P Imps"/>
    <n v="2477657"/>
    <n v="40881.339999999997"/>
    <m/>
    <m/>
    <s v=" "/>
    <s v=""/>
    <m/>
    <m/>
    <n v="2477657"/>
    <n v="2477657"/>
    <n v="0"/>
    <n v="0"/>
    <n v="1"/>
    <n v="0"/>
    <n v="0"/>
    <n v="0"/>
    <s v="Bill on Actuals - 3rd Party Performance"/>
    <n v="20527.580000000002"/>
    <n v="5830303"/>
    <n v="96200"/>
    <s v="Audible/MWC/scatter/25.26/ALLFOX"/>
    <n v="93652384"/>
    <s v="P2+"/>
    <s v="O-D2S50MJ-R4"/>
    <m/>
    <s v="Leslie Lowenthal"/>
    <s v="Guaranteed"/>
    <s v="DIO - ROV - 1F - SEN - Pre/Mid - ROS - DT/MB/CTV - SXD"/>
    <n v="126803"/>
    <d v="2026-06-30T00:00:00"/>
    <d v="2026-06-11T00:00:00"/>
    <d v="2026-07-31T00:00:00"/>
    <s v="Direct ROV"/>
    <m/>
    <d v="2026-07-05T12:53:18"/>
  </r>
  <r>
    <s v="WAVEMAKER GLOBAL, LLC"/>
    <n v="11723"/>
    <n v="8253"/>
    <s v="JOHNSON &amp; JOHNSON"/>
    <s v="J&amp;J MWC'26/scatter/digital - Camlyta MDD"/>
    <x v="184"/>
    <s v="J&amp;J - MWC - Camlyta MDD - Run of World Cup Video - Package - :60s"/>
    <n v="585634"/>
    <s v="J&amp;J - MWC - Camlyta MDD - DIO - LFV - TUB - Pre/Mid - MWC - DT/MB/CTV - :60s"/>
    <n v="93983782"/>
    <s v="Fox Sold Tubi"/>
    <s v="CPM"/>
    <n v="80"/>
    <s v="3P Imps"/>
    <n v="1335475"/>
    <n v="106838"/>
    <m/>
    <m/>
    <s v=" "/>
    <n v="0"/>
    <m/>
    <m/>
    <n v="1335475"/>
    <n v="1335475"/>
    <n v="0"/>
    <n v="0"/>
    <n v="1"/>
    <n v="0"/>
    <n v="0"/>
    <n v="0"/>
    <s v="Bill on Actuals - 3rd Party Performance"/>
    <n v="53405.85"/>
    <n v="1840000"/>
    <n v="147200"/>
    <s v="J&amp;J MWC'26/scatter/digital - Camlyta MDD"/>
    <n v="93983779"/>
    <s v="P2+"/>
    <s v="O-D2SPQHS-R2"/>
    <m/>
    <s v="Leslie Lowenthal"/>
    <s v="Guaranteed"/>
    <s v="DIO - LFV - TUB - Pre/Mid - MWC - DT/MB/CTV"/>
    <n v="128219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Camlyta MDD"/>
    <x v="184"/>
    <s v="J&amp;J - MWC - Camlyta MDD - Run of World Cup Video - Package - :60s"/>
    <n v="585634"/>
    <s v="J&amp;J - MWC - Camlyta MDD - DIO - ROV - FS - Pre/Mid - MWC - DT/MB/CTV - :60s"/>
    <n v="93983803"/>
    <s v="FOX Sports"/>
    <s v="CPM"/>
    <n v="80"/>
    <s v="3P Imps"/>
    <n v="29326"/>
    <n v="2346.08"/>
    <m/>
    <m/>
    <s v=" "/>
    <s v=""/>
    <m/>
    <m/>
    <n v="29326"/>
    <n v="29326"/>
    <n v="0"/>
    <n v="0"/>
    <n v="1"/>
    <n v="0"/>
    <n v="0"/>
    <n v="0"/>
    <s v="Bill on Actuals - 3rd Party Performance"/>
    <n v="1015.87"/>
    <n v="35000"/>
    <n v="2800"/>
    <s v="J&amp;J MWC'26/scatter/digital - Camlyta MDD"/>
    <n v="93983779"/>
    <s v="P2+"/>
    <s v="O-D2SPQHS-R2"/>
    <m/>
    <s v="Leslie Lowenthal"/>
    <s v="Guaranteed"/>
    <s v="DIO - ROV - FS - Pre/Mid - MWC - DT/MB/CTV"/>
    <n v="128219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Camlyta MDD"/>
    <x v="184"/>
    <s v="J&amp;J - MWC - Camlyta MDD - Run of FOX Sports Video - Package - :60s"/>
    <n v="587702"/>
    <s v="J&amp;J -Camlyta MDD - DIO - ROV - FS - Pre/Mid - ROS - DT/MB/CTV - :60s"/>
    <n v="93983789"/>
    <s v="FOX Sports"/>
    <s v="CPM"/>
    <n v="50"/>
    <s v="3P CoView Imps"/>
    <n v="393553"/>
    <n v="19677.650000000001"/>
    <m/>
    <m/>
    <s v=" "/>
    <n v="0"/>
    <m/>
    <m/>
    <n v="334655"/>
    <n v="334655"/>
    <n v="393553"/>
    <n v="393553"/>
    <n v="1"/>
    <n v="1.175997994460892"/>
    <n v="0"/>
    <n v="0"/>
    <s v="Bill on Actuals - 3rd Party Performance"/>
    <n v="9762.48"/>
    <n v="600000"/>
    <n v="30000"/>
    <s v="J&amp;J MWC'26/scatter/digital - Camlyta MDD"/>
    <n v="93983779"/>
    <s v="P2+"/>
    <s v="O-D2SPQHS-R2"/>
    <m/>
    <s v="Leslie Lowenthal"/>
    <s v="Guaranteed"/>
    <s v="DIO - ROV - FS - Pre/Mid - ROS - DT/MB/CTV"/>
    <n v="128219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Camlyta MDD"/>
    <x v="184"/>
    <s v="J&amp;J - MWC - Camlyta MDD - Run of AllFOX Video - Package - :60s"/>
    <n v="587704"/>
    <s v="J&amp;J - Camlyta MDD - DIO - LFV - 1F - Tubi - Pre/Mid - ROS - DT/MB/CTV - FW - SXD - :60s - AAT"/>
    <n v="93983793"/>
    <s v="Fox Sold Tubi"/>
    <s v="CPM"/>
    <n v="40"/>
    <s v="3P Audience Target"/>
    <n v="1172573"/>
    <n v="46902.92"/>
    <m/>
    <m/>
    <s v=" "/>
    <n v="0"/>
    <m/>
    <m/>
    <n v="1172573"/>
    <n v="1172573"/>
    <n v="0"/>
    <n v="0"/>
    <n v="1"/>
    <n v="0"/>
    <n v="0"/>
    <n v="0"/>
    <s v="Bill on Actuals - 3rd Party Performance"/>
    <n v="21460"/>
    <n v="3300000"/>
    <n v="132000"/>
    <s v="J&amp;J MWC'26/scatter/digital - Camlyta MDD"/>
    <n v="93983779"/>
    <s v="Audience Target"/>
    <s v="O-D2SPQHS-R2"/>
    <m/>
    <s v="Leslie Lowenthal"/>
    <s v="Guaranteed"/>
    <s v="DIO - LFV - 1F - Tubi - Pre/Mid - ROS - DT/MB/CTV - FW - SXD"/>
    <n v="128219"/>
    <d v="2026-06-30T00:00:00"/>
    <d v="2026-06-01T00:00:00"/>
    <d v="2026-09-27T00:00:00"/>
    <s v="Direct LFV"/>
    <m/>
    <d v="2026-07-05T12:53:18"/>
  </r>
  <r>
    <s v="WAVEMAKER GLOBAL, LLC"/>
    <n v="11723"/>
    <n v="8253"/>
    <s v="JOHNSON &amp; JOHNSON"/>
    <s v="J&amp;J MWC'26/scatter/digital - Camlyta MDD"/>
    <x v="184"/>
    <s v="J&amp;J - MWC - Camlyta MDD - Run of AllFOX Video - Package - :60s"/>
    <n v="587704"/>
    <s v="J&amp;J - Camlyta MDD - DIO - ROV - 1F - SEN - Pre/Mid - ROS - DT/MB/CTV - SXD - :60s - AAT"/>
    <n v="93983785"/>
    <s v="OneFOX"/>
    <s v="CPM"/>
    <n v="40"/>
    <s v="3P Audience Target"/>
    <n v="603706"/>
    <n v="24148.240000000002"/>
    <m/>
    <m/>
    <s v=" "/>
    <s v=""/>
    <m/>
    <m/>
    <n v="603706"/>
    <n v="603706"/>
    <n v="0"/>
    <n v="0"/>
    <n v="1"/>
    <n v="0"/>
    <n v="0"/>
    <n v="0"/>
    <s v="Bill on Actuals - 3rd Party Performance"/>
    <n v="14306.66"/>
    <n v="2200000"/>
    <n v="88000"/>
    <s v="J&amp;J MWC'26/scatter/digital - Camlyta MDD"/>
    <n v="93983779"/>
    <s v="Audience Target"/>
    <s v="O-D2SPQHS-R2"/>
    <m/>
    <s v="Leslie Lowenthal"/>
    <s v="Guaranteed"/>
    <s v="DIO - ROV - 1F - SEN - Pre/Mid - ROS - DT/MB/CTV - SXD"/>
    <n v="128219"/>
    <d v="2026-06-30T00:00:00"/>
    <d v="2026-06-01T00:00:00"/>
    <d v="2026-09-27T00:00:00"/>
    <s v="Direct ROV"/>
    <m/>
    <d v="2026-07-05T12:53:18"/>
  </r>
  <r>
    <s v="WAVEMAKER GLOBAL, LLC"/>
    <n v="11723"/>
    <n v="8253"/>
    <s v="JOHNSON &amp; JOHNSON"/>
    <s v="J&amp;J MWC'26/scatter/digital - Tremfya GI"/>
    <x v="185"/>
    <s v="J&amp;J - MWC - TREMFYA GI - Run of World Cup Video - :45s -Package"/>
    <n v="585622"/>
    <s v="J&amp;J - MWC - TREMFYA GI -DIO - LFV - TUB - Pre/Mid - MWC - DT/MB/CTV - :45s"/>
    <n v="93983831"/>
    <s v="Fox Sold Tubi"/>
    <s v="CPM"/>
    <n v="60"/>
    <s v="3P Imps"/>
    <n v="411960"/>
    <n v="24717.599999999999"/>
    <m/>
    <m/>
    <s v=" "/>
    <n v="0"/>
    <m/>
    <m/>
    <n v="411960"/>
    <n v="411960"/>
    <n v="0"/>
    <n v="0"/>
    <n v="1"/>
    <n v="0"/>
    <n v="0"/>
    <n v="0"/>
    <s v="Bill on Actuals - 3rd Party Performance"/>
    <n v="12648.71"/>
    <n v="565000"/>
    <n v="33900"/>
    <s v="J&amp;J MWC'26/scatter/digital - Tremfya GI"/>
    <n v="93983813"/>
    <s v="P2+"/>
    <s v="O-D2SPHSK-R2"/>
    <m/>
    <s v="Leslie Lowenthal"/>
    <s v="Guaranteed"/>
    <s v="DIO - LFV - TUB - Pre/Mid - MWC - DT/MB/CTV"/>
    <n v="128224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Tremfya GI"/>
    <x v="185"/>
    <s v="J&amp;J - MWC - TREMFYA GI - Run of World Cup Video - :45s -Package"/>
    <n v="585622"/>
    <s v="J&amp;J - MWC - TREMFYA GI -DIO - ROV - FS - Pre/Mid - MWC - DT/MB/CTV - :45s"/>
    <n v="93983825"/>
    <s v="FOX Sports"/>
    <s v="CPM"/>
    <n v="60"/>
    <s v="3P Imps"/>
    <n v="54417"/>
    <n v="3265.02"/>
    <m/>
    <m/>
    <s v=" "/>
    <s v=""/>
    <m/>
    <m/>
    <n v="54417"/>
    <n v="54417"/>
    <n v="0"/>
    <n v="0"/>
    <n v="1"/>
    <n v="0"/>
    <n v="0"/>
    <n v="0"/>
    <s v="Bill on Actuals - 3rd Party Performance"/>
    <n v="1343.23"/>
    <n v="60000"/>
    <n v="3600"/>
    <s v="J&amp;J MWC'26/scatter/digital - Tremfya GI"/>
    <n v="93983813"/>
    <s v="P2+"/>
    <s v="O-D2SPHSK-R2"/>
    <m/>
    <s v="Leslie Lowenthal"/>
    <s v="Guaranteed"/>
    <s v="DIO - ROV - FS - Pre/Mid - MWC - DT/MB/CTV"/>
    <n v="128224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Tremfya GI"/>
    <x v="185"/>
    <s v="J&amp;J - MWC - TREMFYA GI -Run of World Cup Video -:60s - Package"/>
    <n v="585625"/>
    <s v="J&amp;J - MWC - TREMFYA GI -DIO - LFV - TUB - Pre/Mid - MWC - DT/MB/CTV - :60s"/>
    <n v="93983819"/>
    <s v="Fox Sold Tubi"/>
    <s v="CPM"/>
    <n v="80"/>
    <s v="3P Imps"/>
    <n v="337116"/>
    <n v="26969.279999999999"/>
    <m/>
    <m/>
    <s v=" "/>
    <n v="0"/>
    <m/>
    <m/>
    <n v="337116"/>
    <n v="337116"/>
    <n v="0"/>
    <n v="0"/>
    <n v="1"/>
    <n v="0"/>
    <n v="0"/>
    <n v="0"/>
    <s v="Bill on Actuals - 3rd Party Performance"/>
    <n v="13544.13"/>
    <n v="461250"/>
    <n v="36900"/>
    <s v="J&amp;J MWC'26/scatter/digital - Tremfya GI"/>
    <n v="93983813"/>
    <s v="P2+"/>
    <s v="O-D2SPHSK-R2"/>
    <m/>
    <s v="Leslie Lowenthal"/>
    <s v="Guaranteed"/>
    <s v="DIO - LFV - TUB - Pre/Mid - MWC - DT/MB/CTV"/>
    <n v="128224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Tremfya GI"/>
    <x v="185"/>
    <s v="J&amp;J - MWC - TREMFYA GI -Run of World Cup Video -:60s - Package"/>
    <n v="585625"/>
    <s v="J&amp;J - MWC - TREMFYA GI -DIO - ROV - FS - Pre/Mid - MWC - DT/MB/CTV - :60s"/>
    <n v="93983822"/>
    <s v="FOX Sports"/>
    <s v="CPM"/>
    <n v="80"/>
    <s v="3P Imps"/>
    <n v="7365"/>
    <n v="589.20000000000005"/>
    <m/>
    <m/>
    <s v=" "/>
    <s v=""/>
    <m/>
    <m/>
    <n v="7365"/>
    <n v="7365"/>
    <n v="0"/>
    <n v="0"/>
    <n v="1"/>
    <n v="0"/>
    <n v="0"/>
    <n v="0"/>
    <s v="Bill on Actuals - 3rd Party Performance"/>
    <n v="220.23"/>
    <n v="7500"/>
    <n v="600"/>
    <s v="J&amp;J MWC'26/scatter/digital - Tremfya GI"/>
    <n v="93983813"/>
    <s v="P2+"/>
    <s v="O-D2SPHSK-R2"/>
    <m/>
    <s v="Leslie Lowenthal"/>
    <s v="Guaranteed"/>
    <s v="DIO - ROV - FS - Pre/Mid - MWC - DT/MB/CTV"/>
    <n v="128224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Tremfya GI"/>
    <x v="185"/>
    <s v="J&amp;J - MWC - TREMFYA GI -Run of AllFOX Video - :45s - Package"/>
    <n v="585652"/>
    <s v="J&amp;J - TREMFYA GI - DIO - ROV - 1F - SEN - Pre/Mid - ROS - DT/MB/CTV - SXD - :45s-AAT"/>
    <n v="93983845"/>
    <s v="OneFOX"/>
    <s v="CPM"/>
    <n v="30"/>
    <s v="3P Audience Target"/>
    <n v="2276690"/>
    <n v="68300.7"/>
    <m/>
    <m/>
    <s v=" "/>
    <n v="0"/>
    <m/>
    <m/>
    <n v="2276690"/>
    <n v="2276690"/>
    <n v="0"/>
    <n v="0"/>
    <n v="1"/>
    <n v="0"/>
    <n v="0"/>
    <n v="0"/>
    <s v="Bill on Actuals - 3rd Party Performance"/>
    <n v="34685.800000000003"/>
    <n v="3500000"/>
    <n v="105000"/>
    <s v="J&amp;J MWC'26/scatter/digital - Tremfya GI"/>
    <n v="93983813"/>
    <s v="Audience Target"/>
    <s v="O-D2SPHSK-R2"/>
    <m/>
    <s v="Leslie Lowenthal"/>
    <s v="Guaranteed"/>
    <s v="DIO - ROV - 1F - SEN - Pre/Mid - ROS - DT/MB/CTV - SXD"/>
    <n v="128224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Tremfya GI"/>
    <x v="185"/>
    <s v="J&amp;J - MWC - TREMFYA GI -Run of AllFOX Video - :45s - Package"/>
    <n v="585652"/>
    <s v="J&amp;J - TREMFYA GI -DIO - LFV - 1F - Tubi - Pre/Mid - ROS - DT/MB/CTV - FW - SXD - :45s-AAT"/>
    <n v="93983838"/>
    <s v="Fox Sold Tubi"/>
    <s v="CPM"/>
    <n v="30"/>
    <s v="3P Audience Target"/>
    <n v="3478836"/>
    <n v="104365.08"/>
    <m/>
    <m/>
    <s v=" "/>
    <s v=""/>
    <m/>
    <m/>
    <n v="3478836"/>
    <n v="3478836"/>
    <n v="0"/>
    <n v="0"/>
    <n v="1"/>
    <n v="0"/>
    <n v="0"/>
    <n v="0"/>
    <s v="Bill on Actuals - 3rd Party Performance"/>
    <n v="52028.7"/>
    <n v="5250000"/>
    <n v="157500"/>
    <s v="J&amp;J MWC'26/scatter/digital - Tremfya GI"/>
    <n v="93983813"/>
    <s v="Audience Target"/>
    <s v="O-D2SPHSK-R2"/>
    <m/>
    <s v="Leslie Lowenthal"/>
    <s v="Guaranteed"/>
    <s v="DIO - LFV - 1F - Tubi - Pre/Mid - ROS - DT/MB/CTV - FW - SXD"/>
    <n v="128224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Tremfya GI"/>
    <x v="185"/>
    <s v="J&amp;J - MWC - TREMFYA GI  - Run of AllFOX Video -:60s - Package"/>
    <n v="585655"/>
    <s v="J&amp;J - TREMFYA GI  - DIO - ROV - 1F - SEN - Pre/Mid - ROS - DT/MB/CTV - SXD - :60s-AAT"/>
    <n v="93983841"/>
    <s v="OneFOX"/>
    <s v="CPM"/>
    <n v="40"/>
    <s v="3P Audience Target"/>
    <n v="4013428"/>
    <n v="160537.12"/>
    <m/>
    <m/>
    <s v=" "/>
    <n v="0"/>
    <m/>
    <m/>
    <n v="4013428"/>
    <n v="4013428"/>
    <n v="0"/>
    <n v="0"/>
    <n v="1"/>
    <n v="0"/>
    <n v="0"/>
    <n v="0"/>
    <s v="Bill on Actuals - 3rd Party Performance"/>
    <n v="80808.63"/>
    <n v="6125000"/>
    <n v="245000"/>
    <s v="J&amp;J MWC'26/scatter/digital - Tremfya GI"/>
    <n v="93983813"/>
    <s v="Audience Target"/>
    <s v="O-D2SPHSK-R2"/>
    <m/>
    <s v="Leslie Lowenthal"/>
    <s v="Guaranteed"/>
    <s v="DIO - ROV - 1F - SEN - Pre/Mid - ROS - DT/MB/CTV - SXD"/>
    <n v="128224"/>
    <d v="2026-06-30T00:00:00"/>
    <d v="2026-06-01T00:00:00"/>
    <d v="2026-07-19T00:00:00"/>
    <s v="Direct ROV"/>
    <m/>
    <d v="2026-07-05T12:53:18"/>
  </r>
  <r>
    <s v="WAVEMAKER GLOBAL, LLC"/>
    <n v="11723"/>
    <n v="8253"/>
    <s v="JOHNSON &amp; JOHNSON"/>
    <s v="J&amp;J MWC'26/scatter/digital - Tremfya GI"/>
    <x v="185"/>
    <s v="J&amp;J - MWC - TREMFYA GI  - Run of AllFOX Video -:60s - Package"/>
    <n v="585655"/>
    <s v="J&amp;J - TREMFYA GI - DIO - LFV - 1F - Tubi - Pre/Mid - ROS - DT/MB/CTV - FW - SXD - :60s-AAT"/>
    <n v="93983816"/>
    <s v="Fox Sold Tubi"/>
    <s v="CPM"/>
    <n v="40"/>
    <s v="3P Audience Target"/>
    <n v="6081688"/>
    <n v="243267.52"/>
    <m/>
    <m/>
    <s v=" "/>
    <s v=""/>
    <m/>
    <m/>
    <n v="6081688"/>
    <n v="6081688"/>
    <n v="0"/>
    <n v="0"/>
    <n v="1"/>
    <n v="0"/>
    <n v="0"/>
    <n v="0"/>
    <s v="Bill on Actuals - 3rd Party Performance"/>
    <n v="121212.95"/>
    <n v="9187500"/>
    <n v="367500"/>
    <s v="J&amp;J MWC'26/scatter/digital - Tremfya GI"/>
    <n v="93983813"/>
    <s v="Audience Target"/>
    <s v="O-D2SPHSK-R2"/>
    <m/>
    <s v="Leslie Lowenthal"/>
    <s v="Guaranteed"/>
    <s v="DIO - LFV - 1F - Tubi - Pre/Mid - ROS - DT/MB/CTV - FW - SXD"/>
    <n v="128224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Tremfya PsO"/>
    <x v="186"/>
    <s v="J&amp;J - MWC - TREMFYA PsO - Run of World Cup Video - Package - :60s"/>
    <n v="584732"/>
    <s v="J&amp;J - MWC - TREMFYA PsO - DIO - LFV - TUB - Pre/Mid - MWC - DT/MB/CTV - :60s"/>
    <n v="93983746"/>
    <s v="Fox Sold Tubi"/>
    <s v="CPM"/>
    <n v="80"/>
    <s v="3P Imps"/>
    <n v="1333557"/>
    <n v="106684.56"/>
    <m/>
    <m/>
    <s v=" "/>
    <n v="0"/>
    <m/>
    <m/>
    <n v="1333557"/>
    <n v="1333557"/>
    <n v="0"/>
    <n v="0"/>
    <n v="1"/>
    <n v="0"/>
    <n v="0"/>
    <n v="0"/>
    <s v="Bill on Actuals - 3rd Party Performance"/>
    <n v="53290.01"/>
    <n v="1840000"/>
    <n v="147200"/>
    <s v="J&amp;J MWC'26/scatter/digital - Tremfya PsO"/>
    <n v="93983743"/>
    <s v="P2+"/>
    <s v="O-D2SPJI5-R3"/>
    <m/>
    <s v="Leslie Lowenthal"/>
    <s v="Guaranteed"/>
    <s v="DIO - LFV - TUB - Pre/Mid - MWC - DT/MB/CTV"/>
    <n v="128214"/>
    <d v="2026-06-30T00:00:00"/>
    <d v="2026-06-01T00:00:00"/>
    <d v="2026-07-19T00:00:00"/>
    <s v="Direct LFV"/>
    <m/>
    <d v="2026-07-05T12:53:18"/>
  </r>
  <r>
    <s v="WAVEMAKER GLOBAL, LLC"/>
    <n v="11723"/>
    <n v="8253"/>
    <s v="JOHNSON &amp; JOHNSON"/>
    <s v="J&amp;J MWC'26/scatter/digital - Tremfya PsO"/>
    <x v="186"/>
    <s v="J&amp;J - MWC - TREMFYA PsO - Run of World Cup Video - Package - :60s"/>
    <n v="584732"/>
    <s v="J&amp;J - MWC - TREMFYA PsO - DIO - ROV - FS - Pre/Mid - MWC - DT/MB/CTV - :60s"/>
    <n v="93983749"/>
    <s v="FOX Sports"/>
    <s v="CPM"/>
    <n v="80"/>
    <s v="3P Imps"/>
    <n v="29457"/>
    <n v="2356.56"/>
    <m/>
    <m/>
    <s v=" "/>
    <s v=""/>
    <m/>
    <m/>
    <n v="29457"/>
    <n v="29457"/>
    <n v="0"/>
    <n v="0"/>
    <n v="1"/>
    <n v="0"/>
    <n v="0"/>
    <n v="0"/>
    <s v="Bill on Actuals - 3rd Party Performance"/>
    <n v="1013.67"/>
    <n v="35000"/>
    <n v="2800"/>
    <s v="J&amp;J MWC'26/scatter/digital - Tremfya PsO"/>
    <n v="93983743"/>
    <s v="P2+"/>
    <s v="O-D2SPJI5-R3"/>
    <m/>
    <s v="Leslie Lowenthal"/>
    <s v="Guaranteed"/>
    <s v="DIO - ROV - FS - Pre/Mid - MWC - DT/MB/CTV"/>
    <n v="128214"/>
    <d v="2026-06-30T00:00:00"/>
    <d v="2026-06-01T00:00:00"/>
    <d v="2026-07-19T00:00:00"/>
    <s v="Direct ROV"/>
    <m/>
    <d v="2026-07-05T12:53:18"/>
  </r>
  <r>
    <s v="WAYFAIR"/>
    <n v="11175"/>
    <n v="6760"/>
    <s v="WAYFAIR.COM"/>
    <s v="Wayfair/Digital/Upfront/ROS Video/25-26"/>
    <x v="187"/>
    <s v="Wayfair - LFV - Sports ROV P2+ - Package - 2Q'26"/>
    <n v="535444"/>
    <s v="Wayfair - DIO - SFV - FSEN - Pre - ROS - DT/MB/CTV - non-CoV"/>
    <n v="94326173"/>
    <s v="FSEN"/>
    <s v="CPM"/>
    <n v="25"/>
    <s v="1P Imps"/>
    <n v="916213"/>
    <n v="22905.33"/>
    <m/>
    <m/>
    <s v=" "/>
    <n v="0"/>
    <m/>
    <m/>
    <n v="916213"/>
    <n v="916213"/>
    <n v="0"/>
    <n v="0"/>
    <n v="1"/>
    <n v="0"/>
    <n v="0"/>
    <n v="0"/>
    <s v="Bill on Actuals - 3rd Party Performance"/>
    <n v="23245.32"/>
    <n v="933521"/>
    <n v="23338.03"/>
    <s v="Wayfair/Digital/Upfront/ROS Video/25-26"/>
    <n v="88471012"/>
    <s v="P2+"/>
    <s v="UPFTRES2526"/>
    <m/>
    <s v="Mike Maresca"/>
    <s v="Guaranteed"/>
    <s v="DIO - SFV - FSEN - Pre - ROS - DT/MB/CTV - non-CoV"/>
    <n v="94609"/>
    <d v="2026-06-30T00:00:00"/>
    <d v="2026-03-30T00:00:00"/>
    <d v="2026-06-28T00:00:00"/>
    <s v="Direct SFV"/>
    <m/>
    <d v="2026-07-05T12:53:18"/>
  </r>
  <r>
    <s v="WAYFAIR"/>
    <n v="11175"/>
    <n v="6760"/>
    <s v="WAYFAIR.COM"/>
    <s v="Wayfair/Digital/Upfront/ROS Video/25-26"/>
    <x v="187"/>
    <s v="Wayfair - LFV - Sports ROV P2+ - Package - 2Q'26"/>
    <n v="535444"/>
    <s v="Wayfair - ROV - FS - Pre/Mid - ROS - DT/MB/CTV - 2Q26 - June"/>
    <n v="94322109"/>
    <s v="FOX Sports"/>
    <s v="CPM"/>
    <n v="25"/>
    <s v="1P CoView Imps"/>
    <n v="322325"/>
    <n v="7125"/>
    <m/>
    <m/>
    <s v=" "/>
    <s v=""/>
    <m/>
    <m/>
    <n v="283609"/>
    <n v="283609"/>
    <n v="322325"/>
    <n v="322325"/>
    <n v="1"/>
    <n v="1.1365141544661601"/>
    <n v="0"/>
    <n v="0"/>
    <s v="Bill on Actuals - 3rd Party Performance"/>
    <n v="7096.69"/>
    <n v="285000"/>
    <n v="7125"/>
    <s v="Wayfair/Digital/Upfront/ROS Video/25-26"/>
    <n v="88471012"/>
    <s v="P2+"/>
    <s v="UPFTRES2526"/>
    <m/>
    <s v="Mike Maresca"/>
    <s v="Guaranteed"/>
    <s v="ROV - FS - Pre/Mid - ROS - DT/MB/CTV"/>
    <n v="94609"/>
    <d v="2026-06-30T00:00:00"/>
    <d v="2026-03-30T00:00:00"/>
    <d v="2026-06-28T00:00:00"/>
    <s v="Direct ROV"/>
    <m/>
    <d v="2026-07-05T12:53:18"/>
  </r>
  <r>
    <s v="WAYFAIR"/>
    <n v="11175"/>
    <n v="6760"/>
    <s v="WAYFAIR.COM"/>
    <s v="Wayfair/Digital/Upfront/ROS Video/25-26"/>
    <x v="187"/>
    <s v="Wayfair - LFV - Sports ROV P2+ - Package - 3Q'26"/>
    <n v="535446"/>
    <s v="Wayfair - ROV - FS - Pre/Mid - ROS - DT/MB/CTV - 3Q26"/>
    <n v="88471023"/>
    <s v="FOX Sports"/>
    <s v="CPM"/>
    <n v="25"/>
    <s v="1P CoView Imps"/>
    <n v="3405"/>
    <n v="85.12"/>
    <m/>
    <m/>
    <s v=" "/>
    <n v="0"/>
    <m/>
    <s v="Show Only Net; NONE"/>
    <n v="2862"/>
    <n v="2862"/>
    <n v="3405"/>
    <n v="3405"/>
    <n v="1"/>
    <n v="1.1899999543833351"/>
    <n v="0"/>
    <n v="0"/>
    <s v="Bill on Actuals - 3rd Party Performance"/>
    <n v="85.13"/>
    <n v="6000000"/>
    <n v="150000"/>
    <s v="Wayfair/Digital/Upfront/ROS Video/25-26"/>
    <n v="88471012"/>
    <s v="P2+"/>
    <s v="UPFTRES2526"/>
    <m/>
    <s v="Mike Maresca"/>
    <s v="Guaranteed"/>
    <s v="ROV - FS - Pre/Mid - ROS - DT/MB/CTV"/>
    <n v="94609"/>
    <d v="2026-06-30T00:00:00"/>
    <d v="2026-06-29T00:00:00"/>
    <d v="2026-09-27T00:00:00"/>
    <s v="Direct ROV"/>
    <m/>
    <d v="2026-07-05T12:53:18"/>
  </r>
  <r>
    <s v="WERNER ENTERPRISES c/o NEWTON SIMONS"/>
    <n v="22858"/>
    <n v="22863"/>
    <s v="WERNER ENTERPRISES"/>
    <s v="WERNER/25-26/SCATTER/NFL/DIGITAL"/>
    <x v="188"/>
    <s v="WERNER/NFL/DIGITAL/SCATTER/AAT-Custom Segment/ROV/25-26"/>
    <n v="585497"/>
    <s v="WERNER/NFL/AAT/ROV -FS - Pre/Mid - ROS - DT/MB/CTV - 25-26"/>
    <n v="93741581"/>
    <s v="FOX Sports"/>
    <s v="CPM"/>
    <n v="30"/>
    <s v="1P Audience Target"/>
    <n v="27111"/>
    <n v="813.33"/>
    <m/>
    <m/>
    <s v=" "/>
    <n v="0"/>
    <m/>
    <m/>
    <n v="27111"/>
    <n v="27111"/>
    <n v="0"/>
    <n v="0"/>
    <n v="1"/>
    <n v="0"/>
    <n v="0"/>
    <n v="0"/>
    <s v="Bill on Actuals - 3rd Party Performance"/>
    <n v="406.67"/>
    <n v="1016667"/>
    <n v="30500.01"/>
    <s v="WERNER/25-26/SCATTER/NFL/DIGITAL"/>
    <n v="93741574"/>
    <s v="Audience Target"/>
    <n v="1"/>
    <m/>
    <s v="Nicole Gamache"/>
    <s v="Guaranteed"/>
    <s v="DIO - ROV - FS - Pre/Mid - ROS - DT/MB/CTV"/>
    <n v="127221"/>
    <d v="2026-06-30T00:00:00"/>
    <d v="2026-05-01T00:00:00"/>
    <d v="2026-12-31T00:00:00"/>
    <s v="Direct ROV"/>
    <m/>
    <d v="2026-07-05T12:53:18"/>
  </r>
  <r>
    <s v="WERNER ENTERPRISES c/o NEWTON SIMONS"/>
    <n v="22858"/>
    <n v="22863"/>
    <s v="WERNER ENTERPRISES"/>
    <s v="WERNER/25-26/SCATTER/NFL/DIGITAL"/>
    <x v="188"/>
    <s v="WERNER/NFL/DIGITAL/SCATTER/AAT-NFL Football Fans/ROV/25-26"/>
    <n v="585499"/>
    <s v="WERNER/NFL/AAT-NFL Football Fans/ROV -FS - Pre/Mid - ROS - DT/MB/CTV - 25-26"/>
    <n v="93741577"/>
    <s v="FOX Sports"/>
    <s v="CPM"/>
    <n v="30"/>
    <s v="1P Audience Target"/>
    <n v="93495"/>
    <n v="2804.85"/>
    <m/>
    <m/>
    <s v=" "/>
    <n v="0"/>
    <m/>
    <m/>
    <n v="93495"/>
    <n v="93495"/>
    <n v="0"/>
    <n v="0"/>
    <n v="1"/>
    <n v="0"/>
    <n v="0"/>
    <n v="0"/>
    <s v="Bill on Actuals - 3rd Party Performance"/>
    <n v="1402.43"/>
    <n v="3150000"/>
    <n v="94500"/>
    <s v="WERNER/25-26/SCATTER/NFL/DIGITAL"/>
    <n v="93741574"/>
    <s v="Audience Target"/>
    <n v="1"/>
    <m/>
    <s v="Nicole Gamache"/>
    <s v="Guaranteed"/>
    <s v="DIO - ROV - FS - Pre/Mid - ROS - DT/MB/CTV"/>
    <n v="127221"/>
    <d v="2026-06-30T00:00:00"/>
    <d v="2026-05-01T00:00:00"/>
    <d v="2026-12-31T00:00:00"/>
    <s v="Direct ROV"/>
    <m/>
    <d v="2026-07-05T12:53:18"/>
  </r>
  <r>
    <s v="ZENITH MEDIA - LA"/>
    <n v="12143"/>
    <n v="7806"/>
    <s v="BD TIKTOK USA LLC"/>
    <s v="BD TikTok USA LLC/Digital/Scatter/Sports/25.26/World Cup"/>
    <x v="189"/>
    <s v="TikTok- Run of World Cup Video - Package"/>
    <n v="584032"/>
    <s v="TikTok- DIO - LFV - TUB - Pre/Mid - MWC - DT/MB/CTV"/>
    <n v="94011539"/>
    <s v="Fox Sold Tubi"/>
    <s v="CPM"/>
    <n v="43"/>
    <s v="3P Imps"/>
    <n v="2458953"/>
    <n v="105734.98"/>
    <m/>
    <m/>
    <s v=" "/>
    <n v="0"/>
    <m/>
    <m/>
    <n v="2458953"/>
    <n v="2458953"/>
    <n v="0"/>
    <n v="0"/>
    <n v="1"/>
    <n v="0"/>
    <n v="0"/>
    <n v="0"/>
    <s v="Bill on Actuals - 3rd Party Performance"/>
    <n v="53528.26"/>
    <n v="3662792"/>
    <n v="157500.06"/>
    <s v="BD TikTok USA LLC/Digital/Scatter/Sports/25.26/World Cup"/>
    <n v="94011533"/>
    <s v="P2+"/>
    <s v="O-D2UI07V-R2"/>
    <m/>
    <s v="Kimberly Caraig"/>
    <s v="Guaranteed"/>
    <s v="DIO - LFV - TUB - Pre/Mid - MWC - DT/MB/CTV"/>
    <n v="128371"/>
    <d v="2026-06-30T00:00:00"/>
    <d v="2026-06-08T00:00:00"/>
    <d v="2026-07-19T00:00:00"/>
    <s v="Direct LFV"/>
    <m/>
    <d v="2026-07-05T12:53:18"/>
  </r>
  <r>
    <s v="ZENITH MEDIA - LA"/>
    <n v="12143"/>
    <n v="7806"/>
    <s v="BD TIKTOK USA LLC"/>
    <s v="BD TikTok USA LLC/Digital/Scatter/Sports/25.26/World Cup"/>
    <x v="189"/>
    <s v="TikTok- Run of World Cup Video - Package"/>
    <n v="584032"/>
    <s v="TikTok- DIO - ROV - FS - Pre/Mid - MWC - DT/MB/CTV"/>
    <n v="94011542"/>
    <s v="FOX Sports"/>
    <s v="CPM"/>
    <n v="43"/>
    <s v="3P Imps"/>
    <n v="1086609"/>
    <n v="46724.19"/>
    <m/>
    <m/>
    <s v=" "/>
    <s v=""/>
    <m/>
    <m/>
    <n v="1086609"/>
    <n v="1086609"/>
    <n v="0"/>
    <n v="0"/>
    <n v="1"/>
    <n v="0"/>
    <n v="0"/>
    <n v="0"/>
    <s v="Bill on Actuals - 3rd Party Performance"/>
    <n v="22940.67"/>
    <n v="1569767"/>
    <n v="67499.98"/>
    <s v="BD TikTok USA LLC/Digital/Scatter/Sports/25.26/World Cup"/>
    <n v="94011533"/>
    <s v="P2+"/>
    <s v="O-D2UI07V-R2"/>
    <m/>
    <s v="Kimberly Caraig"/>
    <s v="Guaranteed"/>
    <s v="DIO - ROV - FS - Pre/Mid - MWC - DT/MB/CTV"/>
    <n v="128371"/>
    <d v="2026-06-30T00:00:00"/>
    <d v="2026-06-08T00:00:00"/>
    <d v="2026-07-19T00:00:00"/>
    <s v="Direct ROV"/>
    <m/>
    <d v="2026-07-05T12:53:18"/>
  </r>
  <r>
    <s v="ZENITH MEDIA - LA"/>
    <n v="12143"/>
    <n v="7806"/>
    <s v="BD TIKTOK USA LLC"/>
    <s v="BD TikTok USA LLC/Digital/Scatter/Sports/25.26/World Cup"/>
    <x v="189"/>
    <s v="TikTok- Run of AllFOX Video - Package (Epsilon Segment: A18-64)"/>
    <n v="586134"/>
    <s v="TikTok- DIO - LFV - 1F - Tubi - Pre/Mid - ROS - DT/MB/CTV - FW - SXD (Epsilon Segment: A18-64)"/>
    <n v="94011536"/>
    <s v="Fox Sold Tubi"/>
    <s v="CPM"/>
    <n v="14.46"/>
    <s v="3P Audience Target"/>
    <n v="4199613"/>
    <n v="60726.400000000001"/>
    <m/>
    <m/>
    <s v=" "/>
    <n v="0"/>
    <m/>
    <m/>
    <n v="4199613"/>
    <n v="4199613"/>
    <n v="0"/>
    <n v="0"/>
    <n v="1"/>
    <n v="0"/>
    <n v="0"/>
    <n v="0"/>
    <s v="Bill on Actuals - 3rd Party Performance"/>
    <n v="27237.46"/>
    <n v="9336100"/>
    <n v="135000.01"/>
    <s v="BD TikTok USA LLC/Digital/Scatter/Sports/25.26/World Cup"/>
    <n v="94011533"/>
    <s v="Audience Target"/>
    <s v="O-D2UI07V-R2"/>
    <m/>
    <s v="Kimberly Caraig"/>
    <s v="Guaranteed"/>
    <s v="DIO - LFV - 1F - Tubi - Pre/Mid - ROS - DT/MB/CTV - FW - SXD"/>
    <n v="128371"/>
    <d v="2026-06-30T00:00:00"/>
    <d v="2026-06-08T00:00:00"/>
    <d v="2026-08-02T00:00:00"/>
    <s v="Direct LFV"/>
    <m/>
    <d v="2026-07-05T12:53:18"/>
  </r>
  <r>
    <s v="ZENITH MEDIA - LA"/>
    <n v="12143"/>
    <n v="7806"/>
    <s v="BD TIKTOK USA LLC"/>
    <s v="BD TikTok USA LLC/Digital/Scatter/Sports/25.26/World Cup"/>
    <x v="189"/>
    <s v="TikTok- Run of AllFOX Video - Package (Epsilon Segment: A18-64)"/>
    <n v="586134"/>
    <s v="TikTok- DIO - ROV - 1F - SEN - Pre/Mid - ROS - DT/MB/CTV - SXD (Epsilon Segment: A18-64)"/>
    <n v="94011545"/>
    <s v="OneFOX"/>
    <s v="CPM"/>
    <n v="14.46"/>
    <s v="3P Audience Target"/>
    <n v="2054538"/>
    <n v="29708.62"/>
    <m/>
    <m/>
    <s v=" "/>
    <s v=""/>
    <m/>
    <m/>
    <n v="2054538"/>
    <n v="2054538"/>
    <n v="0"/>
    <n v="0"/>
    <n v="1"/>
    <n v="0"/>
    <n v="0"/>
    <n v="0"/>
    <s v="Bill on Actuals - 3rd Party Performance"/>
    <n v="18158.310000000001"/>
    <n v="6224067"/>
    <n v="90000.01"/>
    <s v="BD TikTok USA LLC/Digital/Scatter/Sports/25.26/World Cup"/>
    <n v="94011533"/>
    <s v="Audience Target"/>
    <s v="O-D2UI07V-R2"/>
    <m/>
    <s v="Kimberly Caraig"/>
    <s v="Guaranteed"/>
    <s v="DIO - ROV - 1F - SEN - Pre/Mid - ROS - DT/MB/CTV - SXD"/>
    <n v="128371"/>
    <d v="2026-06-30T00:00:00"/>
    <d v="2026-06-08T00:00:00"/>
    <d v="2026-08-02T00:00:00"/>
    <s v="Direct ROV"/>
    <m/>
    <d v="2026-07-05T12:53:18"/>
  </r>
  <r>
    <s v="ZENITH MEDIA - LA"/>
    <n v="12143"/>
    <n v="8485"/>
    <s v="FARMERS INSURANCE"/>
    <s v="Farmers Insurance/Digital/Scatter/Sports/MWC/2Q-3Q26"/>
    <x v="190"/>
    <s v="Farmers Insurance- Run of World Cup Video - Package"/>
    <n v="582291"/>
    <s v="Farmers Insurance- DIO - LFV - TUB - Pre/Mid - MWC - DT/MB/CTV (6/1-6/28)"/>
    <n v="94332022"/>
    <s v="Fox Sold Tubi"/>
    <s v="CPM"/>
    <n v="43"/>
    <s v="3P Imps"/>
    <n v="6217574"/>
    <n v="259840.01"/>
    <m/>
    <m/>
    <s v=" "/>
    <n v="0"/>
    <m/>
    <m/>
    <n v="6217574"/>
    <n v="6217574"/>
    <n v="0"/>
    <n v="0"/>
    <n v="1"/>
    <n v="0"/>
    <n v="0"/>
    <n v="0"/>
    <s v="Bill on Actuals - 3rd Party Performance"/>
    <n v="129920.01"/>
    <n v="6042791"/>
    <n v="259840.01"/>
    <s v="Farmers Insurance/Digital/Scatter/Sports/MWC/2Q-3Q26"/>
    <n v="94332007"/>
    <s v="P2+"/>
    <s v="O-D30FUAE-R2"/>
    <m/>
    <s v="Kimberly Caraig"/>
    <s v="Guaranteed"/>
    <s v="DIO - LFV - TUB - Pre/Mid - MWC - DT/MB/CTV"/>
    <n v="129756"/>
    <d v="2026-06-30T00:00:00"/>
    <d v="2026-06-01T00:00:00"/>
    <d v="2026-06-28T00:00:00"/>
    <s v="Direct LFV"/>
    <m/>
    <d v="2026-07-05T12:53:18"/>
  </r>
  <r>
    <s v="ZENITH MEDIA - LA"/>
    <n v="12143"/>
    <n v="8485"/>
    <s v="FARMERS INSURANCE"/>
    <s v="Farmers Insurance/Digital/Scatter/Sports/MWC/2Q-3Q26"/>
    <x v="190"/>
    <s v="Farmers Insurance- Run of World Cup Video - Package"/>
    <n v="582291"/>
    <s v="Farmers Insurance- DIO - ROV - FS - Pre/Mid - MWC - DT/MB/CTV (6/1-6/28)"/>
    <n v="94332010"/>
    <s v="FOX Sports"/>
    <s v="CPM"/>
    <n v="43"/>
    <s v="3P Imps"/>
    <n v="2670791"/>
    <n v="111360.02"/>
    <m/>
    <m/>
    <s v=" "/>
    <s v=""/>
    <m/>
    <m/>
    <n v="2670791"/>
    <n v="2670791"/>
    <n v="0"/>
    <n v="0"/>
    <n v="1"/>
    <n v="0"/>
    <n v="0"/>
    <n v="0"/>
    <s v="Bill on Actuals - 3rd Party Performance"/>
    <n v="55680.01"/>
    <n v="2589768"/>
    <n v="111360.02"/>
    <s v="Farmers Insurance/Digital/Scatter/Sports/MWC/2Q-3Q26"/>
    <n v="94332007"/>
    <s v="P2+"/>
    <s v="O-D30FUAE-R2"/>
    <m/>
    <s v="Kimberly Caraig"/>
    <s v="Guaranteed"/>
    <s v="DIO - ROV - FS - Pre/Mid - MWC - DT/MB/CTV"/>
    <n v="129756"/>
    <d v="2026-06-30T00:00:00"/>
    <d v="2026-06-01T00:00:00"/>
    <d v="2026-06-28T00:00:00"/>
    <s v="Direct ROV"/>
    <m/>
    <d v="2026-07-05T12:53:18"/>
  </r>
  <r>
    <s v="ZENITH MEDIA - LA"/>
    <n v="12143"/>
    <n v="8485"/>
    <s v="FARMERS INSURANCE"/>
    <s v="Farmers Insurance/Digital/Scatter/Sports/MWC/2Q-3Q26"/>
    <x v="190"/>
    <s v="Farmers Insurance- World Cup Social Sponsorship Content - Package"/>
    <n v="582757"/>
    <s v="Farmers Insurance- DIO - SOC - FOX Sports - Facebook/Instagram - MWC"/>
    <n v="582758"/>
    <s v="FOX Sports - FB-Inst"/>
    <s v="Flat Rate"/>
    <n v="66667"/>
    <s v="Bill on Contract"/>
    <n v="0"/>
    <n v="33333.5"/>
    <m/>
    <m/>
    <s v=" "/>
    <n v="0"/>
    <m/>
    <m/>
    <n v="0"/>
    <n v="0"/>
    <n v="0"/>
    <n v="0"/>
    <n v="1"/>
    <n v="0"/>
    <n v="0"/>
    <n v="0"/>
    <s v="Bill on Contract - Pro-rated"/>
    <n v="33333.5"/>
    <n v="0"/>
    <n v="66667"/>
    <s v="Farmers Insurance/Digital/Scatter/Sports/MWC/2Q-3Q26"/>
    <n v="267090"/>
    <s v="P2+"/>
    <s v="O-D30FUAE-R2"/>
    <m/>
    <s v="Kimberly Caraig"/>
    <s v="Guaranteed"/>
    <s v="DIO - SOC - FOX Sports - Facebook/Instagram - MWC"/>
    <n v="129756"/>
    <d v="2026-06-30T00:00:00"/>
    <d v="2026-06-01T00:00:00"/>
    <d v="2026-06-28T00:00:00"/>
    <s v="Social Facebook/Instagram"/>
    <m/>
    <d v="2026-07-05T12:53:18"/>
  </r>
  <r>
    <s v="ZENITH MEDIA - LA"/>
    <n v="12143"/>
    <n v="8485"/>
    <s v="FARMERS INSURANCE"/>
    <s v="Farmers Insurance/Digital/Scatter/Sports/MWC/2Q-3Q26"/>
    <x v="190"/>
    <s v="Farmers Insurance- World Cup Social Sponsorship Content - Package"/>
    <n v="582757"/>
    <s v="Farmers Insurance- DIO - SOC - FOX Sports - TikTok - MWC"/>
    <n v="582761"/>
    <s v="FOX Sports - TikTok"/>
    <s v="Flat Rate"/>
    <n v="66667"/>
    <s v="Bill on Contract"/>
    <n v="0"/>
    <n v="33333.5"/>
    <m/>
    <m/>
    <s v=" "/>
    <s v=""/>
    <m/>
    <m/>
    <n v="0"/>
    <n v="0"/>
    <n v="0"/>
    <n v="0"/>
    <n v="1"/>
    <n v="0"/>
    <n v="0"/>
    <n v="0"/>
    <s v="Bill on Contract - Pro-rated"/>
    <n v="33333.5"/>
    <n v="0"/>
    <n v="66667"/>
    <s v="Farmers Insurance/Digital/Scatter/Sports/MWC/2Q-3Q26"/>
    <n v="267090"/>
    <s v="P2+"/>
    <s v="O-D30FUAE-R2"/>
    <m/>
    <s v="Kimberly Caraig"/>
    <s v="Guaranteed"/>
    <s v="DIO - SOC - FOX Sports - TikTok - MWC"/>
    <n v="129756"/>
    <d v="2026-06-30T00:00:00"/>
    <d v="2026-06-01T00:00:00"/>
    <d v="2026-06-28T00:00:00"/>
    <s v="Social TikTok"/>
    <m/>
    <d v="2026-07-05T12:53:18"/>
  </r>
  <r>
    <s v="ZENITH MEDIA - LA"/>
    <n v="12143"/>
    <n v="8485"/>
    <s v="FARMERS INSURANCE"/>
    <s v="Farmers Insurance/Digital/Scatter/Sports/MWC/2Q-3Q26"/>
    <x v="190"/>
    <s v="Farmers Insurance- World Cup Social Sponsorship Content - Package"/>
    <n v="582757"/>
    <s v="Farmers Insurance- DIO - SOC - FOX Sports - Youtube - Custom Content - MWC"/>
    <n v="582760"/>
    <s v="FOX Sports"/>
    <s v="Flat Rate"/>
    <n v="66666"/>
    <s v="Bill on Contract"/>
    <n v="0"/>
    <n v="33333"/>
    <m/>
    <m/>
    <s v=" "/>
    <s v=""/>
    <m/>
    <m/>
    <n v="0"/>
    <n v="0"/>
    <n v="0"/>
    <n v="0"/>
    <n v="1"/>
    <n v="0"/>
    <n v="0"/>
    <n v="0"/>
    <s v="Bill on Contract - Pro-rated"/>
    <n v="33333"/>
    <n v="0"/>
    <n v="66666"/>
    <s v="Farmers Insurance/Digital/Scatter/Sports/MWC/2Q-3Q26"/>
    <n v="267090"/>
    <s v="P2+"/>
    <s v="O-D30FUAE-R2"/>
    <m/>
    <s v="Kimberly Caraig"/>
    <s v="Guaranteed"/>
    <s v="DIO - SOC - FOX Sports - Youtube - Custom Content - MWC"/>
    <n v="129756"/>
    <d v="2026-06-30T00:00:00"/>
    <d v="2026-06-01T00:00:00"/>
    <d v="2026-06-28T00:00:00"/>
    <s v="Social"/>
    <m/>
    <d v="2026-07-05T12:53:18"/>
  </r>
  <r>
    <s v="ZENITH MEDIA - LA"/>
    <n v="12143"/>
    <n v="6278"/>
    <s v="ROCKET MORTGAGE"/>
    <s v="Redfin/MWC26/2Q3Q/Digital"/>
    <x v="191"/>
    <s v="Redfin - Run of World Cup Video - Package"/>
    <n v="585679"/>
    <s v="Redfin - DIO - LFV - TUB - Pre/Mid - MWC - DT/MB/CTV"/>
    <n v="93826026"/>
    <s v="Fox Sold Tubi"/>
    <s v="CPM"/>
    <n v="40"/>
    <s v="3P Imps"/>
    <n v="1915859"/>
    <n v="74684.600000000006"/>
    <m/>
    <m/>
    <s v=" "/>
    <n v="0"/>
    <m/>
    <m/>
    <n v="1915859"/>
    <n v="1915859"/>
    <n v="0"/>
    <n v="0"/>
    <n v="1"/>
    <n v="0"/>
    <n v="0"/>
    <n v="0"/>
    <s v="Bill on Actuals - 3rd Party Performance"/>
    <n v="37342.300000000003"/>
    <n v="1867115"/>
    <n v="74684.600000000006"/>
    <s v="Redfin/MWC26/2Q3Q/Digital"/>
    <n v="93826011"/>
    <s v="P2+"/>
    <s v="O-D3093TU-R2"/>
    <m/>
    <s v="Kimberly Caraig"/>
    <s v="Guaranteed"/>
    <s v="DIO - LFV - TUB - Pre/Mid - MWC - DT/MB/CTV"/>
    <n v="127633"/>
    <d v="2026-06-30T00:00:00"/>
    <d v="2026-06-01T00:00:00"/>
    <d v="2026-06-30T00:00:00"/>
    <s v="Direct LFV"/>
    <m/>
    <d v="2026-07-05T12:53:18"/>
  </r>
  <r>
    <s v="ZENITH MEDIA - LA"/>
    <n v="12143"/>
    <n v="6278"/>
    <s v="ROCKET MORTGAGE"/>
    <s v="Redfin/MWC26/2Q3Q/Digital"/>
    <x v="191"/>
    <s v="Redfin - Run of World Cup Video - Package"/>
    <n v="585679"/>
    <s v="Redfin - DIO - ROV - FS - Pre/Mid - MWC - DT/MB/CTV"/>
    <n v="93826021"/>
    <s v="FOX Sports"/>
    <s v="CPM"/>
    <n v="40"/>
    <s v="3P Imps"/>
    <n v="823310"/>
    <n v="32007.68"/>
    <m/>
    <m/>
    <s v=" "/>
    <s v=""/>
    <m/>
    <m/>
    <n v="823310"/>
    <n v="823310"/>
    <n v="0"/>
    <n v="0"/>
    <n v="1"/>
    <n v="0"/>
    <n v="0"/>
    <n v="0"/>
    <s v="Bill on Actuals - 3rd Party Performance"/>
    <n v="16003.84"/>
    <n v="800192"/>
    <n v="32007.68"/>
    <s v="Redfin/MWC26/2Q3Q/Digital"/>
    <n v="93826011"/>
    <s v="P2+"/>
    <s v="O-D3093TU-R2"/>
    <m/>
    <s v="Kimberly Caraig"/>
    <s v="Guaranteed"/>
    <s v="DIO - ROV - FS - Pre/Mid - MWC - DT/MB/CTV"/>
    <n v="127633"/>
    <d v="2026-06-30T00:00:00"/>
    <d v="2026-06-01T00:00:00"/>
    <d v="2026-06-30T00:00:00"/>
    <s v="Direct ROV"/>
    <m/>
    <d v="2026-07-05T12:53:18"/>
  </r>
  <r>
    <s v="ZENITH MEDIA - LA"/>
    <n v="12143"/>
    <n v="6278"/>
    <s v="ROCKET MORTGAGE"/>
    <s v="Redfin/MWC26/2Q3Q/Digital"/>
    <x v="191"/>
    <s v="Redfin - Run of AllFOX Video - Package (Targeting 'Soccer Fan') AAT"/>
    <n v="585682"/>
    <s v="Redfin - DIO - LFV - 1F - Tubi - Pre/Mid - ROS - DT/MB/CTV - FW - SXD  (Targeting 'Soccer Fan') AAT"/>
    <n v="93826014"/>
    <s v="Fox Sold Tubi"/>
    <s v="CPM"/>
    <n v="20"/>
    <s v="3P Audience Target"/>
    <n v="1107212"/>
    <n v="21502.880000000001"/>
    <m/>
    <m/>
    <s v=" "/>
    <n v="0"/>
    <m/>
    <m/>
    <n v="1107212"/>
    <n v="1107212"/>
    <n v="0"/>
    <n v="0"/>
    <n v="1"/>
    <n v="0"/>
    <n v="0"/>
    <n v="0"/>
    <s v="Bill on Actuals - 3rd Party Performance"/>
    <n v="10751.44"/>
    <n v="1075144"/>
    <n v="21502.880000000001"/>
    <s v="Redfin/MWC26/2Q3Q/Digital"/>
    <n v="93826011"/>
    <s v="Audience Target"/>
    <s v="O-D3093TU-R2"/>
    <m/>
    <s v="Kimberly Caraig"/>
    <s v="Guaranteed"/>
    <s v="DIO - LFV - 1F - Tubi - Pre/Mid - ROS - DT/MB/CTV - FW - SXD"/>
    <n v="127633"/>
    <d v="2026-06-30T00:00:00"/>
    <d v="2026-06-01T00:00:00"/>
    <d v="2026-06-30T00:00:00"/>
    <s v="Direct LFV"/>
    <m/>
    <d v="2026-07-05T12:53:18"/>
  </r>
  <r>
    <s v="ZENITH MEDIA - LA"/>
    <n v="12143"/>
    <n v="6278"/>
    <s v="ROCKET MORTGAGE"/>
    <s v="Redfin/MWC26/2Q3Q/Digital"/>
    <x v="191"/>
    <s v="Redfin - Run of AllFOX Video - Package (Targeting 'Soccer Fan') AAT"/>
    <n v="585682"/>
    <s v="Redfin - DIO - ROV - 1F - SEN - Pre/Mid - ROS - DT/MB/CTV - SXD  (Targeting 'Soccer Fan') AAT"/>
    <n v="93826017"/>
    <s v="OneFOX"/>
    <s v="CPM"/>
    <n v="20"/>
    <s v="3P Audience Target"/>
    <n v="720768"/>
    <n v="14334.82"/>
    <m/>
    <m/>
    <s v=" "/>
    <s v=""/>
    <m/>
    <m/>
    <n v="720768"/>
    <n v="720768"/>
    <n v="0"/>
    <n v="0"/>
    <n v="1"/>
    <n v="0"/>
    <n v="0"/>
    <n v="0"/>
    <s v="Bill on Actuals - 3rd Party Performance"/>
    <n v="7167.41"/>
    <n v="716741"/>
    <n v="14334.82"/>
    <s v="Redfin/MWC26/2Q3Q/Digital"/>
    <n v="93826011"/>
    <s v="Audience Target"/>
    <s v="O-D3093TU-R2"/>
    <m/>
    <s v="Kimberly Caraig"/>
    <s v="Guaranteed"/>
    <s v="DIO - ROV - 1F - SEN - Pre/Mid - ROS - DT/MB/CTV - SXD"/>
    <n v="127633"/>
    <d v="2026-06-30T00:00:00"/>
    <d v="2026-06-01T00:00:00"/>
    <d v="2026-06-30T00:00:00"/>
    <s v="Direct ROV"/>
    <m/>
    <d v="2026-07-05T12:53:18"/>
  </r>
  <r>
    <s v="ZENITH MEDIA - LA"/>
    <n v="12143"/>
    <n v="6278"/>
    <s v="ROCKET MORTGAGE"/>
    <s v="Rocket/MWC26/2Q3Q/Digital"/>
    <x v="192"/>
    <s v="Rocket - Run of FOX Sports Video - Package"/>
    <n v="582484"/>
    <s v="Rocket - DIO - ROV - FS - Pre/Mid - ROS - DT/MB/CTV"/>
    <n v="93863663"/>
    <s v="FOX Sports"/>
    <s v="CPM"/>
    <n v="25"/>
    <s v="3P CoView Imps"/>
    <n v="918639"/>
    <n v="22965.97"/>
    <m/>
    <m/>
    <s v=" "/>
    <n v="0"/>
    <m/>
    <m/>
    <n v="791934"/>
    <n v="791934"/>
    <n v="918639"/>
    <n v="918639"/>
    <n v="1"/>
    <n v="1.159995610372639"/>
    <n v="0"/>
    <n v="0"/>
    <s v="Bill on Actuals - 3rd Party Performance"/>
    <n v="11353.46"/>
    <n v="4092600"/>
    <n v="102315"/>
    <s v="Rocket/MWC26/2Q3Q/Digital"/>
    <n v="93863647"/>
    <s v="P2+"/>
    <s v="O-D3094N8-R1"/>
    <m/>
    <s v="Kimberly Caraig"/>
    <s v="Guaranteed"/>
    <s v="DIO - ROV - FS - Pre/Mid - ROS - DT/MB/CTV"/>
    <n v="127887"/>
    <d v="2026-06-30T00:00:00"/>
    <d v="2026-06-01T00:00:00"/>
    <d v="2026-09-27T00:00:00"/>
    <s v="Direct ROV"/>
    <m/>
    <d v="2026-07-05T12:53:18"/>
  </r>
  <r>
    <s v="ZENITH MEDIA - LA"/>
    <n v="12143"/>
    <n v="6278"/>
    <s v="ROCKET MORTGAGE"/>
    <s v="Rocket/MWC26/2Q3Q/Digital"/>
    <x v="192"/>
    <s v="Rocket - Run of World Cup Video - Package"/>
    <n v="582486"/>
    <s v="Rocket - DIO - LFV - TUB - Pre/Mid - MWC - DT/MB/CTV"/>
    <n v="93863660"/>
    <s v="Fox Sold Tubi"/>
    <s v="CPM"/>
    <n v="40"/>
    <s v="3P Imps"/>
    <n v="2195409"/>
    <n v="87816.36"/>
    <m/>
    <m/>
    <s v=" "/>
    <n v="0"/>
    <m/>
    <m/>
    <n v="2195409"/>
    <n v="2195409"/>
    <n v="0"/>
    <n v="0"/>
    <n v="1"/>
    <n v="0"/>
    <n v="0"/>
    <n v="0"/>
    <s v="Bill on Actuals - 3rd Party Performance"/>
    <n v="44258.99"/>
    <n v="3304592"/>
    <n v="132183.67999999999"/>
    <s v="Rocket/MWC26/2Q3Q/Digital"/>
    <n v="93863647"/>
    <s v="P2+"/>
    <s v="O-D3094N8-R1"/>
    <m/>
    <s v="Kimberly Caraig"/>
    <s v="Guaranteed"/>
    <s v="DIO - LFV - TUB - Pre/Mid - MWC - DT/MB/CTV"/>
    <n v="127887"/>
    <d v="2026-06-30T00:00:00"/>
    <d v="2026-06-01T00:00:00"/>
    <d v="2026-07-19T00:00:00"/>
    <s v="Direct LFV"/>
    <m/>
    <d v="2026-07-05T12:53:18"/>
  </r>
  <r>
    <s v="ZENITH MEDIA - LA"/>
    <n v="12143"/>
    <n v="6278"/>
    <s v="ROCKET MORTGAGE"/>
    <s v="Rocket/MWC26/2Q3Q/Digital"/>
    <x v="192"/>
    <s v="Rocket - Run of World Cup Video - Package"/>
    <n v="582486"/>
    <s v="Rocket - DIO - ROV - FS - Pre/Mid - MWC - DT/MB/CTV"/>
    <n v="93863657"/>
    <s v="FOX Sports"/>
    <s v="CPM"/>
    <n v="40"/>
    <s v="3P Imps"/>
    <n v="963550"/>
    <n v="38542"/>
    <m/>
    <m/>
    <s v=" "/>
    <s v=""/>
    <m/>
    <m/>
    <n v="963550"/>
    <n v="963550"/>
    <n v="0"/>
    <n v="0"/>
    <n v="1"/>
    <n v="0"/>
    <n v="0"/>
    <n v="0"/>
    <s v="Bill on Actuals - 3rd Party Performance"/>
    <n v="18968.13"/>
    <n v="1416253"/>
    <n v="56650.12"/>
    <s v="Rocket/MWC26/2Q3Q/Digital"/>
    <n v="93863647"/>
    <s v="P2+"/>
    <s v="O-D3094N8-R1"/>
    <m/>
    <s v="Kimberly Caraig"/>
    <s v="Guaranteed"/>
    <s v="DIO - ROV - FS - Pre/Mid - MWC - DT/MB/CTV"/>
    <n v="127887"/>
    <d v="2026-06-30T00:00:00"/>
    <d v="2026-06-01T00:00:00"/>
    <d v="2026-07-19T00:00:00"/>
    <s v="Direct ROV"/>
    <m/>
    <d v="2026-07-05T12:53:18"/>
  </r>
  <r>
    <s v="ZENITH MEDIA - LA"/>
    <n v="12143"/>
    <n v="6278"/>
    <s v="ROCKET MORTGAGE"/>
    <s v="Rocket/MWC26/2Q3Q/Digital"/>
    <x v="192"/>
    <s v="Rocket - Run of AllFOX Video - Package (Targeting 'Soccer Fan') AAT"/>
    <n v="585346"/>
    <s v="Rocket - DIO - LFV - 1F - Tubi - Pre/Mid - ROS - DT/MB/CTV - FW - SXD (Targeting 'Soccer Fan') AAT"/>
    <n v="93863654"/>
    <s v="Fox Sold Tubi"/>
    <s v="CPM"/>
    <n v="20"/>
    <s v="3P Audience Target"/>
    <n v="6556731"/>
    <n v="131134.62"/>
    <m/>
    <m/>
    <s v=" "/>
    <n v="0"/>
    <m/>
    <m/>
    <n v="6556731"/>
    <n v="6556731"/>
    <n v="0"/>
    <n v="0"/>
    <n v="1"/>
    <n v="0"/>
    <n v="0"/>
    <n v="0"/>
    <s v="Bill on Actuals - 3rd Party Performance"/>
    <n v="65234.57"/>
    <n v="22452702"/>
    <n v="449054.04"/>
    <s v="Rocket/MWC26/2Q3Q/Digital"/>
    <n v="93863647"/>
    <s v="Audience Target"/>
    <s v="O-D3094N8-R1"/>
    <m/>
    <s v="Kimberly Caraig"/>
    <s v="Guaranteed"/>
    <s v="DIO - LFV - 1F - Tubi - Pre/Mid - ROS - DT/MB/CTV - FW - SXD"/>
    <n v="127887"/>
    <d v="2026-06-30T00:00:00"/>
    <d v="2026-06-01T00:00:00"/>
    <d v="2026-09-27T00:00:00"/>
    <s v="Direct LFV"/>
    <m/>
    <d v="2026-07-05T12:53:18"/>
  </r>
  <r>
    <s v="ZENITH MEDIA - LA"/>
    <n v="12143"/>
    <n v="6278"/>
    <s v="ROCKET MORTGAGE"/>
    <s v="Rocket/MWC26/2Q3Q/Digital"/>
    <x v="192"/>
    <s v="Rocket - Run of AllFOX Video - Package (Targeting 'Soccer Fan') AAT"/>
    <n v="585346"/>
    <s v="Rocket - DIO - ROV - 1F - SEN - Pre/Mid - ROS - DT/MB/CTV - SXD (Targeting 'Soccer Fan') AAT"/>
    <n v="93863650"/>
    <s v="OneFOX"/>
    <s v="CPM"/>
    <n v="20"/>
    <s v="3P Audience Target"/>
    <n v="4349810"/>
    <n v="86996.2"/>
    <m/>
    <m/>
    <s v=" "/>
    <s v=""/>
    <m/>
    <m/>
    <n v="4349810"/>
    <n v="4349810"/>
    <n v="0"/>
    <n v="0"/>
    <n v="1"/>
    <n v="0"/>
    <n v="0"/>
    <n v="0"/>
    <s v="Bill on Actuals - 3rd Party Performance"/>
    <n v="43489.71"/>
    <n v="14968467"/>
    <n v="299369.34000000003"/>
    <s v="Rocket/MWC26/2Q3Q/Digital"/>
    <n v="93863647"/>
    <s v="Audience Target"/>
    <s v="O-D3094N8-R1"/>
    <m/>
    <s v="Kimberly Caraig"/>
    <s v="Guaranteed"/>
    <s v="DIO - ROV - 1F - SEN - Pre/Mid - ROS - DT/MB/CTV - SXD"/>
    <n v="127887"/>
    <d v="2026-06-30T00:00:00"/>
    <d v="2026-06-01T00:00:00"/>
    <d v="2026-09-27T00:00:00"/>
    <s v="Direct ROV"/>
    <m/>
    <d v="2026-07-05T12:53:18"/>
  </r>
  <r>
    <s v="ZENITH MEDIA - NY"/>
    <n v="11418"/>
    <n v="1162"/>
    <s v="ELI LILLY"/>
    <s v="Eli Lilly/Dig/UF/25.26/Sports/Ebglyss/2Q'26"/>
    <x v="193"/>
    <s v="Eli Lilly - Ebglyss 30 - Run of AllFOX Sports Bundle Package - 2Q'26"/>
    <n v="591635"/>
    <s v="Eli Lilly - Ebglyss :30 - DIO - LFV - 1F - Tubi Sports Bundle - Pre/Mid - ROS - DT/MB/CTV - FW - SXD - 2Q'26"/>
    <n v="94330071"/>
    <s v="OneFOX"/>
    <s v="CPM"/>
    <n v="23.97"/>
    <s v="3P Imps"/>
    <n v="10963"/>
    <n v="262.77999999999997"/>
    <m/>
    <m/>
    <s v=" "/>
    <n v="0"/>
    <m/>
    <m/>
    <n v="53450"/>
    <n v="10963"/>
    <n v="0"/>
    <n v="0"/>
    <n v="1"/>
    <n v="0"/>
    <n v="0"/>
    <n v="0"/>
    <s v="Bill on Actuals - 3rd Party Performance"/>
    <n v="482.53"/>
    <n v="64535"/>
    <n v="1546.9"/>
    <s v="Eli Lilly/Dig/UF/25.26/Sports/Ebglyss/2Q'26"/>
    <n v="93060180"/>
    <s v="P2+"/>
    <s v="O-D2PGRQ1-R1"/>
    <m/>
    <s v="Tom Cecil"/>
    <s v="Guaranteed"/>
    <s v="DIO - LFV - 1F - Tubi Sports Bundle - Pre/Mid - ROS - DT/MB/CTV - FW - SXD"/>
    <n v="129716"/>
    <d v="2026-06-30T00:00:00"/>
    <d v="2026-05-29T00:00:00"/>
    <d v="2026-06-30T00:00:00"/>
    <s v="Direct LFV"/>
    <m/>
    <d v="2026-07-05T12:53:18"/>
  </r>
  <r>
    <s v="ZENITH MEDIA - NY"/>
    <n v="11418"/>
    <n v="1162"/>
    <s v="ELI LILLY"/>
    <s v="Eli Lilly/Dig/UF/25.26/Sports/Ebglyss/2Q'26"/>
    <x v="193"/>
    <s v="Eli Lilly - Ebglyss 30 - Run of AllFOX Sports Bundle Package - 2Q'26"/>
    <n v="591635"/>
    <s v="Eli Lilly - Ebglyss :30 - DIO - ROV - 1F - FS - Pre/Mid - ROS - DT/MB/CTV - FW - SXD - 2Q'26"/>
    <n v="94330060"/>
    <s v="OneFOX"/>
    <s v="CPM"/>
    <n v="23.97"/>
    <s v="3P Imps"/>
    <n v="3202"/>
    <n v="76.75"/>
    <m/>
    <m/>
    <s v=" "/>
    <s v=""/>
    <m/>
    <m/>
    <n v="24085"/>
    <n v="3202"/>
    <n v="0"/>
    <n v="0"/>
    <n v="1"/>
    <n v="0"/>
    <n v="0"/>
    <n v="0"/>
    <s v="Bill on Actuals - 3rd Party Performance"/>
    <n v="203.25"/>
    <n v="27183"/>
    <n v="651.58000000000004"/>
    <s v="Eli Lilly/Dig/UF/25.26/Sports/Ebglyss/2Q'26"/>
    <n v="93060180"/>
    <s v="P2+"/>
    <s v="O-D2PGRQ1-R1"/>
    <m/>
    <s v="Tom Cecil"/>
    <s v="Guaranteed"/>
    <s v="DIO - ROV - 1F - FS - Pre/Mid - ROS - DT/MB/CTV - FW - SXD"/>
    <n v="129716"/>
    <d v="2026-06-30T00:00:00"/>
    <d v="2026-05-29T00:00:00"/>
    <d v="2026-06-30T00:00:00"/>
    <s v="Direct ROV"/>
    <m/>
    <d v="2026-07-05T12:53:18"/>
  </r>
  <r>
    <s v="ZENITH MEDIA - NY"/>
    <n v="11418"/>
    <n v="1162"/>
    <s v="ELI LILLY"/>
    <s v="Eli Lilly/Dig/UF/25.26/Sports/Ebglyss/2Q'26"/>
    <x v="193"/>
    <s v="Eli Lilly - Ebglyss 60 - Run of AllFOX Sports Bundle Package - 2Q'26"/>
    <n v="591648"/>
    <s v="Eli Lilly - Ebglyss :60 - DIO - LFV - 1F - Tubi Sports Bundle - Pre/Mid - ROS - DT/MB/CTV - FW - SXD - 2Q'26"/>
    <n v="94330068"/>
    <s v="OneFOX"/>
    <s v="CPM"/>
    <n v="23.97"/>
    <s v="3P Imps"/>
    <n v="93766"/>
    <n v="2247.5700000000002"/>
    <m/>
    <m/>
    <s v=" "/>
    <n v="0"/>
    <m/>
    <m/>
    <n v="792893"/>
    <n v="93766"/>
    <n v="0"/>
    <n v="0"/>
    <n v="1"/>
    <n v="0"/>
    <n v="0"/>
    <n v="0"/>
    <s v="Bill on Actuals - 3rd Party Performance"/>
    <n v="9214.5499999999993"/>
    <n v="862166"/>
    <n v="20666.12"/>
    <s v="Eli Lilly/Dig/UF/25.26/Sports/Ebglyss/2Q'26"/>
    <n v="93060180"/>
    <s v="P2+"/>
    <s v="O-D2PGRQ1-R1"/>
    <m/>
    <s v="Tom Cecil"/>
    <s v="Guaranteed"/>
    <s v="DIO - LFV - 1F - Tubi Sports Bundle - Pre/Mid - ROS - DT/MB/CTV - FW - SXD"/>
    <n v="129716"/>
    <d v="2026-06-30T00:00:00"/>
    <d v="2026-05-29T00:00:00"/>
    <d v="2026-06-30T00:00:00"/>
    <s v="Direct LFV"/>
    <m/>
    <d v="2026-07-05T12:53:18"/>
  </r>
  <r>
    <s v="ZENITH MEDIA - NY"/>
    <n v="11418"/>
    <n v="1162"/>
    <s v="ELI LILLY"/>
    <s v="Eli Lilly/Dig/UF/25.26/Sports/Ebglyss/2Q'26"/>
    <x v="193"/>
    <s v="Eli Lilly - Ebglyss 60 - Run of AllFOX Sports Bundle Package - 2Q'26"/>
    <n v="591648"/>
    <s v="Eli Lilly - Ebglyss :60 - DIO - ROV - 1F - FS - Pre/Mid - ROS - DT/MB/CTV - FW - SXD - 2Q'26"/>
    <n v="94330064"/>
    <s v="OneFOX"/>
    <s v="CPM"/>
    <n v="23.97"/>
    <s v="3P Imps"/>
    <n v="20"/>
    <n v="0.48"/>
    <m/>
    <m/>
    <s v=" "/>
    <s v=""/>
    <m/>
    <m/>
    <n v="4495"/>
    <n v="20"/>
    <n v="0"/>
    <n v="0"/>
    <n v="1"/>
    <n v="0"/>
    <n v="0"/>
    <n v="0"/>
    <s v="Bill on Actuals - 3rd Party Performance"/>
    <n v="47.03"/>
    <n v="4400"/>
    <n v="105.47"/>
    <s v="Eli Lilly/Dig/UF/25.26/Sports/Ebglyss/2Q'26"/>
    <n v="93060180"/>
    <s v="P2+"/>
    <s v="O-D2PGRQ1-R1"/>
    <m/>
    <s v="Tom Cecil"/>
    <s v="Guaranteed"/>
    <s v="DIO - ROV - 1F - FS - Pre/Mid - ROS - DT/MB/CTV - FW - SXD"/>
    <n v="129716"/>
    <d v="2026-06-30T00:00:00"/>
    <d v="2026-05-29T00:00:00"/>
    <d v="2026-06-30T00:00:00"/>
    <s v="Direct ROV"/>
    <m/>
    <d v="2026-07-05T12:53:18"/>
  </r>
  <r>
    <s v="ZENITH MEDIA - NY"/>
    <n v="11418"/>
    <n v="1162"/>
    <s v="ELI LILLY"/>
    <s v="Eli Lilly/Dig/UF/25.26/Sports/Zepbound CWM/2Q'26"/>
    <x v="194"/>
    <s v="Eli Lilly - Zepbound CWM :60s Run of AllFOX Sports Bundle Package - 2Q'26"/>
    <n v="591505"/>
    <s v="Eli Lilly - Zepbound CWM :60 - DIO - LFV - 1F - Tubi Sports Bundle - Pre/Mid - ROS - DT/MB/CTV - FW - SXD - 2Q'26"/>
    <n v="94330101"/>
    <s v="OneFOX"/>
    <s v="CPM"/>
    <n v="23.97"/>
    <s v="3P Imps"/>
    <n v="48184"/>
    <n v="1154.97"/>
    <m/>
    <m/>
    <s v=" "/>
    <n v="0"/>
    <m/>
    <m/>
    <n v="402428"/>
    <n v="48184"/>
    <n v="0"/>
    <n v="0"/>
    <n v="1"/>
    <n v="0"/>
    <n v="0"/>
    <n v="0"/>
    <s v="Bill on Actuals - 3rd Party Performance"/>
    <n v="4676.0200000000004"/>
    <n v="438309"/>
    <n v="10506.27"/>
    <s v="Eli Lilly/Dig/UF/25.26/Sports/Zepbound CWM/2Q'26"/>
    <n v="93031349"/>
    <s v="P2+"/>
    <s v="O-D2PJ3UP-R1"/>
    <m/>
    <s v="Tom Cecil"/>
    <s v="Guaranteed"/>
    <s v="DIO - LFV - 1F - Tubi Sports Bundle - Pre/Mid - ROS - DT/MB/CTV - FW - SXD"/>
    <n v="129712"/>
    <d v="2026-06-30T00:00:00"/>
    <d v="2026-05-29T00:00:00"/>
    <d v="2026-06-30T00:00:00"/>
    <s v="Direct LFV"/>
    <m/>
    <d v="2026-07-05T12:53:18"/>
  </r>
  <r>
    <s v="ZENITH MEDIA - NY"/>
    <n v="11418"/>
    <n v="1162"/>
    <s v="ELI LILLY"/>
    <s v="Eli Lilly/Dig/UF/25.26/Sports/Zepbound CWM/2Q'26"/>
    <x v="194"/>
    <s v="Eli Lilly - Zepbound CWM :60s Run of AllFOX Sports Bundle Package - 2Q'26"/>
    <n v="591505"/>
    <s v="Eli Lilly - Zepbound CWM :60 - DIO - ROV - 1F - FS - Pre/Mid - ROS - DT/MB/CTV - FW - SXD - 2Q'26"/>
    <n v="94330097"/>
    <s v="OneFOX"/>
    <s v="CPM"/>
    <n v="23.97"/>
    <s v="3P Imps"/>
    <n v="25"/>
    <n v="0.6"/>
    <m/>
    <m/>
    <s v=" "/>
    <s v=""/>
    <m/>
    <m/>
    <n v="1163"/>
    <n v="25"/>
    <n v="0"/>
    <n v="0"/>
    <n v="1"/>
    <n v="0"/>
    <n v="0"/>
    <n v="0"/>
    <s v="Bill on Actuals - 3rd Party Performance"/>
    <n v="6.4"/>
    <n v="600"/>
    <n v="14.38"/>
    <s v="Eli Lilly/Dig/UF/25.26/Sports/Zepbound CWM/2Q'26"/>
    <n v="93031349"/>
    <s v="P2+"/>
    <s v="O-D2PJ3UP-R1"/>
    <m/>
    <s v="Tom Cecil"/>
    <s v="Guaranteed"/>
    <s v="DIO - ROV - 1F - FS - Pre/Mid - ROS - DT/MB/CTV - FW - SXD"/>
    <n v="129712"/>
    <d v="2026-06-30T00:00:00"/>
    <d v="2026-05-29T00:00:00"/>
    <d v="2026-06-30T00:00:00"/>
    <s v="Direct ROV"/>
    <m/>
    <d v="2026-07-05T12:53:18"/>
  </r>
  <r>
    <s v="ZENITH MEDIA - NY"/>
    <n v="11418"/>
    <n v="1162"/>
    <s v="ELI LILLY"/>
    <s v="Eli Lilly/Dig/UF/25.26/Sports/Zepbound CWM/2Q'26"/>
    <x v="194"/>
    <s v="Eli Lilly - Zepbound CWM :75s Run of AllFOX Sports Bundle Package - 2Q'26"/>
    <n v="591610"/>
    <s v="Eli Lilly - Zepbound CWM :75 - DIO - LFV - 1F - Tubi Sports Bundle - Pre/Mid - ROS - DT/MB/CTV - FW - SXD - 2Q'26"/>
    <n v="94330108"/>
    <s v="OneFOX"/>
    <s v="CPM"/>
    <n v="23.97"/>
    <s v="3P Imps"/>
    <n v="55985"/>
    <n v="1341.96"/>
    <m/>
    <m/>
    <s v=" "/>
    <n v="0"/>
    <m/>
    <m/>
    <n v="470888"/>
    <n v="55985"/>
    <n v="0"/>
    <n v="0"/>
    <n v="1"/>
    <n v="0"/>
    <n v="0"/>
    <n v="0"/>
    <s v="Bill on Actuals - 3rd Party Performance"/>
    <n v="5474.22"/>
    <n v="512703"/>
    <n v="12289.49"/>
    <s v="Eli Lilly/Dig/UF/25.26/Sports/Zepbound CWM/2Q'26"/>
    <n v="93031349"/>
    <s v="P2+"/>
    <s v="O-D2PJ3UP-R1"/>
    <m/>
    <s v="Tom Cecil"/>
    <s v="Guaranteed"/>
    <s v="DIO - LFV - 1F - Tubi Sports Bundle - Pre/Mid - ROS - DT/MB/CTV - FW - SXD"/>
    <n v="129712"/>
    <d v="2026-06-30T00:00:00"/>
    <d v="2026-05-29T00:00:00"/>
    <d v="2026-06-30T00:00:00"/>
    <s v="Direct LFV"/>
    <m/>
    <d v="2026-07-05T12:53:18"/>
  </r>
  <r>
    <s v="ZENITH MEDIA - NY"/>
    <n v="11418"/>
    <n v="1162"/>
    <s v="ELI LILLY"/>
    <s v="Eli Lilly/Dig/UF/25.26/Sports/Zepbound CWM/2Q'26"/>
    <x v="194"/>
    <s v="Eli Lilly - Zepbound CWM :75s Run of AllFOX Sports Bundle Package - 2Q'26"/>
    <n v="591610"/>
    <s v="Eli Lilly - Zepbound CWM :75 - DIO - ROV - 1F - FS - Pre/Mid - ROS - DT/MB/CTV - FW - SXD - 2Q'26"/>
    <n v="94330104"/>
    <s v="OneFOX"/>
    <s v="CPM"/>
    <n v="23.97"/>
    <s v="3P Imps"/>
    <n v="4"/>
    <n v="0.1"/>
    <m/>
    <m/>
    <s v=" "/>
    <s v=""/>
    <m/>
    <m/>
    <n v="924"/>
    <n v="4"/>
    <n v="0"/>
    <n v="0"/>
    <n v="1"/>
    <n v="0"/>
    <n v="0"/>
    <n v="0"/>
    <s v="Bill on Actuals - 3rd Party Performance"/>
    <n v="4.2699999999999996"/>
    <n v="400"/>
    <n v="9.59"/>
    <s v="Eli Lilly/Dig/UF/25.26/Sports/Zepbound CWM/2Q'26"/>
    <n v="93031349"/>
    <s v="P2+"/>
    <s v="O-D2PJ3UP-R1"/>
    <m/>
    <s v="Tom Cecil"/>
    <s v="Guaranteed"/>
    <s v="DIO - ROV - 1F - FS - Pre/Mid - ROS - DT/MB/CTV - FW - SXD"/>
    <n v="129712"/>
    <d v="2026-06-30T00:00:00"/>
    <d v="2026-05-29T00:00:00"/>
    <d v="2026-06-30T00:00:00"/>
    <s v="Direct ROV"/>
    <m/>
    <d v="2026-07-05T12:53:18"/>
  </r>
  <r>
    <s v="ZENITH MEDIA - NY"/>
    <n v="11418"/>
    <n v="1162"/>
    <s v="ELI LILLY"/>
    <s v="Lilly/2026 MWC/Digital/Scatter/Ebglyss"/>
    <x v="195"/>
    <s v="Eli Lilly - Ebglyss :60 - Run of World Cup Video - Package - 2026"/>
    <n v="581831"/>
    <s v="Eli Lilly - Ebglyss :60 - DIO - LFV - TUB - Pre/Mid - MWC - DT/MB/CTV - 2026"/>
    <n v="94264808"/>
    <s v="Fox Sold Tubi"/>
    <s v="CPM"/>
    <n v="40"/>
    <s v="3P Imps"/>
    <n v="1114904"/>
    <n v="44596.160000000003"/>
    <m/>
    <m/>
    <s v=" "/>
    <n v="0"/>
    <m/>
    <m/>
    <n v="1114904"/>
    <n v="1114904"/>
    <n v="0"/>
    <n v="0"/>
    <n v="1"/>
    <n v="0"/>
    <n v="0"/>
    <n v="0"/>
    <s v="Bill on Actuals - 3rd Party Performance"/>
    <n v="22319.54"/>
    <n v="1780742"/>
    <n v="71229.679999999993"/>
    <s v="Lilly/2026 MWC/Digital/Scatter/Ebglyss"/>
    <n v="94264799"/>
    <s v="P2+"/>
    <s v="O-D2PGRQ1-R5"/>
    <m/>
    <s v="Tom Cecil"/>
    <s v="Guaranteed"/>
    <s v="DIO - LFV - TUB - Pre/Mid - MWC - DT/MB/CTV"/>
    <n v="129282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Ebglyss"/>
    <x v="195"/>
    <s v="Eli Lilly - Ebglyss :60 - Run of World Cup Video - Package - 2026"/>
    <n v="581831"/>
    <s v="Eli Lilly - Ebglyss :60 - DIO - ROV - FS - Pre/Mid - MWC - DT/MB/CTV - 2026"/>
    <n v="94264805"/>
    <s v="FOX Sports"/>
    <s v="CPM"/>
    <n v="40"/>
    <s v="3P Imps"/>
    <n v="22746"/>
    <n v="800"/>
    <m/>
    <m/>
    <s v=" "/>
    <s v=""/>
    <m/>
    <m/>
    <n v="22746"/>
    <n v="22746"/>
    <n v="0"/>
    <n v="0"/>
    <n v="1"/>
    <n v="0"/>
    <n v="0"/>
    <n v="0"/>
    <s v="Bill on Actuals - 3rd Party Performance"/>
    <n v="250.68"/>
    <n v="20000"/>
    <n v="800"/>
    <s v="Lilly/2026 MWC/Digital/Scatter/Ebglyss"/>
    <n v="94264799"/>
    <s v="P2+"/>
    <s v="O-D2PGRQ1-R5"/>
    <m/>
    <s v="Tom Cecil"/>
    <s v="Guaranteed"/>
    <s v="DIO - ROV - FS - Pre/Mid - MWC - DT/MB/CTV"/>
    <n v="129282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Ebglyss"/>
    <x v="195"/>
    <s v="Eli Lilly - Ebglyss-  Run of World Cup Display - Package - 2026"/>
    <n v="581834"/>
    <s v="Eli Lilly - Ebglyss- DIS - FS - Display Unit - MWC - 2026"/>
    <n v="7321071334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5780.59"/>
    <n v="4500000"/>
    <n v="27000"/>
    <s v="Lilly/2026 MWC/Digital/Scatter/Ebglyss"/>
    <n v="261759"/>
    <s v="P2+"/>
    <s v="O-D2PGRQ1-R5"/>
    <m/>
    <s v="Tom Cecil"/>
    <s v="Guaranteed"/>
    <s v="DIS - FS - Display Unit - MWC"/>
    <n v="129282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Ebglyss"/>
    <x v="195"/>
    <s v="Eli Lilly - Ebglyss :60 - Run of AllFOX Video - Package -AAT- 2026"/>
    <n v="581845"/>
    <s v="Eli Lilly - Ebglyss :60 - DIO - LFV - 1F - Tubi - Pre/Mid - ROS - DT/MB/CTV - AAT- FW - SXD - 2026"/>
    <n v="94264825"/>
    <s v="Fox Sold Tubi"/>
    <s v="CPM"/>
    <n v="20"/>
    <s v="3P Audience Target"/>
    <n v="2854202"/>
    <n v="57084.04"/>
    <m/>
    <m/>
    <s v=" "/>
    <n v="0"/>
    <m/>
    <m/>
    <n v="2854202"/>
    <n v="2854202"/>
    <n v="0"/>
    <n v="0"/>
    <n v="1"/>
    <n v="0"/>
    <n v="0"/>
    <n v="0"/>
    <s v="Bill on Actuals - 3rd Party Performance"/>
    <n v="24893.39"/>
    <n v="6849523"/>
    <n v="136990.46"/>
    <s v="Lilly/2026 MWC/Digital/Scatter/Ebglyss"/>
    <n v="94264799"/>
    <s v="Audience Target"/>
    <s v="O-D2PGRQ1-R5"/>
    <m/>
    <s v="Tom Cecil"/>
    <s v="Guaranteed"/>
    <s v="DIO - LFV - 1F - Tubi - Pre/Mid - ROS - DT/MB/CTV - FW - SXD"/>
    <n v="129282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Ebglyss"/>
    <x v="195"/>
    <s v="Eli Lilly - Ebglyss :60 - Run of AllFOX Video - Package -AAT- 2026"/>
    <n v="581845"/>
    <s v="Eli Lilly - Ebglyss :60 - DIO - ROV - 1F - SEN - Pre/Mid - ROS - DT/MB/CTV - AAT- SXD - 2026"/>
    <n v="94264821"/>
    <s v="OneFOX"/>
    <s v="CPM"/>
    <n v="20"/>
    <s v="3P Audience Target"/>
    <n v="634799"/>
    <n v="12695.98"/>
    <m/>
    <m/>
    <s v=" "/>
    <s v=""/>
    <m/>
    <m/>
    <n v="634799"/>
    <n v="634799"/>
    <n v="0"/>
    <n v="0"/>
    <n v="1"/>
    <n v="0"/>
    <n v="0"/>
    <n v="0"/>
    <s v="Bill on Actuals - 3rd Party Performance"/>
    <n v="9921.7099999999991"/>
    <n v="2730000"/>
    <n v="54600"/>
    <s v="Lilly/2026 MWC/Digital/Scatter/Ebglyss"/>
    <n v="94264799"/>
    <s v="Audience Target"/>
    <s v="O-D2PGRQ1-R5"/>
    <m/>
    <s v="Tom Cecil"/>
    <s v="Guaranteed"/>
    <s v="DIO - ROV - 1F - SEN - Pre/Mid - ROS - DT/MB/CTV - SXD"/>
    <n v="129282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Ebglyss"/>
    <x v="195"/>
    <s v="Eli Lilly - Ebglyss :30 - Run of AllFOX Video - Package- AAT - 2026"/>
    <n v="590795"/>
    <s v="Eli Lilly - Ebglyss :30 - DIO - LFV - 1F - Tubi - Pre/Mid - ROS - DT/MB/CTV- AAT - FW - SXD - 2026"/>
    <n v="94264818"/>
    <s v="Fox Sold Tubi"/>
    <s v="CPM"/>
    <n v="20"/>
    <s v="3P Audience Target"/>
    <n v="2499834"/>
    <n v="49987.68"/>
    <m/>
    <m/>
    <s v=" "/>
    <n v="0"/>
    <m/>
    <m/>
    <n v="2499834"/>
    <n v="2499834"/>
    <n v="0"/>
    <n v="0"/>
    <n v="1"/>
    <n v="0"/>
    <n v="0"/>
    <n v="0"/>
    <s v="Bill on Actuals - 3rd Party Performance"/>
    <n v="24993.84"/>
    <n v="2499384"/>
    <n v="49987.68"/>
    <s v="Lilly/2026 MWC/Digital/Scatter/Ebglyss"/>
    <n v="94264799"/>
    <s v="Audience Target"/>
    <s v="O-D2PGRQ1-R5"/>
    <m/>
    <s v="Tom Cecil"/>
    <s v="Guaranteed"/>
    <s v="DIO - LFV - 1F - Tubi - Pre/Mid - ROS - DT/MB/CTV - FW - SXD"/>
    <n v="129282"/>
    <d v="2026-06-30T00:00:00"/>
    <d v="2026-06-01T00:00:00"/>
    <d v="2026-06-26T00:00:00"/>
    <s v="Direct LFV"/>
    <m/>
    <d v="2026-07-05T12:53:18"/>
  </r>
  <r>
    <s v="ZENITH MEDIA - NY"/>
    <n v="11418"/>
    <n v="1162"/>
    <s v="ELI LILLY"/>
    <s v="Lilly/2026 MWC/Digital/Scatter/Ebglyss"/>
    <x v="195"/>
    <s v="Eli Lilly - Ebglyss :30 - Run of AllFOX Video - Package- AAT - 2026"/>
    <n v="590795"/>
    <s v="Eli Lilly - Ebglyss :30 - DIO - ROV - 1F - SEN - Pre/Mid - ROS - DT/MB/CTV -AAT- SXD - 2026"/>
    <n v="94264828"/>
    <s v="OneFOX"/>
    <s v="CPM"/>
    <n v="20"/>
    <s v="3P Audience Target"/>
    <n v="1598590"/>
    <n v="31421.86"/>
    <m/>
    <m/>
    <s v=" "/>
    <s v=""/>
    <m/>
    <m/>
    <n v="1598590"/>
    <n v="1598590"/>
    <n v="0"/>
    <n v="0"/>
    <n v="1"/>
    <n v="0"/>
    <n v="0"/>
    <n v="0"/>
    <s v="Bill on Actuals - 3rd Party Performance"/>
    <n v="15710.93"/>
    <n v="1571093"/>
    <n v="31421.86"/>
    <s v="Lilly/2026 MWC/Digital/Scatter/Ebglyss"/>
    <n v="94264799"/>
    <s v="Audience Target"/>
    <s v="O-D2PGRQ1-R5"/>
    <m/>
    <s v="Tom Cecil"/>
    <s v="Guaranteed"/>
    <s v="DIO - ROV - 1F - SEN - Pre/Mid - ROS - DT/MB/CTV - SXD"/>
    <n v="129282"/>
    <d v="2026-06-30T00:00:00"/>
    <d v="2026-06-01T00:00:00"/>
    <d v="2026-06-26T00:00:00"/>
    <s v="Direct ROV"/>
    <m/>
    <d v="2026-07-05T12:53:18"/>
  </r>
  <r>
    <s v="ZENITH MEDIA - NY"/>
    <n v="11418"/>
    <n v="1162"/>
    <s v="ELI LILLY"/>
    <s v="Lilly/2026 MWC/Digital/Scatter/Ebglyss"/>
    <x v="195"/>
    <s v="Eli Lilly - Ebglyss :30 - Run of World Cup Video - Package - 2026"/>
    <n v="590798"/>
    <s v="Eli Lilly - Ebglyss :30 - DIO - LFV - TUB - Pre/Mid - MWC - DT/MB/CTV - 2026"/>
    <n v="94264832"/>
    <s v="Fox Sold Tubi"/>
    <s v="CPM"/>
    <n v="40"/>
    <s v="3P Imps"/>
    <n v="489291"/>
    <n v="19571.64"/>
    <m/>
    <m/>
    <s v=" "/>
    <n v="0"/>
    <m/>
    <m/>
    <n v="489291"/>
    <n v="489291"/>
    <n v="0"/>
    <n v="0"/>
    <n v="1"/>
    <n v="0"/>
    <n v="0"/>
    <n v="0"/>
    <s v="Bill on Actuals - 3rd Party Performance"/>
    <n v="9764.2800000000007"/>
    <n v="489291"/>
    <n v="19571.64"/>
    <s v="Lilly/2026 MWC/Digital/Scatter/Ebglyss"/>
    <n v="94264799"/>
    <s v="P2+"/>
    <s v="O-D2PGRQ1-R5"/>
    <m/>
    <s v="Tom Cecil"/>
    <s v="Guaranteed"/>
    <s v="DIO - LFV - TUB - Pre/Mid - MWC - DT/MB/CTV"/>
    <n v="129282"/>
    <d v="2026-06-30T00:00:00"/>
    <d v="2026-06-01T00:00:00"/>
    <d v="2026-06-26T00:00:00"/>
    <s v="Direct LFV"/>
    <m/>
    <d v="2026-07-05T12:53:18"/>
  </r>
  <r>
    <s v="ZENITH MEDIA - NY"/>
    <n v="11418"/>
    <n v="1162"/>
    <s v="ELI LILLY"/>
    <s v="Lilly/2026 MWC/Digital/Scatter/Ebglyss"/>
    <x v="195"/>
    <s v="Eli Lilly - Ebglyss :30 - Run of World Cup Video - Package - 2026"/>
    <n v="590798"/>
    <s v="Eli Lilly - Ebglyss :30 - DIO - ROV - FS - Pre/Mid - MWC - DT/MB/CTV - 2026"/>
    <n v="94264802"/>
    <s v="FOX Sports"/>
    <s v="CPM"/>
    <n v="40"/>
    <s v="3P Imps"/>
    <n v="210010"/>
    <n v="8398.68"/>
    <m/>
    <m/>
    <s v=" "/>
    <s v=""/>
    <m/>
    <m/>
    <n v="210010"/>
    <n v="210010"/>
    <n v="0"/>
    <n v="0"/>
    <n v="1"/>
    <n v="0"/>
    <n v="0"/>
    <n v="0"/>
    <s v="Bill on Actuals - 3rd Party Performance"/>
    <n v="4190.1000000000004"/>
    <n v="209967"/>
    <n v="8398.68"/>
    <s v="Lilly/2026 MWC/Digital/Scatter/Ebglyss"/>
    <n v="94264799"/>
    <s v="P2+"/>
    <s v="O-D2PGRQ1-R5"/>
    <m/>
    <s v="Tom Cecil"/>
    <s v="Guaranteed"/>
    <s v="DIO - ROV - FS - Pre/Mid - MWC - DT/MB/CTV"/>
    <n v="129282"/>
    <d v="2026-06-30T00:00:00"/>
    <d v="2026-06-01T00:00:00"/>
    <d v="2026-06-26T00:00:00"/>
    <s v="Direct ROV"/>
    <m/>
    <d v="2026-07-05T12:53:18"/>
  </r>
  <r>
    <s v="ZENITH MEDIA - NY"/>
    <n v="11418"/>
    <n v="1162"/>
    <s v="ELI LILLY"/>
    <s v="Lilly/2026 MWC/Digital/Scatter/Foundayo"/>
    <x v="196"/>
    <s v="Eli Lilly - Foundayo - Run of World Cup Display - Package - 2026"/>
    <n v="588609"/>
    <s v="Eli Lilly - Foundayo - DIS - FS - Display Unit - MWC - 2026 - 728x90 - 300x250"/>
    <n v="7330325665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2760.47"/>
    <n v="1081680"/>
    <n v="6490.08"/>
    <s v="Lilly/2026 MWC/Digital/Scatter/Foundayo"/>
    <n v="269584"/>
    <s v="P2+"/>
    <s v="O-D316NV1-R1"/>
    <m/>
    <s v="Tom Cecil"/>
    <s v="Guaranteed"/>
    <s v="DIS - FS - Display Unit - MWC"/>
    <n v="130378"/>
    <d v="2026-06-30T00:00:00"/>
    <d v="2026-06-08T00:00:00"/>
    <d v="2026-07-02T00:00:00"/>
    <s v="Direct Display"/>
    <m/>
    <d v="2026-07-05T12:53:18"/>
  </r>
  <r>
    <s v="ZENITH MEDIA - NY"/>
    <n v="11418"/>
    <n v="1162"/>
    <s v="ELI LILLY"/>
    <s v="Lilly/2026 MWC/Digital/Scatter/Foundayo"/>
    <x v="196"/>
    <s v="Eli Lilly - Foundayo 60 - Run of AllFOX Video - Package -AAT-  2026"/>
    <n v="588613"/>
    <s v="Eli Lilly - Foundayo 60 - DIO - LFV - 1F - Tubi - Pre/Mid - ROS - DT/MB/CTV - FW - SXD - 2026 - AAT"/>
    <n v="94484371"/>
    <s v="Fox Sold Tubi"/>
    <s v="CPM"/>
    <n v="40"/>
    <s v="3P Audience Target"/>
    <n v="443495"/>
    <n v="17739.8"/>
    <m/>
    <m/>
    <s v=" "/>
    <n v="0"/>
    <m/>
    <m/>
    <n v="443495"/>
    <n v="443495"/>
    <n v="0"/>
    <n v="0"/>
    <n v="1"/>
    <n v="0"/>
    <n v="0"/>
    <n v="0"/>
    <s v="Bill on Actuals - 3rd Party Performance"/>
    <n v="7751.26"/>
    <n v="877650"/>
    <n v="35106"/>
    <s v="Lilly/2026 MWC/Digital/Scatter/Foundayo"/>
    <n v="94484357"/>
    <s v="Audience Target"/>
    <s v="O-D316NV1-R1"/>
    <m/>
    <s v="Tom Cecil"/>
    <s v="Guaranteed"/>
    <s v="DIO - LFV - 1F - Tubi - Pre/Mid - ROS - DT/MB/CTV - FW - SXD"/>
    <n v="130378"/>
    <d v="2026-06-30T00:00:00"/>
    <d v="2026-06-08T00:00:00"/>
    <d v="2026-07-19T00:00:00"/>
    <s v="Direct LFV"/>
    <m/>
    <d v="2026-07-05T12:53:18"/>
  </r>
  <r>
    <s v="ZENITH MEDIA - NY"/>
    <n v="11418"/>
    <n v="1162"/>
    <s v="ELI LILLY"/>
    <s v="Lilly/2026 MWC/Digital/Scatter/Foundayo"/>
    <x v="196"/>
    <s v="Eli Lilly - Foundayo 60 - Run of AllFOX Video - Package -AAT-  2026"/>
    <n v="588613"/>
    <s v="Eli Lilly - Foundayo 60 - DIO - ROV - 1F - SEN - Pre/Mid - ROS - DT/MB/CTV - SXD - 2026 - AAT"/>
    <n v="94484367"/>
    <s v="OneFOX"/>
    <s v="CPM"/>
    <n v="40"/>
    <s v="3P Audience Target"/>
    <n v="198774"/>
    <n v="7950.96"/>
    <m/>
    <m/>
    <s v=" "/>
    <s v=""/>
    <m/>
    <m/>
    <n v="198774"/>
    <n v="198774"/>
    <n v="0"/>
    <n v="0"/>
    <n v="1"/>
    <n v="0"/>
    <n v="0"/>
    <n v="0"/>
    <s v="Bill on Actuals - 3rd Party Performance"/>
    <n v="5167.5"/>
    <n v="585100"/>
    <n v="23404"/>
    <s v="Lilly/2026 MWC/Digital/Scatter/Foundayo"/>
    <n v="94484357"/>
    <s v="Audience Target"/>
    <s v="O-D316NV1-R1"/>
    <m/>
    <s v="Tom Cecil"/>
    <s v="Guaranteed"/>
    <s v="DIO - ROV - 1F - SEN - Pre/Mid - ROS - DT/MB/CTV - SXD"/>
    <n v="130378"/>
    <d v="2026-06-30T00:00:00"/>
    <d v="2026-06-08T00:00:00"/>
    <d v="2026-07-19T00:00:00"/>
    <s v="Direct ROV"/>
    <m/>
    <d v="2026-07-05T12:53:18"/>
  </r>
  <r>
    <s v="ZENITH MEDIA - NY"/>
    <n v="11418"/>
    <n v="1162"/>
    <s v="ELI LILLY"/>
    <s v="Lilly/2026 MWC/Digital/Scatter/Foundayo"/>
    <x v="196"/>
    <s v="Eli Lilly - Foundayo 75 - Run of AllFOX Video - Package -AAT-  2026"/>
    <n v="588684"/>
    <s v="Eli Lilly - Foundayo 75 - DIO - LFV - 1F - Tubi - Pre/Mid - ROS - DT/MB/CTV - FW - SXD - 2026- AAT"/>
    <n v="94484360"/>
    <s v="Fox Sold Tubi"/>
    <s v="CPM"/>
    <n v="50"/>
    <s v="3P Imps"/>
    <n v="69015"/>
    <n v="3450.75"/>
    <m/>
    <m/>
    <s v=" "/>
    <n v="0"/>
    <m/>
    <m/>
    <n v="69015"/>
    <n v="69015"/>
    <n v="0"/>
    <n v="0"/>
    <n v="1"/>
    <n v="0"/>
    <n v="0"/>
    <n v="0"/>
    <s v="Bill on Actuals - 3rd Party Performance"/>
    <n v="1101.97"/>
    <n v="120000"/>
    <n v="6000"/>
    <s v="Lilly/2026 MWC/Digital/Scatter/Foundayo"/>
    <n v="94484357"/>
    <s v="P2+"/>
    <s v="O-D316NV1-R1"/>
    <m/>
    <s v="Tom Cecil"/>
    <s v="Guaranteed"/>
    <s v="DIO - LFV - 1F - Tubi - Pre/Mid - ROS - DT/MB/CTV - FW - SXD"/>
    <n v="130378"/>
    <d v="2026-06-30T00:00:00"/>
    <d v="2026-06-08T00:00:00"/>
    <d v="2026-07-19T00:00:00"/>
    <s v="Direct LFV"/>
    <m/>
    <d v="2026-07-05T12:53:18"/>
  </r>
  <r>
    <s v="ZENITH MEDIA - NY"/>
    <n v="11418"/>
    <n v="1162"/>
    <s v="ELI LILLY"/>
    <s v="Lilly/2026 MWC/Digital/Scatter/Foundayo"/>
    <x v="196"/>
    <s v="Eli Lilly - Foundayo 75 - Run of AllFOX Video - Package -AAT-  2026"/>
    <n v="588684"/>
    <s v="Eli Lilly - Foundayo 75 - DIO - ROV - 1F - SEN - Pre/Mid - ROS - DT/MB/CTV - SXD - 2026 - AAT"/>
    <n v="94484363"/>
    <s v="OneFOX"/>
    <s v="CPM"/>
    <n v="50"/>
    <s v="3P Imps"/>
    <n v="1404"/>
    <n v="70.2"/>
    <m/>
    <m/>
    <s v=" "/>
    <s v=""/>
    <m/>
    <m/>
    <n v="1404"/>
    <n v="1404"/>
    <n v="0"/>
    <n v="0"/>
    <n v="1"/>
    <n v="0"/>
    <n v="0"/>
    <n v="0"/>
    <s v="Bill on Actuals - 3rd Party Performance"/>
    <n v="734.65"/>
    <n v="80000"/>
    <n v="4000"/>
    <s v="Lilly/2026 MWC/Digital/Scatter/Foundayo"/>
    <n v="94484357"/>
    <s v="P2+"/>
    <s v="O-D316NV1-R1"/>
    <m/>
    <s v="Tom Cecil"/>
    <s v="Guaranteed"/>
    <s v="DIO - ROV - 1F - SEN - Pre/Mid - ROS - DT/MB/CTV - SXD"/>
    <n v="130378"/>
    <d v="2026-06-30T00:00:00"/>
    <d v="2026-06-08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15 - Run of World Cup Video - Package - 2026"/>
    <n v="588586"/>
    <s v="Eli Lilly - Masterbrand 15 - DIO - LFV - TUB - Pre/Mid - MWC - DT/MB/CTV - 2026"/>
    <n v="94240250"/>
    <s v="Fox Sold Tubi"/>
    <s v="CPM"/>
    <n v="40"/>
    <s v="3P Imps"/>
    <n v="62933"/>
    <n v="2517.3200000000002"/>
    <m/>
    <m/>
    <s v=" "/>
    <n v="0"/>
    <m/>
    <m/>
    <n v="62933"/>
    <n v="62933"/>
    <n v="0"/>
    <n v="0"/>
    <n v="1"/>
    <n v="0"/>
    <n v="0"/>
    <n v="0"/>
    <s v="Bill on Actuals - 3rd Party Performance"/>
    <n v="1262.31"/>
    <n v="87500"/>
    <n v="3500"/>
    <s v="Lilly/2026 MWC/Digital/Scatter/Masterbrand"/>
    <n v="94240211"/>
    <s v="P2+"/>
    <s v="O-D2U8M5S-R4"/>
    <m/>
    <s v="Tom Cecil"/>
    <s v="Guaranteed"/>
    <s v="DIO - LFV - TUB - Pre/Mid - MWC - DT/MB/CTV"/>
    <n v="129145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Masterbrand"/>
    <x v="197"/>
    <s v="Eli Lilly - Masterbrand 15 - Run of World Cup Video - Package - 2026"/>
    <n v="588586"/>
    <s v="Eli Lilly - Masterbrand 15 - DIO - ROV - FS - Pre/Mid - MWC - DT/MB/CTV - 2026"/>
    <n v="94240246"/>
    <s v="FOX Sports"/>
    <s v="CPM"/>
    <n v="40"/>
    <s v="3P Imps"/>
    <n v="25520"/>
    <n v="1020.8"/>
    <m/>
    <m/>
    <s v=" "/>
    <s v=""/>
    <m/>
    <m/>
    <n v="25520"/>
    <n v="25520"/>
    <n v="0"/>
    <n v="0"/>
    <n v="1"/>
    <n v="0"/>
    <n v="0"/>
    <n v="0"/>
    <s v="Bill on Actuals - 3rd Party Performance"/>
    <n v="540.99"/>
    <n v="37500"/>
    <n v="1500"/>
    <s v="Lilly/2026 MWC/Digital/Scatter/Masterbrand"/>
    <n v="94240211"/>
    <s v="P2+"/>
    <s v="O-D2U8M5S-R4"/>
    <m/>
    <s v="Tom Cecil"/>
    <s v="Guaranteed"/>
    <s v="DIO - ROV - FS - Pre/Mid - MWC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- Run of World Cup Display - Package - 2026"/>
    <n v="588589"/>
    <s v="Eli Lilly - Masterbrand - DIS - FS - Display Unit - MWC - 2026 - 728x90 - 300x250"/>
    <n v="7317414465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222.8499999999999"/>
    <n v="833333"/>
    <n v="5000"/>
    <s v="Lilly/2026 MWC/Digital/Scatter/Masterbrand"/>
    <n v="269582"/>
    <s v="P2+"/>
    <s v="O-D2U8M5S-R4"/>
    <m/>
    <s v="Tom Cecil"/>
    <s v="Guaranteed"/>
    <s v="DIS - FS - Display Unit - MWC"/>
    <n v="129145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Masterbrand"/>
    <x v="197"/>
    <s v="Eli Lilly - Masterbrand 15 - Run of FOX Sports Video - Package - 2026"/>
    <n v="588591"/>
    <s v="Eli Lilly - Masterbrand 15 - DIO - ROV - FS - Pre/Mid - ROS - DT/MB/CTV - 2026"/>
    <n v="94240217"/>
    <s v="FOX Sports"/>
    <s v="CPM"/>
    <n v="25"/>
    <s v="3P CoView Imps"/>
    <n v="208914"/>
    <n v="5222.8500000000004"/>
    <m/>
    <m/>
    <s v=" "/>
    <n v="0"/>
    <m/>
    <m/>
    <n v="176695"/>
    <n v="176695"/>
    <n v="208914"/>
    <n v="208914"/>
    <n v="1"/>
    <n v="1.182345662969847"/>
    <n v="0"/>
    <n v="0"/>
    <s v="Bill on Actuals - 3rd Party Performance"/>
    <n v="2641.55"/>
    <n v="400000"/>
    <n v="10000"/>
    <s v="Lilly/2026 MWC/Digital/Scatter/Masterbrand"/>
    <n v="94240211"/>
    <s v="P2+"/>
    <s v="O-D2U8M5S-R4"/>
    <m/>
    <s v="Tom Cecil"/>
    <s v="Guaranteed"/>
    <s v="DIO - ROV - FS - Pre/Mid - ROS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60 -  Run of World Cup Video - Package - 2026"/>
    <n v="588663"/>
    <s v="Eli Lilly - Masterbrand 60 - DIO - LFV - TUB - Pre/Mid - MWC - DT/MB/CTV - 2026"/>
    <n v="94240237"/>
    <s v="Fox Sold Tubi"/>
    <s v="CPM"/>
    <n v="80"/>
    <s v="3P Imps"/>
    <n v="90114"/>
    <n v="7209.12"/>
    <m/>
    <m/>
    <s v=" "/>
    <n v="0"/>
    <m/>
    <m/>
    <n v="90114"/>
    <n v="90114"/>
    <n v="0"/>
    <n v="0"/>
    <n v="1"/>
    <n v="0"/>
    <n v="0"/>
    <n v="0"/>
    <s v="Bill on Actuals - 3rd Party Performance"/>
    <n v="3584.13"/>
    <n v="122500"/>
    <n v="9800"/>
    <s v="Lilly/2026 MWC/Digital/Scatter/Masterbrand"/>
    <n v="94240211"/>
    <s v="P2+"/>
    <s v="O-D2U8M5S-R4"/>
    <m/>
    <s v="Tom Cecil"/>
    <s v="Guaranteed"/>
    <s v="DIO - LFV - TUB - Pre/Mid - MWC - DT/MB/CTV"/>
    <n v="129145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Masterbrand"/>
    <x v="197"/>
    <s v="Eli Lilly - Masterbrand 60 -  Run of World Cup Video - Package - 2026"/>
    <n v="588663"/>
    <s v="Eli Lilly - Masterbrand 60 - DIO - ROV - FS - Pre/Mid - MWC - DT/MB/CTV - 2026"/>
    <n v="94240240"/>
    <s v="FOX Sports"/>
    <s v="CPM"/>
    <n v="80"/>
    <s v="3P Imps"/>
    <n v="1956"/>
    <n v="156.47999999999999"/>
    <m/>
    <m/>
    <s v=" "/>
    <s v=""/>
    <m/>
    <m/>
    <n v="1956"/>
    <n v="1956"/>
    <n v="0"/>
    <n v="0"/>
    <n v="1"/>
    <n v="0"/>
    <n v="0"/>
    <n v="0"/>
    <s v="Bill on Actuals - 3rd Party Performance"/>
    <n v="73.150000000000006"/>
    <n v="2500"/>
    <n v="200"/>
    <s v="Lilly/2026 MWC/Digital/Scatter/Masterbrand"/>
    <n v="94240211"/>
    <s v="P2+"/>
    <s v="O-D2U8M5S-R4"/>
    <m/>
    <s v="Tom Cecil"/>
    <s v="Guaranteed"/>
    <s v="DIO - ROV - FS - Pre/Mid - MWC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60 - Run of FOX Sports Video - Package - 2026"/>
    <n v="588666"/>
    <s v="Eli Lilly - Masterbrand 60 - DIO - ROV - FS - Pre/Mid - ROS - DT/MB/CTV - 2026"/>
    <n v="94240221"/>
    <s v="FOX Sports"/>
    <s v="CPM"/>
    <n v="50"/>
    <s v="3P CoView Imps"/>
    <n v="54690"/>
    <n v="2734.5"/>
    <m/>
    <m/>
    <s v=" "/>
    <n v="0"/>
    <m/>
    <m/>
    <n v="44486"/>
    <n v="44486"/>
    <n v="54690"/>
    <n v="54690"/>
    <n v="1"/>
    <n v="1.229380404103759"/>
    <n v="0"/>
    <n v="0"/>
    <s v="Bill on Actuals - 3rd Party Performance"/>
    <n v="1376.15"/>
    <n v="100000"/>
    <n v="5000"/>
    <s v="Lilly/2026 MWC/Digital/Scatter/Masterbrand"/>
    <n v="94240211"/>
    <s v="P2+"/>
    <s v="O-D2U8M5S-R4"/>
    <m/>
    <s v="Tom Cecil"/>
    <s v="Guaranteed"/>
    <s v="DIO - ROV - FS - Pre/Mid - ROS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30 - Run of FOX Sports Video - Package - 2026"/>
    <n v="590250"/>
    <s v="Eli Lilly - Masterbrand 30 - DIO - ROV - FS - Pre/Mid - ROS - DT/MB/CTV - 2026"/>
    <n v="94240233"/>
    <s v="FOX Sports"/>
    <s v="CPM"/>
    <n v="25"/>
    <s v="3P CoView Imps"/>
    <n v="220669"/>
    <n v="5516.73"/>
    <m/>
    <m/>
    <s v=" "/>
    <n v="0"/>
    <m/>
    <m/>
    <n v="176290"/>
    <n v="176290"/>
    <n v="220669"/>
    <n v="220669"/>
    <n v="1"/>
    <n v="1.2517393445685461"/>
    <n v="0"/>
    <n v="0"/>
    <s v="Bill on Actuals - 3rd Party Performance"/>
    <n v="2763.04"/>
    <n v="400000"/>
    <n v="10000"/>
    <s v="Lilly/2026 MWC/Digital/Scatter/Masterbrand"/>
    <n v="94240211"/>
    <s v="P2+"/>
    <s v="O-D2U8M5S-R4"/>
    <m/>
    <s v="Tom Cecil"/>
    <s v="Guaranteed"/>
    <s v="DIO - ROV - FS - Pre/Mid - ROS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asterbrand"/>
    <x v="197"/>
    <s v="Eli Lilly - Masterbrand 30 - Run of World Cup Video - Package - 2026"/>
    <n v="590252"/>
    <s v="Eli Lilly - Masterbrand 30 - DIO - LFV - TUB - Pre/Mid - MWC - DT/MB/CTV - 2026"/>
    <n v="94240214"/>
    <s v="Fox Sold Tubi"/>
    <s v="CPM"/>
    <n v="40"/>
    <s v="3P Imps"/>
    <n v="54432"/>
    <n v="2177.2800000000002"/>
    <m/>
    <m/>
    <s v=" "/>
    <n v="0"/>
    <m/>
    <m/>
    <n v="54432"/>
    <n v="54432"/>
    <n v="0"/>
    <n v="0"/>
    <n v="1"/>
    <n v="0"/>
    <n v="0"/>
    <n v="0"/>
    <s v="Bill on Actuals - 3rd Party Performance"/>
    <n v="1164.76"/>
    <n v="87500"/>
    <n v="3500"/>
    <s v="Lilly/2026 MWC/Digital/Scatter/Masterbrand"/>
    <n v="94240211"/>
    <s v="P2+"/>
    <s v="O-D2U8M5S-R4"/>
    <m/>
    <s v="Tom Cecil"/>
    <s v="Guaranteed"/>
    <s v="DIO - LFV - TUB - Pre/Mid - MWC - DT/MB/CTV"/>
    <n v="129145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Masterbrand"/>
    <x v="197"/>
    <s v="Eli Lilly - Masterbrand 30 - Run of World Cup Video - Package - 2026"/>
    <n v="590252"/>
    <s v="Eli Lilly - Masterbrand 30 - DIO - ROV - FS - Pre/Mid - MWC - DT/MB/CTV - 2026"/>
    <n v="94240243"/>
    <s v="FOX Sports"/>
    <s v="CPM"/>
    <n v="40"/>
    <s v="3P Imps"/>
    <n v="25429"/>
    <n v="1017.16"/>
    <m/>
    <m/>
    <s v=" "/>
    <s v=""/>
    <m/>
    <m/>
    <n v="25429"/>
    <n v="25429"/>
    <n v="0"/>
    <n v="0"/>
    <n v="1"/>
    <n v="0"/>
    <n v="0"/>
    <n v="0"/>
    <s v="Bill on Actuals - 3rd Party Performance"/>
    <n v="499.18"/>
    <n v="37500"/>
    <n v="1500"/>
    <s v="Lilly/2026 MWC/Digital/Scatter/Masterbrand"/>
    <n v="94240211"/>
    <s v="P2+"/>
    <s v="O-D2U8M5S-R4"/>
    <m/>
    <s v="Tom Cecil"/>
    <s v="Guaranteed"/>
    <s v="DIO - ROV - FS - Pre/Mid - MWC - DT/MB/CTV"/>
    <n v="129145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ounjaro"/>
    <x v="198"/>
    <s v="Eli Lilly - Mounjaro - Run of World Cup Display - Package - 2026"/>
    <n v="588599"/>
    <s v="Eli Lilly - Mounjaro -  DIS - FS - Display Unit - MWC - 2026 - 728x90 - 300x250"/>
    <n v="7317767249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3132.97"/>
    <n v="2250000"/>
    <n v="13500"/>
    <s v="Lilly/2026 MWC/Digital/Scatter/Mounjaro"/>
    <n v="269583"/>
    <s v="P2+"/>
    <s v="_x0009_O-D2UGE4V-R4"/>
    <m/>
    <s v="Tom Cecil"/>
    <s v="Guaranteed"/>
    <s v="DIS - FS - Display Unit - MWC"/>
    <n v="128868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Mounjaro"/>
    <x v="198"/>
    <s v="Eli Lilly - Mounjaro 60 - Run of AllFOX Video - Package - AAT- 2026"/>
    <n v="588603"/>
    <s v="Eli Lilly - Mounjaro 60 - DIO - LFV - 1F - Tubi - Pre/Mid - ROS - DT/MB/CTV -AAT- FW - SXD - 2026"/>
    <n v="94174146"/>
    <s v="Fox Sold Tubi"/>
    <s v="CPM"/>
    <n v="40"/>
    <s v="3P Audience Target"/>
    <n v="1168180"/>
    <n v="46727.199999999997"/>
    <m/>
    <m/>
    <s v=" "/>
    <n v="0"/>
    <m/>
    <m/>
    <n v="1168180"/>
    <n v="1168180"/>
    <n v="0"/>
    <n v="0"/>
    <n v="1"/>
    <n v="0"/>
    <n v="0"/>
    <n v="0"/>
    <s v="Bill on Actuals - 3rd Party Performance"/>
    <n v="20531.900000000001"/>
    <n v="1710000"/>
    <n v="68400"/>
    <s v="Lilly/2026 MWC/Digital/Scatter/Mounjaro"/>
    <n v="94174136"/>
    <s v="Audience Target"/>
    <s v="_x0009_O-D2UGE4V-R4"/>
    <m/>
    <s v="Tom Cecil"/>
    <s v="Guaranteed"/>
    <s v="DIO - LFV - 1F - Tubi - Pre/Mid - ROS - DT/MB/CTV - FW - SXD"/>
    <n v="128868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Mounjaro"/>
    <x v="198"/>
    <s v="Eli Lilly - Mounjaro 60 - Run of AllFOX Video - Package - AAT- 2026"/>
    <n v="588603"/>
    <s v="Eli Lilly - Mounjaro 60 - DIO - ROV - 1F - SEN - Pre/Mid - ROS - DT/MB/CTV -AAT- SXD - 2026"/>
    <n v="94174149"/>
    <s v="OneFOX"/>
    <s v="CPM"/>
    <n v="40"/>
    <s v="3P Audience Target"/>
    <n v="549338"/>
    <n v="21973.52"/>
    <m/>
    <m/>
    <s v=" "/>
    <s v=""/>
    <m/>
    <m/>
    <n v="549338"/>
    <n v="549338"/>
    <n v="0"/>
    <n v="0"/>
    <n v="1"/>
    <n v="0"/>
    <n v="0"/>
    <n v="0"/>
    <s v="Bill on Actuals - 3rd Party Performance"/>
    <n v="13687.94"/>
    <n v="1140000"/>
    <n v="45600"/>
    <s v="Lilly/2026 MWC/Digital/Scatter/Mounjaro"/>
    <n v="94174136"/>
    <s v="Audience Target"/>
    <s v="_x0009_O-D2UGE4V-R4"/>
    <m/>
    <s v="Tom Cecil"/>
    <s v="Guaranteed"/>
    <s v="DIO - ROV - 1F - SEN - Pre/Mid - ROS - DT/MB/CTV - SXD"/>
    <n v="128868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Mounjaro"/>
    <x v="198"/>
    <s v="Eli Lilly - Mounjaro 75 - Run of AllFOX Video - Package -AAT- 2026"/>
    <n v="588678"/>
    <s v="Eli Lilly - Mounjaro 75 - DIO - LFV - 1F - Tubi - Pre/Mid - ROS - DT/MB/CTV - AAT- FW - SXD - 2026"/>
    <n v="94174143"/>
    <s v="Fox Sold Tubi"/>
    <s v="CPM"/>
    <n v="50"/>
    <s v="3P Imps"/>
    <n v="592410"/>
    <n v="29620.5"/>
    <m/>
    <m/>
    <s v=" "/>
    <n v="0"/>
    <m/>
    <m/>
    <n v="592410"/>
    <n v="592410"/>
    <n v="0"/>
    <n v="0"/>
    <n v="1"/>
    <n v="0"/>
    <n v="0"/>
    <n v="0"/>
    <s v="Bill on Actuals - 3rd Party Performance"/>
    <n v="10146.93"/>
    <n v="870000"/>
    <n v="43500"/>
    <s v="Lilly/2026 MWC/Digital/Scatter/Mounjaro"/>
    <n v="94174136"/>
    <s v="P2+"/>
    <s v="_x0009_O-D2UGE4V-R4"/>
    <m/>
    <s v="Tom Cecil"/>
    <s v="Guaranteed"/>
    <s v="DIO - LFV - 1F - Tubi - Pre/Mid - ROS - DT/MB/CTV - FW - SXD"/>
    <n v="128868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Mounjaro"/>
    <x v="198"/>
    <s v="Eli Lilly - Mounjaro 75 - Run of AllFOX Video - Package -AAT- 2026"/>
    <n v="588678"/>
    <s v="Eli Lilly - Mounjaro 75 - DIO - ROV - 1F - SEN - Pre/Mid - ROS - DT/MB/CTV -AAT- SXD - 2026"/>
    <n v="94174139"/>
    <s v="OneFOX"/>
    <s v="CPM"/>
    <n v="50"/>
    <s v="3P Imps"/>
    <n v="82471"/>
    <n v="4123.55"/>
    <m/>
    <m/>
    <s v=" "/>
    <s v=""/>
    <m/>
    <m/>
    <n v="82471"/>
    <n v="82471"/>
    <n v="0"/>
    <n v="0"/>
    <n v="1"/>
    <n v="0"/>
    <n v="0"/>
    <n v="0"/>
    <s v="Bill on Actuals - 3rd Party Performance"/>
    <n v="6764.62"/>
    <n v="580000"/>
    <n v="29000"/>
    <s v="Lilly/2026 MWC/Digital/Scatter/Mounjaro"/>
    <n v="94174136"/>
    <s v="P2+"/>
    <s v="_x0009_O-D2UGE4V-R4"/>
    <m/>
    <s v="Tom Cecil"/>
    <s v="Guaranteed"/>
    <s v="DIO - ROV - 1F - SEN - Pre/Mid - ROS - DT/MB/CTV - SXD"/>
    <n v="128868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ZepboundCWM"/>
    <x v="199"/>
    <s v="Eli Lilly - Zepbound CWM - Run of World Cup Display - Package - 2026"/>
    <n v="588619"/>
    <s v="Eli Lilly - Zepbound CWM - DIS - FS - Display Unit - MWC - 2026 - 728x90 - 300x250"/>
    <n v="7317612216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222.21"/>
    <n v="833333"/>
    <n v="5000"/>
    <s v="Lilly/2026 MWC/Digital/Scatter/ZepboundCWM"/>
    <n v="269585"/>
    <s v="P2+"/>
    <s v="O-D2PJ3UP-R6"/>
    <m/>
    <s v="Tom Cecil"/>
    <s v="Guaranteed"/>
    <s v="DIS - FS - Display Unit - MWC"/>
    <n v="129166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ZepboundCWM"/>
    <x v="199"/>
    <s v="Eli Lilly - Zepbound CWM 60 - Run of AllFOX Video - Package -AAT-  2026"/>
    <n v="588623"/>
    <s v="Eli Lilly - Zepbound CWM 60 - DIO - LFV - 1F - Tubi - Pre/Mid - ROS - DT/MB/CTV - AAT- FW - SXD - 2026"/>
    <n v="94237062"/>
    <s v="Fox Sold Tubi"/>
    <s v="CPM"/>
    <n v="40"/>
    <s v="3P Audience Target"/>
    <n v="869580"/>
    <n v="34783.199999999997"/>
    <m/>
    <m/>
    <s v=" "/>
    <n v="0"/>
    <m/>
    <m/>
    <n v="869580"/>
    <n v="869580"/>
    <n v="0"/>
    <n v="0"/>
    <n v="1"/>
    <n v="0"/>
    <n v="0"/>
    <n v="0"/>
    <s v="Bill on Actuals - 3rd Party Performance"/>
    <n v="15900.96"/>
    <n v="1275000"/>
    <n v="51000"/>
    <s v="Lilly/2026 MWC/Digital/Scatter/ZepboundCWM"/>
    <n v="94237059"/>
    <s v="Audience Target"/>
    <s v="O-D2PJ3UP-R6"/>
    <m/>
    <s v="Tom Cecil"/>
    <s v="Guaranteed"/>
    <s v="DIO - LFV - 1F - Tubi - Pre/Mid - ROS - DT/MB/CTV - FW - SXD"/>
    <n v="129166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ZepboundCWM"/>
    <x v="199"/>
    <s v="Eli Lilly - Zepbound CWM 60 - Run of AllFOX Video - Package -AAT-  2026"/>
    <n v="588623"/>
    <s v="Eli Lilly - Zepbound CWM 60 - DIO - ROV - 1F - SEN - Pre/Mid - ROS - DT/MB/CTV - AAT- SXD - 2026"/>
    <n v="94237074"/>
    <s v="OneFOX"/>
    <s v="CPM"/>
    <n v="40"/>
    <s v="3P Audience Target"/>
    <n v="457051"/>
    <n v="18282.04"/>
    <m/>
    <m/>
    <s v=" "/>
    <s v=""/>
    <m/>
    <m/>
    <n v="457051"/>
    <n v="457051"/>
    <n v="0"/>
    <n v="0"/>
    <n v="1"/>
    <n v="0"/>
    <n v="0"/>
    <n v="0"/>
    <s v="Bill on Actuals - 3rd Party Performance"/>
    <n v="10600.64"/>
    <n v="850000"/>
    <n v="34000"/>
    <s v="Lilly/2026 MWC/Digital/Scatter/ZepboundCWM"/>
    <n v="94237059"/>
    <s v="Audience Target"/>
    <s v="O-D2PJ3UP-R6"/>
    <m/>
    <s v="Tom Cecil"/>
    <s v="Guaranteed"/>
    <s v="DIO - ROV - 1F - SEN - Pre/Mid - ROS - DT/MB/CTV - SXD"/>
    <n v="129166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ZepboundCWM"/>
    <x v="199"/>
    <s v="Eli Lilly - Zepbound CWM 75 - Run of AllFOX Video - Package -AAT-  2026"/>
    <n v="588692"/>
    <s v="Eli Lilly - Zepbound CWM 75 - DIO - LFV - 1F - Tubi - Pre/Mid - ROS - DT/MB/CTV -AAT- FW - SXD - 2026"/>
    <n v="94237069"/>
    <s v="Fox Sold Tubi"/>
    <s v="CPM"/>
    <n v="50"/>
    <s v="3P Imps"/>
    <n v="491294"/>
    <n v="24564.7"/>
    <m/>
    <m/>
    <s v=" "/>
    <n v="0"/>
    <m/>
    <m/>
    <n v="491294"/>
    <n v="491294"/>
    <n v="0"/>
    <n v="0"/>
    <n v="1"/>
    <n v="0"/>
    <n v="0"/>
    <n v="0"/>
    <s v="Bill on Actuals - 3rd Party Performance"/>
    <n v="8420.0400000000009"/>
    <n v="720000"/>
    <n v="36000"/>
    <s v="Lilly/2026 MWC/Digital/Scatter/ZepboundCWM"/>
    <n v="94237059"/>
    <s v="P2+"/>
    <s v="O-D2PJ3UP-R6"/>
    <m/>
    <s v="Tom Cecil"/>
    <s v="Guaranteed"/>
    <s v="DIO - LFV - 1F - Tubi - Pre/Mid - ROS - DT/MB/CTV - FW - SXD"/>
    <n v="129166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ZepboundCWM"/>
    <x v="199"/>
    <s v="Eli Lilly - Zepbound CWM 75 - Run of AllFOX Video - Package -AAT-  2026"/>
    <n v="588692"/>
    <s v="Eli Lilly - Zepbound CWM 75 - DIO - ROV - 1F - SEN - Pre/Mid - ROS - DT/MB/CTV - AAT- SXD - 2026"/>
    <n v="94237065"/>
    <s v="OneFOX"/>
    <s v="CPM"/>
    <n v="50"/>
    <s v="3P Imps"/>
    <n v="68354"/>
    <n v="3417.7"/>
    <m/>
    <m/>
    <s v=" "/>
    <s v=""/>
    <m/>
    <m/>
    <n v="68354"/>
    <n v="68354"/>
    <n v="0"/>
    <n v="0"/>
    <n v="1"/>
    <n v="0"/>
    <n v="0"/>
    <n v="0"/>
    <s v="Bill on Actuals - 3rd Party Performance"/>
    <n v="5613.36"/>
    <n v="480000"/>
    <n v="24000"/>
    <s v="Lilly/2026 MWC/Digital/Scatter/ZepboundCWM"/>
    <n v="94237059"/>
    <s v="P2+"/>
    <s v="O-D2PJ3UP-R6"/>
    <m/>
    <s v="Tom Cecil"/>
    <s v="Guaranteed"/>
    <s v="DIO - ROV - 1F - SEN - Pre/Mid - ROS - DT/MB/CTV - SXD"/>
    <n v="129166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ZepboundOSABranded"/>
    <x v="200"/>
    <s v="Eli Lilly - Zepbound OSA Branded - Run of World Cup Display - Package - 2026"/>
    <n v="588639"/>
    <s v="Eli Lilly - Zepbound OSA Branded - DIS - FS - Display Unit - MWC - 2026 - 300x250 728x90"/>
    <n v="7318757499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188.5899999999999"/>
    <n v="833333"/>
    <n v="5000"/>
    <s v="Lilly/2026 MWC/Digital/Scatter/ZepboundOSABranded"/>
    <n v="269587"/>
    <s v="P2+"/>
    <s v="O-D2UMPC8-R2"/>
    <m/>
    <s v="Tom Cecil"/>
    <s v="Guaranteed"/>
    <s v="DIS - FS - Display Unit - MWC"/>
    <n v="129321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ZepboundOSABranded"/>
    <x v="200"/>
    <s v="Eli Lilly - Zepbound OSA Branded : 60 - Run of AllFOX Video - Package - AAT- 2026"/>
    <n v="588643"/>
    <s v="Eli Lilly - Zepbound OSA Branded : 60 - DIO - LFV - 1F - Tubi - Pre/Mid - ROS - DT/MB/CTV -AAT-  FW - SXD - 2026"/>
    <n v="94264999"/>
    <s v="Fox Sold Tubi"/>
    <s v="CPM"/>
    <n v="40"/>
    <s v="3P Audience Target"/>
    <n v="1138958"/>
    <n v="45558.32"/>
    <m/>
    <m/>
    <s v=" "/>
    <n v="0"/>
    <m/>
    <m/>
    <n v="1138958"/>
    <n v="1138958"/>
    <n v="0"/>
    <n v="0"/>
    <n v="1"/>
    <n v="0"/>
    <n v="0"/>
    <n v="0"/>
    <s v="Bill on Actuals - 3rd Party Performance"/>
    <n v="20566.560000000001"/>
    <n v="1650000"/>
    <n v="66000"/>
    <s v="Lilly/2026 MWC/Digital/Scatter/ZepboundOSABranded"/>
    <n v="94264989"/>
    <s v="Audience Target"/>
    <s v="O-D2UMPC8-R2"/>
    <m/>
    <s v="Tom Cecil"/>
    <s v="Guaranteed"/>
    <s v="DIO - LFV - 1F - Tubi - Pre/Mid - ROS - DT/MB/CTV - FW - SXD"/>
    <n v="129321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ZepboundOSABranded"/>
    <x v="200"/>
    <s v="Eli Lilly - Zepbound OSA Branded : 60 - Run of AllFOX Video - Package - AAT- 2026"/>
    <n v="588643"/>
    <s v="Eli Lilly - Zepbound OSA Branded : 60 - DIO - ROV - 1F - SEN - Pre/Mid - ROS - DT/MB/CTV -AAT- SXD - 2026"/>
    <n v="94264992"/>
    <s v="OneFOX"/>
    <s v="CPM"/>
    <n v="40"/>
    <s v="3P Audience Target"/>
    <n v="578851"/>
    <n v="23154.04"/>
    <m/>
    <m/>
    <s v=" "/>
    <s v=""/>
    <m/>
    <m/>
    <n v="578851"/>
    <n v="578851"/>
    <n v="0"/>
    <n v="0"/>
    <n v="1"/>
    <n v="0"/>
    <n v="0"/>
    <n v="0"/>
    <s v="Bill on Actuals - 3rd Party Performance"/>
    <n v="13711.04"/>
    <n v="1100000"/>
    <n v="44000"/>
    <s v="Lilly/2026 MWC/Digital/Scatter/ZepboundOSABranded"/>
    <n v="94264989"/>
    <s v="Audience Target"/>
    <s v="O-D2UMPC8-R2"/>
    <m/>
    <s v="Tom Cecil"/>
    <s v="Guaranteed"/>
    <s v="DIO - ROV - 1F - SEN - Pre/Mid - ROS - DT/MB/CTV - SXD"/>
    <n v="129321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ZepboundOSABranded"/>
    <x v="200"/>
    <s v="Eli Lilly - Zepbound OSA Branded : 75 - Run of AllFOX Video - Package -AAT- 2026"/>
    <n v="588992"/>
    <s v="Eli Lilly - Zepbound OSA Branded : 75 - DIO - LFV - 1F - Tubi - Pre/Mid - ROS - DT/MB/CTV -AAT- FW - SXD - 2026"/>
    <n v="94264996"/>
    <s v="Fox Sold Tubi"/>
    <s v="CPM"/>
    <n v="50"/>
    <s v="3P Imps"/>
    <n v="698347"/>
    <n v="34917.35"/>
    <m/>
    <m/>
    <s v=" "/>
    <n v="0"/>
    <m/>
    <m/>
    <n v="698347"/>
    <n v="698347"/>
    <n v="0"/>
    <n v="0"/>
    <n v="1"/>
    <n v="0"/>
    <n v="0"/>
    <n v="0"/>
    <s v="Bill on Actuals - 3rd Party Performance"/>
    <n v="11597.66"/>
    <n v="1020000"/>
    <n v="51000"/>
    <s v="Lilly/2026 MWC/Digital/Scatter/ZepboundOSABranded"/>
    <n v="94264989"/>
    <s v="P2+"/>
    <s v="O-D2UMPC8-R2"/>
    <m/>
    <s v="Tom Cecil"/>
    <s v="Guaranteed"/>
    <s v="DIO - LFV - 1F - Tubi - Pre/Mid - ROS - DT/MB/CTV - FW - SXD"/>
    <n v="129321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ZepboundOSABranded"/>
    <x v="200"/>
    <s v="Eli Lilly - Zepbound OSA Branded : 75 - Run of AllFOX Video - Package -AAT- 2026"/>
    <n v="588992"/>
    <s v="Eli Lilly - Zepbound OSA Branded : 75 - DIO - ROV - 1F - SEN - Pre/Mid - ROS - DT/MB/CTV -AAT- SXD - 2026"/>
    <n v="94265002"/>
    <s v="OneFOX"/>
    <s v="CPM"/>
    <n v="50"/>
    <s v="3P Imps"/>
    <n v="72002"/>
    <n v="3600.1"/>
    <m/>
    <m/>
    <s v=" "/>
    <s v=""/>
    <m/>
    <m/>
    <n v="72002"/>
    <n v="72002"/>
    <n v="0"/>
    <n v="0"/>
    <n v="1"/>
    <n v="0"/>
    <n v="0"/>
    <n v="0"/>
    <s v="Bill on Actuals - 3rd Party Performance"/>
    <n v="7731.77"/>
    <n v="680000"/>
    <n v="34000"/>
    <s v="Lilly/2026 MWC/Digital/Scatter/ZepboundOSABranded"/>
    <n v="94264989"/>
    <s v="P2+"/>
    <s v="O-D2UMPC8-R2"/>
    <m/>
    <s v="Tom Cecil"/>
    <s v="Guaranteed"/>
    <s v="DIO - ROV - 1F - SEN - Pre/Mid - ROS - DT/MB/CTV - SXD"/>
    <n v="129321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 MWC/Digital/Scatter/ZepboundOSADSE"/>
    <x v="201"/>
    <s v="Eli Lilly - Zepbound OSA DSE - Run of World Cup Display - Package - 2026"/>
    <n v="588629"/>
    <s v="Eli Lilly - Zepbound OSA DSE :30 - DIS - FS - Display Unit - MWC - 2026 - 300x250 728x90"/>
    <n v="7321540064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1207.73"/>
    <n v="833333"/>
    <n v="5000"/>
    <s v="Lilly/2026 MWC/Digital/Scatter/ZepboundOSADSE"/>
    <n v="269586"/>
    <s v="P2+"/>
    <s v="O-D2UMPVP-R5"/>
    <m/>
    <s v="Tom Cecil"/>
    <s v="Guaranteed"/>
    <s v="DIS - FS - Display Unit - MWC"/>
    <n v="129163"/>
    <d v="2026-06-30T00:00:00"/>
    <d v="2026-06-01T00:00:00"/>
    <d v="2026-07-19T00:00:00"/>
    <s v="Direct Display"/>
    <m/>
    <d v="2026-07-05T12:53:18"/>
  </r>
  <r>
    <s v="ZENITH MEDIA - NY"/>
    <n v="11418"/>
    <n v="1162"/>
    <s v="ELI LILLY"/>
    <s v="Lilly/2026 MWC/Digital/Scatter/ZepboundOSADSE"/>
    <x v="201"/>
    <s v="Eli Lilly - Zepbound OSA DSE :45 - Run of World Cup Video - Package - 2026"/>
    <n v="588981"/>
    <s v="Eli Lilly - Zepbound OSA DSE :45 - DIO - LFV - TUB - Pre/Mid - MWC - DT/MB/CTV - 2026"/>
    <n v="94239313"/>
    <s v="Fox Sold Tubi"/>
    <s v="CPM"/>
    <n v="60"/>
    <s v="3P Imps"/>
    <n v="2150413"/>
    <n v="129024.78"/>
    <m/>
    <m/>
    <s v=" "/>
    <n v="0"/>
    <m/>
    <m/>
    <n v="2150413"/>
    <n v="2150413"/>
    <n v="0"/>
    <n v="0"/>
    <n v="1"/>
    <n v="0"/>
    <n v="0"/>
    <n v="0"/>
    <s v="Bill on Actuals - 3rd Party Performance"/>
    <n v="65485.11"/>
    <n v="2975000"/>
    <n v="178500"/>
    <s v="Lilly/2026 MWC/Digital/Scatter/ZepboundOSADSE"/>
    <n v="94239306"/>
    <s v="P2+"/>
    <s v="O-D2UMPVP-R5"/>
    <m/>
    <s v="Tom Cecil"/>
    <s v="Guaranteed"/>
    <s v="DIO - LFV - TUB - Pre/Mid - MWC - DT/MB/CTV"/>
    <n v="129163"/>
    <d v="2026-06-30T00:00:00"/>
    <d v="2026-06-01T00:00:00"/>
    <d v="2026-07-19T00:00:00"/>
    <s v="Direct LFV"/>
    <m/>
    <d v="2026-07-05T12:53:18"/>
  </r>
  <r>
    <s v="ZENITH MEDIA - NY"/>
    <n v="11418"/>
    <n v="1162"/>
    <s v="ELI LILLY"/>
    <s v="Lilly/2026 MWC/Digital/Scatter/ZepboundOSADSE"/>
    <x v="201"/>
    <s v="Eli Lilly - Zepbound OSA DSE :45 - Run of World Cup Video - Package - 2026"/>
    <n v="588981"/>
    <s v="Eli Lilly - Zepbound OSA DSE :45 - DIO - ROV - FS - Pre/Mid - MWC - DT/MB/CTV - 2026"/>
    <n v="94239316"/>
    <s v="FOX Sports"/>
    <s v="CPM"/>
    <n v="60"/>
    <s v="3P Imps"/>
    <n v="261790"/>
    <n v="15707.4"/>
    <m/>
    <m/>
    <s v=" "/>
    <s v=""/>
    <m/>
    <m/>
    <n v="261790"/>
    <n v="261790"/>
    <n v="0"/>
    <n v="0"/>
    <n v="1"/>
    <n v="0"/>
    <n v="0"/>
    <n v="0"/>
    <s v="Bill on Actuals - 3rd Party Performance"/>
    <n v="6053.25"/>
    <n v="275000"/>
    <n v="16500"/>
    <s v="Lilly/2026 MWC/Digital/Scatter/ZepboundOSADSE"/>
    <n v="94239306"/>
    <s v="P2+"/>
    <s v="O-D2UMPVP-R5"/>
    <m/>
    <s v="Tom Cecil"/>
    <s v="Guaranteed"/>
    <s v="DIO - ROV - FS - Pre/Mid - MWC - DT/MB/CTV"/>
    <n v="129163"/>
    <d v="2026-06-30T00:00:00"/>
    <d v="2026-06-01T00:00:00"/>
    <d v="2026-07-19T00:00:00"/>
    <s v="Direct ROV"/>
    <m/>
    <d v="2026-07-05T12:53:18"/>
  </r>
  <r>
    <s v="ZENITH MEDIA - NY"/>
    <n v="11418"/>
    <n v="1162"/>
    <s v="ELI LILLY"/>
    <s v="Lilly/2026/MWC/Digital/Scatter/Tubi/Ebglyss [CANCELLED]"/>
    <x v="202"/>
    <s v="CANCELLED_Eli Lilly - Ebglyss - Run of AllFOX Video - 2026 Package - Tubi - :75"/>
    <n v="585911"/>
    <s v="Eli Lilly - Ebglyss - DIO - LFV - 1F - Tubi - Pre/Mid - ROS - DT/MB/CTV - FW - SXD - Tubi - :75"/>
    <n v="94297766"/>
    <s v="Fox Sold Tubi"/>
    <s v="CPM"/>
    <n v="0"/>
    <s v="3P Audience Target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0"/>
    <n v="0"/>
    <n v="0"/>
    <s v="Lilly/2026/MWC/Digital/Scatter/Tubi/Ebglyss [CANCELLED]"/>
    <n v="268015"/>
    <s v="Audience Target"/>
    <s v="O-D2PGS12-R7"/>
    <m/>
    <s v="Tom Cecil"/>
    <s v="Guaranteed"/>
    <s v="DIO - LFV - 1F - Tubi - Pre/Mid - ROS - DT/MB/CTV - FW - SXD"/>
    <m/>
    <d v="2026-06-30T00:00:00"/>
    <d v="2026-05-19T00:00:00"/>
    <d v="2026-06-30T00:00:00"/>
    <s v="Direct LFV"/>
    <m/>
    <d v="2026-07-05T12:53:18"/>
  </r>
  <r>
    <s v="ZENITH MEDIA - NY"/>
    <n v="11418"/>
    <n v="1162"/>
    <s v="ELI LILLY"/>
    <s v="Lilly/2026/MWC/Digital/Scatter/Tubi/Ebglyss [CANCELLED]"/>
    <x v="202"/>
    <s v="CANCELLED_Eli Lilly - Ebglyss - Run of AllFOX Video - 2026 Package - Tubi - :75"/>
    <n v="585911"/>
    <s v="Eli Lilly - Ebglyss - DIO - ROV - 1F - SEN - Pre/Mid - ROS - DT/MB/CTV - SXD - Tubi - :75"/>
    <n v="94297769"/>
    <s v="OneFOX"/>
    <s v="CPM"/>
    <n v="0"/>
    <s v="3P Audience Target"/>
    <n v="0"/>
    <n v="0"/>
    <m/>
    <m/>
    <s v=" "/>
    <s v=""/>
    <m/>
    <m/>
    <n v="0"/>
    <n v="0"/>
    <n v="0"/>
    <n v="0"/>
    <n v="1"/>
    <n v="0"/>
    <n v="0"/>
    <n v="0"/>
    <s v="Bill on Actuals - 3rd Party Performance"/>
    <n v="0"/>
    <n v="0"/>
    <n v="0"/>
    <s v="Lilly/2026/MWC/Digital/Scatter/Tubi/Ebglyss [CANCELLED]"/>
    <n v="268015"/>
    <s v="Audience Target"/>
    <s v="O-D2PGS12-R7"/>
    <m/>
    <s v="Tom Cecil"/>
    <s v="Guaranteed"/>
    <s v="DIO - ROV - 1F - SEN - Pre/Mid - ROS - DT/MB/CTV - SXD"/>
    <m/>
    <d v="2026-06-30T00:00:00"/>
    <d v="2026-05-19T00:00:00"/>
    <d v="2026-06-30T00:00:00"/>
    <s v="Direct ROV"/>
    <m/>
    <d v="2026-07-05T12:53:18"/>
  </r>
  <r>
    <s v="ZENITH MEDIA - NY"/>
    <n v="11418"/>
    <n v="1162"/>
    <s v="ELI LILLY"/>
    <s v="Lilly/2026/MWC/Digital/Scatter/Tubi/Ebglyss/NEW"/>
    <x v="203"/>
    <s v="Eli Lilly - Ebglyss Run of World Cup Video - 2026 Package - Tubi - :60"/>
    <n v="591995"/>
    <s v="Eli Lilly - Ebglyss - DIO - LFV - TUB - Pre/Mid - MWC - DT/MB/CTV - 2Q'26 - Tubi - :60"/>
    <n v="94426007"/>
    <s v="Fox Sold Tubi"/>
    <s v="CPM"/>
    <n v="40"/>
    <s v="3P Imps"/>
    <n v="1037446"/>
    <n v="39236.92"/>
    <m/>
    <m/>
    <s v=" "/>
    <n v="0"/>
    <m/>
    <m/>
    <n v="1037446"/>
    <n v="1037446"/>
    <n v="0"/>
    <n v="0"/>
    <n v="1"/>
    <n v="0"/>
    <n v="0"/>
    <n v="0"/>
    <s v="Bill on Actuals - 3rd Party Performance"/>
    <n v="19618.46"/>
    <n v="980923"/>
    <n v="39236.92"/>
    <s v="Lilly/2026/MWC/Digital/Scatter/Tubi/Ebglyss/NEW"/>
    <n v="94425978"/>
    <s v="P2+"/>
    <s v="O-D2PGS12-R7"/>
    <m/>
    <s v="Tom Cecil"/>
    <s v="Guaranteed"/>
    <s v="DIO - LFV - TUB - Pre/Mid - MWC - DT/MB/CTV"/>
    <n v="130099"/>
    <d v="2026-06-30T00:00:00"/>
    <d v="2026-06-03T00:00:00"/>
    <d v="2026-06-30T00:00:00"/>
    <s v="Direct LFV"/>
    <m/>
    <d v="2026-07-05T12:53:18"/>
  </r>
  <r>
    <s v="ZENITH MEDIA - NY"/>
    <n v="11418"/>
    <n v="1162"/>
    <s v="ELI LILLY"/>
    <s v="Lilly/2026/MWC/Digital/Scatter/Tubi/Ebglyss/NEW"/>
    <x v="203"/>
    <s v="Eli Lilly - Ebglyss Run of World Cup Video - 2026 Package - Tubi - :60"/>
    <n v="591995"/>
    <s v="Eli Lilly - Ebglyss - DIO - ROV - FS - Pre/Mid - MWC - DT/MB/CTV - 2Q'26 - Tubi - :60"/>
    <n v="94426003"/>
    <s v="FOX Sports"/>
    <s v="CPM"/>
    <n v="40"/>
    <s v="3P Imps"/>
    <n v="12334"/>
    <n v="400"/>
    <m/>
    <m/>
    <s v=" "/>
    <s v=""/>
    <m/>
    <m/>
    <n v="12334"/>
    <n v="12334"/>
    <n v="0"/>
    <n v="0"/>
    <n v="1"/>
    <n v="0"/>
    <n v="0"/>
    <n v="0"/>
    <s v="Bill on Actuals - 3rd Party Performance"/>
    <n v="200"/>
    <n v="10000"/>
    <n v="400"/>
    <s v="Lilly/2026/MWC/Digital/Scatter/Tubi/Ebglyss/NEW"/>
    <n v="94425978"/>
    <s v="P2+"/>
    <s v="O-D2PGS12-R7"/>
    <m/>
    <s v="Tom Cecil"/>
    <s v="Guaranteed"/>
    <s v="DIO - ROV - FS - Pre/Mid - MWC - DT/MB/CTV"/>
    <n v="130099"/>
    <d v="2026-06-30T00:00:00"/>
    <d v="2026-06-03T00:00:00"/>
    <d v="2026-06-30T00:00:00"/>
    <s v="Direct ROV"/>
    <m/>
    <d v="2026-07-05T12:53:18"/>
  </r>
  <r>
    <s v="ZENITH MEDIA - NY"/>
    <n v="11418"/>
    <n v="1162"/>
    <s v="ELI LILLY"/>
    <s v="Lilly/2026/MWC/Digital/Scatter/Tubi/Ebglyss/NEW"/>
    <x v="203"/>
    <s v="Eli Lilly - Ebglyss Run of World Cup Video - 2026 Package - Tubi - :30"/>
    <n v="592001"/>
    <s v="Eli Lilly - Ebglyss - DIO - LFV - TUB - Pre/Mid - MWC - DT/MB/CTV - 2Q'26 - Tubi - :30"/>
    <n v="94425992"/>
    <s v="Fox Sold Tubi"/>
    <s v="CPM"/>
    <n v="40"/>
    <s v="3P Imps"/>
    <n v="393993"/>
    <n v="15758.12"/>
    <m/>
    <m/>
    <s v=" "/>
    <n v="0"/>
    <m/>
    <m/>
    <n v="393993"/>
    <n v="393993"/>
    <n v="0"/>
    <n v="0"/>
    <n v="1"/>
    <n v="0"/>
    <n v="0"/>
    <n v="0"/>
    <s v="Bill on Actuals - 3rd Party Performance"/>
    <n v="7879.06"/>
    <n v="393953"/>
    <n v="15758.12"/>
    <s v="Lilly/2026/MWC/Digital/Scatter/Tubi/Ebglyss/NEW"/>
    <n v="94425978"/>
    <s v="P2+"/>
    <s v="O-D2PGS12-R7"/>
    <m/>
    <s v="Tom Cecil"/>
    <s v="Guaranteed"/>
    <s v="DIO - LFV - TUB - Pre/Mid - MWC - DT/MB/CTV"/>
    <n v="130099"/>
    <d v="2026-06-30T00:00:00"/>
    <d v="2026-06-03T00:00:00"/>
    <d v="2026-06-26T00:00:00"/>
    <s v="Direct LFV"/>
    <m/>
    <d v="2026-07-05T12:53:18"/>
  </r>
  <r>
    <s v="ZENITH MEDIA - NY"/>
    <n v="11418"/>
    <n v="1162"/>
    <s v="ELI LILLY"/>
    <s v="Lilly/2026/MWC/Digital/Scatter/Tubi/Ebglyss/NEW"/>
    <x v="203"/>
    <s v="Eli Lilly - Ebglyss Run of World Cup Video - 2026 Package - Tubi - :30"/>
    <n v="592001"/>
    <s v="Eli Lilly - Ebglyss - DIO - ROV - FS - Pre/Mid - MWC - DT/MB/CTV - 2Q'26 - Tubi - :30"/>
    <n v="94425981"/>
    <s v="FOX Sports"/>
    <s v="CPM"/>
    <n v="40"/>
    <s v="3P Imps"/>
    <n v="178882"/>
    <n v="7104.96"/>
    <m/>
    <m/>
    <s v=" "/>
    <s v=""/>
    <m/>
    <m/>
    <n v="178882"/>
    <n v="178882"/>
    <n v="0"/>
    <n v="0"/>
    <n v="1"/>
    <n v="0"/>
    <n v="0"/>
    <n v="0"/>
    <s v="Bill on Actuals - 3rd Party Performance"/>
    <n v="3552.48"/>
    <n v="177624"/>
    <n v="7104.96"/>
    <s v="Lilly/2026/MWC/Digital/Scatter/Tubi/Ebglyss/NEW"/>
    <n v="94425978"/>
    <s v="P2+"/>
    <s v="O-D2PGS12-R7"/>
    <m/>
    <s v="Tom Cecil"/>
    <s v="Guaranteed"/>
    <s v="DIO - ROV - FS - Pre/Mid - MWC - DT/MB/CTV"/>
    <n v="130099"/>
    <d v="2026-06-30T00:00:00"/>
    <d v="2026-06-03T00:00:00"/>
    <d v="2026-06-26T00:00:00"/>
    <s v="Direct ROV"/>
    <m/>
    <d v="2026-07-05T12:53:18"/>
  </r>
  <r>
    <s v="ZENITH MEDIA - NY"/>
    <n v="11418"/>
    <n v="1162"/>
    <s v="ELI LILLY"/>
    <s v="Lilly/2026/MWC/Digital/Scatter/Tubi/Ebglyss/NEW"/>
    <x v="203"/>
    <s v="Eli Lilly - Ebglyss - Run of AllFOX Video - 2026 Package - Tubi - :60"/>
    <n v="592004"/>
    <s v="Eli Lilly - Ebglyss - DIO - LFV - 1F - Tubi - Pre/Mid - ROS - DT/MB/CTV - FW - SXD - Tubi - :60"/>
    <n v="94426018"/>
    <s v="Fox Sold Tubi"/>
    <s v="CPM"/>
    <n v="20"/>
    <s v="3P Imps"/>
    <n v="4487968"/>
    <n v="79082.38"/>
    <m/>
    <m/>
    <s v=" "/>
    <n v="0"/>
    <m/>
    <m/>
    <n v="4487968"/>
    <n v="4487968"/>
    <n v="0"/>
    <n v="0"/>
    <n v="1"/>
    <n v="0"/>
    <n v="0"/>
    <n v="0"/>
    <s v="Bill on Actuals - 3rd Party Performance"/>
    <n v="39541.19"/>
    <n v="3954119"/>
    <n v="79082.38"/>
    <s v="Lilly/2026/MWC/Digital/Scatter/Tubi/Ebglyss/NEW"/>
    <n v="94425978"/>
    <s v="P2+"/>
    <s v="O-D2PGS12-R7"/>
    <m/>
    <s v="Tom Cecil"/>
    <s v="Guaranteed"/>
    <s v="DIO - LFV - 1F - Tubi - Pre/Mid - ROS - DT/MB/CTV - FW - SXD"/>
    <n v="130099"/>
    <d v="2026-06-30T00:00:00"/>
    <d v="2026-06-03T00:00:00"/>
    <d v="2026-06-30T00:00:00"/>
    <s v="Direct LFV"/>
    <m/>
    <d v="2026-07-05T12:53:18"/>
  </r>
  <r>
    <s v="ZENITH MEDIA - NY"/>
    <n v="11418"/>
    <n v="1162"/>
    <s v="ELI LILLY"/>
    <s v="Lilly/2026/MWC/Digital/Scatter/Tubi/Ebglyss/NEW"/>
    <x v="203"/>
    <s v="Eli Lilly - Ebglyss - Run of AllFOX Video - 2026 Package - Tubi - :60"/>
    <n v="592004"/>
    <s v="Eli Lilly - Ebglyss - DIO - ROV - 1F - SEN - Pre/Mid - ROS - DT/MB/CTV - SXD - Tubi - :60"/>
    <n v="94425997"/>
    <s v="OneFOX"/>
    <s v="CPM"/>
    <n v="20"/>
    <s v="3P Imps"/>
    <n v="433794"/>
    <n v="8000"/>
    <m/>
    <m/>
    <s v=" "/>
    <s v=""/>
    <m/>
    <m/>
    <n v="433794"/>
    <n v="433794"/>
    <n v="0"/>
    <n v="0"/>
    <n v="1"/>
    <n v="0"/>
    <n v="0"/>
    <n v="0"/>
    <s v="Bill on Actuals - 3rd Party Performance"/>
    <n v="4000"/>
    <n v="400000"/>
    <n v="8000"/>
    <s v="Lilly/2026/MWC/Digital/Scatter/Tubi/Ebglyss/NEW"/>
    <n v="94425978"/>
    <s v="P2+"/>
    <s v="O-D2PGS12-R7"/>
    <m/>
    <s v="Tom Cecil"/>
    <s v="Guaranteed"/>
    <s v="DIO - ROV - 1F - SEN - Pre/Mid - ROS - DT/MB/CTV - SXD"/>
    <n v="130099"/>
    <d v="2026-06-30T00:00:00"/>
    <d v="2026-06-03T00:00:00"/>
    <d v="2026-06-30T00:00:00"/>
    <s v="Direct ROV"/>
    <m/>
    <d v="2026-07-05T12:53:18"/>
  </r>
  <r>
    <s v="ZENITH MEDIA - NY"/>
    <n v="11418"/>
    <n v="1162"/>
    <s v="ELI LILLY"/>
    <s v="Lilly/2026/MWC/Digital/Scatter/Tubi/Ebglyss/NEW"/>
    <x v="203"/>
    <s v="Eli Lilly - Ebglyss - Run of AllFox Video - 2026 Package - Tubi - :30"/>
    <n v="592007"/>
    <s v="Eli Lilly - Ebglyss - DIO - LFV - 1F - Tubi - Pre/Mid - ROS - DT/MB/CTV - FW - SXD - Tubi - :30"/>
    <n v="94425989"/>
    <s v="Fox Sold Tubi"/>
    <s v="CPM"/>
    <n v="20"/>
    <s v="3P Imps"/>
    <n v="2077518"/>
    <n v="41550.36"/>
    <m/>
    <m/>
    <s v=" "/>
    <n v="0"/>
    <m/>
    <m/>
    <n v="2077518"/>
    <n v="2077518"/>
    <n v="0"/>
    <n v="0"/>
    <n v="1"/>
    <n v="0"/>
    <n v="0"/>
    <n v="0"/>
    <s v="Bill on Actuals - 3rd Party Performance"/>
    <n v="20775.18"/>
    <n v="2077518"/>
    <n v="41550.36"/>
    <s v="Lilly/2026/MWC/Digital/Scatter/Tubi/Ebglyss/NEW"/>
    <n v="94425978"/>
    <s v="P2+"/>
    <s v="O-D2PGS12-R7"/>
    <m/>
    <s v="Tom Cecil"/>
    <s v="Guaranteed"/>
    <s v="DIO - LFV - 1F - Tubi - Pre/Mid - ROS - DT/MB/CTV - FW - SXD"/>
    <n v="130099"/>
    <d v="2026-06-30T00:00:00"/>
    <d v="2026-06-03T00:00:00"/>
    <d v="2026-06-26T00:00:00"/>
    <s v="Direct LFV"/>
    <m/>
    <d v="2026-07-05T12:53:18"/>
  </r>
  <r>
    <s v="ZENITH MEDIA - NY"/>
    <n v="11418"/>
    <n v="1162"/>
    <s v="ELI LILLY"/>
    <s v="Lilly/2026/MWC/Digital/Scatter/Tubi/Ebglyss/NEW"/>
    <x v="203"/>
    <s v="Eli Lilly - Ebglyss - Run of AllFox Video - 2026 Package - Tubi - :30"/>
    <n v="592007"/>
    <s v="Eli Lilly - Ebglyss - DIO - ROV - 1F - SEN - Pre/Mid - ROS - DT/MB/CTV - SXD - Tubi - :30"/>
    <n v="94426010"/>
    <s v="OneFOX"/>
    <s v="CPM"/>
    <n v="20"/>
    <s v="3P Imps"/>
    <n v="1247676"/>
    <n v="24660.26"/>
    <m/>
    <m/>
    <s v=" "/>
    <s v=""/>
    <m/>
    <m/>
    <n v="1247676"/>
    <n v="1247676"/>
    <n v="0"/>
    <n v="0"/>
    <n v="1"/>
    <n v="0"/>
    <n v="0"/>
    <n v="0"/>
    <s v="Bill on Actuals - 3rd Party Performance"/>
    <n v="12330.13"/>
    <n v="1233013"/>
    <n v="24660.26"/>
    <s v="Lilly/2026/MWC/Digital/Scatter/Tubi/Ebglyss/NEW"/>
    <n v="94425978"/>
    <s v="P2+"/>
    <s v="O-D2PGS12-R7"/>
    <m/>
    <s v="Tom Cecil"/>
    <s v="Guaranteed"/>
    <s v="DIO - ROV - 1F - SEN - Pre/Mid - ROS - DT/MB/CTV - SXD"/>
    <n v="130099"/>
    <d v="2026-06-30T00:00:00"/>
    <d v="2026-06-03T00:00:00"/>
    <d v="2026-06-26T00:00:00"/>
    <s v="Direct ROV"/>
    <m/>
    <d v="2026-07-05T12:53:18"/>
  </r>
  <r>
    <s v="ZENITH MEDIA - NY"/>
    <n v="11418"/>
    <n v="1162"/>
    <s v="ELI LILLY"/>
    <s v="Lilly/2026/MWC/Digital/Scatter/Tubi/Mounjaro"/>
    <x v="204"/>
    <s v="Eli Lilly - Mounjaro - Run of World Cup Video - 2026 Package - Tubi - :60"/>
    <n v="585856"/>
    <s v="Eli Lilly - Mounjaro - DIO - LFV - TUB - Pre/Mid - MWC - DT/MB/CTV - 2Q'26 - Tubi - :60"/>
    <n v="93774912"/>
    <s v="Fox Sold Tubi"/>
    <s v="CPM"/>
    <n v="40"/>
    <s v="3P Imps"/>
    <n v="795538"/>
    <n v="30970"/>
    <m/>
    <m/>
    <s v=" "/>
    <n v="0"/>
    <m/>
    <m/>
    <n v="795538"/>
    <n v="795538"/>
    <n v="0"/>
    <n v="0"/>
    <n v="1"/>
    <n v="0"/>
    <n v="0"/>
    <n v="0"/>
    <s v="Bill on Actuals - 3rd Party Performance"/>
    <n v="15485"/>
    <n v="774250"/>
    <n v="30970"/>
    <s v="Lilly/2026/MWC/Digital/Scatter/Tubi/Mounjaro"/>
    <n v="93774889"/>
    <s v="P2+"/>
    <s v="O-D2P1PPS-R8"/>
    <m/>
    <s v="Tom Cecil"/>
    <s v="Guaranteed"/>
    <s v="DIO - LFV - TUB - Pre/Mid - MWC - DT/MB/CTV"/>
    <n v="127213"/>
    <d v="2026-06-30T00:00:00"/>
    <d v="2026-06-11T00:00:00"/>
    <d v="2026-06-30T00:00:00"/>
    <s v="Direct LFV"/>
    <m/>
    <d v="2026-07-05T12:53:18"/>
  </r>
  <r>
    <s v="ZENITH MEDIA - NY"/>
    <n v="11418"/>
    <n v="1162"/>
    <s v="ELI LILLY"/>
    <s v="Lilly/2026/MWC/Digital/Scatter/Tubi/Mounjaro"/>
    <x v="204"/>
    <s v="Eli Lilly - Mounjaro - Run of World Cup Video - 2026 Package - Tubi - :60"/>
    <n v="585856"/>
    <s v="Eli Lilly - Mounjaro - DIO - ROV - FS - Pre/Mid - MWC - DT/MB/CTV - 2Q'26 - Tubi - :60"/>
    <n v="93774909"/>
    <s v="FOX Sports"/>
    <s v="CPM"/>
    <n v="40"/>
    <s v="3P Imps"/>
    <n v="7866"/>
    <n v="280"/>
    <m/>
    <m/>
    <s v=" "/>
    <s v=""/>
    <m/>
    <m/>
    <n v="7866"/>
    <n v="7866"/>
    <n v="0"/>
    <n v="0"/>
    <n v="1"/>
    <n v="0"/>
    <n v="0"/>
    <n v="0"/>
    <s v="Bill on Actuals - 3rd Party Performance"/>
    <n v="140"/>
    <n v="7000"/>
    <n v="280"/>
    <s v="Lilly/2026/MWC/Digital/Scatter/Tubi/Mounjaro"/>
    <n v="93774889"/>
    <s v="P2+"/>
    <s v="O-D2P1PPS-R8"/>
    <m/>
    <s v="Tom Cecil"/>
    <s v="Guaranteed"/>
    <s v="DIO - ROV - FS - Pre/Mid - MWC - DT/MB/CTV"/>
    <n v="127213"/>
    <d v="2026-06-30T00:00:00"/>
    <d v="2026-06-11T00:00:00"/>
    <d v="2026-06-30T00:00:00"/>
    <s v="Direct ROV"/>
    <m/>
    <d v="2026-07-05T12:53:18"/>
  </r>
  <r>
    <s v="ZENITH MEDIA - NY"/>
    <n v="11418"/>
    <n v="1162"/>
    <s v="ELI LILLY"/>
    <s v="Lilly/2026/MWC/Digital/Scatter/Tubi/Mounjaro"/>
    <x v="204"/>
    <s v="Eli Lilly - Mounjaro - Run of AllFOX Video - 2026 Package - Tubi - AAT- :60"/>
    <n v="585859"/>
    <s v="Eli Lilly - Mounjaro - DIO - LFV - 1F - Tubi - Pre/Mid - ROS - DT/MB/CTV - AAT- FW - SXD - Tubi - :60"/>
    <n v="93774902"/>
    <s v="Fox Sold Tubi"/>
    <s v="CPM"/>
    <n v="20"/>
    <s v="3P Imps"/>
    <n v="52748"/>
    <n v="1054.96"/>
    <m/>
    <m/>
    <s v=" "/>
    <n v="0"/>
    <m/>
    <m/>
    <n v="2763918"/>
    <n v="52748"/>
    <n v="0"/>
    <n v="0"/>
    <n v="1"/>
    <n v="0"/>
    <n v="0"/>
    <n v="0"/>
    <s v="Bill on Actuals - 3rd Party Performance"/>
    <n v="25624.5"/>
    <n v="2562450"/>
    <n v="51249"/>
    <s v="Lilly/2026/MWC/Digital/Scatter/Tubi/Mounjaro"/>
    <n v="93774889"/>
    <s v="P2+"/>
    <s v="O-D2P1PPS-R8"/>
    <m/>
    <s v="Tom Cecil"/>
    <s v="Guaranteed"/>
    <s v="DIO - LFV - 1F - Tubi - Pre/Mid - ROS - DT/MB/CTV - FW - SXD"/>
    <n v="127213"/>
    <d v="2026-06-30T00:00:00"/>
    <d v="2026-05-12T00:00:00"/>
    <d v="2026-06-30T00:00:00"/>
    <s v="Direct LFV"/>
    <m/>
    <d v="2026-07-05T12:53:18"/>
  </r>
  <r>
    <s v="ZENITH MEDIA - NY"/>
    <n v="11418"/>
    <n v="1162"/>
    <s v="ELI LILLY"/>
    <s v="Lilly/2026/MWC/Digital/Scatter/Tubi/Mounjaro"/>
    <x v="204"/>
    <s v="Eli Lilly - Mounjaro - Run of AllFOX Video - 2026 Package - Tubi - AAT- :60"/>
    <n v="585859"/>
    <s v="Eli Lilly - Mounjaro - DIO - ROV - 1F - SEN - Pre/Mid - ROS - DT/MB/CTV - AAT- SXD - Tubi - :60"/>
    <n v="93774905"/>
    <s v="OneFOX"/>
    <s v="CPM"/>
    <n v="20"/>
    <s v="3P Imps"/>
    <n v="4497"/>
    <n v="89.94"/>
    <m/>
    <m/>
    <s v=" "/>
    <s v=""/>
    <m/>
    <m/>
    <n v="159302"/>
    <n v="4497"/>
    <n v="0"/>
    <n v="0"/>
    <n v="1"/>
    <n v="0"/>
    <n v="0"/>
    <n v="0"/>
    <s v="Bill on Actuals - 3rd Party Performance"/>
    <n v="1633"/>
    <n v="163300"/>
    <n v="3266"/>
    <s v="Lilly/2026/MWC/Digital/Scatter/Tubi/Mounjaro"/>
    <n v="93774889"/>
    <s v="P2+"/>
    <s v="O-D2P1PPS-R8"/>
    <m/>
    <s v="Tom Cecil"/>
    <s v="Guaranteed"/>
    <s v="DIO - ROV - 1F - SEN - Pre/Mid - ROS - DT/MB/CTV - SXD"/>
    <n v="127213"/>
    <d v="2026-06-30T00:00:00"/>
    <d v="2026-05-12T00:00:00"/>
    <d v="2026-06-30T00:00:00"/>
    <s v="Direct ROV"/>
    <m/>
    <d v="2026-07-05T12:53:18"/>
  </r>
  <r>
    <s v="ZENITH MEDIA - NY"/>
    <n v="11418"/>
    <n v="1162"/>
    <s v="ELI LILLY"/>
    <s v="Lilly/2026/MWC/Digital/Scatter/Tubi/Mounjaro"/>
    <x v="204"/>
    <s v="Eli Lilly - Mounjaro - Run of World Cup Video - 2026 Package - Tubi - :75"/>
    <n v="585862"/>
    <s v="Eli Lilly - Mounjaro - DIO - LFV - TUB - Pre/Mid - MWC - DT/MB/CTV - 2Q'26 - Tubi - :75"/>
    <n v="93774915"/>
    <s v="Fox Sold Tubi"/>
    <s v="CPM"/>
    <n v="40"/>
    <s v="3P Imps"/>
    <n v="795616"/>
    <n v="30970"/>
    <m/>
    <m/>
    <s v=" "/>
    <n v="0"/>
    <m/>
    <m/>
    <n v="795616"/>
    <n v="795616"/>
    <n v="0"/>
    <n v="0"/>
    <n v="1"/>
    <n v="0"/>
    <n v="0"/>
    <n v="0"/>
    <s v="Bill on Actuals - 3rd Party Performance"/>
    <n v="15485"/>
    <n v="774250"/>
    <n v="30970"/>
    <s v="Lilly/2026/MWC/Digital/Scatter/Tubi/Mounjaro"/>
    <n v="93774889"/>
    <s v="P2+"/>
    <s v="O-D2P1PPS-R8"/>
    <m/>
    <s v="Tom Cecil"/>
    <s v="Guaranteed"/>
    <s v="DIO - LFV - TUB - Pre/Mid - MWC - DT/MB/CTV"/>
    <n v="127213"/>
    <d v="2026-06-30T00:00:00"/>
    <d v="2026-06-11T00:00:00"/>
    <d v="2026-06-30T00:00:00"/>
    <s v="Direct LFV"/>
    <m/>
    <d v="2026-07-05T12:53:18"/>
  </r>
  <r>
    <s v="ZENITH MEDIA - NY"/>
    <n v="11418"/>
    <n v="1162"/>
    <s v="ELI LILLY"/>
    <s v="Lilly/2026/MWC/Digital/Scatter/Tubi/Mounjaro"/>
    <x v="204"/>
    <s v="Eli Lilly - Mounjaro - Run of World Cup Video - 2026 Package - Tubi - :75"/>
    <n v="585862"/>
    <s v="Eli Lilly - Mounjaro - DIO - ROV - FS - Pre/Mid - MWC - DT/MB/CTV - 2Q'26 - Tubi - :75"/>
    <n v="93774896"/>
    <s v="FOX Sports"/>
    <s v="CPM"/>
    <n v="40"/>
    <s v="3P Imps"/>
    <n v="7874"/>
    <n v="280"/>
    <m/>
    <m/>
    <s v=" "/>
    <s v=""/>
    <m/>
    <m/>
    <n v="7874"/>
    <n v="7874"/>
    <n v="0"/>
    <n v="0"/>
    <n v="1"/>
    <n v="0"/>
    <n v="0"/>
    <n v="0"/>
    <s v="Bill on Actuals - 3rd Party Performance"/>
    <n v="140"/>
    <n v="7000"/>
    <n v="280"/>
    <s v="Lilly/2026/MWC/Digital/Scatter/Tubi/Mounjaro"/>
    <n v="93774889"/>
    <s v="P2+"/>
    <s v="O-D2P1PPS-R8"/>
    <m/>
    <s v="Tom Cecil"/>
    <s v="Guaranteed"/>
    <s v="DIO - ROV - FS - Pre/Mid - MWC - DT/MB/CTV"/>
    <n v="127213"/>
    <d v="2026-06-30T00:00:00"/>
    <d v="2026-06-11T00:00:00"/>
    <d v="2026-06-30T00:00:00"/>
    <s v="Direct ROV"/>
    <m/>
    <d v="2026-07-05T12:53:18"/>
  </r>
  <r>
    <s v="ZENITH MEDIA - NY"/>
    <n v="11418"/>
    <n v="1162"/>
    <s v="ELI LILLY"/>
    <s v="Lilly/2026/MWC/Digital/Scatter/Tubi/Mounjaro"/>
    <x v="204"/>
    <s v="Eli Lilly - Mounjaro - Run of AllFOX Video - 2026 Package - Tubi - AAT- :75"/>
    <n v="585865"/>
    <s v="Eli Lilly - Mounjaro - DIO - LFV - 1F - Tubi - Pre/Mid - ROS - DT/MB/CTV - AAT- FW - SXD - Tubi - :75"/>
    <n v="93774899"/>
    <s v="Fox Sold Tubi"/>
    <s v="CPM"/>
    <n v="20"/>
    <s v="3P Imps"/>
    <n v="25728"/>
    <n v="514.55999999999995"/>
    <m/>
    <m/>
    <s v=" "/>
    <n v="0"/>
    <m/>
    <m/>
    <n v="2969815"/>
    <n v="25728"/>
    <n v="0"/>
    <n v="0"/>
    <n v="1"/>
    <n v="0"/>
    <n v="0"/>
    <n v="0"/>
    <s v="Bill on Actuals - 3rd Party Performance"/>
    <n v="27256.5"/>
    <n v="2725650"/>
    <n v="54513"/>
    <s v="Lilly/2026/MWC/Digital/Scatter/Tubi/Mounjaro"/>
    <n v="93774889"/>
    <s v="P2+"/>
    <s v="O-D2P1PPS-R8"/>
    <m/>
    <s v="Tom Cecil"/>
    <s v="Guaranteed"/>
    <s v="DIO - LFV - 1F - Tubi - Pre/Mid - ROS - DT/MB/CTV - FW - SXD"/>
    <n v="127213"/>
    <d v="2026-06-30T00:00:00"/>
    <d v="2026-05-12T00:00:00"/>
    <d v="2026-06-30T00:00:00"/>
    <s v="Direct LFV"/>
    <m/>
    <d v="2026-07-05T12:53:18"/>
  </r>
  <r>
    <s v="ZENITH MEDIA - NY"/>
    <n v="11418"/>
    <n v="1162"/>
    <s v="ELI LILLY"/>
    <s v="Lilly/2026/MWC/Digital/Scatter/Tubi/Mounjaro"/>
    <x v="204"/>
    <s v="Eli Lilly - Mounjaro - Run of AllFOX Video - 2026 Package - Tubi - AAT- :75"/>
    <n v="585865"/>
    <s v="Eli Lilly - Mounjaro - DIO - ROV - 1F - SEN - Pre/Mid - ROS - DT/MB/CTV - AAT- SXD - Tubi - :75"/>
    <n v="93774892"/>
    <s v="OneFOX"/>
    <s v="CPM"/>
    <n v="20"/>
    <s v="3P Imps"/>
    <n v="1"/>
    <n v="0.02"/>
    <m/>
    <m/>
    <s v=" "/>
    <s v=""/>
    <m/>
    <m/>
    <n v="159"/>
    <n v="1"/>
    <n v="0"/>
    <n v="0"/>
    <n v="1"/>
    <n v="0"/>
    <n v="0"/>
    <n v="0"/>
    <s v="Bill on Actuals - 3rd Party Performance"/>
    <n v="1"/>
    <n v="100"/>
    <n v="2"/>
    <s v="Lilly/2026/MWC/Digital/Scatter/Tubi/Mounjaro"/>
    <n v="93774889"/>
    <s v="P2+"/>
    <s v="O-D2P1PPS-R8"/>
    <m/>
    <s v="Tom Cecil"/>
    <s v="Guaranteed"/>
    <s v="DIO - ROV - 1F - SEN - Pre/Mid - ROS - DT/MB/CTV - SXD"/>
    <n v="127213"/>
    <d v="2026-06-30T00:00:00"/>
    <d v="2026-05-12T00:00:00"/>
    <d v="2026-06-30T00:00:00"/>
    <s v="Direct ROV"/>
    <m/>
    <d v="2026-07-05T12:53:18"/>
  </r>
  <r>
    <s v="ZENITH MEDIA - NY"/>
    <n v="11418"/>
    <n v="1162"/>
    <s v="ELI LILLY"/>
    <s v="Lilly/2026/MWC/Digital/Scatter/Tubi/OSADSE"/>
    <x v="205"/>
    <s v="Eli Lilly - OSA DSE - Run of World Cup Video - 2026 Package - Tubi - :45"/>
    <n v="585893"/>
    <s v="Eli Lilly - OSA DSE - DIO - LFV - TUB - Pre/Mid - MWC - DT/MB/CTV - 2Q'26 - Tubi - :45"/>
    <n v="93917933"/>
    <s v="Fox Sold Tubi"/>
    <s v="CPM"/>
    <n v="40"/>
    <s v="3P Imps"/>
    <n v="1535558"/>
    <n v="58580"/>
    <m/>
    <m/>
    <s v=" "/>
    <n v="0"/>
    <m/>
    <m/>
    <n v="1535558"/>
    <n v="1535558"/>
    <n v="0"/>
    <n v="0"/>
    <n v="1"/>
    <n v="0"/>
    <n v="0"/>
    <n v="0"/>
    <s v="Bill on Actuals - 3rd Party Performance"/>
    <n v="29290"/>
    <n v="1464500"/>
    <n v="58580"/>
    <s v="Lilly/2026/MWC/Digital/Scatter/Tubi/OSADSE"/>
    <n v="93917914"/>
    <s v="P2+"/>
    <s v="O-D2PLM79-R8"/>
    <m/>
    <s v="Tom Cecil"/>
    <s v="Guaranteed"/>
    <s v="DIO - LFV - TUB - Pre/Mid - MWC - DT/MB/CTV"/>
    <n v="128048"/>
    <d v="2026-06-30T00:00:00"/>
    <d v="2026-06-01T00:00:00"/>
    <d v="2026-06-30T00:00:00"/>
    <s v="Direct LFV"/>
    <m/>
    <d v="2026-07-05T12:53:18"/>
  </r>
  <r>
    <s v="ZENITH MEDIA - NY"/>
    <n v="11418"/>
    <n v="1162"/>
    <s v="ELI LILLY"/>
    <s v="Lilly/2026/MWC/Digital/Scatter/Tubi/OSADSE"/>
    <x v="205"/>
    <s v="Eli Lilly - OSA DSE - Run of World Cup Video - 2026 Package - Tubi - :45"/>
    <n v="585893"/>
    <s v="Eli Lilly - OSA DSE - DIO - ROV - FS - Pre/Mid - MWC - DT/MB/CTV - 2Q'26 - Tubi - :45"/>
    <n v="93917930"/>
    <s v="FOX Sports"/>
    <s v="CPM"/>
    <n v="40"/>
    <s v="3P Imps"/>
    <n v="131472"/>
    <n v="3920"/>
    <m/>
    <m/>
    <s v=" "/>
    <s v=""/>
    <m/>
    <m/>
    <n v="131472"/>
    <n v="131472"/>
    <n v="0"/>
    <n v="0"/>
    <n v="1"/>
    <n v="0"/>
    <n v="0"/>
    <n v="0"/>
    <s v="Bill on Actuals - 3rd Party Performance"/>
    <n v="1960"/>
    <n v="98000"/>
    <n v="3920"/>
    <s v="Lilly/2026/MWC/Digital/Scatter/Tubi/OSADSE"/>
    <n v="93917914"/>
    <s v="P2+"/>
    <s v="O-D2PLM79-R8"/>
    <m/>
    <s v="Tom Cecil"/>
    <s v="Guaranteed"/>
    <s v="DIO - ROV - FS - Pre/Mid - MWC - DT/MB/CTV"/>
    <n v="128048"/>
    <d v="2026-06-30T00:00:00"/>
    <d v="2026-06-01T00:00:00"/>
    <d v="2026-06-30T00:00:00"/>
    <s v="Direct ROV"/>
    <m/>
    <d v="2026-07-05T12:53:18"/>
  </r>
  <r>
    <s v="ZENITH MEDIA - NY"/>
    <n v="11418"/>
    <n v="1162"/>
    <s v="ELI LILLY"/>
    <s v="Lilly/2026/MWC/Digital/Scatter/Tubi/OSADSE"/>
    <x v="205"/>
    <s v="Eli Lilly - OSA DSE - Run of AllFOX Video - 2026 Package - Tubi -AAT- :45"/>
    <n v="585896"/>
    <s v="Eli Lilly - OSA DSE - DIO - LFV - 1F - Tubi - Pre/Mid - ROS - DT/MB/CTV -AAT-  FW - SXD - Tubi - :45"/>
    <n v="93917927"/>
    <s v="Fox Sold Tubi"/>
    <s v="CPM"/>
    <n v="20"/>
    <s v="3P Imps"/>
    <n v="1025702"/>
    <n v="20514.04"/>
    <m/>
    <m/>
    <s v=" "/>
    <n v="0"/>
    <m/>
    <m/>
    <n v="712135"/>
    <n v="1025702"/>
    <n v="0"/>
    <n v="0"/>
    <n v="1"/>
    <n v="0"/>
    <n v="0"/>
    <n v="0"/>
    <s v="Bill on Actuals - 3rd Party Performance"/>
    <n v="7636.36"/>
    <n v="1686975"/>
    <n v="33739.5"/>
    <s v="Lilly/2026/MWC/Digital/Scatter/Tubi/OSADSE"/>
    <n v="93917914"/>
    <s v="P2+"/>
    <s v="O-D2PLM79-R8"/>
    <m/>
    <s v="Tom Cecil"/>
    <s v="Guaranteed"/>
    <s v="DIO - LFV - 1F - Tubi - Pre/Mid - ROS - DT/MB/CTV - FW - SXD"/>
    <n v="128048"/>
    <d v="2026-06-30T00:00:00"/>
    <d v="2026-05-12T00:00:00"/>
    <d v="2026-06-30T00:00:00"/>
    <s v="Direct LFV"/>
    <m/>
    <d v="2026-07-05T12:53:18"/>
  </r>
  <r>
    <s v="ZENITH MEDIA - NY"/>
    <n v="11418"/>
    <n v="1162"/>
    <s v="ELI LILLY"/>
    <s v="Lilly/2026/MWC/Digital/Scatter/Tubi/OSADSE"/>
    <x v="205"/>
    <s v="Eli Lilly - OSA DSE - Run of AllFOX Video - 2026 Package - Tubi -AAT- :45"/>
    <n v="585896"/>
    <s v="Eli Lilly - OSA DSE - DIO - ROV - 1F - SEN - Pre/Mid - ROS - DT/MB/CTV -AAT-  SXD - Tubi - :45"/>
    <n v="93917923"/>
    <s v="OneFOX"/>
    <s v="CPM"/>
    <n v="20"/>
    <s v="3P Imps"/>
    <n v="513191"/>
    <n v="10263.82"/>
    <m/>
    <m/>
    <s v=" "/>
    <s v=""/>
    <m/>
    <m/>
    <n v="618838"/>
    <n v="513191"/>
    <n v="0"/>
    <n v="0"/>
    <n v="1"/>
    <n v="0"/>
    <n v="0"/>
    <n v="0"/>
    <s v="Bill on Actuals - 3rd Party Performance"/>
    <n v="5090.8999999999996"/>
    <n v="1124650"/>
    <n v="22493"/>
    <s v="Lilly/2026/MWC/Digital/Scatter/Tubi/OSADSE"/>
    <n v="93917914"/>
    <s v="P2+"/>
    <s v="O-D2PLM79-R8"/>
    <m/>
    <s v="Tom Cecil"/>
    <s v="Guaranteed"/>
    <s v="DIO - ROV - 1F - SEN - Pre/Mid - ROS - DT/MB/CTV - SXD"/>
    <n v="128048"/>
    <d v="2026-06-30T00:00:00"/>
    <d v="2026-05-12T00:00:00"/>
    <d v="2026-06-30T00:00:00"/>
    <s v="Direct ROV"/>
    <m/>
    <d v="2026-07-05T12:53:18"/>
  </r>
  <r>
    <s v="ZENITH MEDIA - NY"/>
    <n v="11418"/>
    <n v="1162"/>
    <s v="ELI LILLY"/>
    <s v="Lilly/2026/MWC/Digital/Scatter/Tubi/ZepboundCWM"/>
    <x v="206"/>
    <s v="Eli Lilly - Zepbound CWM - Run of World Cup Video - 2026 Package - Tubi - :60"/>
    <n v="585798"/>
    <s v="Eli Lilly - Zepbound CWM - DIO - LFV - TUB - Pre/Mid - MWC - DT/MB/CTV - 2Q'26 - Tubi - :60"/>
    <n v="93989729"/>
    <s v="Fox Sold Tubi"/>
    <s v="CPM"/>
    <n v="40"/>
    <s v="3P Imps"/>
    <n v="803963"/>
    <n v="30690"/>
    <m/>
    <m/>
    <s v=" "/>
    <n v="0"/>
    <m/>
    <m/>
    <n v="803963"/>
    <n v="803963"/>
    <n v="0"/>
    <n v="0"/>
    <n v="1"/>
    <n v="0"/>
    <n v="0"/>
    <n v="0"/>
    <s v="Bill on Actuals - 3rd Party Performance"/>
    <n v="15345"/>
    <n v="767250"/>
    <n v="30690"/>
    <s v="Lilly/2026/MWC/Digital/Scatter/Tubi/ZepboundCWM"/>
    <n v="93989716"/>
    <s v="P2+"/>
    <s v="O-D2PJ494-R12"/>
    <m/>
    <s v="Tom Cecil"/>
    <s v="Guaranteed"/>
    <s v="DIO - LFV - TUB - Pre/Mid - MWC - DT/MB/CTV"/>
    <n v="128045"/>
    <d v="2026-06-30T00:00:00"/>
    <d v="2026-06-01T00:00:00"/>
    <d v="2026-06-30T00:00:00"/>
    <s v="Direct LFV"/>
    <m/>
    <d v="2026-07-05T12:53:18"/>
  </r>
  <r>
    <s v="ZENITH MEDIA - NY"/>
    <n v="11418"/>
    <n v="1162"/>
    <s v="ELI LILLY"/>
    <s v="Lilly/2026/MWC/Digital/Scatter/Tubi/ZepboundCWM"/>
    <x v="206"/>
    <s v="Eli Lilly - Zepbound CWM - Run of World Cup Video - 2026 Package - Tubi - :60"/>
    <n v="585798"/>
    <s v="Eli Lilly - Zepbound CWM - DIO - ROV - FS - Pre/Mid - MWC - DT/MB/CTV - 2Q'26 - Tubi - :60"/>
    <n v="93989756"/>
    <s v="FOX Sports"/>
    <s v="CPM"/>
    <n v="40"/>
    <s v="3P Imps"/>
    <n v="14690"/>
    <n v="560"/>
    <m/>
    <m/>
    <s v=" "/>
    <s v=""/>
    <m/>
    <m/>
    <n v="14690"/>
    <n v="14690"/>
    <n v="0"/>
    <n v="0"/>
    <n v="1"/>
    <n v="0"/>
    <n v="0"/>
    <n v="0"/>
    <s v="Bill on Actuals - 3rd Party Performance"/>
    <n v="280"/>
    <n v="14000"/>
    <n v="560"/>
    <s v="Lilly/2026/MWC/Digital/Scatter/Tubi/ZepboundCWM"/>
    <n v="93989716"/>
    <s v="P2+"/>
    <s v="O-D2PJ494-R12"/>
    <m/>
    <s v="Tom Cecil"/>
    <s v="Guaranteed"/>
    <s v="DIO - ROV - FS - Pre/Mid - MWC - DT/MB/CTV"/>
    <n v="128045"/>
    <d v="2026-06-30T00:00:00"/>
    <d v="2026-06-01T00:00:00"/>
    <d v="2026-06-30T00:00:00"/>
    <s v="Direct ROV"/>
    <m/>
    <d v="2026-07-05T12:53:18"/>
  </r>
  <r>
    <s v="ZENITH MEDIA - NY"/>
    <n v="11418"/>
    <n v="1162"/>
    <s v="ELI LILLY"/>
    <s v="Lilly/2026/MWC/Digital/Scatter/Tubi/ZepboundCWM"/>
    <x v="206"/>
    <s v="Eli Lilly - Zepbound CWM - Run of AllFOX Video - 2026 Package - Tubi -AAT- :60"/>
    <n v="585818"/>
    <s v="Eli Lilly - Zepbound CWM - DIO - ROV - 1F - SEN - Pre/Mid - ROS - DT/MB/CTV - AAT- SXD - Tubi - :60"/>
    <n v="93989732"/>
    <s v="OneFOX"/>
    <s v="CPM"/>
    <n v="20"/>
    <s v="3P Imps"/>
    <n v="793460"/>
    <n v="15869.2"/>
    <m/>
    <m/>
    <s v=" "/>
    <n v="0"/>
    <m/>
    <m/>
    <n v="711721"/>
    <n v="793460"/>
    <n v="0"/>
    <n v="0"/>
    <n v="1"/>
    <n v="0"/>
    <n v="0"/>
    <n v="0"/>
    <s v="Bill on Actuals - 3rd Party Performance"/>
    <n v="9118.2900000000009"/>
    <n v="1481280"/>
    <n v="29625.599999999999"/>
    <s v="Lilly/2026/MWC/Digital/Scatter/Tubi/ZepboundCWM"/>
    <n v="93989716"/>
    <s v="P2+"/>
    <s v="O-D2PJ494-R12"/>
    <m/>
    <s v="Tom Cecil"/>
    <s v="Guaranteed"/>
    <s v="DIO - ROV - 1F - SEN - Pre/Mid - ROS - DT/MB/CTV - SXD"/>
    <n v="128045"/>
    <d v="2026-06-30T00:00:00"/>
    <d v="2026-05-12T00:00:00"/>
    <d v="2026-06-30T00:00:00"/>
    <s v="Direct ROV"/>
    <m/>
    <d v="2026-07-05T12:53:18"/>
  </r>
  <r>
    <s v="ZENITH MEDIA - NY"/>
    <n v="11418"/>
    <n v="1162"/>
    <s v="ELI LILLY"/>
    <s v="Lilly/2026/MWC/Digital/Scatter/Tubi/ZepboundCWM"/>
    <x v="206"/>
    <s v="Eli Lilly - Zepbound CWM - Run of AllFOX Video - 2026 Package - Tubi -AAT- :60"/>
    <n v="585818"/>
    <s v="Eli Lilly - Zepbound CWM DIO - LFV - 1F - Tubi - Pre/Mid - ROS - DT/MB/CTV - AAT- FW - SXD - Tubi - :60"/>
    <n v="93989740"/>
    <s v="Fox Sold Tubi"/>
    <s v="CPM"/>
    <n v="20"/>
    <s v="3P Imps"/>
    <n v="1427865"/>
    <n v="28557.3"/>
    <m/>
    <m/>
    <s v=" "/>
    <s v=""/>
    <m/>
    <m/>
    <n v="2996660"/>
    <n v="1427865"/>
    <n v="0"/>
    <n v="0"/>
    <n v="1"/>
    <n v="0"/>
    <n v="0"/>
    <n v="0"/>
    <s v="Bill on Actuals - 3rd Party Performance"/>
    <n v="26450.46"/>
    <n v="4296920"/>
    <n v="85938.4"/>
    <s v="Lilly/2026/MWC/Digital/Scatter/Tubi/ZepboundCWM"/>
    <n v="93989716"/>
    <s v="P2+"/>
    <s v="O-D2PJ494-R12"/>
    <m/>
    <s v="Tom Cecil"/>
    <s v="Guaranteed"/>
    <s v="DIO - LFV - 1F - Tubi - Pre/Mid - ROS - DT/MB/CTV - FW - SXD"/>
    <n v="128045"/>
    <d v="2026-06-30T00:00:00"/>
    <d v="2026-05-12T00:00:00"/>
    <d v="2026-06-30T00:00:00"/>
    <s v="Direct LFV"/>
    <m/>
    <d v="2026-07-05T12:53:18"/>
  </r>
  <r>
    <s v="ZENITH MEDIA - NY"/>
    <n v="11418"/>
    <n v="1162"/>
    <s v="ELI LILLY"/>
    <s v="Lilly/2026/MWC/Digital/Scatter/Tubi/ZepboundCWM"/>
    <x v="206"/>
    <s v="Eli Lilly - Zepbound CWM - Run of World Cup Video - 2026 Package - Tubi - :75"/>
    <n v="585821"/>
    <s v="Eli Lilly - Zepbound CWM - DIO - LFV - TUB - Pre/Mid - MWC - DT/MB/CTV - 2Q'26 - Tubi - :75"/>
    <n v="93989751"/>
    <s v="Fox Sold Tubi"/>
    <s v="CPM"/>
    <n v="40"/>
    <s v="3P Imps"/>
    <n v="804246"/>
    <n v="30690"/>
    <m/>
    <m/>
    <s v=" "/>
    <n v="0"/>
    <m/>
    <m/>
    <n v="804246"/>
    <n v="804246"/>
    <n v="0"/>
    <n v="0"/>
    <n v="1"/>
    <n v="0"/>
    <n v="0"/>
    <n v="0"/>
    <s v="Bill on Actuals - 3rd Party Performance"/>
    <n v="15345"/>
    <n v="767250"/>
    <n v="30690"/>
    <s v="Lilly/2026/MWC/Digital/Scatter/Tubi/ZepboundCWM"/>
    <n v="93989716"/>
    <s v="P2+"/>
    <s v="O-D2PJ494-R12"/>
    <m/>
    <s v="Tom Cecil"/>
    <s v="Guaranteed"/>
    <s v="DIO - LFV - TUB - Pre/Mid - MWC - DT/MB/CTV"/>
    <n v="128045"/>
    <d v="2026-06-30T00:00:00"/>
    <d v="2026-06-01T00:00:00"/>
    <d v="2026-06-30T00:00:00"/>
    <s v="Direct LFV"/>
    <m/>
    <d v="2026-07-05T12:53:18"/>
  </r>
  <r>
    <s v="ZENITH MEDIA - NY"/>
    <n v="11418"/>
    <n v="1162"/>
    <s v="ELI LILLY"/>
    <s v="Lilly/2026/MWC/Digital/Scatter/Tubi/ZepboundCWM"/>
    <x v="206"/>
    <s v="Eli Lilly - Zepbound CWM - Run of World Cup Video - 2026 Package - Tubi - :75"/>
    <n v="585821"/>
    <s v="Eli Lilly - Zepbound CWM - DIO - ROV - FS - Pre/Mid - MWC - DT/MB/CTV - 2Q'26 - Tubi - :75"/>
    <n v="93989719"/>
    <s v="FOX Sports"/>
    <s v="CPM"/>
    <n v="40"/>
    <s v="3P Imps"/>
    <n v="14691"/>
    <n v="560"/>
    <m/>
    <m/>
    <s v=" "/>
    <s v=""/>
    <m/>
    <m/>
    <n v="14691"/>
    <n v="14691"/>
    <n v="0"/>
    <n v="0"/>
    <n v="1"/>
    <n v="0"/>
    <n v="0"/>
    <n v="0"/>
    <s v="Bill on Actuals - 3rd Party Performance"/>
    <n v="280"/>
    <n v="14000"/>
    <n v="560"/>
    <s v="Lilly/2026/MWC/Digital/Scatter/Tubi/ZepboundCWM"/>
    <n v="93989716"/>
    <s v="P2+"/>
    <s v="O-D2PJ494-R12"/>
    <m/>
    <s v="Tom Cecil"/>
    <s v="Guaranteed"/>
    <s v="DIO - ROV - FS - Pre/Mid - MWC - DT/MB/CTV"/>
    <n v="128045"/>
    <d v="2026-06-30T00:00:00"/>
    <d v="2026-06-01T00:00:00"/>
    <d v="2026-06-30T00:00:00"/>
    <s v="Direct ROV"/>
    <m/>
    <d v="2026-07-05T12:53:18"/>
  </r>
  <r>
    <s v="ZENITH MEDIA - NY"/>
    <n v="11418"/>
    <n v="1162"/>
    <s v="ELI LILLY"/>
    <s v="Lilly/2026/MWC/Digital/Scatter/Tubi/ZepboundCWM"/>
    <x v="206"/>
    <s v="Eli Lilly - Zepbound CWM - Run of AllFOX Video - 2026 Package - Tubi -AAT-  :75"/>
    <n v="585828"/>
    <s v="Eli Lilly - Zepbound CWM - DIO - ROV - 1F - SEN - Pre/Mid - ROS - DT/MB/CTV -AAT- SXD - Tubi - :75"/>
    <n v="93989725"/>
    <s v="OneFOX"/>
    <s v="CPM"/>
    <n v="20"/>
    <s v="3P Imps"/>
    <n v="802628"/>
    <n v="16052.56"/>
    <m/>
    <m/>
    <s v=" "/>
    <n v="0"/>
    <m/>
    <m/>
    <n v="222327"/>
    <n v="802628"/>
    <n v="0"/>
    <n v="0"/>
    <n v="1"/>
    <n v="0"/>
    <n v="0"/>
    <n v="0"/>
    <s v="Bill on Actuals - 3rd Party Performance"/>
    <n v="6214.37"/>
    <n v="1011280"/>
    <n v="20225.599999999999"/>
    <s v="Lilly/2026/MWC/Digital/Scatter/Tubi/ZepboundCWM"/>
    <n v="93989716"/>
    <s v="P2+"/>
    <s v="O-D2PJ494-R12"/>
    <m/>
    <s v="Tom Cecil"/>
    <s v="Guaranteed"/>
    <s v="DIO - ROV - 1F - SEN - Pre/Mid - ROS - DT/MB/CTV - SXD"/>
    <n v="128045"/>
    <d v="2026-06-30T00:00:00"/>
    <d v="2026-05-12T00:00:00"/>
    <d v="2026-06-30T00:00:00"/>
    <s v="Direct ROV"/>
    <m/>
    <d v="2026-07-05T12:53:18"/>
  </r>
  <r>
    <s v="ZENITH MEDIA - NY"/>
    <n v="11418"/>
    <n v="1162"/>
    <s v="ELI LILLY"/>
    <s v="Lilly/2026/MWC/Digital/Scatter/Tubi/ZepboundCWM"/>
    <x v="206"/>
    <s v="Eli Lilly - Zepbound CWM - Run of AllFOX Video - 2026 Package - Tubi -AAT-  :75"/>
    <n v="585828"/>
    <s v="Eli Lilly - Zepbound CWM DIO - LFV - 1F - Tubi - Pre/Mid - ROS - DT/MB/CTV -AAT- FW - SXD - Tubi - :75"/>
    <n v="93989722"/>
    <s v="Fox Sold Tubi"/>
    <s v="CPM"/>
    <n v="20"/>
    <s v="3P Imps"/>
    <n v="1424836"/>
    <n v="28496.720000000001"/>
    <m/>
    <m/>
    <s v=" "/>
    <s v=""/>
    <m/>
    <m/>
    <n v="3482967"/>
    <n v="1424836"/>
    <n v="0"/>
    <n v="0"/>
    <n v="1"/>
    <n v="0"/>
    <n v="0"/>
    <n v="0"/>
    <s v="Bill on Actuals - 3rd Party Performance"/>
    <n v="29292.99"/>
    <n v="4766920"/>
    <n v="95338.4"/>
    <s v="Lilly/2026/MWC/Digital/Scatter/Tubi/ZepboundCWM"/>
    <n v="93989716"/>
    <s v="P2+"/>
    <s v="O-D2PJ494-R12"/>
    <m/>
    <s v="Tom Cecil"/>
    <s v="Guaranteed"/>
    <s v="DIO - LFV - 1F - Tubi - Pre/Mid - ROS - DT/MB/CTV - FW - SXD"/>
    <n v="128045"/>
    <d v="2026-06-30T00:00:00"/>
    <d v="2026-05-12T00:00:00"/>
    <d v="2026-06-30T00:00:00"/>
    <s v="Direct LFV"/>
    <m/>
    <d v="2026-07-05T12:53:18"/>
  </r>
  <r>
    <s v="ZENITH MEDIA - NY"/>
    <n v="11418"/>
    <n v="7034"/>
    <s v="VERIZON"/>
    <s v="Verizon/Dig/UF/25.26/Sports/2Q26/MG"/>
    <x v="207"/>
    <s v="Verizon - DIO - ROV - FS - Pre/Mid - ROS - DT/MB/CTV - Package - 2Q'26 MG"/>
    <n v="569527"/>
    <s v="Verizon - ROV - FS - Pre/Mid - ROS - DT/MB/CTV - 2Q'26 - P2+ - MG"/>
    <n v="93030138"/>
    <s v="FOX Sports"/>
    <s v="CPM"/>
    <n v="23"/>
    <s v="3P CoView Imps"/>
    <n v="1340508"/>
    <n v="0"/>
    <m/>
    <m/>
    <s v=" "/>
    <n v="0"/>
    <m/>
    <m/>
    <n v="1701182"/>
    <n v="1200156"/>
    <n v="1900126"/>
    <n v="1340508"/>
    <n v="1"/>
    <n v="1.116944926876805"/>
    <n v="0"/>
    <n v="0"/>
    <s v="Bill on Actuals - 3rd Party Performance"/>
    <n v="0"/>
    <n v="4713882"/>
    <n v="0"/>
    <s v="Verizon/Dig/UF/25.26/Sports/2Q26/MG"/>
    <n v="93030129"/>
    <s v="P2+"/>
    <s v="O-D2PQGPA-R4"/>
    <m/>
    <s v="Tom Cecil"/>
    <s v="Make Good"/>
    <s v="ROV - FS - Pre/Mid - ROS - DT/MB/CTV"/>
    <n v="123956"/>
    <d v="2026-06-30T00:00:00"/>
    <d v="2026-04-01T00:00:00"/>
    <d v="2026-06-30T00:00:00"/>
    <s v="Direct ROV"/>
    <m/>
    <d v="2026-07-05T12:53:18"/>
  </r>
  <r>
    <s v="ZENITH MEDIA - NY"/>
    <n v="11418"/>
    <n v="3711"/>
    <s v="WALMART"/>
    <s v="Walmart/2026 MWC/Digital/Scatter"/>
    <x v="208"/>
    <s v="Walmart - BTX2 - Run of World Cup Video - Package - 2026"/>
    <n v="581693"/>
    <s v="Walmart - BTX2 - DIO - LFV - TUB - Pre/Mid - MWC - DT/MB/CTV - 2026"/>
    <n v="94517486"/>
    <s v="Fox Sold Tubi"/>
    <s v="CPM"/>
    <n v="40"/>
    <s v="3P Imps"/>
    <n v="1187068"/>
    <n v="46900"/>
    <m/>
    <m/>
    <s v=" "/>
    <n v="0"/>
    <m/>
    <m/>
    <n v="1187068"/>
    <n v="1187068"/>
    <n v="0"/>
    <n v="0"/>
    <n v="1"/>
    <n v="0"/>
    <n v="0"/>
    <n v="0"/>
    <s v="Bill on Actuals - 3rd Party Performance"/>
    <n v="23450"/>
    <n v="1172500"/>
    <n v="46900"/>
    <s v="Walmart/2026 MWC/Digital/Scatter"/>
    <n v="94517466"/>
    <s v="P2+"/>
    <s v="O-D302D7C-R10"/>
    <m/>
    <s v="Tom Cecil"/>
    <s v="Guaranteed"/>
    <s v="DIO - LFV - TUB - Pre/Mid - MWC - DT/MB/CTV"/>
    <n v="130574"/>
    <d v="2026-06-30T00:00:00"/>
    <d v="2026-06-22T00:00:00"/>
    <d v="2026-06-30T00:00:00"/>
    <s v="Direct LFV"/>
    <m/>
    <d v="2026-07-05T12:53:18"/>
  </r>
  <r>
    <s v="ZENITH MEDIA - NY"/>
    <n v="11418"/>
    <n v="3711"/>
    <s v="WALMART"/>
    <s v="Walmart/2026 MWC/Digital/Scatter"/>
    <x v="208"/>
    <s v="Walmart - BTX2 - Run of World Cup Video - Package - 2026"/>
    <n v="581693"/>
    <s v="Walmart - BTX2 - DIO - ROV - FS - Pre/Mid - MWC - DT/MB/CTV - 2026 -"/>
    <n v="94517552"/>
    <s v="FOX Sports"/>
    <s v="CPM"/>
    <n v="40"/>
    <s v="3P Imps"/>
    <n v="510792"/>
    <n v="20100"/>
    <m/>
    <m/>
    <s v=" "/>
    <s v=""/>
    <m/>
    <m/>
    <n v="510792"/>
    <n v="510792"/>
    <n v="0"/>
    <n v="0"/>
    <n v="1"/>
    <n v="0"/>
    <n v="0"/>
    <n v="0"/>
    <s v="Bill on Actuals - 3rd Party Performance"/>
    <n v="10050"/>
    <n v="502500"/>
    <n v="20100"/>
    <s v="Walmart/2026 MWC/Digital/Scatter"/>
    <n v="94517466"/>
    <s v="P2+"/>
    <s v="O-D302D7C-R10"/>
    <m/>
    <s v="Tom Cecil"/>
    <s v="Guaranteed"/>
    <s v="DIO - ROV - FS - Pre/Mid - MWC - DT/MB/CTV"/>
    <n v="130574"/>
    <d v="2026-06-30T00:00:00"/>
    <d v="2026-06-22T00:00:00"/>
    <d v="2026-06-30T00:00:00"/>
    <s v="Direct ROV"/>
    <m/>
    <d v="2026-07-05T12:53:18"/>
  </r>
  <r>
    <s v="ZENITH MEDIA - NY"/>
    <n v="11418"/>
    <n v="3711"/>
    <s v="WALMART"/>
    <s v="Walmart/2026 MWC/Digital/Scatter"/>
    <x v="208"/>
    <s v="Walmart - EX2- Run of World Cup Display - Package - 2026"/>
    <n v="581709"/>
    <s v="Walmart - EX2 - DIS - FS - Display Unit - MWC - 2026"/>
    <n v="7335421652"/>
    <s v="FOX Sports"/>
    <s v="CPM"/>
    <n v="6"/>
    <s v="3P Imps"/>
    <n v="0"/>
    <n v="0"/>
    <m/>
    <m/>
    <s v=" "/>
    <n v="0"/>
    <m/>
    <m/>
    <n v="0"/>
    <n v="0"/>
    <n v="0"/>
    <n v="0"/>
    <n v="1"/>
    <n v="0"/>
    <n v="0"/>
    <n v="0"/>
    <s v="Bill on Actuals - 3rd Party Performance"/>
    <n v="44957.42"/>
    <n v="60000000"/>
    <n v="360000"/>
    <s v="Walmart/2026 MWC/Digital/Scatter"/>
    <n v="261764"/>
    <s v="P2+"/>
    <s v="O-D302D7C-R10"/>
    <m/>
    <s v="Tom Cecil"/>
    <s v="Guaranteed"/>
    <s v="DIS - FS - Display Unit - MWC"/>
    <n v="130574"/>
    <d v="2026-06-30T00:00:00"/>
    <d v="2026-06-08T00:00:00"/>
    <d v="2026-07-19T00:00:00"/>
    <s v="Direct Display"/>
    <m/>
    <d v="2026-07-05T12:53:18"/>
  </r>
  <r>
    <s v="ZENITH MEDIA - NY"/>
    <n v="11418"/>
    <n v="3711"/>
    <s v="WALMART"/>
    <s v="Walmart/2026 MWC/Digital/Scatter"/>
    <x v="208"/>
    <s v="Walmart - BTX2 - Run of AllFOX Video - Package - 2026 - AAT"/>
    <n v="581823"/>
    <s v="Walmart - BTX2 - DIO - LFV - 1F - Tubi - Pre/Mid - ROS - DT/MB/CTV - FW - SXD - 2026 - AAT"/>
    <n v="94517505"/>
    <s v="Fox Sold Tubi"/>
    <s v="CPM"/>
    <n v="20"/>
    <s v="3P Audience Target"/>
    <n v="115431"/>
    <n v="2308.62"/>
    <m/>
    <m/>
    <s v=" "/>
    <n v="0"/>
    <m/>
    <m/>
    <n v="115431"/>
    <n v="115431"/>
    <n v="0"/>
    <n v="0"/>
    <n v="1"/>
    <n v="0"/>
    <n v="0"/>
    <n v="0"/>
    <s v="Bill on Actuals - 3rd Party Performance"/>
    <n v="1155.75"/>
    <n v="375000"/>
    <n v="7500"/>
    <s v="Walmart/2026 MWC/Digital/Scatter"/>
    <n v="94517466"/>
    <s v="Audience Target"/>
    <s v="O-D302D7C-R10"/>
    <m/>
    <s v="Tom Cecil"/>
    <s v="Guaranteed"/>
    <s v="DIO - LFV - 1F - Tubi - Pre/Mid - ROS - DT/MB/CTV - FW - SXD"/>
    <n v="130574"/>
    <d v="2026-06-30T00:00:00"/>
    <d v="2026-06-22T00:00:00"/>
    <d v="2026-07-31T00:00:00"/>
    <s v="Direct LFV"/>
    <m/>
    <d v="2026-07-05T12:53:18"/>
  </r>
  <r>
    <s v="ZENITH MEDIA - NY"/>
    <n v="11418"/>
    <n v="3711"/>
    <s v="WALMART"/>
    <s v="Walmart/2026 MWC/Digital/Scatter"/>
    <x v="208"/>
    <s v="Walmart - BTX2 - Run of AllFOX Video - Package - 2026 - AAT"/>
    <n v="581823"/>
    <s v="Walmart - BTX2 - DIO - ROV - 1F - SEN - Pre/Mid - ROS - DT/MB/CTV - SXD - 2026 - AAT"/>
    <n v="94517511"/>
    <s v="OneFOX"/>
    <s v="CPM"/>
    <n v="20"/>
    <s v="3P Audience Target"/>
    <n v="71706"/>
    <n v="1434.12"/>
    <m/>
    <m/>
    <s v=" "/>
    <s v=""/>
    <m/>
    <m/>
    <n v="71706"/>
    <n v="71706"/>
    <n v="0"/>
    <n v="0"/>
    <n v="1"/>
    <n v="0"/>
    <n v="0"/>
    <n v="0"/>
    <s v="Bill on Actuals - 3rd Party Performance"/>
    <n v="770.5"/>
    <n v="250000"/>
    <n v="5000"/>
    <s v="Walmart/2026 MWC/Digital/Scatter"/>
    <n v="94517466"/>
    <s v="Audience Target"/>
    <s v="O-D302D7C-R10"/>
    <m/>
    <s v="Tom Cecil"/>
    <s v="Guaranteed"/>
    <s v="DIO - ROV - 1F - SEN - Pre/Mid - ROS - DT/MB/CTV - SXD"/>
    <n v="130574"/>
    <d v="2026-06-30T00:00:00"/>
    <d v="2026-06-22T00:00:00"/>
    <d v="2026-07-31T00:00:00"/>
    <s v="Direct ROV"/>
    <m/>
    <d v="2026-07-05T12:53:18"/>
  </r>
  <r>
    <s v="ZENITH MEDIA - NY"/>
    <n v="11418"/>
    <n v="3711"/>
    <s v="WALMART"/>
    <s v="Walmart/2026 MWC/Digital/Scatter"/>
    <x v="208"/>
    <s v="Walmart - BTX2 - World Cup Social Sponsorship Content - Package - 2026"/>
    <n v="581826"/>
    <s v="Walmart - BTX2 - DIO - SOC - FOX Sports - Facebook/Instagram - MWC"/>
    <n v="581827"/>
    <s v="FOX Sports - FB-Inst"/>
    <s v="Flat Rate"/>
    <n v="16666.669999999998"/>
    <s v="Bill on Contract"/>
    <n v="0"/>
    <n v="2678.57"/>
    <m/>
    <m/>
    <s v=" "/>
    <n v="0"/>
    <m/>
    <m/>
    <n v="0"/>
    <n v="0"/>
    <n v="0"/>
    <n v="0"/>
    <n v="1"/>
    <n v="0"/>
    <n v="0"/>
    <n v="0"/>
    <s v="Bill on Contract - Pro-rated"/>
    <n v="2678.57"/>
    <n v="1"/>
    <n v="16666.669999999998"/>
    <s v="Walmart/2026 MWC/Digital/Scatter"/>
    <n v="261764"/>
    <s v="P2+"/>
    <s v="O-D302D7C-R10"/>
    <m/>
    <s v="Tom Cecil"/>
    <s v="Guaranteed"/>
    <s v="DIO - SOC - FOX Sports - Facebook/Instagram - MWC"/>
    <n v="130574"/>
    <d v="2026-06-30T00:00:00"/>
    <d v="2026-06-22T00:00:00"/>
    <d v="2026-07-19T00:00:00"/>
    <s v="Social Facebook/Instagram"/>
    <m/>
    <d v="2026-07-05T12:53:18"/>
  </r>
  <r>
    <s v="ZENITH MEDIA - NY"/>
    <n v="11418"/>
    <n v="3711"/>
    <s v="WALMART"/>
    <s v="Walmart/2026 MWC/Digital/Scatter"/>
    <x v="208"/>
    <s v="Walmart - BTX2 - World Cup Social Sponsorship Content - Package - 2026"/>
    <n v="581826"/>
    <s v="Walmart - BTX2 - DIO - SOC - FOX Sports - TikTok - MWC"/>
    <n v="581830"/>
    <s v="FOX Sports - TikTok"/>
    <s v="Flat Rate"/>
    <n v="16666.669999999998"/>
    <s v="Bill on Contract"/>
    <n v="0"/>
    <n v="2678.57"/>
    <m/>
    <m/>
    <s v=" "/>
    <s v=""/>
    <m/>
    <m/>
    <n v="0"/>
    <n v="0"/>
    <n v="0"/>
    <n v="0"/>
    <n v="1"/>
    <n v="0"/>
    <n v="0"/>
    <n v="0"/>
    <s v="Bill on Contract - Pro-rated"/>
    <n v="2678.57"/>
    <n v="1"/>
    <n v="16666.669999999998"/>
    <s v="Walmart/2026 MWC/Digital/Scatter"/>
    <n v="261764"/>
    <s v="P2+"/>
    <s v="O-D302D7C-R10"/>
    <m/>
    <s v="Tom Cecil"/>
    <s v="Guaranteed"/>
    <s v="DIO - SOC - FOX Sports - TikTok - MWC"/>
    <n v="130574"/>
    <d v="2026-06-30T00:00:00"/>
    <d v="2026-06-22T00:00:00"/>
    <d v="2026-07-19T00:00:00"/>
    <s v="Social TikTok"/>
    <m/>
    <d v="2026-07-05T12:53:18"/>
  </r>
  <r>
    <s v="ZENITH MEDIA - NY"/>
    <n v="11418"/>
    <n v="3711"/>
    <s v="WALMART"/>
    <s v="Walmart/2026 MWC/Digital/Scatter"/>
    <x v="208"/>
    <s v="Walmart - BTX2 - World Cup Social Sponsorship Content - Package - 2026"/>
    <n v="581826"/>
    <s v="Walmart - BTX2 - DIO - SOC - FOX Sports - Youtube - Custom Content - MWC"/>
    <n v="581829"/>
    <s v="FOX Sports"/>
    <s v="Flat Rate"/>
    <n v="16666.66"/>
    <s v="Bill on Contract"/>
    <n v="0"/>
    <n v="2678.57"/>
    <m/>
    <m/>
    <s v=" "/>
    <s v=""/>
    <m/>
    <m/>
    <n v="0"/>
    <n v="0"/>
    <n v="0"/>
    <n v="0"/>
    <n v="1"/>
    <n v="0"/>
    <n v="0"/>
    <n v="0"/>
    <s v="Bill on Contract - Pro-rated"/>
    <n v="2678.57"/>
    <n v="1"/>
    <n v="16666.66"/>
    <s v="Walmart/2026 MWC/Digital/Scatter"/>
    <n v="261764"/>
    <s v="P2+"/>
    <s v="O-D302D7C-R10"/>
    <m/>
    <s v="Tom Cecil"/>
    <s v="Guaranteed"/>
    <s v="DIO - SOC - FOX Sports - Youtube - Custom Content - MWC"/>
    <n v="130574"/>
    <d v="2026-06-30T00:00:00"/>
    <d v="2026-06-22T00:00:00"/>
    <d v="2026-07-19T00:00:00"/>
    <s v="Social"/>
    <m/>
    <d v="2026-07-05T12:53:18"/>
  </r>
  <r>
    <s v="ZENITH MEDIA - NY"/>
    <n v="11418"/>
    <n v="3711"/>
    <s v="WALMART"/>
    <s v="Walmart/2026 MWC/Digital/Scatter"/>
    <x v="208"/>
    <s v="Walmart - EX2 - Run of World Cup Video - Package - 2026"/>
    <n v="592687"/>
    <s v="Walmart - EX2 - DIO - LFV - TUB - Pre/Mid - MWC - DT/MB/CTV - 2026"/>
    <n v="94517533"/>
    <s v="Fox Sold Tubi"/>
    <s v="CPM"/>
    <n v="40"/>
    <s v="3P Imps"/>
    <n v="1242649"/>
    <n v="49705.96"/>
    <m/>
    <m/>
    <s v=" "/>
    <n v="0"/>
    <m/>
    <m/>
    <n v="1242649"/>
    <n v="1242649"/>
    <n v="0"/>
    <n v="0"/>
    <n v="1"/>
    <n v="0"/>
    <n v="0"/>
    <n v="0"/>
    <s v="Bill on Actuals - 3rd Party Performance"/>
    <n v="25153.67"/>
    <n v="1872500"/>
    <n v="74900"/>
    <s v="Walmart/2026 MWC/Digital/Scatter"/>
    <n v="94517466"/>
    <s v="P2+"/>
    <s v="O-D302D7C-R10"/>
    <m/>
    <s v="Tom Cecil"/>
    <s v="Guaranteed"/>
    <s v="DIO - LFV - TUB - Pre/Mid - MWC - DT/MB/CTV"/>
    <n v="130574"/>
    <d v="2026-06-30T00:00:00"/>
    <d v="2026-06-08T00:00:00"/>
    <d v="2026-07-19T00:00:00"/>
    <s v="Direct LFV"/>
    <m/>
    <d v="2026-07-05T12:53:18"/>
  </r>
  <r>
    <s v="ZENITH MEDIA - NY"/>
    <n v="11418"/>
    <n v="3711"/>
    <s v="WALMART"/>
    <s v="Walmart/2026 MWC/Digital/Scatter"/>
    <x v="208"/>
    <s v="Walmart - EX2 - Run of World Cup Video - Package - 2026"/>
    <n v="592687"/>
    <s v="Walmart - EX2 - DIO - ROV - FS - Pre/Mid - MWC - DT/MB/CTV - 2026 -"/>
    <n v="94517566"/>
    <s v="FOX Sports"/>
    <s v="CPM"/>
    <n v="40"/>
    <s v="3P Imps"/>
    <n v="545287"/>
    <n v="21811.48"/>
    <m/>
    <m/>
    <s v=" "/>
    <s v=""/>
    <m/>
    <m/>
    <n v="545287"/>
    <n v="545287"/>
    <n v="0"/>
    <n v="0"/>
    <n v="1"/>
    <n v="0"/>
    <n v="0"/>
    <n v="0"/>
    <s v="Bill on Actuals - 3rd Party Performance"/>
    <n v="10780.15"/>
    <n v="802500"/>
    <n v="32100"/>
    <s v="Walmart/2026 MWC/Digital/Scatter"/>
    <n v="94517466"/>
    <s v="P2+"/>
    <s v="O-D302D7C-R10"/>
    <m/>
    <s v="Tom Cecil"/>
    <s v="Guaranteed"/>
    <s v="DIO - ROV - FS - Pre/Mid - MWC - DT/MB/CTV"/>
    <n v="130574"/>
    <d v="2026-06-30T00:00:00"/>
    <d v="2026-06-08T00:00:00"/>
    <d v="2026-07-19T00:00:00"/>
    <s v="Direct ROV"/>
    <m/>
    <d v="2026-07-05T12:53:18"/>
  </r>
  <r>
    <s v="ZENITH MEDIA - NY"/>
    <n v="11418"/>
    <n v="3711"/>
    <s v="WALMART"/>
    <s v="Walmart/2026 MWC/Digital/Scatter"/>
    <x v="208"/>
    <s v="Walmart - EX2 - Run of AllFOX Video - Package - 2026 - AAT"/>
    <n v="592690"/>
    <s v="Walmart - EX2 - DIO - LFV - 1F - Tubi - Pre/Mid - ROS - DT/MB/CTV - FW - SXD - 2026 - AAT"/>
    <n v="94517517"/>
    <s v="Fox Sold Tubi"/>
    <s v="CPM"/>
    <n v="20"/>
    <s v="3P Audience Target"/>
    <n v="758189"/>
    <n v="15163.78"/>
    <m/>
    <m/>
    <s v=" "/>
    <n v="0"/>
    <m/>
    <m/>
    <n v="758189"/>
    <n v="758189"/>
    <n v="0"/>
    <n v="0"/>
    <n v="1"/>
    <n v="0"/>
    <n v="0"/>
    <n v="0"/>
    <s v="Bill on Actuals - 3rd Party Performance"/>
    <n v="7507.13"/>
    <n v="1116095"/>
    <n v="22321.9"/>
    <s v="Walmart/2026 MWC/Digital/Scatter"/>
    <n v="94517466"/>
    <s v="Audience Target"/>
    <s v="O-D302D7C-R10"/>
    <m/>
    <s v="Tom Cecil"/>
    <s v="Guaranteed"/>
    <s v="DIO - LFV - 1F - Tubi - Pre/Mid - ROS - DT/MB/CTV - FW - SXD"/>
    <n v="130574"/>
    <d v="2026-06-30T00:00:00"/>
    <d v="2026-06-08T00:00:00"/>
    <d v="2026-07-19T00:00:00"/>
    <s v="Direct LFV"/>
    <m/>
    <d v="2026-07-05T12:53:18"/>
  </r>
  <r>
    <s v="ZENITH MEDIA - NY"/>
    <n v="11418"/>
    <n v="3711"/>
    <s v="WALMART"/>
    <s v="Walmart/2026 MWC/Digital/Scatter"/>
    <x v="208"/>
    <s v="Walmart - EX2 - Run of AllFOX Video - Package - 2026 - AAT"/>
    <n v="592690"/>
    <s v="Walmart - EX2 - DIO - ROV - 1F - SEN - Pre/Mid - ROS - DT/MB/CTV - SXD - 2026 - AAT"/>
    <n v="94517569"/>
    <s v="OneFOX"/>
    <s v="CPM"/>
    <n v="20"/>
    <s v="3P Audience Target"/>
    <n v="302667"/>
    <n v="6053.34"/>
    <m/>
    <m/>
    <s v=" "/>
    <s v=""/>
    <m/>
    <m/>
    <n v="302667"/>
    <n v="302667"/>
    <n v="0"/>
    <n v="0"/>
    <n v="1"/>
    <n v="0"/>
    <n v="0"/>
    <n v="0"/>
    <s v="Bill on Actuals - 3rd Party Performance"/>
    <n v="3217.35"/>
    <n v="478328"/>
    <n v="9566.56"/>
    <s v="Walmart/2026 MWC/Digital/Scatter"/>
    <n v="94517466"/>
    <s v="Audience Target"/>
    <s v="O-D302D7C-R10"/>
    <m/>
    <s v="Tom Cecil"/>
    <s v="Guaranteed"/>
    <s v="DIO - ROV - 1F - SEN - Pre/Mid - ROS - DT/MB/CTV - SXD"/>
    <n v="130574"/>
    <d v="2026-06-30T00:00:00"/>
    <d v="2026-06-08T00:00:00"/>
    <d v="2026-07-19T00:00:00"/>
    <s v="Direct ROV"/>
    <m/>
    <d v="2026-07-05T12:53:18"/>
  </r>
  <r>
    <s v="ZENITH MEDIA - NY"/>
    <n v="11418"/>
    <n v="3711"/>
    <s v="WALMART"/>
    <s v="Walmart/2026 MWC/Digital/Scatter"/>
    <x v="208"/>
    <s v="Walmart - EX2 - World Cup Social Sponsorship Content - Package - 2026"/>
    <n v="592693"/>
    <s v="Walmart - EX2 - DIO - SOC - FOX Sports - Facebook/Instagram - MWC"/>
    <n v="592694"/>
    <s v="FOX Sports - FB-Inst"/>
    <s v="Flat Rate"/>
    <n v="100000"/>
    <s v="Bill on Contract"/>
    <n v="0"/>
    <n v="30612.240000000002"/>
    <m/>
    <m/>
    <s v=" "/>
    <n v="0"/>
    <m/>
    <m/>
    <n v="0"/>
    <n v="0"/>
    <n v="0"/>
    <n v="0"/>
    <n v="1"/>
    <n v="0"/>
    <n v="0"/>
    <n v="0"/>
    <s v="Bill on Contract - Pro-rated"/>
    <n v="30612.240000000002"/>
    <n v="1"/>
    <n v="100000"/>
    <s v="Walmart/2026 MWC/Digital/Scatter"/>
    <n v="261764"/>
    <s v="P2+"/>
    <s v="O-D302D7C-R10"/>
    <m/>
    <s v="Tom Cecil"/>
    <s v="Guaranteed"/>
    <s v="DIO - SOC - FOX Sports - Facebook/Instagram - MWC"/>
    <n v="130574"/>
    <d v="2026-06-30T00:00:00"/>
    <d v="2026-06-01T00:00:00"/>
    <d v="2026-07-19T00:00:00"/>
    <s v="Social Facebook/Instagram"/>
    <m/>
    <d v="2026-07-05T12:53:18"/>
  </r>
  <r>
    <s v="ZENITH MEDIA - NY"/>
    <n v="11418"/>
    <n v="3711"/>
    <s v="WALMART"/>
    <s v="Walmart/2026 MWC/Digital/Scatter"/>
    <x v="208"/>
    <s v="Walmart - EX2 - World Cup Social Sponsorship Content - Package - 2026"/>
    <n v="592693"/>
    <s v="Walmart - EX2 - DIO - SOC - FOX Sports - TikTok - MWC"/>
    <n v="592696"/>
    <s v="FOX Sports - TikTok"/>
    <s v="Flat Rate"/>
    <n v="100000"/>
    <s v="Bill on Contract"/>
    <n v="0"/>
    <n v="30612.240000000002"/>
    <m/>
    <m/>
    <s v=" "/>
    <s v=""/>
    <m/>
    <m/>
    <n v="0"/>
    <n v="0"/>
    <n v="0"/>
    <n v="0"/>
    <n v="1"/>
    <n v="0"/>
    <n v="0"/>
    <n v="0"/>
    <s v="Bill on Contract - Pro-rated"/>
    <n v="30612.240000000002"/>
    <n v="1"/>
    <n v="100000"/>
    <s v="Walmart/2026 MWC/Digital/Scatter"/>
    <n v="261764"/>
    <s v="P2+"/>
    <s v="O-D302D7C-R10"/>
    <m/>
    <s v="Tom Cecil"/>
    <s v="Guaranteed"/>
    <s v="DIO - SOC - FOX Sports - TikTok - MWC"/>
    <n v="130574"/>
    <d v="2026-06-30T00:00:00"/>
    <d v="2026-06-01T00:00:00"/>
    <d v="2026-07-19T00:00:00"/>
    <s v="Social TikTok"/>
    <m/>
    <d v="2026-07-05T12:53:18"/>
  </r>
  <r>
    <s v="ZENITH MEDIA - NY"/>
    <n v="11418"/>
    <n v="3711"/>
    <s v="WALMART"/>
    <s v="Walmart/2026 MWC/Digital/Scatter"/>
    <x v="208"/>
    <s v="Walmart - EX2 - World Cup Social Sponsorship Content - Package - 2026"/>
    <n v="592693"/>
    <s v="Walmart - EX2 - DIO - SOC - FOX Sports - Youtube - Custom Content - MWC"/>
    <n v="592695"/>
    <s v="FOX Sports"/>
    <s v="Flat Rate"/>
    <n v="100000"/>
    <s v="Bill on Contract"/>
    <n v="0"/>
    <n v="30612.240000000002"/>
    <m/>
    <m/>
    <s v=" "/>
    <s v=""/>
    <m/>
    <m/>
    <n v="0"/>
    <n v="0"/>
    <n v="0"/>
    <n v="0"/>
    <n v="1"/>
    <n v="0"/>
    <n v="0"/>
    <n v="0"/>
    <s v="Bill on Contract - Pro-rated"/>
    <n v="30612.240000000002"/>
    <n v="1"/>
    <n v="100000"/>
    <s v="Walmart/2026 MWC/Digital/Scatter"/>
    <n v="261764"/>
    <s v="P2+"/>
    <s v="O-D302D7C-R10"/>
    <m/>
    <s v="Tom Cecil"/>
    <s v="Guaranteed"/>
    <s v="DIO - SOC - FOX Sports - Youtube - Custom Content - MWC"/>
    <n v="130574"/>
    <d v="2026-06-30T00:00:00"/>
    <d v="2026-06-01T00:00:00"/>
    <d v="2026-07-19T00:00:00"/>
    <s v="Social"/>
    <m/>
    <d v="2026-07-05T12:53:18"/>
  </r>
  <r>
    <s v="ZENITH MEDIA - NY"/>
    <n v="11418"/>
    <n v="3711"/>
    <s v="WALMART"/>
    <s v="Walmart/2026 MWC/Digital/Scatter"/>
    <x v="208"/>
    <s v="Walmart - WAL2 - Run of World Cup Video - Package - 2026"/>
    <n v="592716"/>
    <s v="Walmart - WAL2 - DIO - LFV - TUB - Pre/Mid - MWC - DT/MB/CTV - 2026"/>
    <n v="94517543"/>
    <s v="Fox Sold Tubi"/>
    <s v="CPM"/>
    <n v="40"/>
    <s v="3P Imps"/>
    <n v="2163305"/>
    <n v="86532.2"/>
    <m/>
    <m/>
    <s v=" "/>
    <n v="0"/>
    <m/>
    <m/>
    <n v="2163305"/>
    <n v="2163305"/>
    <n v="0"/>
    <n v="0"/>
    <n v="1"/>
    <n v="0"/>
    <n v="0"/>
    <n v="0"/>
    <s v="Bill on Actuals - 3rd Party Performance"/>
    <n v="43604.9"/>
    <n v="3255000"/>
    <n v="130200"/>
    <s v="Walmart/2026 MWC/Digital/Scatter"/>
    <n v="94517466"/>
    <s v="P2+"/>
    <s v="O-D302D7C-R10"/>
    <m/>
    <s v="Tom Cecil"/>
    <s v="Guaranteed"/>
    <s v="DIO - LFV - TUB - Pre/Mid - MWC - DT/MB/CTV"/>
    <n v="130574"/>
    <d v="2026-06-30T00:00:00"/>
    <d v="2026-06-08T00:00:00"/>
    <d v="2026-07-19T00:00:00"/>
    <s v="Direct LFV"/>
    <m/>
    <d v="2026-07-05T12:53:18"/>
  </r>
  <r>
    <s v="ZENITH MEDIA - NY"/>
    <n v="11418"/>
    <n v="3711"/>
    <s v="WALMART"/>
    <s v="Walmart/2026 MWC/Digital/Scatter"/>
    <x v="208"/>
    <s v="Walmart - WAL2 - Run of World Cup Video - Package - 2026"/>
    <n v="592716"/>
    <s v="Walmart - WAL2 - DIO - ROV - FS - Pre/Mid - MWC - DT/MB/CTV - 2026 -"/>
    <n v="94517527"/>
    <s v="FOX Sports"/>
    <s v="CPM"/>
    <n v="40"/>
    <s v="3P Imps"/>
    <n v="944872"/>
    <n v="37794.879999999997"/>
    <m/>
    <m/>
    <s v=" "/>
    <s v=""/>
    <m/>
    <m/>
    <n v="944872"/>
    <n v="944872"/>
    <n v="0"/>
    <n v="0"/>
    <n v="1"/>
    <n v="0"/>
    <n v="0"/>
    <n v="0"/>
    <s v="Bill on Actuals - 3rd Party Performance"/>
    <n v="18687.82"/>
    <n v="1395000"/>
    <n v="55800"/>
    <s v="Walmart/2026 MWC/Digital/Scatter"/>
    <n v="94517466"/>
    <s v="P2+"/>
    <s v="O-D302D7C-R10"/>
    <m/>
    <s v="Tom Cecil"/>
    <s v="Guaranteed"/>
    <s v="DIO - ROV - FS - Pre/Mid - MWC - DT/MB/CTV"/>
    <n v="130574"/>
    <d v="2026-06-30T00:00:00"/>
    <d v="2026-06-08T00:00:00"/>
    <d v="2026-07-19T00:00:00"/>
    <s v="Direct ROV"/>
    <m/>
    <d v="2026-07-05T12:53:18"/>
  </r>
  <r>
    <s v="ZENITH MEDIA - NY"/>
    <n v="11418"/>
    <n v="3711"/>
    <s v="WALMART"/>
    <s v="Walmart/2026 MWC/Digital/Scatter"/>
    <x v="208"/>
    <s v="Walmart - WAL2 - Run of AllFOX Video - Package - 2026 - AAT"/>
    <n v="592720"/>
    <s v="Walmart - WAL2 - DIO - LFV - 1F - Tubi - Pre/Mid - ROS - DT/MB/CTV - FW - SXD - 2026 - AAT"/>
    <n v="94517489"/>
    <s v="Fox Sold Tubi"/>
    <s v="CPM"/>
    <n v="20"/>
    <s v="3P Audience Target"/>
    <n v="565213"/>
    <n v="11304.26"/>
    <m/>
    <m/>
    <s v=" "/>
    <n v="0"/>
    <m/>
    <m/>
    <n v="565213"/>
    <n v="565213"/>
    <n v="0"/>
    <n v="0"/>
    <n v="1"/>
    <n v="0"/>
    <n v="0"/>
    <n v="0"/>
    <s v="Bill on Actuals - 3rd Party Performance"/>
    <n v="5630.74"/>
    <n v="839020"/>
    <n v="16780.400000000001"/>
    <s v="Walmart/2026 MWC/Digital/Scatter"/>
    <n v="94517466"/>
    <s v="Audience Target"/>
    <s v="O-D302D7C-R10"/>
    <m/>
    <s v="Tom Cecil"/>
    <s v="Guaranteed"/>
    <s v="DIO - LFV - 1F - Tubi - Pre/Mid - ROS - DT/MB/CTV - FW - SXD"/>
    <n v="130574"/>
    <d v="2026-06-30T00:00:00"/>
    <d v="2026-06-08T00:00:00"/>
    <d v="2026-07-31T00:00:00"/>
    <s v="Direct LFV"/>
    <m/>
    <d v="2026-07-05T12:53:18"/>
  </r>
  <r>
    <s v="ZENITH MEDIA - NY"/>
    <n v="11418"/>
    <n v="3711"/>
    <s v="WALMART"/>
    <s v="Walmart/2026 MWC/Digital/Scatter"/>
    <x v="208"/>
    <s v="Walmart - WAL2 - Run of AllFOX Video - Package - 2026 - AAT"/>
    <n v="592720"/>
    <s v="Walmart - WAL2 - DIO - ROV - 1F - SEN - Pre/Mid - ROS - DT/MB/CTV - SXD - 2026 - AAT"/>
    <n v="94517536"/>
    <s v="OneFOX"/>
    <s v="CPM"/>
    <n v="20"/>
    <s v="3P Audience Target"/>
    <n v="366865"/>
    <n v="7337.3"/>
    <m/>
    <m/>
    <s v=" "/>
    <s v=""/>
    <m/>
    <m/>
    <n v="366865"/>
    <n v="366865"/>
    <n v="0"/>
    <n v="0"/>
    <n v="1"/>
    <n v="0"/>
    <n v="0"/>
    <n v="0"/>
    <s v="Bill on Actuals - 3rd Party Performance"/>
    <n v="3753.83"/>
    <n v="559347"/>
    <n v="11186.94"/>
    <s v="Walmart/2026 MWC/Digital/Scatter"/>
    <n v="94517466"/>
    <s v="Audience Target"/>
    <s v="O-D302D7C-R10"/>
    <m/>
    <s v="Tom Cecil"/>
    <s v="Guaranteed"/>
    <s v="DIO - ROV - 1F - SEN - Pre/Mid - ROS - DT/MB/CTV - SXD"/>
    <n v="130574"/>
    <d v="2026-06-30T00:00:00"/>
    <d v="2026-06-08T00:00:00"/>
    <d v="2026-07-31T00:00:00"/>
    <s v="Direct ROV"/>
    <m/>
    <d v="2026-07-05T12:53:18"/>
  </r>
  <r>
    <s v="ZENITH MEDIA - NY"/>
    <n v="11418"/>
    <n v="3711"/>
    <s v="WALMART"/>
    <s v="Walmart/2026 MWC/Digital/Scatter"/>
    <x v="208"/>
    <s v="Walmart - WAL2 - World Cup Social Sponsorship Content - Package - 2026"/>
    <n v="592724"/>
    <s v="Walmart - WAL2 - DIO - SOC - FOX Sports - Facebook/Instagram - MWC"/>
    <n v="592725"/>
    <s v="FOX Sports - FB-Inst"/>
    <s v="Flat Rate"/>
    <n v="70000"/>
    <s v="Bill on Contract"/>
    <n v="0"/>
    <n v="21428.57"/>
    <m/>
    <m/>
    <s v=" "/>
    <n v="0"/>
    <m/>
    <m/>
    <n v="0"/>
    <n v="0"/>
    <n v="0"/>
    <n v="0"/>
    <n v="1"/>
    <n v="0"/>
    <n v="0"/>
    <n v="0"/>
    <s v="Bill on Contract - Pro-rated"/>
    <n v="21428.57"/>
    <n v="1"/>
    <n v="70000"/>
    <s v="Walmart/2026 MWC/Digital/Scatter"/>
    <n v="261764"/>
    <s v="P2+"/>
    <s v="O-D302D7C-R10"/>
    <m/>
    <s v="Tom Cecil"/>
    <s v="Guaranteed"/>
    <s v="DIO - SOC - FOX Sports - Facebook/Instagram - MWC"/>
    <n v="130574"/>
    <d v="2026-06-30T00:00:00"/>
    <d v="2026-06-01T00:00:00"/>
    <d v="2026-07-19T00:00:00"/>
    <s v="Social Facebook/Instagram"/>
    <m/>
    <d v="2026-07-05T12:53:18"/>
  </r>
  <r>
    <s v="ZENITH MEDIA - NY"/>
    <n v="11418"/>
    <n v="3711"/>
    <s v="WALMART"/>
    <s v="Walmart/2026 MWC/Digital/Scatter"/>
    <x v="208"/>
    <s v="Walmart - WAL2 - World Cup Social Sponsorship Content - Package - 2026"/>
    <n v="592724"/>
    <s v="Walmart - WAL2 - DIO - SOC - FOX Sports - TikTok - MWC"/>
    <n v="592727"/>
    <s v="FOX Sports - TikTok"/>
    <s v="Flat Rate"/>
    <n v="70000"/>
    <s v="Bill on Contract"/>
    <n v="0"/>
    <n v="21428.57"/>
    <m/>
    <m/>
    <s v=" "/>
    <s v=""/>
    <m/>
    <m/>
    <n v="0"/>
    <n v="0"/>
    <n v="0"/>
    <n v="0"/>
    <n v="1"/>
    <n v="0"/>
    <n v="0"/>
    <n v="0"/>
    <s v="Bill on Contract - Pro-rated"/>
    <n v="21428.57"/>
    <n v="1"/>
    <n v="70000"/>
    <s v="Walmart/2026 MWC/Digital/Scatter"/>
    <n v="261764"/>
    <s v="P2+"/>
    <s v="O-D302D7C-R10"/>
    <m/>
    <s v="Tom Cecil"/>
    <s v="Guaranteed"/>
    <s v="DIO - SOC - FOX Sports - TikTok - MWC"/>
    <n v="130574"/>
    <d v="2026-06-30T00:00:00"/>
    <d v="2026-06-01T00:00:00"/>
    <d v="2026-07-19T00:00:00"/>
    <s v="Social TikTok"/>
    <m/>
    <d v="2026-07-05T12:53:18"/>
  </r>
  <r>
    <s v="ZENITH MEDIA - NY"/>
    <n v="11418"/>
    <n v="3711"/>
    <s v="WALMART"/>
    <s v="Walmart/2026 MWC/Digital/Scatter"/>
    <x v="208"/>
    <s v="Walmart - WAL2 - World Cup Social Sponsorship Content - Package - 2026"/>
    <n v="592724"/>
    <s v="Walmart - WAL2 - DIO - SOC - FOX Sports - Youtube - Custom Content - MWC"/>
    <n v="592726"/>
    <s v="FOX Sports"/>
    <s v="Flat Rate"/>
    <n v="70000"/>
    <s v="Bill on Contract"/>
    <n v="0"/>
    <n v="21428.57"/>
    <m/>
    <m/>
    <s v=" "/>
    <s v=""/>
    <m/>
    <m/>
    <n v="0"/>
    <n v="0"/>
    <n v="0"/>
    <n v="0"/>
    <n v="1"/>
    <n v="0"/>
    <n v="0"/>
    <n v="0"/>
    <s v="Bill on Contract - Pro-rated"/>
    <n v="21428.57"/>
    <n v="1"/>
    <n v="70000"/>
    <s v="Walmart/2026 MWC/Digital/Scatter"/>
    <n v="261764"/>
    <s v="P2+"/>
    <s v="O-D302D7C-R10"/>
    <m/>
    <s v="Tom Cecil"/>
    <s v="Guaranteed"/>
    <s v="DIO - SOC - FOX Sports - Youtube - Custom Content - MWC"/>
    <n v="130574"/>
    <d v="2026-06-30T00:00:00"/>
    <d v="2026-06-01T00:00:00"/>
    <d v="2026-07-19T00:00:00"/>
    <s v="Social"/>
    <m/>
    <d v="2026-07-05T12:53:18"/>
  </r>
  <r>
    <s v="ZENITH MEDIA - NY"/>
    <n v="11418"/>
    <n v="3711"/>
    <s v="WALMART"/>
    <s v="Walmart/25-26/Upfront/Digital/One Fox2Q'26IncrementalDIO-Summer Deals"/>
    <x v="209"/>
    <s v="Walmart - Run of AllFOX Video - 2Q'26 Package - AAT - A18-49 - Summer Deals"/>
    <n v="585996"/>
    <s v="Walmart - DIO - LFV - 1F - Tubi - Pre/Mid - ROS - DT/MB/CTV - FW - SXD - AAT - A18-49 - 2Q'26 - Summer Deals"/>
    <n v="94294223"/>
    <s v="Fox Sold Tubi"/>
    <s v="CPM"/>
    <n v="16.46"/>
    <s v="3P Audience Target"/>
    <n v="782724"/>
    <n v="12500"/>
    <m/>
    <m/>
    <s v=" "/>
    <n v="0"/>
    <m/>
    <m/>
    <n v="782724"/>
    <n v="782724"/>
    <n v="0"/>
    <n v="0"/>
    <n v="1"/>
    <n v="0"/>
    <n v="0"/>
    <n v="0"/>
    <s v="Bill on Actuals - 3rd Party Performance"/>
    <n v="6250"/>
    <n v="759417"/>
    <n v="12500"/>
    <s v="Walmart/25-26/Upfront/Digital/One Fox2Q'26IncrementalDIO-Summer Deals"/>
    <n v="94294220"/>
    <s v="Audience Target"/>
    <s v="O-D308T40-R2"/>
    <m/>
    <s v="Jon Renz"/>
    <s v="Guaranteed"/>
    <s v="DIO - LFV - 1F - Tubi - Pre/Mid - ROS - DT/MB/CTV - FW - SXD"/>
    <n v="129374"/>
    <d v="2026-06-30T00:00:00"/>
    <d v="2026-06-08T00:00:00"/>
    <d v="2026-06-28T00:00:00"/>
    <s v="Direct LFV"/>
    <m/>
    <d v="2026-07-05T12:53:18"/>
  </r>
  <r>
    <s v="ZENITH MEDIA - NY"/>
    <n v="11418"/>
    <n v="3711"/>
    <s v="WALMART"/>
    <s v="Walmart/25-26/Upfront/Digital/One Fox2Q'26IncrementalDIO-Summer Deals"/>
    <x v="209"/>
    <s v="Walmart - Run of AllFOX Video - 2Q'26 Package - AAT - A18-49 - Summer Deals"/>
    <n v="585996"/>
    <s v="Walmart - DIO - ROV - 1F - SEN - Pre/Mid - ROS - DT/MB/CTV - SXD - AAT - A18-49 - 2Q'26 - Summer Deals"/>
    <n v="94294226"/>
    <s v="OneFOX"/>
    <s v="CPM"/>
    <n v="16.46"/>
    <s v="3P Audience Target"/>
    <n v="7016399"/>
    <n v="112500"/>
    <m/>
    <m/>
    <s v=" "/>
    <s v=""/>
    <m/>
    <m/>
    <n v="7016399"/>
    <n v="7016399"/>
    <n v="0"/>
    <n v="0"/>
    <n v="1"/>
    <n v="0"/>
    <n v="0"/>
    <n v="0"/>
    <s v="Bill on Actuals - 3rd Party Performance"/>
    <n v="56250"/>
    <n v="6834751"/>
    <n v="112500"/>
    <s v="Walmart/25-26/Upfront/Digital/One Fox2Q'26IncrementalDIO-Summer Deals"/>
    <n v="94294220"/>
    <s v="Audience Target"/>
    <s v="O-D308T40-R2"/>
    <m/>
    <s v="Jon Renz"/>
    <s v="Guaranteed"/>
    <s v="DIO - ROV - 1F - SEN - Pre/Mid - ROS - DT/MB/CTV - SXD"/>
    <n v="129374"/>
    <d v="2026-06-30T00:00:00"/>
    <d v="2026-06-08T00:00:00"/>
    <d v="2026-06-28T00:00:00"/>
    <s v="Direct ROV"/>
    <m/>
    <d v="2026-07-05T12:53:18"/>
  </r>
  <r>
    <s v="ZENITH MEDIA - NY"/>
    <n v="11418"/>
    <n v="3711"/>
    <s v="WALMART"/>
    <s v="Walmart/Digital/Upfront/Sports-Social/UF/2Q'26"/>
    <x v="210"/>
    <s v="Walmart - DIO - ROV - FS - Pre/Mid - ROS - DT/MB/CTV - A18-49 - 2Q'26 Package - FB2"/>
    <n v="578855"/>
    <s v="Walmart - ROV - FS - Pre/Mid - ROS - DT/MB/CTV - A18-49 - 2Q'26 - FB2"/>
    <n v="92986531"/>
    <s v="FOX Sports"/>
    <s v="CPM"/>
    <n v="29.21"/>
    <s v="3P CoView Imps"/>
    <n v="15129"/>
    <n v="0"/>
    <m/>
    <m/>
    <s v=" "/>
    <n v="0"/>
    <m/>
    <m/>
    <n v="5744"/>
    <n v="26629"/>
    <n v="3263"/>
    <n v="15129"/>
    <n v="1"/>
    <n v="0.56814621409921673"/>
    <n v="0"/>
    <n v="0"/>
    <s v="Bill on Contract - Straightline"/>
    <n v="0"/>
    <n v="18465"/>
    <n v="539.36"/>
    <s v="Walmart/Digital/Upfront/Sports-Social/UF/2Q'26"/>
    <n v="92986528"/>
    <s v="P18-49"/>
    <s v="O-D2PQEJU-R9"/>
    <m/>
    <s v="Tom Cecil"/>
    <s v="Guaranteed"/>
    <s v="ROV - FS - Pre/Mid - ROS - DT/MB/CTV"/>
    <n v="123556"/>
    <d v="2026-06-30T00:00:00"/>
    <d v="2026-05-01T00:00:00"/>
    <d v="2026-06-07T00:00:00"/>
    <s v="Direct ROV"/>
    <m/>
    <d v="2026-07-05T12:53:18"/>
  </r>
  <r>
    <s v="ZENITH MEDIA - NY"/>
    <n v="11418"/>
    <n v="3711"/>
    <s v="WALMART"/>
    <s v="Walmart/Digital/Upfront/Sports-Social/UF/2Q'26"/>
    <x v="210"/>
    <s v="Walmart - DIO - ROV - FS - Pre/Mid - ROS - DT/MB/CTV - A18-49 - 2Q'26 Package - BTX2"/>
    <n v="578857"/>
    <s v="Walmart - ROV - FS - Pre/Mid - ROS - DT/MB/CTV - A18-49 - 2Q'26 - BTX2"/>
    <n v="92986539"/>
    <s v="FOX Sports"/>
    <s v="CPM"/>
    <n v="29.21"/>
    <s v="3P CoView Imps"/>
    <n v="172526"/>
    <n v="2486.94"/>
    <m/>
    <m/>
    <s v=" "/>
    <n v="0"/>
    <m/>
    <m/>
    <n v="209364"/>
    <n v="209364"/>
    <n v="172526"/>
    <n v="172526"/>
    <n v="1"/>
    <n v="0.82405218645387124"/>
    <n v="0"/>
    <n v="0"/>
    <s v="Bill on Contract - Straightline"/>
    <n v="2486.94"/>
    <n v="170280"/>
    <n v="4973.88"/>
    <s v="Walmart/Digital/Upfront/Sports-Social/UF/2Q'26"/>
    <n v="92986528"/>
    <s v="P18-49"/>
    <s v="O-D2PQEJU-R9"/>
    <m/>
    <s v="Tom Cecil"/>
    <s v="Guaranteed"/>
    <s v="ROV - FS - Pre/Mid - ROS - DT/MB/CTV"/>
    <n v="123556"/>
    <d v="2026-06-30T00:00:00"/>
    <d v="2026-06-22T00:00:00"/>
    <d v="2026-06-28T00:00:00"/>
    <s v="Direct ROV"/>
    <m/>
    <d v="2026-07-05T12:53:18"/>
  </r>
  <r>
    <s v="ZENITH MEDIA - NY"/>
    <n v="11418"/>
    <n v="3711"/>
    <s v="WALMART"/>
    <s v="Walmart/Digital/Upfront/Sports-Social/UF/2Q'26"/>
    <x v="210"/>
    <s v="Walmart - DIO - ROV - FS - Pre/Mid - ROS - DT/MB/CTV - A18-49 - 2Q'26 Package - WAL2"/>
    <n v="578859"/>
    <s v="Walmart - ROV - FS - Pre/Mid - ROS - DT/MB/CTV - A18-49 - 2Q'26 - WAL2"/>
    <n v="92986543"/>
    <s v="FOX Sports"/>
    <s v="CPM"/>
    <n v="29.21"/>
    <s v="3P CoView Imps"/>
    <n v="567648"/>
    <n v="9455.25"/>
    <m/>
    <m/>
    <s v=" "/>
    <n v="0"/>
    <m/>
    <m/>
    <n v="889350"/>
    <n v="753851"/>
    <n v="669678"/>
    <n v="567648"/>
    <n v="1"/>
    <n v="0.75299809487863834"/>
    <n v="0"/>
    <n v="0"/>
    <s v="Bill on Contract - Straightline"/>
    <n v="9455.25"/>
    <n v="1097919"/>
    <n v="32070.21"/>
    <s v="Walmart/Digital/Upfront/Sports-Social/UF/2Q'26"/>
    <n v="92986528"/>
    <s v="P18-49"/>
    <s v="O-D2PQEJU-R9"/>
    <m/>
    <s v="Tom Cecil"/>
    <s v="Guaranteed"/>
    <s v="ROV - FS - Pre/Mid - ROS - DT/MB/CTV"/>
    <n v="123556"/>
    <d v="2026-06-30T00:00:00"/>
    <d v="2026-05-04T00:00:00"/>
    <d v="2026-06-21T00:00:00"/>
    <s v="Direct ROV"/>
    <m/>
    <d v="2026-07-05T12:53:18"/>
  </r>
  <r>
    <s v="ZENITH MEDIA - NY"/>
    <n v="11418"/>
    <n v="3711"/>
    <s v="WALMART"/>
    <s v="Walmart/Digital/Upfront/Sports-Social/UF/2Q'26"/>
    <x v="210"/>
    <s v="Walmart - DIO - ROV - FS - Pre/Mid - ROS - DT/MB/CTV - A18-49 - 2Q'26 Package - PO2"/>
    <n v="578865"/>
    <s v="Walmart - ROV - FS - Pre/Mid - ROS - DT/MB/CTV - A18-49 - 2Q'26 - PO2"/>
    <n v="92986547"/>
    <s v="FOX Sports"/>
    <s v="CPM"/>
    <n v="29.21"/>
    <s v="3P CoView Imps"/>
    <n v="627036"/>
    <n v="9038.7999999999993"/>
    <m/>
    <m/>
    <s v=" "/>
    <n v="0"/>
    <m/>
    <m/>
    <n v="899051"/>
    <n v="864570"/>
    <n v="652044"/>
    <n v="627036"/>
    <n v="1"/>
    <n v="0.72525860497784023"/>
    <n v="0"/>
    <n v="0"/>
    <s v="Bill on Contract - Straightline"/>
    <n v="9038.7999999999993"/>
    <n v="1144136"/>
    <n v="33420.21"/>
    <s v="Walmart/Digital/Upfront/Sports-Social/UF/2Q'26"/>
    <n v="92986528"/>
    <s v="P18-49"/>
    <s v="O-D2PQEJU-R9"/>
    <m/>
    <s v="Tom Cecil"/>
    <s v="Guaranteed"/>
    <s v="ROV - FS - Pre/Mid - ROS - DT/MB/CTV"/>
    <n v="123556"/>
    <d v="2026-06-30T00:00:00"/>
    <d v="2026-05-04T00:00:00"/>
    <d v="2026-06-21T00:00:00"/>
    <s v="Direct ROV"/>
    <m/>
    <d v="2026-07-05T12:53:18"/>
  </r>
  <r>
    <s v="ZENITH MEDIA - NY"/>
    <n v="11418"/>
    <n v="3711"/>
    <s v="WALMART"/>
    <s v="Walmart/Digital/Upfront/Sports-Social/UF/2Q'26"/>
    <x v="210"/>
    <s v="Walmart - DIO - ROV - FS - Pre/Mid - ROS - DT/MB/CTV - A18-49 - 2Q'26 Package - EX2"/>
    <n v="578869"/>
    <s v="Walmart - ROV - FS - Pre/Mid - ROS - DT/MB/CTV - A18-49 - 2Q'26 - EX2"/>
    <n v="92986551"/>
    <s v="FOX Sports"/>
    <s v="CPM"/>
    <n v="29.21"/>
    <s v="3P CoView Imps"/>
    <n v="630142"/>
    <n v="5883.06"/>
    <m/>
    <m/>
    <s v=" "/>
    <n v="0"/>
    <m/>
    <m/>
    <n v="580823"/>
    <n v="847406"/>
    <n v="431907"/>
    <n v="630142"/>
    <n v="1"/>
    <n v="0.74361297243031943"/>
    <n v="0"/>
    <n v="0"/>
    <s v="Bill on Contract - Straightline"/>
    <n v="5883.06"/>
    <n v="960040"/>
    <n v="28042.77"/>
    <s v="Walmart/Digital/Upfront/Sports-Social/UF/2Q'26"/>
    <n v="92986528"/>
    <s v="P18-49"/>
    <s v="O-D2PQEJU-R9"/>
    <m/>
    <s v="Tom Cecil"/>
    <s v="Guaranteed"/>
    <s v="ROV - FS - Pre/Mid - ROS - DT/MB/CTV"/>
    <n v="123556"/>
    <d v="2026-06-30T00:00:00"/>
    <d v="2026-05-01T00:00:00"/>
    <d v="2026-06-28T00:00:00"/>
    <s v="Direct ROV"/>
    <m/>
    <d v="2026-07-05T12:53: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s v="AGC005226"/>
    <s v="AMAZON XCM"/>
    <s v="ADV011498"/>
    <s v="Amazon XCM/Digital/Direct/Upfront/Entertainment/25-26/UPFTRES"/>
    <x v="0"/>
    <s v="LFV - RON Ent - ROS - Pre/Mid - DT/MB/CTV/VOD - Package"/>
    <n v="3535"/>
    <n v="538245"/>
    <s v="Amazon XCM - LFV - RON Entertainment - ROS - Pre/Mid - DT/MB/CTV/VOD - A1849 AAT - Package - 3Q'26 UPFTRES"/>
    <d v="2026-06-29T00:00:00"/>
    <d v="2026-09-27T00:00:00"/>
    <s v="FOX DCM"/>
    <s v="CPM"/>
    <n v="19"/>
    <n v="39470842"/>
    <n v="749946"/>
    <s v="Impressions"/>
    <s v="performance"/>
    <n v="0"/>
    <n v="0"/>
    <s v="performance"/>
    <n v="0"/>
    <s v="invoice_schedule"/>
    <n v="0"/>
    <n v="0"/>
    <n v="0"/>
    <m/>
    <m/>
    <d v="2026-06-29T00:00:00"/>
    <d v="2026-09-27T00:00:00"/>
    <s v="Erin Travers"/>
    <s v="None"/>
    <s v="JUN'26"/>
    <n v="749946"/>
    <n v="95194"/>
    <s v="Matthew DiToro"/>
  </r>
  <r>
    <s v="AGC002601"/>
    <s v="WARNER BROS"/>
    <s v="ADV006261"/>
    <s v="Warner Brothers/Digital/Direct/Upfront/Entertainment/25-26/UPFTRES"/>
    <x v="1"/>
    <s v="LFV - RON Ent - ROS - Pre/Mid - DT/MB/CTV/VOD - Package"/>
    <n v="3535"/>
    <n v="537460"/>
    <s v="CANCELLED - Warner Brothers - LFV - RON Entertainment - ROS - Pre/Mid - DT/MB/CTV/VOD - P2+ No CoV - Package - 2Q'26 UPFTRES"/>
    <d v="2026-05-07T00:00:00"/>
    <d v="2026-06-28T00:00:00"/>
    <s v="FOX DCM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5-07T00:00:00"/>
    <d v="2026-06-28T00:00:00"/>
    <s v="Kailey McGinn"/>
    <s v="None"/>
    <s v="JUN'26"/>
    <n v="0"/>
    <n v="101604"/>
    <s v="Matthew DiToro"/>
  </r>
  <r>
    <s v="AGC001913"/>
    <s v="CONSTELLATION BRANDS"/>
    <s v="ADV001091"/>
    <s v="Constellation/Modelo/25-26/Upfront/Digital/Sports/Streaming"/>
    <x v="2"/>
    <s v="Generic Flighted Bottom Up Package"/>
    <n v="1"/>
    <n v="534730"/>
    <s v="MODELO/UF/SPORTS/D/25-26/P2+/2Q'26"/>
    <d v="2026-04-01T00:00:00"/>
    <d v="2026-06-30T00:00:00"/>
    <m/>
    <s v="CPM"/>
    <n v="25"/>
    <n v="4135880"/>
    <n v="103397.01"/>
    <m/>
    <s v="performance"/>
    <n v="0"/>
    <n v="0"/>
    <s v="performance"/>
    <n v="269644"/>
    <s v="invoice_schedule"/>
    <n v="6741.12"/>
    <n v="6741.12"/>
    <n v="6741.12"/>
    <n v="615694"/>
    <n v="0"/>
    <d v="2026-04-01T00:00:00"/>
    <d v="2026-06-30T00:00:00"/>
    <s v="John Hertman"/>
    <s v="None"/>
    <s v="JUN'26"/>
    <n v="200000.03"/>
    <n v="96408"/>
    <s v="Colleen Cahill"/>
  </r>
  <r>
    <s v="AGC002070"/>
    <s v="NATIONAL VISION INC"/>
    <s v="ADV006329"/>
    <s v="National Vision/Digital/Upfront/ONEFOX/UF 2025/26"/>
    <x v="3"/>
    <s v="Generic Flighted Bottom Up Package"/>
    <n v="1"/>
    <n v="537073"/>
    <s v="CANCELLED - National Vision - OneFOX - A25-54 - 3Q'26 Package - UPFT RES"/>
    <d v="2026-06-29T00:00:00"/>
    <d v="2026-09-27T00:00:00"/>
    <s v="FOX DCM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6-29T00:00:00"/>
    <d v="2026-09-27T00:00:00"/>
    <s v="Katie Johnson"/>
    <s v="None"/>
    <s v="JUN'26"/>
    <n v="0"/>
    <n v="95920"/>
    <s v="Tim Wodzisz"/>
  </r>
  <r>
    <s v="AGC001318"/>
    <s v="KIA"/>
    <s v="ADV004496"/>
    <s v="Kia/Digital/Upfront/Entertainment/UF 2025/26 - 1-3Q26"/>
    <x v="4"/>
    <s v="LFV - RON Ent - ROS - Pre/Mid - DT/MB/CTV/VOD - Package"/>
    <n v="3535"/>
    <n v="537026"/>
    <s v="KIA - LFV - RON Ent - ROS - Pre/Mid - DT/MB/CTV/VOD - Package - 3Q'26"/>
    <d v="2026-06-29T00:00:00"/>
    <d v="2026-09-27T00:00:00"/>
    <s v="FOX DCM"/>
    <s v="CPM"/>
    <n v="33.57"/>
    <n v="7447126"/>
    <n v="250000.02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Jessica Lang"/>
    <s v="None"/>
    <s v="JUN'26"/>
    <n v="830000.67"/>
    <n v="96341"/>
    <s v="Allison Klein"/>
  </r>
  <r>
    <s v="AGC001035"/>
    <s v="AUDI"/>
    <s v="ADV006306"/>
    <s v="Audi/Digital/Upfront/Sports/MLS/2026"/>
    <x v="5"/>
    <m/>
    <m/>
    <n v="538224"/>
    <s v="Audi - LFV - FSLS - Pre - MLS - DT/MB/CTV - 100% SOV Sponsorship - 2026"/>
    <d v="2026-02-21T00:00:00"/>
    <d v="2026-12-31T00:00:00"/>
    <s v="FOX DCM"/>
    <s v="SOV-Flat Rate"/>
    <n v="75000"/>
    <n v="1"/>
    <n v="75000"/>
    <s v="n/a"/>
    <s v="prorated"/>
    <n v="0"/>
    <n v="7165.6050999999998"/>
    <s v="prorated"/>
    <n v="0"/>
    <s v="invoice_schedule"/>
    <n v="6768.0042000000003"/>
    <n v="6768.0042000000003"/>
    <n v="6768.0042000000003"/>
    <m/>
    <m/>
    <d v="2026-02-21T00:00:00"/>
    <d v="2026-12-31T00:00:00"/>
    <s v="Kailey McGinn"/>
    <s v="None"/>
    <s v="JUN'26"/>
    <n v="85000.05"/>
    <n v="101619"/>
    <s v="Nicole Gamache"/>
  </r>
  <r>
    <s v="AGC001035"/>
    <s v="AUDI"/>
    <s v="ADV006306"/>
    <s v="Audi/Digital/Upfront/Sports/MLS/2026"/>
    <x v="5"/>
    <s v="Generic Flighted Bottom Up Package"/>
    <n v="1"/>
    <n v="538226"/>
    <s v="Audi - LFV - ROV - FS - Pre/Mid - MLS/Soccer - DT/MB/TB/CTV - CoV - P2+ - Package - 2026"/>
    <d v="2026-02-21T00:00:00"/>
    <d v="2026-12-31T00:00:00"/>
    <s v="FOX DCM"/>
    <s v="CPM"/>
    <n v="25.7"/>
    <n v="389106"/>
    <n v="10000.02"/>
    <s v="CoV Impressions"/>
    <s v="performance"/>
    <n v="0"/>
    <n v="0"/>
    <s v="performance"/>
    <n v="16417"/>
    <s v="invoice_schedule"/>
    <n v="421.9169"/>
    <n v="421.9169"/>
    <n v="421.9169"/>
    <n v="17205"/>
    <n v="16417"/>
    <d v="2026-02-21T00:00:00"/>
    <d v="2026-12-31T00:00:00"/>
    <s v="Kailey McGinn"/>
    <s v="None"/>
    <s v="JUN'26"/>
    <n v="85000.05"/>
    <n v="101619"/>
    <s v="Nicole Gamache"/>
  </r>
  <r>
    <s v="AGC001249"/>
    <s v="US ARMY"/>
    <s v="ADV000193"/>
    <s v="Army / UPFRONT / DIGITAL / SPORTS 2025/26"/>
    <x v="6"/>
    <s v="DIO - ROV - FS - Pre/Mid - ROS - DT/MB/CTV - Package"/>
    <n v="7968"/>
    <n v="585268"/>
    <s v="ARMY - DIO - ROV - FS - Pre/Mid - ROS - DT/MB/CTV - 2Q'26 AAT A1849"/>
    <d v="2026-04-24T00:00:00"/>
    <d v="2026-06-28T00:00:00"/>
    <m/>
    <s v="CPM"/>
    <n v="27.97"/>
    <n v="3166932"/>
    <n v="88579.09"/>
    <s v="Impressions"/>
    <s v="performance"/>
    <n v="0"/>
    <n v="0"/>
    <s v="performance"/>
    <n v="310672"/>
    <s v="invoice_schedule"/>
    <n v="8689.4958000000006"/>
    <n v="8689.4958000000006"/>
    <n v="8689.4958000000006"/>
    <n v="327357"/>
    <n v="310672"/>
    <d v="2026-04-24T00:00:00"/>
    <d v="2026-06-28T00:00:00"/>
    <s v="Anthony Gizzo"/>
    <s v="None"/>
    <s v="JUN'26"/>
    <n v="199999.99"/>
    <n v="109200"/>
    <s v="Adam Chardavoyne"/>
  </r>
  <r>
    <s v="AGC001913"/>
    <s v="EGGLANDS FOOD COMPANY"/>
    <s v="ADV006280"/>
    <s v="Eggland's Best/Digital/Scatter/Entertainment/2Q-3Q26"/>
    <x v="7"/>
    <s v="DIO - LFV - Entertainment ROS - Package"/>
    <n v="2789"/>
    <n v="549546"/>
    <s v="EGGLAND'S BEST/D/ENT/SCATTER/RON/2-3Q'26"/>
    <d v="2026-04-13T00:00:00"/>
    <d v="2026-09-30T00:00:00"/>
    <s v="FOX DCM"/>
    <s v="CPM"/>
    <n v="20.100000000000001"/>
    <n v="9950249"/>
    <n v="200000"/>
    <s v="CoV Impressions"/>
    <s v="performance"/>
    <n v="0"/>
    <n v="0"/>
    <s v="performance"/>
    <n v="488055"/>
    <s v="invoice_schedule"/>
    <n v="9809.9055000000008"/>
    <n v="9809.9055000000008"/>
    <n v="9809.9055000000008"/>
    <n v="502244"/>
    <n v="488055"/>
    <d v="2026-04-13T00:00:00"/>
    <d v="2026-09-30T00:00:00"/>
    <s v="John Hertman"/>
    <s v="None"/>
    <s v="JUN'26"/>
    <n v="300000.01"/>
    <n v="105784"/>
    <s v="Jeanne Feeley"/>
  </r>
  <r>
    <s v="AGC001913"/>
    <s v="EGGLANDS FOOD COMPANY"/>
    <s v="ADV006280"/>
    <s v="Eggland's Best/Digital/Scatter/Entertainment/2Q-3Q26"/>
    <x v="7"/>
    <s v="DIO - LFV - Entertainment ROS - Package"/>
    <n v="2789"/>
    <n v="549549"/>
    <s v="EGGLAND'S BEST/LFV/Amplified Absolute A Show Mix /P2+/2-3Q'26"/>
    <d v="2026-05-20T00:00:00"/>
    <d v="2026-06-04T00:00:00"/>
    <s v="FOX 1st Party"/>
    <s v="CPM"/>
    <n v="34"/>
    <n v="1470589"/>
    <n v="50000.03"/>
    <s v="CoV Impressions"/>
    <s v="performance"/>
    <n v="0"/>
    <n v="0"/>
    <s v="performance"/>
    <n v="221142"/>
    <s v="invoice_schedule"/>
    <n v="7518.83"/>
    <n v="7518.83"/>
    <n v="7518.83"/>
    <n v="264775"/>
    <n v="0"/>
    <d v="2026-05-20T00:00:00"/>
    <d v="2026-06-04T00:00:00"/>
    <s v="John Hertman"/>
    <s v="None"/>
    <s v="JUN'26"/>
    <n v="300000.01"/>
    <n v="105784"/>
    <s v="Jeanne Feeley"/>
  </r>
  <r>
    <s v="AGC001913"/>
    <s v="EGGLANDS FOOD COMPANY"/>
    <s v="ADV006280"/>
    <s v="Eggland's Best/Digital/Scatter/Entertainment/2Q-3Q26"/>
    <x v="7"/>
    <m/>
    <m/>
    <n v="549554"/>
    <s v="EGGLAND'S BEST/D/ENT/SCATTER/SOCIAL/@Foodclubfox"/>
    <d v="2026-05-18T00:00:00"/>
    <d v="2026-06-08T00:00:00"/>
    <s v="FOX 1st Party"/>
    <s v="SOV-Flat Rate"/>
    <n v="50000"/>
    <n v="1"/>
    <n v="50000"/>
    <s v="Impressions"/>
    <s v="prorated"/>
    <n v="0"/>
    <n v="18181.8181"/>
    <s v="prorated"/>
    <n v="0"/>
    <s v="invoice_schedule"/>
    <n v="18181.8181"/>
    <n v="18181.8181"/>
    <n v="18181.8181"/>
    <m/>
    <m/>
    <d v="2026-05-18T00:00:00"/>
    <d v="2026-06-08T00:00:00"/>
    <s v="John Hertman"/>
    <s v="None"/>
    <s v="JUN'26"/>
    <n v="300000.01"/>
    <n v="105784"/>
    <s v="Jeanne Feeley"/>
  </r>
  <r>
    <s v="AGC001913"/>
    <s v="CARNIVAL CRUISE LINES"/>
    <s v="ADV004004"/>
    <s v="Carnival/2026/Scatter/Digital/MWC"/>
    <x v="8"/>
    <s v="Run of World Cup Video - Package"/>
    <n v="8005"/>
    <n v="580820"/>
    <s v="CARNIVAL/S/SPORTS/25-26/MWC/Run of WC Video"/>
    <d v="2026-06-01T00:00:00"/>
    <d v="2026-07-19T00:00:00"/>
    <s v="FOX DCM"/>
    <s v="CPM"/>
    <n v="35"/>
    <n v="5400000"/>
    <n v="189000"/>
    <s v="Impressions"/>
    <s v="performance"/>
    <n v="0"/>
    <n v="0"/>
    <s v="performance"/>
    <n v="2428121"/>
    <s v="invoice_schedule"/>
    <n v="84984.235000000001"/>
    <n v="84984.235000000001"/>
    <n v="84984.235000000001"/>
    <n v="2429157"/>
    <n v="2428121"/>
    <d v="2026-06-01T00:00:00"/>
    <d v="2026-07-19T00:00:00"/>
    <s v="John Hertman"/>
    <s v="None"/>
    <s v="JUN'26"/>
    <n v="600000.03"/>
    <n v="127378"/>
    <s v="Colleen Cahill"/>
  </r>
  <r>
    <s v="AGC001913"/>
    <s v="CARNIVAL CRUISE LINES"/>
    <s v="ADV004004"/>
    <s v="Carnival/2026/Scatter/Digital/MWC"/>
    <x v="8"/>
    <s v="Run of FOX Sports Video - Package"/>
    <n v="8002"/>
    <n v="580823"/>
    <s v="CARNIVAL/S/SPORTS/25-26/MWC/Run of FS Video"/>
    <d v="2026-06-01T00:00:00"/>
    <d v="2026-07-19T00:00:00"/>
    <s v="FOX DCM"/>
    <s v="CPM"/>
    <n v="25"/>
    <n v="1000000"/>
    <n v="25000"/>
    <s v="Impressions"/>
    <s v="performance"/>
    <n v="0"/>
    <n v="0"/>
    <s v="performance"/>
    <n v="415842"/>
    <s v="invoice_schedule"/>
    <n v="10396.049999999999"/>
    <n v="10396.049999999999"/>
    <n v="10396.049999999999"/>
    <n v="425246"/>
    <n v="415842"/>
    <d v="2026-06-01T00:00:00"/>
    <d v="2026-07-19T00:00:00"/>
    <s v="John Hertman"/>
    <s v="None"/>
    <s v="JUN'26"/>
    <n v="600000.03"/>
    <n v="127378"/>
    <s v="Colleen Cahill"/>
  </r>
  <r>
    <s v="AGC001913"/>
    <s v="CARNIVAL CRUISE LINES"/>
    <s v="ADV004004"/>
    <s v="Carnival/2026/Scatter/Digital/MWC"/>
    <x v="8"/>
    <s v="Run of World Cup Display - Package"/>
    <n v="8004"/>
    <n v="580825"/>
    <s v="CARNIVAL/S/SPORTS/25-26/MWC/Run of WC Display"/>
    <d v="2026-06-01T00:00:00"/>
    <d v="2026-07-19T00:00:00"/>
    <s v="FOX DCM"/>
    <s v="CPM"/>
    <n v="6"/>
    <n v="8333333"/>
    <n v="50000"/>
    <s v="Impressions"/>
    <s v="performance"/>
    <n v="0"/>
    <n v="0"/>
    <s v="performance"/>
    <n v="6061028"/>
    <s v="invoice_schedule"/>
    <n v="36366.167999999998"/>
    <n v="36366.167999999998"/>
    <n v="36366.167999999998"/>
    <n v="6062382"/>
    <n v="6061028"/>
    <d v="2026-06-01T00:00:00"/>
    <d v="2026-07-19T00:00:00"/>
    <s v="John Hertman"/>
    <s v="None"/>
    <s v="JUN'26"/>
    <n v="600000.03"/>
    <n v="127378"/>
    <s v="Colleen Cahill"/>
  </r>
  <r>
    <s v="AGC001913"/>
    <s v="CARNIVAL CRUISE LINES"/>
    <s v="ADV004004"/>
    <s v="Carnival/2026/Scatter/Digital/MWC"/>
    <x v="8"/>
    <s v="World Cup Social Sponsorship Content - Package"/>
    <n v="8000"/>
    <n v="580840"/>
    <s v="CARNIVAL/S/SPORTS/25-26/MWC/SOCIAL"/>
    <d v="2026-06-01T00:00:00"/>
    <d v="2026-07-19T00:00:00"/>
    <s v="FOX 1st Party"/>
    <s v="SOV-Flat Rate"/>
    <n v="180000"/>
    <n v="3"/>
    <n v="180000"/>
    <s v="n/a"/>
    <s v="prorated"/>
    <n v="2"/>
    <n v="110204.0817"/>
    <s v="prorated"/>
    <n v="2"/>
    <s v="invoice_schedule"/>
    <n v="110204.0817"/>
    <n v="110204.0817"/>
    <n v="110204.0817"/>
    <m/>
    <m/>
    <d v="2026-06-01T00:00:00"/>
    <d v="2026-07-19T00:00:00"/>
    <s v="John Hertman"/>
    <s v="None"/>
    <s v="JUN'26"/>
    <n v="600000.03"/>
    <n v="127378"/>
    <s v="Colleen Cahill"/>
  </r>
  <r>
    <s v="AGC001913"/>
    <s v="CARNIVAL CRUISE LINES"/>
    <s v="ADV004004"/>
    <s v="Carnival/2026/Scatter/Digital/MWC"/>
    <x v="8"/>
    <s v="Run of AllFOX Video - Package"/>
    <n v="7998"/>
    <n v="582660"/>
    <s v="CARNIVAL/S/SPORTS/25-26/ALLFOX/AAT"/>
    <d v="2026-06-01T00:00:00"/>
    <d v="2026-07-19T00:00:00"/>
    <s v="FOX DCM"/>
    <s v="CPM"/>
    <n v="21"/>
    <n v="7380953"/>
    <n v="155000.01"/>
    <s v="Impressions"/>
    <s v="performance"/>
    <n v="0"/>
    <n v="0"/>
    <s v="performance"/>
    <n v="4889067"/>
    <s v="invoice_schedule"/>
    <n v="102670.40700000001"/>
    <n v="102670.40700000001"/>
    <n v="102670.40700000001"/>
    <n v="4881622"/>
    <n v="4889067"/>
    <d v="2026-06-01T00:00:00"/>
    <d v="2026-07-19T00:00:00"/>
    <s v="John Hertman"/>
    <s v="None"/>
    <s v="JUN'26"/>
    <n v="600000.03"/>
    <n v="127378"/>
    <s v="Colleen Cahill"/>
  </r>
  <r>
    <s v="AGC001913"/>
    <s v="CARNIVAL CRUISE LINES"/>
    <s v="ADV004004"/>
    <s v="Carnival/2026/Scatter/Digital/MWC"/>
    <x v="8"/>
    <s v="Run of FOX Sports Display - Package"/>
    <n v="8001"/>
    <n v="587925"/>
    <s v="CARNIVAL/S/SPORTS/25-26/Run of FOX Sports Display"/>
    <d v="2026-06-01T00:00:00"/>
    <d v="2026-07-19T00:00:00"/>
    <s v="FOX DCM"/>
    <s v="CPM"/>
    <n v="6"/>
    <n v="166667"/>
    <n v="1000"/>
    <s v="Impressions"/>
    <s v="performance"/>
    <n v="0"/>
    <n v="0"/>
    <s v="performance"/>
    <n v="36331"/>
    <s v="invoice_schedule"/>
    <n v="217.98599999999999"/>
    <n v="217.98599999999999"/>
    <n v="217.98599999999999"/>
    <n v="36336"/>
    <n v="36331"/>
    <d v="2026-06-01T00:00:00"/>
    <d v="2026-07-19T00:00:00"/>
    <s v="John Hertman"/>
    <s v="None"/>
    <s v="JUN'26"/>
    <n v="600000.03"/>
    <n v="127378"/>
    <s v="Colleen Cahill"/>
  </r>
  <r>
    <s v="AGC002070"/>
    <s v="STARBUCKS"/>
    <s v="ADV005074"/>
    <s v="THE STARBUCKS COMPANY/DIGITAL/SCATTER/SPORTS/MWC/2Q'26"/>
    <x v="9"/>
    <s v="World Cup Social Sponsorship Content - Package"/>
    <n v="8000"/>
    <n v="582320"/>
    <s v="Starbucks - World Cup Social Sponsorship Content - 2026 MWC Package"/>
    <d v="2026-06-01T00:00:00"/>
    <d v="2026-06-28T00:00:00"/>
    <s v="FOX 1st Party"/>
    <s v="SOV-Flat Rate"/>
    <n v="99700"/>
    <n v="3"/>
    <n v="99700"/>
    <s v="n/a"/>
    <s v="prorated"/>
    <n v="3"/>
    <n v="99700"/>
    <s v="prorated"/>
    <n v="3"/>
    <s v="invoice_schedule"/>
    <n v="99700"/>
    <n v="99700"/>
    <n v="99700"/>
    <m/>
    <m/>
    <d v="2026-06-01T00:00:00"/>
    <d v="2026-06-28T00:00:00"/>
    <s v="Matthew Vellardito"/>
    <s v="None"/>
    <s v="JUN'26"/>
    <n v="598482"/>
    <n v="129149"/>
    <s v="Janna Goldstein"/>
  </r>
  <r>
    <s v="AGC002070"/>
    <s v="STARBUCKS"/>
    <s v="ADV005074"/>
    <s v="THE STARBUCKS COMPANY/DIGITAL/SCATTER/SPORTS/MWC/2Q'26"/>
    <x v="9"/>
    <s v="Run of World Cup Video - Package"/>
    <n v="8005"/>
    <n v="582328"/>
    <s v="Starbucks - Run of World Cup Video - 2026 MWC Package"/>
    <d v="2026-06-01T00:00:00"/>
    <d v="2026-06-28T00:00:00"/>
    <s v="FOX Innovid"/>
    <s v="CPM"/>
    <n v="40"/>
    <n v="7500000"/>
    <n v="300000"/>
    <s v="Impressions"/>
    <s v="performance"/>
    <n v="0"/>
    <n v="0"/>
    <s v="performance"/>
    <n v="7500000"/>
    <s v="invoice_schedule"/>
    <n v="300000"/>
    <n v="300000"/>
    <n v="300000"/>
    <n v="7707810"/>
    <n v="7723698"/>
    <d v="2026-06-01T00:00:00"/>
    <d v="2026-06-28T00:00:00"/>
    <s v="Matthew Vellardito"/>
    <s v="None"/>
    <s v="JUN'26"/>
    <n v="598482"/>
    <n v="129149"/>
    <s v="Janna Goldstein"/>
  </r>
  <r>
    <s v="AGC002070"/>
    <s v="STARBUCKS"/>
    <s v="ADV005074"/>
    <s v="THE STARBUCKS COMPANY/DIGITAL/SCATTER/SPORTS/MWC/2Q'26"/>
    <x v="9"/>
    <s v="Run of FOX Sports Video - Package"/>
    <n v="8002"/>
    <n v="582346"/>
    <s v="Starbucks - Run of FOX Sports Video - 2026 MWC Package"/>
    <d v="2026-06-01T00:00:00"/>
    <d v="2026-06-28T00:00:00"/>
    <s v="FOX Innovid"/>
    <s v="CPM"/>
    <n v="25"/>
    <n v="7951280"/>
    <n v="198782"/>
    <m/>
    <s v="performance"/>
    <n v="0"/>
    <n v="0"/>
    <s v="performance"/>
    <n v="5424817"/>
    <s v="invoice_schedule"/>
    <n v="135620.42499999999"/>
    <n v="135620.42499999999"/>
    <n v="135620.42499999999"/>
    <n v="5380998"/>
    <n v="5424817"/>
    <d v="2026-06-01T00:00:00"/>
    <d v="2026-06-28T00:00:00"/>
    <s v="Matthew Vellardito"/>
    <s v="None"/>
    <s v="JUN'26"/>
    <n v="598482"/>
    <n v="129149"/>
    <s v="Janna Goldstein"/>
  </r>
  <r>
    <s v="AGC002408"/>
    <s v="FCA NORTH AMERICA HOLDINGS"/>
    <s v="ADV001639"/>
    <s v="FCA(Stellantis)/DIGITAL/SCATTER/SPORTS/MWC"/>
    <x v="10"/>
    <s v="Run of World Cup Video - Package"/>
    <n v="8005"/>
    <n v="582769"/>
    <s v="Stellantis - Run of World Cup Video + Tubi - Package 2026"/>
    <d v="2026-06-01T00:00:00"/>
    <d v="2026-07-19T00:00:00"/>
    <s v="FOX Innovid"/>
    <s v="CPM"/>
    <n v="40"/>
    <n v="17500000"/>
    <n v="700000"/>
    <s v="Impressions"/>
    <s v="performance"/>
    <n v="0"/>
    <n v="0"/>
    <s v="performance"/>
    <n v="11628821"/>
    <s v="invoice_schedule"/>
    <n v="465152.84"/>
    <n v="465152.84"/>
    <n v="465152.84"/>
    <n v="11607293"/>
    <n v="11628821"/>
    <d v="2026-06-01T00:00:00"/>
    <d v="2026-07-19T00:00:00"/>
    <s v="Megan Sileo"/>
    <s v="None"/>
    <s v="JUN'26"/>
    <n v="1275000.02"/>
    <n v="126262"/>
    <s v="Janna Goldstein"/>
  </r>
  <r>
    <s v="AGC002408"/>
    <s v="FCA NORTH AMERICA HOLDINGS"/>
    <s v="ADV001639"/>
    <s v="FCA(Stellantis)/DIGITAL/SCATTER/SPORTS/MWC"/>
    <x v="10"/>
    <s v="Run of AllFOX Video - Package"/>
    <n v="7998"/>
    <n v="582772"/>
    <s v="Stellantis - Run of AllFOX Video - Package -AAT- 2026"/>
    <d v="2026-06-01T00:00:00"/>
    <d v="2026-07-19T00:00:00"/>
    <s v="FOX Innovid"/>
    <s v="CPM"/>
    <n v="18.25"/>
    <n v="17808220"/>
    <n v="325000.02"/>
    <s v="Impressions"/>
    <s v="performance"/>
    <n v="0"/>
    <n v="0"/>
    <s v="performance"/>
    <n v="12109273"/>
    <s v="invoice_schedule"/>
    <n v="220994.2323"/>
    <n v="220994.2323"/>
    <n v="220994.2323"/>
    <n v="12124261"/>
    <n v="12109273"/>
    <d v="2026-06-01T00:00:00"/>
    <d v="2026-07-19T00:00:00"/>
    <s v="Megan Sileo"/>
    <s v="None"/>
    <s v="JUN'26"/>
    <n v="1275000.02"/>
    <n v="126262"/>
    <s v="Janna Goldstein"/>
  </r>
  <r>
    <s v="AGC002408"/>
    <s v="FCA NORTH AMERICA HOLDINGS"/>
    <s v="ADV001639"/>
    <s v="FCA(Stellantis)/DIGITAL/SCATTER/SPORTS/MWC"/>
    <x v="10"/>
    <s v="World Cup Social Sponsorship Content - Package"/>
    <n v="8000"/>
    <n v="582785"/>
    <s v="Stellantis - World Cup Social Sponsorship Content - X Amplify - Package - 2026"/>
    <d v="2026-06-01T00:00:00"/>
    <d v="2026-07-19T00:00:00"/>
    <s v="FOX 1st Party"/>
    <s v="SOV-Flat Rate"/>
    <n v="250000"/>
    <n v="1"/>
    <n v="250000"/>
    <s v="n/a"/>
    <s v="prorated"/>
    <n v="1"/>
    <n v="153061.22450000001"/>
    <s v="prorated"/>
    <n v="1"/>
    <s v="invoice_schedule"/>
    <n v="153061.22450000001"/>
    <n v="153061.22450000001"/>
    <n v="153061.22450000001"/>
    <m/>
    <m/>
    <d v="2026-06-01T00:00:00"/>
    <d v="2026-07-19T00:00:00"/>
    <s v="Megan Sileo"/>
    <s v="None"/>
    <s v="JUN'26"/>
    <n v="1275000.02"/>
    <n v="126262"/>
    <s v="Janna Goldstein"/>
  </r>
  <r>
    <s v="AGC002408"/>
    <s v="VISA"/>
    <s v="ADV006353"/>
    <s v="VISA/DIGITAL/SCATTER/SPORTS/MWC/WellsFargo"/>
    <x v="11"/>
    <s v="World Cup Social Sponsorship Content - Package"/>
    <n v="8000"/>
    <n v="581608"/>
    <s v="VISA - Wells Fargo - OMP - World Cup Social Sponsorship Content - Package - 2026"/>
    <d v="2026-06-01T00:00:00"/>
    <d v="2026-07-19T00:00:00"/>
    <s v="FOX 1st Party"/>
    <s v="SOV-Flat Rate"/>
    <n v="1000000"/>
    <n v="3"/>
    <n v="1000000"/>
    <s v="n/a"/>
    <s v="prorated"/>
    <n v="2"/>
    <n v="612244.89800000004"/>
    <s v="prorated"/>
    <n v="2"/>
    <s v="invoice_schedule"/>
    <n v="612244.89800000004"/>
    <n v="612244.89800000004"/>
    <n v="612244.89800000004"/>
    <m/>
    <m/>
    <d v="2026-06-01T00:00:00"/>
    <d v="2026-07-19T00:00:00"/>
    <s v="Megan Sileo"/>
    <s v="None"/>
    <s v="JUN'26"/>
    <n v="1000000"/>
    <n v="127440"/>
    <s v="Janna Goldstein"/>
  </r>
  <r>
    <s v="AGC002330"/>
    <s v="JOHNSONVILLE"/>
    <s v="ADV000112"/>
    <s v="Johnsonville/Digital/Upfront/Entertainment  - UF 2025/26"/>
    <x v="12"/>
    <s v="DIO - LFV - Entertainment ROS - Package"/>
    <n v="2789"/>
    <n v="554207"/>
    <s v="Johnsonville - DIO - LFV - Entertainment ROS - Package"/>
    <d v="2026-03-02T00:00:00"/>
    <d v="2026-12-31T00:00:00"/>
    <m/>
    <s v="CPM"/>
    <n v="24.9"/>
    <n v="6024097"/>
    <n v="150000.01999999999"/>
    <s v="CoV Impressions"/>
    <s v="performance"/>
    <n v="0"/>
    <n v="0"/>
    <s v="performance"/>
    <n v="0"/>
    <s v="invoice_schedule"/>
    <n v="0"/>
    <n v="0"/>
    <n v="0"/>
    <m/>
    <m/>
    <d v="2026-03-02T00:00:00"/>
    <d v="2026-12-31T00:00:00"/>
    <s v="JohnMichael Bogusz"/>
    <s v="None"/>
    <s v="JUN'26"/>
    <n v="150000.03"/>
    <n v="119053"/>
    <s v="Tierney Flynn"/>
  </r>
  <r>
    <s v="AGC002408"/>
    <s v="ANHEUSER BUSCH"/>
    <s v="ADV001839"/>
    <s v="AB/DIGITAL/SCATTER/SPORTS/MWC"/>
    <x v="13"/>
    <s v="World Cup Social Sponsorship Content - Package"/>
    <n v="8000"/>
    <n v="581380"/>
    <s v="Anheuser-Busch - OMP - World Cup Social Sponsorship Content - Player of the Match - 2026 Package"/>
    <d v="2026-06-01T00:00:00"/>
    <d v="2026-07-19T00:00:00"/>
    <s v="FOX 1st Party"/>
    <s v="SOV-Flat Rate"/>
    <n v="1454124"/>
    <n v="3"/>
    <n v="1454124"/>
    <s v="n/a"/>
    <s v="prorated"/>
    <n v="2"/>
    <n v="890280"/>
    <s v="prorated"/>
    <n v="2"/>
    <s v="invoice_schedule"/>
    <n v="890280"/>
    <n v="890280"/>
    <n v="890280"/>
    <m/>
    <m/>
    <d v="2026-06-01T00:00:00"/>
    <d v="2026-07-19T00:00:00"/>
    <s v="Megan Sileo"/>
    <s v="None"/>
    <s v="JUN'26"/>
    <n v="1454124"/>
    <n v="128025"/>
    <s v="Janna Goldstein"/>
  </r>
  <r>
    <s v="AGC001122"/>
    <s v="HOMES.COM"/>
    <s v="ADV012887"/>
    <s v="Homes.com/Digital/Upfront/Entertainment/Targeted/UF 2025/26 - 1Q-3Q'26"/>
    <x v="14"/>
    <s v="LFV - RON Ent - ROS - Pre/Mid - DT/MB/CTV/VOD - Package"/>
    <n v="3535"/>
    <n v="554320"/>
    <s v="CANCELLED_Homes.com_AAT_LFV - RON Ent - ROS - Pre/Mid - DT/MB/CTV - Package - 2Q'26 - A25-54 &amp; HHI $75K+"/>
    <d v="2026-04-01T00:00:00"/>
    <d v="2026-06-30T00:00:00"/>
    <s v="FOX Innovid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4-01T00:00:00"/>
    <d v="2026-06-30T00:00:00"/>
    <s v="Creighton Hendrix"/>
    <s v="None"/>
    <s v="JUN'26"/>
    <n v="192951.5"/>
    <n v="111881"/>
    <s v="Nathan Cortez"/>
  </r>
  <r>
    <s v="AGC002070"/>
    <s v="LOWE'S HOME CENTERS"/>
    <s v="ADV003680"/>
    <s v="LOWE'S/DIGITAL/SCATTER/SPORTS/MWC/25-26"/>
    <x v="15"/>
    <s v="Run of World Cup Display - Package"/>
    <n v="8004"/>
    <n v="582844"/>
    <s v="Lowe's - Run of World Cup Display - 2026 MWC Package"/>
    <d v="2026-06-01T00:00:00"/>
    <d v="2026-07-19T00:00:00"/>
    <s v="FOX DCM"/>
    <s v="CPM"/>
    <n v="6"/>
    <n v="41666667"/>
    <n v="250000"/>
    <s v="Impressions"/>
    <s v="prorated"/>
    <n v="25510205"/>
    <n v="153061.22450000001"/>
    <s v="prorated"/>
    <n v="25510205"/>
    <s v="invoice_schedule"/>
    <n v="153061.22450000001"/>
    <n v="153061.22450000001"/>
    <n v="153061.22450000001"/>
    <n v="14689500"/>
    <n v="14687116"/>
    <d v="2026-06-01T00:00:00"/>
    <d v="2026-07-19T00:00:00"/>
    <s v="Matthew Vellardito"/>
    <s v="None"/>
    <s v="JUN'26"/>
    <n v="1733100.01"/>
    <n v="129141"/>
    <s v="Janna Goldstein"/>
  </r>
  <r>
    <s v="AGC002070"/>
    <s v="LOWE'S HOME CENTERS"/>
    <s v="ADV003680"/>
    <s v="LOWE'S/DIGITAL/SCATTER/SPORTS/MWC/25-26"/>
    <x v="15"/>
    <s v="Run of World Cup Video - Package"/>
    <n v="8005"/>
    <n v="582848"/>
    <s v="Lowe's - Run of World Cup Video - 2026 MWC Package"/>
    <d v="2026-06-01T00:00:00"/>
    <d v="2026-07-19T00:00:00"/>
    <s v="FOX 1st Party"/>
    <s v="CPM"/>
    <n v="40"/>
    <n v="15625000"/>
    <n v="625000"/>
    <s v="Impressions"/>
    <s v="prorated"/>
    <n v="9566327"/>
    <n v="382653.0613"/>
    <s v="prorated"/>
    <n v="9566327"/>
    <s v="invoice_schedule"/>
    <n v="382653.0613"/>
    <n v="382653.0613"/>
    <n v="382653.0613"/>
    <n v="10361861"/>
    <n v="0"/>
    <d v="2026-06-01T00:00:00"/>
    <d v="2026-07-19T00:00:00"/>
    <s v="Matthew Vellardito"/>
    <s v="None"/>
    <s v="JUN'26"/>
    <n v="1733100.01"/>
    <n v="129141"/>
    <s v="Janna Goldstein"/>
  </r>
  <r>
    <s v="AGC002070"/>
    <s v="LOWE'S HOME CENTERS"/>
    <s v="ADV003680"/>
    <s v="LOWE'S/DIGITAL/SCATTER/SPORTS/MWC/25-26"/>
    <x v="15"/>
    <s v="World Cup FOX Sports Site &amp; App Takeover - Package"/>
    <n v="8003"/>
    <n v="582860"/>
    <s v="Lowe's - World Cup FOX Sports Site &amp; App Takeover - 6/16 Argentina vs. Algeria - 2026 MWC Package"/>
    <d v="2026-06-16T00:00:00"/>
    <d v="2026-06-16T00:00:00"/>
    <s v="FOX DCM"/>
    <s v="Cost Per Day"/>
    <n v="50000"/>
    <n v="6"/>
    <n v="300000"/>
    <s v="Days"/>
    <s v="prorated"/>
    <n v="6"/>
    <n v="300000"/>
    <s v="prorated"/>
    <n v="6"/>
    <s v="invoice_schedule"/>
    <n v="300000"/>
    <n v="300000"/>
    <n v="300000"/>
    <n v="0"/>
    <n v="0"/>
    <d v="2026-06-16T00:00:00"/>
    <d v="2026-06-16T00:00:00"/>
    <s v="Matthew Vellardito"/>
    <s v="None"/>
    <s v="JUN'26"/>
    <n v="1733100.01"/>
    <n v="129141"/>
    <s v="Janna Goldstein"/>
  </r>
  <r>
    <s v="AGC002070"/>
    <s v="LOWE'S HOME CENTERS"/>
    <s v="ADV003680"/>
    <s v="LOWE'S/DIGITAL/SCATTER/SPORTS/MWC/25-26"/>
    <x v="15"/>
    <s v="Run of FOX Sports Video - Package"/>
    <n v="8002"/>
    <n v="582873"/>
    <s v="Lowe's - Run of FOX Sports Video - 2026 MWC Package"/>
    <d v="2026-06-01T00:00:00"/>
    <d v="2026-07-19T00:00:00"/>
    <s v="FOX 1st Party"/>
    <s v="CPM"/>
    <n v="25"/>
    <n v="2200000"/>
    <n v="55000"/>
    <m/>
    <s v="prorated"/>
    <n v="1346939"/>
    <n v="33673.469400000002"/>
    <s v="prorated"/>
    <n v="1346939"/>
    <s v="invoice_schedule"/>
    <n v="33673.469400000002"/>
    <n v="33673.469400000002"/>
    <n v="33673.469400000002"/>
    <n v="892237"/>
    <n v="0"/>
    <d v="2026-06-01T00:00:00"/>
    <d v="2026-07-19T00:00:00"/>
    <s v="Matthew Vellardito"/>
    <s v="None"/>
    <s v="JUN'26"/>
    <n v="1733100.01"/>
    <n v="129141"/>
    <s v="Janna Goldstein"/>
  </r>
  <r>
    <s v="AGC002070"/>
    <s v="LOWE'S HOME CENTERS"/>
    <s v="ADV003680"/>
    <s v="LOWE'S/DIGITAL/SCATTER/SPORTS/MWC/25-26"/>
    <x v="15"/>
    <s v="Run of AllFOX Video - Package"/>
    <n v="7998"/>
    <n v="582880"/>
    <s v="Lowe's - Run of AllFOX Video - 2026 MWC Package"/>
    <d v="2026-06-01T00:00:00"/>
    <d v="2026-07-19T00:00:00"/>
    <s v="FOX 1st Party"/>
    <s v="CPM"/>
    <n v="20"/>
    <n v="12655000"/>
    <n v="253100"/>
    <s v="Impressions"/>
    <s v="prorated"/>
    <n v="7747960"/>
    <n v="154959.18369999999"/>
    <s v="prorated"/>
    <n v="7747960"/>
    <s v="invoice_schedule"/>
    <n v="154959.18369999999"/>
    <n v="154959.18369999999"/>
    <n v="154959.18369999999"/>
    <n v="8596683"/>
    <n v="0"/>
    <d v="2026-06-01T00:00:00"/>
    <d v="2026-07-19T00:00:00"/>
    <s v="Matthew Vellardito"/>
    <s v="None"/>
    <s v="JUN'26"/>
    <n v="1733100.01"/>
    <n v="129141"/>
    <s v="Janna Goldstein"/>
  </r>
  <r>
    <s v="AGC002070"/>
    <s v="LOWE'S HOME CENTERS"/>
    <s v="ADV003680"/>
    <s v="LOWE'S/DIGITAL/SCATTER/SPORTS/MWC/25-26"/>
    <x v="15"/>
    <s v="World Cup Social Sponsorship Content - Package"/>
    <n v="8000"/>
    <n v="582957"/>
    <s v="Lowe's World Cup Social Sponsorship Content - X - 2026 MWC Package"/>
    <d v="2026-06-01T00:00:00"/>
    <d v="2026-07-19T00:00:00"/>
    <s v="FOX 1st Party"/>
    <s v="SOV-Flat Rate"/>
    <n v="250000"/>
    <n v="1"/>
    <n v="250000"/>
    <s v="n/a"/>
    <s v="prorated"/>
    <n v="1"/>
    <n v="153061.22450000001"/>
    <s v="prorated"/>
    <n v="1"/>
    <s v="invoice_schedule"/>
    <n v="153061.22450000001"/>
    <n v="153061.22450000001"/>
    <n v="153061.22450000001"/>
    <m/>
    <m/>
    <d v="2026-06-01T00:00:00"/>
    <d v="2026-07-19T00:00:00"/>
    <s v="Matthew Vellardito"/>
    <s v="None"/>
    <s v="JUN'26"/>
    <n v="1733100.01"/>
    <n v="129141"/>
    <s v="Janna Goldstein"/>
  </r>
  <r>
    <s v="AGC001386"/>
    <s v="BRISTOL MYERS SQUIBB"/>
    <s v="ADV003845"/>
    <s v="BMS/25-26/Upfront/Digital/ENT/CAMZYOS"/>
    <x v="16"/>
    <s v="DIO - LFV - Entertainment ROS - Package"/>
    <n v="2789"/>
    <n v="556247"/>
    <s v="BMS/UF/RON/25-26/AAT/2Q'26/CAMZYOS"/>
    <d v="2026-04-01T00:00:00"/>
    <d v="2026-06-30T00:00:00"/>
    <s v="FOX Flashtalking"/>
    <s v="CPM"/>
    <n v="42.4"/>
    <n v="1768868"/>
    <n v="75000"/>
    <s v="Impressions"/>
    <s v="performance"/>
    <n v="0"/>
    <n v="0"/>
    <s v="performance"/>
    <n v="230619"/>
    <s v="invoice_schedule"/>
    <n v="9778.2456000000002"/>
    <n v="9778.2456000000002"/>
    <n v="9778.2456000000002"/>
    <n v="216609"/>
    <n v="230619"/>
    <d v="2026-04-01T00:00:00"/>
    <d v="2026-06-30T00:00:00"/>
    <s v="John Hertman"/>
    <s v="None"/>
    <s v="JUN'26"/>
    <n v="150000.04"/>
    <n v="108708"/>
    <s v="Jeanne Feeley"/>
  </r>
  <r>
    <s v="AGC001386"/>
    <s v="BRISTOL MYERS SQUIBB"/>
    <s v="ADV003845"/>
    <s v="BMS/25-26/Upfront/Digital/Sports/COBENFY"/>
    <x v="17"/>
    <s v="DIO - LFV - FSLS - Pre/Mid - ROS - DT/MB/CTV - Package"/>
    <n v="3534"/>
    <n v="556649"/>
    <s v="BMS/UF/SPORTS/D/25-26/LFV/AAT/2Q'26/COBENFY"/>
    <d v="2026-04-01T00:00:00"/>
    <d v="2026-06-18T00:00:00"/>
    <s v="FOX Flashtalking"/>
    <s v="CPM"/>
    <n v="59"/>
    <n v="81017"/>
    <n v="4780"/>
    <s v="Impressions"/>
    <s v="performance"/>
    <n v="0"/>
    <n v="0"/>
    <s v="performance"/>
    <n v="60162"/>
    <s v="invoice_schedule"/>
    <n v="3549.558"/>
    <n v="3549.558"/>
    <n v="3549.558"/>
    <n v="61060"/>
    <n v="60162"/>
    <d v="2026-04-01T00:00:00"/>
    <d v="2026-06-18T00:00:00"/>
    <s v="John Hertman"/>
    <s v="None"/>
    <s v="JUN'26"/>
    <n v="119707.91"/>
    <n v="109443"/>
    <s v="Colleen Cahill"/>
  </r>
  <r>
    <s v="AGC003164"/>
    <s v="ADIDAS"/>
    <s v="ADV002210"/>
    <s v="adidas/2026/Scatter/Digital/MWC"/>
    <x v="18"/>
    <s v="Run of World Cup Video - Package"/>
    <n v="8005"/>
    <n v="582793"/>
    <s v="Adidas - Run of World Cup Video - Package"/>
    <d v="2026-06-04T00:00:00"/>
    <d v="2026-07-19T00:00:00"/>
    <s v="FOX DCM"/>
    <s v="CPM"/>
    <n v="40"/>
    <n v="18750000"/>
    <n v="750000"/>
    <s v="Impressions"/>
    <s v="performance"/>
    <n v="0"/>
    <n v="0"/>
    <s v="performance"/>
    <n v="12524712"/>
    <s v="invoice_schedule"/>
    <n v="500988.48"/>
    <n v="500988.48"/>
    <n v="500988.48"/>
    <n v="12681744"/>
    <n v="12524712"/>
    <d v="2026-06-04T00:00:00"/>
    <d v="2026-07-19T00:00:00"/>
    <s v="Kelsey Brahms"/>
    <s v="None"/>
    <s v="JUN'26"/>
    <n v="3000000.03"/>
    <n v="130306"/>
    <s v="Colleen Cahill"/>
  </r>
  <r>
    <s v="AGC003164"/>
    <s v="ADIDAS"/>
    <s v="ADV002210"/>
    <s v="adidas/2026/Scatter/Digital/MWC"/>
    <x v="18"/>
    <s v="World Cup Social Sponsorship Content - Package"/>
    <n v="8000"/>
    <n v="582794"/>
    <s v="Adidas - World Cup Social- Highlights/WC Coverage"/>
    <d v="2026-06-01T00:00:00"/>
    <d v="2026-07-19T00:00:00"/>
    <m/>
    <s v="SOV-Flat Rate"/>
    <n v="1250000"/>
    <n v="3"/>
    <n v="1250000"/>
    <s v="n/a"/>
    <s v="prorated"/>
    <n v="2"/>
    <n v="765306.12250000006"/>
    <s v="prorated"/>
    <n v="2"/>
    <s v="invoice_schedule"/>
    <n v="765306.12250000006"/>
    <n v="765306.12250000006"/>
    <n v="765306.12250000006"/>
    <m/>
    <m/>
    <d v="2026-06-01T00:00:00"/>
    <d v="2026-07-19T00:00:00"/>
    <s v="Kelsey Brahms"/>
    <s v="None"/>
    <s v="JUN'26"/>
    <n v="3000000.03"/>
    <n v="130306"/>
    <s v="Colleen Cahill"/>
  </r>
  <r>
    <s v="AGC003164"/>
    <s v="ADIDAS"/>
    <s v="ADV002210"/>
    <s v="adidas/2026/Scatter/Digital/MWC"/>
    <x v="18"/>
    <s v="World Cup Social Sponsorship Content - Package"/>
    <n v="8000"/>
    <n v="593458"/>
    <s v="Adidas - World Cup Social- Custom 8"/>
    <d v="2026-06-11T00:00:00"/>
    <d v="2026-07-19T00:00:00"/>
    <m/>
    <s v="SOV-Flat Rate"/>
    <n v="1000000"/>
    <n v="3"/>
    <n v="1000000"/>
    <s v="n/a"/>
    <s v="prorated"/>
    <n v="2"/>
    <n v="512820.51289999997"/>
    <s v="prorated"/>
    <n v="2"/>
    <s v="invoice_schedule"/>
    <n v="512820.51289999997"/>
    <n v="512820.51289999997"/>
    <n v="512820.51289999997"/>
    <m/>
    <m/>
    <d v="2026-06-11T00:00:00"/>
    <d v="2026-07-19T00:00:00"/>
    <s v="Kelsey Brahms"/>
    <s v="None"/>
    <s v="JUN'26"/>
    <n v="3000000.03"/>
    <n v="130306"/>
    <s v="Colleen Cahill"/>
  </r>
  <r>
    <s v="AGC000913"/>
    <s v="TACO BELL"/>
    <s v="ADV000233"/>
    <s v="TACO BELL/DIGITAL/UPFRONT/FOXSPORTS/UF 2025/26/MWC"/>
    <x v="19"/>
    <s v="Run of World Cup Video - Package"/>
    <n v="8005"/>
    <n v="582242"/>
    <s v="Taco Bell - Run of World Cup Video - Package"/>
    <d v="2026-06-01T00:00:00"/>
    <d v="2026-07-19T00:00:00"/>
    <s v="FOX Extreme Reach"/>
    <s v="CPM"/>
    <n v="40"/>
    <n v="8906250"/>
    <n v="356250"/>
    <s v="Impressions"/>
    <s v="performance"/>
    <n v="0"/>
    <n v="0"/>
    <s v="performance"/>
    <n v="5694888"/>
    <s v="invoice_schedule"/>
    <n v="227795.52"/>
    <n v="227795.52"/>
    <n v="227795.52"/>
    <n v="5919640"/>
    <n v="5694888"/>
    <d v="2026-06-01T00:00:00"/>
    <d v="2026-07-19T00:00:00"/>
    <s v="Katie Johnson"/>
    <s v="None"/>
    <s v="JUN'26"/>
    <n v="712500.03"/>
    <n v="129262"/>
    <s v="Tim Wodzisz"/>
  </r>
  <r>
    <s v="AGC000913"/>
    <s v="TACO BELL"/>
    <s v="ADV000233"/>
    <s v="TACO BELL/DIGITAL/UPFRONT/FOXSPORTS/UF 2025/26/MWC"/>
    <x v="19"/>
    <s v="World Cup Social Sponsorship Content - Package"/>
    <n v="8000"/>
    <n v="582245"/>
    <s v="Taco Bell - World Cup Social Sponsorship Content - Package"/>
    <d v="2026-06-01T00:00:00"/>
    <d v="2026-07-19T00:00:00"/>
    <s v="FOX Extreme Reach"/>
    <s v="SOV-Flat Rate"/>
    <n v="356250"/>
    <n v="3"/>
    <n v="356250"/>
    <s v="n/a"/>
    <s v="prorated"/>
    <n v="2"/>
    <n v="218112.24489999999"/>
    <s v="prorated"/>
    <n v="2"/>
    <s v="invoice_schedule"/>
    <n v="218112.24489999999"/>
    <n v="218112.24489999999"/>
    <n v="218112.24489999999"/>
    <m/>
    <m/>
    <d v="2026-06-01T00:00:00"/>
    <d v="2026-07-19T00:00:00"/>
    <s v="Katie Johnson"/>
    <s v="None"/>
    <s v="JUN'26"/>
    <n v="712500.03"/>
    <n v="129262"/>
    <s v="Tim Wodzisz"/>
  </r>
  <r>
    <s v="AGC002371"/>
    <s v="NUTRAFOL"/>
    <s v="ADV008819"/>
    <s v="Nutrafol/25-26/2Q26/Digital/Sports/DR "/>
    <x v="20"/>
    <s v="Generic Flighted Bottom Up Package"/>
    <n v="1"/>
    <n v="556835"/>
    <s v="Tatari/Nutrafol/25-26/Digital/Sports/ROS/Preempt -3Q26"/>
    <d v="2026-06-08T00:00:00"/>
    <d v="2026-06-30T00:00:00"/>
    <s v="FOX Extreme Reach"/>
    <s v="CPM"/>
    <n v="15"/>
    <n v="2083394"/>
    <n v="31250.92"/>
    <s v="Impressions"/>
    <s v="performance"/>
    <n v="0"/>
    <n v="0"/>
    <s v="performance"/>
    <n v="36"/>
    <s v="invoice_schedule"/>
    <n v="0.54"/>
    <n v="0.54"/>
    <n v="0.54"/>
    <n v="368"/>
    <n v="36"/>
    <d v="2026-06-08T00:00:00"/>
    <d v="2026-06-30T00:00:00"/>
    <s v="Jessica Lang"/>
    <s v="None"/>
    <s v="JUN'26"/>
    <n v="31250.92"/>
    <n v="121116"/>
    <s v="Nunzio Belfiore"/>
  </r>
  <r>
    <s v="AGC002175"/>
    <s v="KEURIG DR PEPPER"/>
    <s v="ADV000835"/>
    <s v="KDP/DIGITAL/UPFRONT 2025/2026/SPORTS/FLEX FUND/1Q'26-2Q'26"/>
    <x v="21"/>
    <s v="Generic Flighted Bottom Up Package"/>
    <n v="1"/>
    <n v="559447"/>
    <s v="KDP - FLEX FUND - ROV - FS - Pre/Mid - ROS - DT/MB/CTV - P2+ - 2Q'26 Package"/>
    <d v="2026-03-30T00:00:00"/>
    <d v="2026-06-28T00:00:00"/>
    <s v="FOX DCM"/>
    <s v="CPM"/>
    <n v="21.79"/>
    <n v="2914182"/>
    <n v="63500.02"/>
    <m/>
    <s v="performance"/>
    <n v="0"/>
    <n v="0"/>
    <s v="performance"/>
    <n v="107633"/>
    <s v="invoice_schedule"/>
    <n v="2345.3231000000001"/>
    <n v="2345.3231000000001"/>
    <n v="2345.3231000000001"/>
    <n v="108257"/>
    <n v="107633"/>
    <d v="2026-03-30T00:00:00"/>
    <d v="2026-06-28T00:00:00"/>
    <s v="Matthew Vellardito"/>
    <s v="None"/>
    <s v="JUN'26"/>
    <n v="127500.01"/>
    <n v="111730"/>
    <s v="Janna Goldstein"/>
  </r>
  <r>
    <s v="AGC001810"/>
    <s v="WALMART"/>
    <s v="ADV006265"/>
    <s v="Walmart/2026 MWC/Digital/Scatter"/>
    <x v="22"/>
    <s v="Run of World Cup Video - Package"/>
    <n v="8005"/>
    <n v="581693"/>
    <s v="Walmart - BTX2 - Run of World Cup Video - Package - 2026"/>
    <d v="2026-06-22T00:00:00"/>
    <d v="2026-06-30T00:00:00"/>
    <s v="FOX Innovid"/>
    <s v="CPM"/>
    <n v="40"/>
    <n v="1675000"/>
    <n v="67000"/>
    <s v="Impressions"/>
    <s v="performance"/>
    <n v="0"/>
    <n v="0"/>
    <s v="performance"/>
    <n v="1675000"/>
    <s v="invoice_schedule"/>
    <n v="67000"/>
    <n v="67000"/>
    <n v="67000"/>
    <n v="1697860"/>
    <n v="1706824"/>
    <d v="2026-06-22T00:00:00"/>
    <d v="2026-06-30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World Cup Display - Package"/>
    <n v="8004"/>
    <n v="581709"/>
    <s v="Walmart - EX2- Run of World Cup Display - Package - 2026"/>
    <d v="2026-06-08T00:00:00"/>
    <d v="2026-07-19T00:00:00"/>
    <s v="FOX DCM"/>
    <s v="CPM"/>
    <n v="6"/>
    <n v="60000000"/>
    <n v="360000"/>
    <s v="Impressions"/>
    <s v="performance"/>
    <n v="0"/>
    <n v="0"/>
    <s v="performance"/>
    <n v="14985805"/>
    <s v="invoice_schedule"/>
    <n v="89914.83"/>
    <n v="89914.83"/>
    <n v="89914.83"/>
    <n v="15269308"/>
    <n v="14985805"/>
    <d v="2026-06-08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AllFOX Video - Package"/>
    <n v="7998"/>
    <n v="581823"/>
    <s v="Walmart - BTX2 - Run of AllFOX Video - Package - 2026 - AAT"/>
    <d v="2026-06-22T00:00:00"/>
    <d v="2026-07-31T00:00:00"/>
    <s v="FOX Innovid"/>
    <s v="CPM"/>
    <n v="20"/>
    <n v="625000"/>
    <n v="12500"/>
    <s v="Impressions"/>
    <s v="performance"/>
    <n v="0"/>
    <n v="0"/>
    <s v="performance"/>
    <n v="192625"/>
    <s v="invoice_schedule"/>
    <n v="3852.5"/>
    <n v="3852.5"/>
    <n v="3852.5"/>
    <n v="187137"/>
    <n v="192625"/>
    <d v="2026-06-22T00:00:00"/>
    <d v="2026-07-31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World Cup Social Sponsorship Content - Package"/>
    <n v="8000"/>
    <n v="581826"/>
    <s v="Walmart - BTX2 - World Cup Social Sponsorship Content - Package - 2026"/>
    <d v="2026-06-22T00:00:00"/>
    <d v="2026-07-19T00:00:00"/>
    <m/>
    <s v="SOV-Flat Rate"/>
    <n v="50000"/>
    <n v="3"/>
    <n v="50000"/>
    <s v="n/a"/>
    <s v="prorated"/>
    <n v="0"/>
    <n v="16071.4285"/>
    <s v="prorated"/>
    <n v="0"/>
    <s v="invoice_schedule"/>
    <n v="16071.4285"/>
    <n v="16071.4285"/>
    <n v="16071.4285"/>
    <m/>
    <m/>
    <d v="2026-06-22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World Cup Video - Package"/>
    <n v="8005"/>
    <n v="592687"/>
    <s v="Walmart - EX2 - Run of World Cup Video - Package - 2026"/>
    <d v="2026-06-08T00:00:00"/>
    <d v="2026-07-19T00:00:00"/>
    <s v="FOX Innovid"/>
    <s v="CPM"/>
    <n v="40"/>
    <n v="2675000"/>
    <n v="107000"/>
    <s v="Impressions"/>
    <s v="performance"/>
    <n v="0"/>
    <n v="0"/>
    <s v="performance"/>
    <n v="1796691"/>
    <s v="invoice_schedule"/>
    <n v="71867.64"/>
    <n v="71867.64"/>
    <n v="71867.64"/>
    <n v="1787936"/>
    <n v="1796691"/>
    <d v="2026-06-08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AllFOX Video - Package"/>
    <n v="7998"/>
    <n v="592690"/>
    <s v="Walmart - EX2 - Run of AllFOX Video - Package - 2026 - AAT"/>
    <d v="2026-06-08T00:00:00"/>
    <d v="2026-07-19T00:00:00"/>
    <s v="FOX Innovid"/>
    <s v="CPM"/>
    <n v="20"/>
    <n v="1594423"/>
    <n v="31888.46"/>
    <s v="Impressions"/>
    <s v="performance"/>
    <n v="0"/>
    <n v="0"/>
    <s v="performance"/>
    <n v="1072448"/>
    <s v="invoice_schedule"/>
    <n v="21448.959999999999"/>
    <n v="21448.959999999999"/>
    <n v="21448.959999999999"/>
    <n v="1060856"/>
    <n v="1072448"/>
    <d v="2026-06-08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World Cup Social Sponsorship Content - Package"/>
    <n v="8000"/>
    <n v="592693"/>
    <s v="Walmart - EX2 - World Cup Social Sponsorship Content - Package - 2026"/>
    <d v="2026-06-01T00:00:00"/>
    <d v="2026-07-19T00:00:00"/>
    <m/>
    <s v="SOV-Flat Rate"/>
    <n v="300000"/>
    <n v="3"/>
    <n v="300000"/>
    <s v="n/a"/>
    <s v="prorated"/>
    <n v="2"/>
    <n v="183673.4694"/>
    <s v="prorated"/>
    <n v="2"/>
    <s v="invoice_schedule"/>
    <n v="183673.4694"/>
    <n v="183673.4694"/>
    <n v="183673.4694"/>
    <m/>
    <m/>
    <d v="2026-06-01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World Cup Video - Package"/>
    <n v="8005"/>
    <n v="592716"/>
    <s v="Walmart - WAL2 - Run of World Cup Video - Package - 2026"/>
    <d v="2026-06-08T00:00:00"/>
    <d v="2026-07-19T00:00:00"/>
    <s v="FOX Innovid"/>
    <s v="CPM"/>
    <n v="40"/>
    <n v="4650000"/>
    <n v="186000"/>
    <s v="Impressions"/>
    <s v="performance"/>
    <n v="0"/>
    <n v="0"/>
    <s v="performance"/>
    <n v="3114636"/>
    <s v="invoice_schedule"/>
    <n v="124585.44"/>
    <n v="124585.44"/>
    <n v="124585.44"/>
    <n v="3108177"/>
    <n v="3114636"/>
    <d v="2026-06-08T00:00:00"/>
    <d v="2026-07-19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Run of AllFOX Video - Package"/>
    <n v="7998"/>
    <n v="592720"/>
    <s v="Walmart - WAL2 - Run of AllFOX Video - Package - 2026 - AAT"/>
    <d v="2026-06-08T00:00:00"/>
    <d v="2026-07-31T00:00:00"/>
    <s v="FOX Innovid"/>
    <s v="CPM"/>
    <n v="20"/>
    <n v="1398367"/>
    <n v="27967.34"/>
    <s v="Impressions"/>
    <s v="performance"/>
    <n v="0"/>
    <n v="0"/>
    <s v="performance"/>
    <n v="938457"/>
    <s v="invoice_schedule"/>
    <n v="18769.14"/>
    <n v="18769.14"/>
    <n v="18769.14"/>
    <n v="932078"/>
    <n v="938457"/>
    <d v="2026-06-08T00:00:00"/>
    <d v="2026-07-31T00:00:00"/>
    <s v="Megan Sileo"/>
    <s v="None"/>
    <s v="JUN'26"/>
    <n v="1870000.04"/>
    <n v="130574"/>
    <s v="Tom Cecil"/>
  </r>
  <r>
    <s v="AGC001810"/>
    <s v="WALMART"/>
    <s v="ADV006265"/>
    <s v="Walmart/2026 MWC/Digital/Scatter"/>
    <x v="22"/>
    <s v="World Cup Social Sponsorship Content - Package"/>
    <n v="8000"/>
    <n v="592724"/>
    <s v="Walmart - WAL2 - World Cup Social Sponsorship Content - Package - 2026"/>
    <d v="2026-06-01T00:00:00"/>
    <d v="2026-07-19T00:00:00"/>
    <m/>
    <s v="SOV-Flat Rate"/>
    <n v="210000"/>
    <n v="3"/>
    <n v="210000"/>
    <s v="n/a"/>
    <s v="prorated"/>
    <n v="2"/>
    <n v="128571.4286"/>
    <s v="prorated"/>
    <n v="2"/>
    <s v="invoice_schedule"/>
    <n v="128571.4286"/>
    <n v="128571.4286"/>
    <n v="128571.4286"/>
    <m/>
    <m/>
    <d v="2026-06-01T00:00:00"/>
    <d v="2026-07-19T00:00:00"/>
    <s v="Megan Sileo"/>
    <s v="None"/>
    <s v="JUN'26"/>
    <n v="1870000.04"/>
    <n v="130574"/>
    <s v="Tom Cecil"/>
  </r>
  <r>
    <s v="AGC001318"/>
    <s v="HYUNDAI"/>
    <s v="ADV003876"/>
    <s v="Hyundai/Digital/Scatter/Sports/MWC/25-26"/>
    <x v="23"/>
    <s v="Run of World Cup Display - Package"/>
    <n v="8004"/>
    <n v="581295"/>
    <s v="Hyundai - Run of World Cup Display - Package - 728x90, 300x250,320x50  - OMP"/>
    <d v="2026-06-01T00:00:00"/>
    <d v="2026-07-19T00:00:00"/>
    <s v="FOX DCM"/>
    <s v="CPM"/>
    <n v="10"/>
    <n v="5000000"/>
    <n v="50000"/>
    <s v="Impressions"/>
    <s v="performance"/>
    <n v="0"/>
    <n v="0"/>
    <s v="performance"/>
    <n v="3671918"/>
    <s v="invoice_schedule"/>
    <n v="36719.18"/>
    <n v="36719.18"/>
    <n v="36719.18"/>
    <n v="4194623"/>
    <n v="3671918"/>
    <d v="2026-06-01T00:00:00"/>
    <d v="2026-07-19T00:00:00"/>
    <s v="Jessica Lang"/>
    <s v="None"/>
    <s v="JUN'26"/>
    <n v="850000.32"/>
    <n v="126577"/>
    <s v="Dylan Giordano"/>
  </r>
  <r>
    <s v="AGC001318"/>
    <s v="HYUNDAI"/>
    <s v="ADV003876"/>
    <s v="Hyundai/Digital/Scatter/Sports/MWC/25-26"/>
    <x v="23"/>
    <s v="World Cup Social Sponsorship Content - Package"/>
    <n v="8000"/>
    <n v="582460"/>
    <s v="Hyundai - World Cup Social Sponsorship Content - Package"/>
    <d v="2026-06-01T00:00:00"/>
    <d v="2026-07-19T00:00:00"/>
    <m/>
    <s v="Cost Per Unit"/>
    <n v="0.15"/>
    <n v="1000002"/>
    <n v="150000.29999999999"/>
    <s v="Placements"/>
    <s v="straightline"/>
    <n v="500001"/>
    <n v="75000.149999999994"/>
    <s v="straightline"/>
    <n v="500001"/>
    <s v="invoice_schedule"/>
    <n v="75000.149999999994"/>
    <n v="75000.149999999994"/>
    <n v="75000.149999999994"/>
    <m/>
    <m/>
    <d v="2026-06-01T00:00:00"/>
    <d v="2026-07-19T00:00:00"/>
    <s v="Jessica Lang"/>
    <s v="None"/>
    <s v="JUN'26"/>
    <n v="850000.32"/>
    <n v="126577"/>
    <s v="Dylan Giordano"/>
  </r>
  <r>
    <s v="AGC001318"/>
    <s v="HYUNDAI"/>
    <s v="ADV003876"/>
    <s v="Hyundai/Digital/Scatter/Sports/MWC/25-26"/>
    <x v="23"/>
    <s v="Run of World Cup Video - Package"/>
    <n v="8005"/>
    <n v="582466"/>
    <s v="Hyundai - Run of World Cup Video - Package - OMP"/>
    <d v="2026-06-01T00:00:00"/>
    <d v="2026-07-19T00:00:00"/>
    <s v="FOX DCM"/>
    <s v="CPM"/>
    <n v="40"/>
    <n v="10000000"/>
    <n v="400000"/>
    <s v="Impressions"/>
    <s v="performance"/>
    <n v="0"/>
    <n v="0"/>
    <s v="performance"/>
    <n v="3777132"/>
    <s v="invoice_schedule"/>
    <n v="151085.28"/>
    <n v="151085.28"/>
    <n v="151085.28"/>
    <n v="3765120"/>
    <n v="1152277"/>
    <d v="2026-06-01T00:00:00"/>
    <d v="2026-07-19T00:00:00"/>
    <s v="Jessica Lang"/>
    <s v="None"/>
    <s v="JUN'26"/>
    <n v="850000.32"/>
    <n v="126577"/>
    <s v="Dylan Giordano"/>
  </r>
  <r>
    <s v="AGC001318"/>
    <s v="HYUNDAI"/>
    <s v="ADV003876"/>
    <s v="Hyundai/Digital/Scatter/Sports/MWC/25-26"/>
    <x v="23"/>
    <s v="Run of FOX Sports Display - Package"/>
    <n v="8001"/>
    <n v="582471"/>
    <s v="Hyundai - Run of FOX Sports Display - Package - 728x90, 300x250,320x50, 300x600 - OMP"/>
    <d v="2026-06-01T00:00:00"/>
    <d v="2026-07-31T00:00:00"/>
    <s v="FOX DCM"/>
    <s v="CPM"/>
    <n v="5"/>
    <n v="20000000"/>
    <n v="100000"/>
    <s v="Impressions"/>
    <s v="performance"/>
    <n v="0"/>
    <n v="0"/>
    <s v="performance"/>
    <n v="13637077"/>
    <s v="invoice_schedule"/>
    <n v="68185.384999999995"/>
    <n v="68185.384999999995"/>
    <n v="68185.384999999995"/>
    <n v="12836084"/>
    <n v="13637077"/>
    <d v="2026-06-01T00:00:00"/>
    <d v="2026-07-31T00:00:00"/>
    <s v="Jessica Lang"/>
    <s v="None"/>
    <s v="JUN'26"/>
    <n v="850000.32"/>
    <n v="126577"/>
    <s v="Dylan Giordano"/>
  </r>
  <r>
    <s v="AGC001318"/>
    <s v="HYUNDAI"/>
    <s v="ADV003876"/>
    <s v="Hyundai/Digital/Scatter/Sports/MWC/25-26"/>
    <x v="23"/>
    <s v="Run of AllFOX Video - Package"/>
    <n v="7998"/>
    <n v="582565"/>
    <s v="Hyundai - Run of AllFOX Video - Package"/>
    <d v="2026-06-01T00:00:00"/>
    <d v="2026-07-19T00:00:00"/>
    <s v="FOX DCM"/>
    <s v="CPM"/>
    <n v="23"/>
    <n v="6521740"/>
    <n v="150000.01999999999"/>
    <s v="Impressions"/>
    <s v="performance"/>
    <n v="0"/>
    <n v="0"/>
    <s v="performance"/>
    <n v="2415792"/>
    <s v="invoice_schedule"/>
    <n v="55563.216"/>
    <n v="55563.216"/>
    <n v="55563.216"/>
    <n v="2380338"/>
    <n v="2415792"/>
    <d v="2026-06-01T00:00:00"/>
    <d v="2026-07-19T00:00:00"/>
    <s v="Jessica Lang"/>
    <s v="None"/>
    <s v="JUN'26"/>
    <n v="850000.32"/>
    <n v="126577"/>
    <s v="Dylan Giordano"/>
  </r>
  <r>
    <s v="AGC000898"/>
    <s v="UNIVERSAL PICTURES"/>
    <s v="ADV000562"/>
    <s v="Universal Pictures/Digital/Scatter/Sports/MWC 2026/Disclosure Day "/>
    <x v="24"/>
    <s v="Run of World Cup Video - Package"/>
    <n v="8005"/>
    <n v="581358"/>
    <s v="Universal- Run of World Cup Video - Package (Disclosure Day)"/>
    <d v="2026-06-11T00:00:00"/>
    <d v="2026-06-19T00:00:00"/>
    <s v="FOX DCM"/>
    <s v="CPM"/>
    <n v="40"/>
    <n v="539275"/>
    <n v="21571"/>
    <s v="Impressions"/>
    <s v="performance"/>
    <n v="0"/>
    <n v="0"/>
    <s v="performance"/>
    <n v="539192"/>
    <s v="invoice_schedule"/>
    <n v="21567.68"/>
    <n v="21567.68"/>
    <n v="21567.68"/>
    <n v="538604"/>
    <n v="539192"/>
    <d v="2026-06-11T00:00:00"/>
    <d v="2026-06-19T00:00:00"/>
    <s v="Marcela Miranda"/>
    <s v="None"/>
    <s v="JUN'26"/>
    <n v="21571"/>
    <n v="130009"/>
    <s v="Gina Rodarte"/>
  </r>
  <r>
    <s v="AGC004676"/>
    <s v="COCA COLA"/>
    <s v="ADV000868"/>
    <s v="POWERADE/DIGITAL/SCATTER/SPORTS/MWC"/>
    <x v="25"/>
    <s v="World Cup Social Sponsorship Content - Package"/>
    <n v="8000"/>
    <n v="582127"/>
    <s v="Powerade - OMP - World Cup Social Sponsorship Content - 2026 MWC Package"/>
    <d v="2026-06-01T00:00:00"/>
    <d v="2026-07-19T00:00:00"/>
    <s v="FOX 1st Party"/>
    <s v="SOV-Flat Rate"/>
    <n v="199000"/>
    <n v="3"/>
    <n v="199000"/>
    <s v="n/a"/>
    <s v="prorated"/>
    <n v="2"/>
    <n v="121836.7347"/>
    <s v="prorated"/>
    <n v="2"/>
    <s v="invoice_schedule"/>
    <n v="121836.7347"/>
    <n v="121836.7347"/>
    <n v="121836.7347"/>
    <m/>
    <m/>
    <d v="2026-06-01T00:00:00"/>
    <d v="2026-07-19T00:00:00"/>
    <s v="Matthew Vellardito"/>
    <s v="None"/>
    <s v="JUN'26"/>
    <n v="397600"/>
    <n v="128489"/>
    <s v="Janna Goldstein"/>
  </r>
  <r>
    <s v="AGC004676"/>
    <s v="COCA COLA"/>
    <s v="ADV000868"/>
    <s v="POWERADE/DIGITAL/SCATTER/SPORTS/MWC"/>
    <x v="25"/>
    <s v="Run of World Cup Display - Package"/>
    <n v="8004"/>
    <n v="582145"/>
    <s v="Powerade - OMP - Run of World Cup Display - 2026 MWC Package"/>
    <d v="2026-06-01T00:00:00"/>
    <d v="2026-07-19T00:00:00"/>
    <s v="FOX DCM"/>
    <s v="CPM"/>
    <n v="6"/>
    <n v="5583333"/>
    <n v="33500"/>
    <s v="Impressions"/>
    <s v="performance"/>
    <n v="0"/>
    <n v="0"/>
    <s v="performance"/>
    <n v="4093433"/>
    <s v="invoice_schedule"/>
    <n v="24560.598000000002"/>
    <n v="24560.598000000002"/>
    <n v="24560.598000000002"/>
    <n v="4078551"/>
    <n v="4093433"/>
    <d v="2026-06-01T00:00:00"/>
    <d v="2026-07-19T00:00:00"/>
    <s v="Matthew Vellardito"/>
    <s v="None"/>
    <s v="JUN'26"/>
    <n v="397600"/>
    <n v="128489"/>
    <s v="Janna Goldstein"/>
  </r>
  <r>
    <s v="AGC004676"/>
    <s v="COCA COLA"/>
    <s v="ADV000868"/>
    <s v="POWERADE/DIGITAL/SCATTER/SPORTS/MWC"/>
    <x v="25"/>
    <s v="Run of World Cup Video - Package"/>
    <n v="8005"/>
    <n v="582166"/>
    <s v="Powerade - OMP -  Run of World Cup Video - 2026 MWC Package"/>
    <d v="2026-06-01T00:00:00"/>
    <d v="2026-07-19T00:00:00"/>
    <s v="FOX Extreme Reach"/>
    <s v="CPM"/>
    <n v="40"/>
    <n v="4127500"/>
    <n v="165100"/>
    <s v="Impressions"/>
    <s v="performance"/>
    <n v="0"/>
    <n v="0"/>
    <s v="performance"/>
    <n v="2644548"/>
    <s v="invoice_schedule"/>
    <n v="105781.92"/>
    <n v="105781.92"/>
    <n v="105781.92"/>
    <n v="2762569"/>
    <n v="2644548"/>
    <d v="2026-06-01T00:00:00"/>
    <d v="2026-07-19T00:00:00"/>
    <s v="Matthew Vellardito"/>
    <s v="None"/>
    <s v="JUN'26"/>
    <n v="397600"/>
    <n v="128489"/>
    <s v="Janna Goldstein"/>
  </r>
  <r>
    <s v="AGC004653"/>
    <s v="HEARTLAND FOOD PRODUCTS"/>
    <s v="ADV001899"/>
    <s v="JavaHouse/SCT/Indy/Social/25-26"/>
    <x v="26"/>
    <s v="DIO - SOC - FOX Sports - Package"/>
    <n v="7993"/>
    <n v="570374"/>
    <s v="Java House - Indy - DIO - SOC - FOX Sports - Package - FB/IG/TT"/>
    <d v="2026-03-01T00:00:00"/>
    <d v="2026-09-13T00:00:00"/>
    <s v="FOX 1st Party"/>
    <s v="Cost Per Unit"/>
    <n v="0.15"/>
    <n v="666668"/>
    <n v="100000.2"/>
    <s v="Placements"/>
    <s v="straightline"/>
    <n v="95238"/>
    <n v="14285.742899999999"/>
    <s v="straightline"/>
    <n v="95237"/>
    <s v="invoice_schedule"/>
    <n v="14285.55"/>
    <n v="14285.55"/>
    <n v="14285.55"/>
    <m/>
    <m/>
    <d v="2026-03-01T00:00:00"/>
    <d v="2026-09-13T00:00:00"/>
    <s v="Kailey McGinn"/>
    <s v="None"/>
    <s v="JUN'26"/>
    <n v="100000.2"/>
    <n v="118690"/>
    <s v="Nicole Joscelyn"/>
  </r>
  <r>
    <s v="AGC003039"/>
    <s v="BRIGHTHOUSE FINANCIAL"/>
    <s v="ADV005685"/>
    <s v="Brighthouse Financial/AllFOX/2Q26/DIO"/>
    <x v="27"/>
    <s v="DIO - ROV - 1F SEN - Pre/Mid - ROS - FW - SXD - Package"/>
    <n v="7950"/>
    <n v="569809"/>
    <s v="Brighthouse Financial/AllFOX/2Q26/DIO"/>
    <d v="2026-04-06T00:00:00"/>
    <d v="2026-06-30T00:00:00"/>
    <s v="FOX Flashtalking"/>
    <s v="CPM"/>
    <n v="28"/>
    <n v="1446429"/>
    <n v="40500.01"/>
    <s v="Impressions"/>
    <s v="performance"/>
    <n v="0"/>
    <n v="0"/>
    <s v="performance"/>
    <n v="456225"/>
    <s v="invoice_schedule"/>
    <n v="12774.3"/>
    <n v="12774.3"/>
    <n v="12774.3"/>
    <n v="454400"/>
    <n v="456225"/>
    <d v="2026-04-06T00:00:00"/>
    <d v="2026-06-30T00:00:00"/>
    <s v="Kelsey Brahms"/>
    <s v="None"/>
    <s v="JUN'26"/>
    <n v="40500.01"/>
    <n v="120963"/>
    <s v="Bridgid Antoniello"/>
  </r>
  <r>
    <s v="AGC002475"/>
    <s v="HEINEKEN"/>
    <s v="ADV005498"/>
    <s v="HEINEKEN- Deportes - Digital - UF 2025/26- 2Q26"/>
    <x v="28"/>
    <s v="Generic Flighted Bottom Up Package"/>
    <n v="1"/>
    <n v="572919"/>
    <s v="Heineken - Deportes - ROS - A21-54 - Upfront 25/26 - 2Q'26"/>
    <d v="2026-04-01T00:00:00"/>
    <d v="2026-06-30T00:00:00"/>
    <s v="FOX Innovid"/>
    <s v="CPM"/>
    <n v="27.92"/>
    <n v="179083"/>
    <n v="5000"/>
    <m/>
    <s v="straightline"/>
    <n v="59694"/>
    <n v="1666.6666"/>
    <s v="straightline"/>
    <n v="59671"/>
    <s v="invoice_schedule"/>
    <n v="1666"/>
    <n v="1666"/>
    <n v="1666"/>
    <n v="13114"/>
    <n v="13044"/>
    <d v="2026-04-01T00:00:00"/>
    <d v="2026-06-30T00:00:00"/>
    <s v="Jessica Lang"/>
    <s v="None"/>
    <s v="JUN'26"/>
    <n v="5000"/>
    <n v="121258"/>
    <s v="Mike Maresca"/>
  </r>
  <r>
    <s v="AGC001546"/>
    <s v="EXACT SCIENCES"/>
    <s v="ADV006337"/>
    <s v="Cologuard/Digital/Upfront/ONE FOX/UF 2025.26/Direct/2Q26"/>
    <x v="29"/>
    <s v="Generic Flighted Bottom Up Package"/>
    <n v="1"/>
    <n v="573336"/>
    <s v="Cologuard - OneFox - 25/26 - Pre/Mid - ROS - AAT - SXD - A45+ - 2Q'26"/>
    <d v="2026-04-01T00:00:00"/>
    <d v="2026-06-28T00:00:00"/>
    <s v="FOX DCM"/>
    <s v="CPM"/>
    <n v="17.46"/>
    <n v="7159221"/>
    <n v="125000"/>
    <s v="Impressions"/>
    <s v="performance"/>
    <n v="0"/>
    <n v="0"/>
    <s v="thirdparty_performance"/>
    <n v="1672298"/>
    <s v="invoice_schedule"/>
    <n v="29198.32"/>
    <n v="29198.32"/>
    <n v="29198.32"/>
    <n v="1790055"/>
    <n v="1793149"/>
    <d v="2026-04-01T00:00:00"/>
    <d v="2026-06-28T00:00:00"/>
    <s v="Megan Sileo"/>
    <s v="None"/>
    <s v="JUN'26"/>
    <n v="125000"/>
    <n v="122756"/>
    <s v="Jon Renz"/>
  </r>
  <r>
    <s v="AGC001914"/>
    <s v="CAPITAL ONE"/>
    <s v="ADV004035"/>
    <s v="Capital One/Card/Digital/BYUF/Entertainment/UF2526_2Q'26"/>
    <x v="30"/>
    <s v="LFV - RON Ent - ROS - Pre/Mid - DT/MB/CTV/VOD - Package"/>
    <n v="3535"/>
    <n v="573368"/>
    <s v="Capital One - Consumer Card - LFV - RON Ent - ROS - Pre/Mid - DT/MB/CTV/VOD - 1Q'26"/>
    <d v="2026-04-13T00:00:00"/>
    <d v="2026-06-28T00:00:00"/>
    <s v="FOX Innovid"/>
    <s v="CPM"/>
    <n v="27.6"/>
    <n v="9494131"/>
    <n v="262038.02"/>
    <s v="CoV Impressions"/>
    <s v="straightline"/>
    <n v="3164710"/>
    <n v="87346.006599999993"/>
    <s v="straightline"/>
    <n v="3637362"/>
    <s v="invoice_schedule"/>
    <n v="100391.19500000001"/>
    <n v="100391.19500000001"/>
    <n v="100391.19500000001"/>
    <n v="3326982"/>
    <n v="3179268"/>
    <d v="2026-04-13T00:00:00"/>
    <d v="2026-06-28T00:00:00"/>
    <s v="Anthony Gizzo"/>
    <s v="None"/>
    <s v="JUN'26"/>
    <n v="262038.02"/>
    <n v="120477"/>
    <s v="Sydney Stipanovich"/>
  </r>
  <r>
    <s v="AGC001914"/>
    <s v="CAPITAL ONE"/>
    <s v="ADV004035"/>
    <s v="Capital One/BANK/25-26/Upfront/Digital/MLB/WS -  UF 2025/26"/>
    <x v="31"/>
    <s v="DIO - LFV - FSLS - Pre/Mid - ROS - DT/MB/CTV - Package"/>
    <n v="3534"/>
    <n v="574553"/>
    <s v="Capital One - BANK - DIO - LFV - FSLS - Pre/Mid - ROS - DT/MB/CTV - Regular Season"/>
    <d v="2026-03-25T00:00:00"/>
    <d v="2026-09-27T00:00:00"/>
    <s v="FOX Innovid"/>
    <s v="CPM"/>
    <n v="32.25"/>
    <n v="241953"/>
    <n v="7802.98"/>
    <s v="CoV Impressions"/>
    <s v="straightline"/>
    <n v="34565"/>
    <n v="1114.7113999999999"/>
    <s v="straightline"/>
    <n v="38374"/>
    <s v="invoice_schedule"/>
    <n v="1237.5574999999999"/>
    <n v="1237.5574999999999"/>
    <n v="1237.5574999999999"/>
    <n v="246"/>
    <n v="223"/>
    <d v="2026-03-25T00:00:00"/>
    <d v="2026-09-27T00:00:00"/>
    <s v="Anthony Gizzo"/>
    <s v="None"/>
    <s v="JUN'26"/>
    <n v="78030.02"/>
    <n v="121802"/>
    <s v="Dylan Giordano"/>
  </r>
  <r>
    <s v="AGC000932"/>
    <s v="HILTON HOTELS"/>
    <s v="ADV005857"/>
    <s v="Hilton/Digital/Upfront/Streaming/25-26/DIO/2Q'26"/>
    <x v="32"/>
    <s v="DIO - ROV - FS - Pre/Mid - ROS - DT/MB/CTV - Package"/>
    <n v="7968"/>
    <n v="573888"/>
    <s v="Hilton - DIO - ROV - FS - Pre/Mid - ROS - DT/MB/CTV - Package"/>
    <d v="2026-03-31T00:00:00"/>
    <d v="2026-06-28T00:00:00"/>
    <s v="FOX Innovid"/>
    <s v="CPM"/>
    <n v="20"/>
    <n v="5015000"/>
    <n v="100300"/>
    <m/>
    <s v="straightline"/>
    <n v="1253750"/>
    <n v="25075"/>
    <s v="straightline"/>
    <n v="1553076"/>
    <s v="invoice_schedule"/>
    <n v="30861.52"/>
    <n v="30861.52"/>
    <n v="30861.52"/>
    <n v="105988"/>
    <n v="103938"/>
    <d v="2026-03-31T00:00:00"/>
    <d v="2026-06-28T00:00:00"/>
    <s v="Jessica Lang"/>
    <s v="None"/>
    <s v="JUN'26"/>
    <n v="100300"/>
    <n v="121426"/>
    <s v="Mike Maresca"/>
  </r>
  <r>
    <s v="AGC002411"/>
    <s v="DIRECTV"/>
    <s v="ADV001010"/>
    <s v="DTV/Digital/Deportes MLB/X Amplify/2526/Scatter"/>
    <x v="33"/>
    <m/>
    <m/>
    <n v="574125"/>
    <s v="CANCELLED - DTV DIO - SOC - FOX Sports - X - Deportes"/>
    <d v="2026-04-01T00:00:00"/>
    <d v="2026-10-31T00:00:00"/>
    <m/>
    <s v="SOV-Flat Rate"/>
    <n v="0"/>
    <n v="0"/>
    <n v="0"/>
    <s v="n/a"/>
    <s v="prorated"/>
    <n v="0"/>
    <n v="0"/>
    <s v="prorated"/>
    <n v="0"/>
    <s v="invoice_schedule"/>
    <n v="0"/>
    <n v="0"/>
    <n v="0"/>
    <m/>
    <m/>
    <d v="2026-04-01T00:00:00"/>
    <d v="2026-10-31T00:00:00"/>
    <s v="Grace Stryker"/>
    <s v="None"/>
    <s v="JUN'26"/>
    <n v="250000.48"/>
    <n v="121539"/>
    <s v="Diana Montenegro"/>
  </r>
  <r>
    <s v="AGC002411"/>
    <s v="DIRECTV"/>
    <s v="ADV001010"/>
    <s v="DTV/Digital/Deportes MLB/X Amplify/2526/Scatter"/>
    <x v="33"/>
    <m/>
    <m/>
    <n v="587884"/>
    <s v="DTV - DIO - SOC - FOX Sports - X - FOXD"/>
    <d v="2026-04-01T00:00:00"/>
    <d v="2026-10-31T00:00:00"/>
    <m/>
    <s v="SOV-Flat Rate"/>
    <n v="250000.5"/>
    <n v="0"/>
    <n v="250000.5"/>
    <s v="n/a"/>
    <s v="prorated"/>
    <n v="0"/>
    <n v="35046.798999999999"/>
    <s v="prorated"/>
    <n v="0"/>
    <s v="invoice_schedule"/>
    <n v="49019.705900000001"/>
    <n v="49019.705900000001"/>
    <n v="49019.705900000001"/>
    <m/>
    <m/>
    <d v="2026-04-01T00:00:00"/>
    <d v="2026-10-31T00:00:00"/>
    <s v="Grace Stryker"/>
    <s v="None"/>
    <s v="JUN'26"/>
    <n v="250000.48"/>
    <n v="121539"/>
    <s v="Diana Montenegro"/>
  </r>
  <r>
    <s v="AGC002411"/>
    <s v="DIRECTV"/>
    <s v="ADV001010"/>
    <s v="DIRECTV/DIGITAL SCATTER/25 26/MWC/X AMPLIFY - WC PORTAL"/>
    <x v="34"/>
    <s v="World Cup Social Sponsorship Content - Package"/>
    <n v="8000"/>
    <n v="583235"/>
    <s v="DTV World Cup Social Sponsorship Content - Package - X"/>
    <d v="2026-06-01T00:00:00"/>
    <d v="2026-07-19T00:00:00"/>
    <m/>
    <s v="SOV-Flat Rate"/>
    <n v="500000"/>
    <n v="1"/>
    <n v="500000"/>
    <s v="n/a"/>
    <s v="prorated"/>
    <n v="1"/>
    <n v="306122.44900000002"/>
    <s v="prorated"/>
    <n v="1"/>
    <s v="invoice_schedule"/>
    <n v="306122.44900000002"/>
    <n v="306122.44900000002"/>
    <n v="306122.44900000002"/>
    <m/>
    <m/>
    <d v="2026-06-01T00:00:00"/>
    <d v="2026-07-19T00:00:00"/>
    <s v="Grace Stryker"/>
    <s v="None"/>
    <s v="JUN'26"/>
    <n v="500000"/>
    <n v="120776"/>
    <s v="Lisa Geraldson"/>
  </r>
  <r>
    <s v="AGC004525"/>
    <s v="ADVERTISING COUNCIL"/>
    <s v="ADV003096"/>
    <s v="Ad Council/2025/Dig/Pro-bono/2Q26/OneFox "/>
    <x v="35"/>
    <s v="DIO - ROV - 1F SEN - Pre/Mid - ROS - FW - SXD - Package"/>
    <n v="7950"/>
    <n v="574526"/>
    <s v="Ad Council - LFV - 1F - Pre/Mid - ROS - FW - SXD - Package- 2Q'26 - Pro-Bono"/>
    <d v="2026-04-01T00:00:00"/>
    <d v="2026-06-30T00:00:00"/>
    <s v="FOX DCM"/>
    <s v="CPM"/>
    <n v="25"/>
    <n v="6000000"/>
    <n v="0"/>
    <s v="Impressions"/>
    <s v="performance"/>
    <n v="0"/>
    <n v="0"/>
    <s v="performance"/>
    <n v="1415163"/>
    <s v="invoice_schedule"/>
    <n v="0"/>
    <n v="0"/>
    <n v="0"/>
    <n v="1479260"/>
    <n v="1415163"/>
    <d v="2026-04-01T00:00:00"/>
    <d v="2026-06-30T00:00:00"/>
    <s v="Kailey McGinn"/>
    <s v="None"/>
    <s v="JUN'26"/>
    <n v="0"/>
    <n v="121448"/>
    <s v="Nicholas Vara"/>
  </r>
  <r>
    <s v="AGC001318"/>
    <s v="KIA"/>
    <s v="ADV004496"/>
    <s v="Kia/Digital/Upfront/Entertainment/UF 2025/26 - 2Q26"/>
    <x v="36"/>
    <s v="LFV - RON Ent - ROS - Pre/Mid - DT/MB/CTV/VOD - Package"/>
    <n v="3535"/>
    <n v="574706"/>
    <s v="KIA - LFV - RON Ent - ROS - Pre/Mid - DT/MB/CTV/VOD - Package - 2Q'26"/>
    <d v="2026-04-01T00:00:00"/>
    <d v="2026-06-30T00:00:00"/>
    <s v="FOX DCM"/>
    <s v="CPM"/>
    <n v="33.57"/>
    <n v="2468276"/>
    <n v="82860.03"/>
    <s v="CoV Impressions"/>
    <s v="performance"/>
    <n v="0"/>
    <n v="0"/>
    <s v="performance"/>
    <n v="0"/>
    <s v="invoice_schedule"/>
    <n v="0"/>
    <n v="0"/>
    <n v="0"/>
    <m/>
    <m/>
    <d v="2026-04-01T00:00:00"/>
    <d v="2026-06-30T00:00:00"/>
    <s v="Jessica Lang"/>
    <s v="None"/>
    <s v="JUN'26"/>
    <n v="182860.03"/>
    <n v="121422"/>
    <s v="Allison Klein"/>
  </r>
  <r>
    <s v="AGC001914"/>
    <s v="DISCOVER FINANCIAL SERVICES"/>
    <s v="ADV001302"/>
    <s v="DISCOVER CARD/Digital/Upfront/Entertainment/ADDRESSABLE/UF 2Q'26"/>
    <x v="37"/>
    <s v="DIO - LFV - Entertainment ROS - Package"/>
    <n v="2789"/>
    <n v="575165"/>
    <s v="Discover Card - DIO - LFV - Entertainment ROS - 2Q26"/>
    <d v="2026-03-30T00:00:00"/>
    <d v="2026-06-28T00:00:00"/>
    <s v="FOX Innovid"/>
    <s v="CPM"/>
    <n v="17.87"/>
    <n v="3357583"/>
    <n v="60000.01"/>
    <s v="Impressions"/>
    <s v="performance"/>
    <n v="0"/>
    <n v="0"/>
    <s v="performance"/>
    <n v="848471"/>
    <s v="invoice_schedule"/>
    <n v="15162.177799999999"/>
    <n v="15162.177799999999"/>
    <n v="15162.177799999999"/>
    <n v="949348"/>
    <n v="956420"/>
    <d v="2026-03-30T00:00:00"/>
    <d v="2026-06-28T00:00:00"/>
    <s v="Anthony Gizzo"/>
    <s v="None"/>
    <s v="JUN'26"/>
    <n v="60000"/>
    <n v="122543"/>
    <s v="Sydney Stipanovich"/>
  </r>
  <r>
    <s v="AGC001318"/>
    <s v="KIA"/>
    <s v="ADV004496"/>
    <s v="Kia/Upfront/Digital/Sports Streaming - UF 2025/26 - 2Q26"/>
    <x v="38"/>
    <s v="Generic Flighted Bottom Up Package"/>
    <n v="1"/>
    <n v="575258"/>
    <s v="KIA/Upfront/Digital/Sports/Streaming/ROV/2025-2026 - 2Q26"/>
    <d v="2026-04-01T00:00:00"/>
    <d v="2026-06-30T00:00:00"/>
    <s v="FOX DCM"/>
    <s v="CPM"/>
    <n v="34.96"/>
    <n v="2742363"/>
    <n v="95873.01"/>
    <m/>
    <s v="performance"/>
    <n v="0"/>
    <n v="0"/>
    <s v="performance"/>
    <n v="0"/>
    <s v="invoice_schedule"/>
    <n v="0"/>
    <n v="0"/>
    <n v="0"/>
    <m/>
    <m/>
    <d v="2026-04-01T00:00:00"/>
    <d v="2026-06-30T00:00:00"/>
    <s v="Jessica Lang"/>
    <s v="None"/>
    <s v="JUN'26"/>
    <n v="95873.01"/>
    <n v="122380"/>
    <s v="Dylan Giordano"/>
  </r>
  <r>
    <s v="AGC000907"/>
    <s v="JOHNSON &amp; JOHNSON"/>
    <s v="ADV000102"/>
    <s v="J&amp;J MWC'26/scatter/digital - Tremfya PsO"/>
    <x v="39"/>
    <s v="Run of World Cup Video - Package"/>
    <n v="8005"/>
    <n v="584732"/>
    <s v="J&amp;J - MWC - TREMFYA PsO - Run of World Cup Video - Package - :60s"/>
    <d v="2026-06-01T00:00:00"/>
    <d v="2026-07-19T00:00:00"/>
    <s v="FOX DCM"/>
    <s v="CPM"/>
    <n v="80"/>
    <n v="1875000"/>
    <n v="150000"/>
    <s v="Impressions"/>
    <s v="performance"/>
    <n v="0"/>
    <n v="0"/>
    <s v="performance"/>
    <n v="1357592"/>
    <s v="invoice_schedule"/>
    <n v="108607.36"/>
    <n v="108607.36"/>
    <n v="108607.36"/>
    <n v="1363014"/>
    <n v="1357592"/>
    <d v="2026-06-01T00:00:00"/>
    <d v="2026-07-19T00:00:00"/>
    <s v="Mia Bonvissuto"/>
    <s v="None"/>
    <s v="JUN'26"/>
    <n v="150000"/>
    <n v="128214"/>
    <s v="Leslie Lowenthal"/>
  </r>
  <r>
    <s v="AGC000386"/>
    <s v="AMERICAN EXPRESS"/>
    <s v="ADV000681"/>
    <s v="2026 FIFA MWC/AMEX/Digital"/>
    <x v="40"/>
    <s v="Run of World Cup Video - Package"/>
    <n v="8005"/>
    <n v="581680"/>
    <s v="AMEX - Run of World Cup Video - Package"/>
    <d v="2026-06-11T00:00:00"/>
    <d v="2026-07-19T00:00:00"/>
    <m/>
    <s v="CPM"/>
    <n v="40"/>
    <n v="16500000"/>
    <n v="660000"/>
    <s v="Impressions"/>
    <s v="performance"/>
    <n v="0"/>
    <n v="0"/>
    <s v="performance"/>
    <n v="10942300"/>
    <s v="invoice_schedule"/>
    <n v="437692"/>
    <n v="437692"/>
    <n v="437692"/>
    <n v="10942300"/>
    <n v="0"/>
    <d v="2026-06-11T00:00:00"/>
    <d v="2026-07-19T00:00:00"/>
    <s v="JohnMichael Bogusz"/>
    <s v="None"/>
    <s v="JUN'26"/>
    <n v="2550000.13"/>
    <n v="128038"/>
    <s v="Meghan Courtney"/>
  </r>
  <r>
    <s v="AGC000386"/>
    <s v="AMERICAN EXPRESS"/>
    <s v="ADV000681"/>
    <s v="2026 FIFA MWC/AMEX/Digital"/>
    <x v="40"/>
    <s v="World Cup Social Sponsorship Content - Package"/>
    <n v="8000"/>
    <n v="582833"/>
    <s v="AMEX - World Cup Social Sponsorship Content - Package - X"/>
    <d v="2026-06-11T00:00:00"/>
    <d v="2026-07-19T00:00:00"/>
    <m/>
    <s v="SOV-Flat Rate"/>
    <n v="1000000"/>
    <n v="0"/>
    <n v="1000000"/>
    <s v="n/a"/>
    <s v="prorated"/>
    <n v="0"/>
    <n v="512820.51289999997"/>
    <s v="prorated"/>
    <n v="0"/>
    <s v="invoice_schedule"/>
    <n v="512820.51289999997"/>
    <n v="512820.51289999997"/>
    <n v="512820.51289999997"/>
    <m/>
    <m/>
    <d v="2026-06-11T00:00:00"/>
    <d v="2026-07-19T00:00:00"/>
    <s v="JohnMichael Bogusz"/>
    <s v="None"/>
    <s v="JUN'26"/>
    <n v="2550000.13"/>
    <n v="128038"/>
    <s v="Meghan Courtney"/>
  </r>
  <r>
    <s v="AGC000386"/>
    <s v="AMERICAN EXPRESS"/>
    <s v="ADV000681"/>
    <s v="2026 FIFA MWC/AMEX/Digital"/>
    <x v="40"/>
    <s v="World Cup Social Sponsorship Content - Package"/>
    <n v="8000"/>
    <n v="582838"/>
    <s v="AMEX - World Cup Social Sponsorship Content - Package - FB/IG/TT/YT"/>
    <d v="2026-06-11T00:00:00"/>
    <d v="2026-07-19T00:00:00"/>
    <m/>
    <s v="Cost Per Unit"/>
    <n v="0.15"/>
    <n v="5933334"/>
    <n v="890000.1"/>
    <s v="Guaranteed Views"/>
    <s v="prorated"/>
    <n v="3042736"/>
    <n v="456410.3077"/>
    <s v="prorated"/>
    <n v="3042736"/>
    <s v="invoice_schedule"/>
    <n v="456410.3077"/>
    <n v="456410.3077"/>
    <n v="456410.3077"/>
    <m/>
    <m/>
    <d v="2026-06-11T00:00:00"/>
    <d v="2026-07-19T00:00:00"/>
    <s v="JohnMichael Bogusz"/>
    <s v="None"/>
    <s v="JUN'26"/>
    <n v="2550000.13"/>
    <n v="128038"/>
    <s v="Meghan Courtney"/>
  </r>
  <r>
    <s v="AGC002371"/>
    <s v="DAC GROUP / BRIDGESTONE"/>
    <s v="ADV014268"/>
    <s v="Bridgestone/25-26/Digital/Scatter/Entertainment/2Q"/>
    <x v="41"/>
    <s v="DIO - LFV - Entertainment ROS Preemptible - Package"/>
    <n v="1754"/>
    <n v="576695"/>
    <s v="Bridgestone - DIO - LFV - Entertainment ROS Preemptible - Package"/>
    <d v="2026-04-01T00:00:00"/>
    <d v="2026-06-28T00:00:00"/>
    <m/>
    <s v="CPM"/>
    <n v="12.5"/>
    <n v="4640000"/>
    <n v="58000"/>
    <s v="Impressions"/>
    <s v="performance"/>
    <n v="0"/>
    <n v="0"/>
    <s v="performance"/>
    <n v="495547"/>
    <s v="invoice_schedule"/>
    <n v="6194.3374999999996"/>
    <n v="6194.3374999999996"/>
    <n v="6194.3374999999996"/>
    <n v="494517"/>
    <n v="495547"/>
    <d v="2026-04-01T00:00:00"/>
    <d v="2026-06-28T00:00:00"/>
    <s v="JohnMichael Bogusz"/>
    <s v="None"/>
    <s v="JUN'26"/>
    <n v="58000"/>
    <n v="128399"/>
    <s v="Tierney Flynn"/>
  </r>
  <r>
    <s v="AGC002175"/>
    <s v="SIGNET"/>
    <s v="ADV003649"/>
    <s v="Signet Kay/25-26/Digital/Upfront/Entertainment/UF 2025/26/2Q"/>
    <x v="42"/>
    <s v="DIO - LFV - Entertainment ROS - Package"/>
    <n v="2789"/>
    <n v="576868"/>
    <s v="Signet Kay DIO - LFV - Entertainment ROS - Package Bridal 2Q"/>
    <d v="2026-04-01T00:00:00"/>
    <d v="2026-06-30T00:00:00"/>
    <m/>
    <s v="CPM"/>
    <n v="17"/>
    <n v="4339410"/>
    <n v="73769.98"/>
    <s v="CoV Impressions"/>
    <s v="performance"/>
    <n v="0"/>
    <n v="0"/>
    <s v="performance"/>
    <n v="282886"/>
    <s v="invoice_schedule"/>
    <n v="4809.0619999999999"/>
    <n v="4809.0619999999999"/>
    <n v="4809.0619999999999"/>
    <n v="296059"/>
    <n v="282886"/>
    <d v="2026-04-01T00:00:00"/>
    <d v="2026-06-30T00:00:00"/>
    <s v="Grace Stryker"/>
    <s v="None"/>
    <s v="JUN'26"/>
    <n v="151323.03"/>
    <n v="122614"/>
    <s v="Carly Sartwell"/>
  </r>
  <r>
    <s v="AGC002175"/>
    <s v="SIGNET"/>
    <s v="ADV003649"/>
    <s v="Signet Kay/25-26/Digital/Upfront/Entertainment/UF 2025/26/2Q"/>
    <x v="42"/>
    <s v="DIO - LFV - Entertainment ROS - Package"/>
    <n v="2789"/>
    <n v="576879"/>
    <s v="Signet Kay DIO - LFV - Entertainment ROS - Package Gifting 2Q"/>
    <d v="2026-04-01T00:00:00"/>
    <d v="2026-06-30T00:00:00"/>
    <m/>
    <s v="CPM"/>
    <n v="17"/>
    <n v="4561944"/>
    <n v="77553.05"/>
    <s v="CoV Impressions"/>
    <s v="performance"/>
    <n v="0"/>
    <n v="0"/>
    <s v="performance"/>
    <n v="427265"/>
    <s v="invoice_schedule"/>
    <n v="7263.51"/>
    <n v="7263.51"/>
    <n v="7263.51"/>
    <n v="448118"/>
    <n v="429945"/>
    <d v="2026-04-01T00:00:00"/>
    <d v="2026-06-30T00:00:00"/>
    <s v="Grace Stryker"/>
    <s v="None"/>
    <s v="JUN'26"/>
    <n v="151323.03"/>
    <n v="122614"/>
    <s v="Carly Sartwell"/>
  </r>
  <r>
    <s v="AGC002601"/>
    <s v="AUTOTRADER"/>
    <s v="ADV000761"/>
    <s v="Autotrader/Digital/Direct/Upfront/Sports/25-26/2Q'26"/>
    <x v="43"/>
    <s v="Generic Flighted Bottom Up Package"/>
    <n v="1"/>
    <n v="577035"/>
    <s v="Autotrader - DIO - ROV - FS - Pre/Mid - SOCCER - DT/MB/CTV - 2Q'26"/>
    <d v="2026-04-01T00:00:00"/>
    <d v="2026-06-28T00:00:00"/>
    <s v="FOX DCM"/>
    <s v="CPM"/>
    <n v="25.7"/>
    <n v="778211"/>
    <n v="20000.02"/>
    <s v="CoV Impressions"/>
    <s v="performance"/>
    <n v="0"/>
    <n v="0"/>
    <s v="performance"/>
    <n v="259405"/>
    <s v="invoice_schedule"/>
    <n v="6666.7"/>
    <n v="6666.7"/>
    <n v="6666.7"/>
    <n v="317582"/>
    <n v="315257"/>
    <d v="2026-04-01T00:00:00"/>
    <d v="2026-06-28T00:00:00"/>
    <s v="Kailey McGinn"/>
    <s v="None"/>
    <s v="JUN'26"/>
    <n v="20000.02"/>
    <n v="123965"/>
    <s v="Nicole Gamache"/>
  </r>
  <r>
    <s v="AGC002371"/>
    <s v="NUTRAFOL"/>
    <s v="ADV008819"/>
    <s v="Nutrafol/25-26/Digital/Scatter/Entertainment/2Q"/>
    <x v="44"/>
    <s v="DIO - LFV - Entertainment ROS Preemptible - Package"/>
    <n v="1754"/>
    <n v="577967"/>
    <s v="Nutrafol - DIO - LFV - Entertainment ROS Preemptible - Package"/>
    <d v="2026-04-01T00:00:00"/>
    <d v="2026-06-07T00:00:00"/>
    <m/>
    <s v="CPM"/>
    <n v="12.5"/>
    <n v="7120000"/>
    <n v="89000"/>
    <s v="Impressions"/>
    <s v="performance"/>
    <n v="0"/>
    <n v="0"/>
    <s v="performance"/>
    <n v="229454"/>
    <s v="invoice_schedule"/>
    <n v="2868.17"/>
    <n v="2868.17"/>
    <n v="2868.17"/>
    <n v="415622"/>
    <n v="419230"/>
    <d v="2026-04-01T00:00:00"/>
    <d v="2026-06-07T00:00:00"/>
    <s v="John Michael Bogusz"/>
    <s v="None"/>
    <s v="JUN'26"/>
    <n v="89000.01"/>
    <n v="128838"/>
    <s v="Tierney Flynn"/>
  </r>
  <r>
    <s v="AGC003453"/>
    <s v="NATIONAL VISION INC"/>
    <s v="ADV006329"/>
    <s v="National Vision/Digital/Upfront/ONEFOX/UF 2025/26/2Q'26"/>
    <x v="45"/>
    <s v="Generic Flighted Bottom Up Package"/>
    <n v="1"/>
    <n v="578272"/>
    <s v="National Vision - OneFOX - A25-54 - 2Q'26 Package"/>
    <d v="2026-03-30T00:00:00"/>
    <d v="2026-06-28T00:00:00"/>
    <s v="FOX DCM"/>
    <s v="CPM"/>
    <n v="19.46"/>
    <n v="14131552"/>
    <n v="275000"/>
    <s v="Impressions"/>
    <s v="performance"/>
    <n v="0"/>
    <n v="0"/>
    <s v="performance"/>
    <n v="3338126"/>
    <s v="invoice_schedule"/>
    <n v="62335.87"/>
    <n v="62335.87"/>
    <n v="62335.87"/>
    <n v="3724779"/>
    <n v="3717319"/>
    <d v="2026-03-30T00:00:00"/>
    <d v="2026-06-28T00:00:00"/>
    <s v="Katie Johnson"/>
    <s v="None"/>
    <s v="JUN'26"/>
    <n v="300000.03000000003"/>
    <n v="122827"/>
    <s v="Tim Wodzisz"/>
  </r>
  <r>
    <s v="AGC003453"/>
    <s v="NATIONAL VISION INC"/>
    <s v="ADV006329"/>
    <s v="National Vision/Digital/Upfront/ONEFOX/UF 2025/26/2Q'26"/>
    <x v="45"/>
    <s v="DIO - LFV - Entertainment ROS - Package"/>
    <n v="2789"/>
    <n v="578275"/>
    <s v="National Vision - Brightline - Overlay - FOX on Hulu - P2+ - 2Q'26 Package"/>
    <d v="2026-03-30T00:00:00"/>
    <d v="2026-06-28T00:00:00"/>
    <s v="FOX DCM"/>
    <s v="CPM"/>
    <n v="24"/>
    <n v="1041667"/>
    <n v="25000.01"/>
    <s v="Impressions"/>
    <s v="performance"/>
    <n v="0"/>
    <n v="0"/>
    <s v="performance"/>
    <n v="207802"/>
    <s v="invoice_schedule"/>
    <n v="5192.66"/>
    <n v="5192.66"/>
    <n v="5192.66"/>
    <n v="260282"/>
    <n v="266452"/>
    <d v="2026-03-30T00:00:00"/>
    <d v="2026-06-28T00:00:00"/>
    <s v="Katie Johnson"/>
    <s v="None"/>
    <s v="JUN'26"/>
    <n v="300000.03000000003"/>
    <n v="122827"/>
    <s v="Tim Wodzisz"/>
  </r>
  <r>
    <s v="AGC005226"/>
    <s v="AMAZON XCM"/>
    <s v="ADV011498"/>
    <s v="Amazon XCM/Digital/Direct/Upfront/Entertainment/25-26/2Q'26"/>
    <x v="46"/>
    <s v="LFV - RON Ent - ROS - Pre/Mid - DT/MB/CTV/VOD - Package"/>
    <n v="3535"/>
    <n v="578379"/>
    <s v="Amazon XCM - LFV - RON Entertainment - ROS - Pre/Mid - DT/MB/CTV/VOD - A1849 AAT - Package - 2Q'26 - Project Blue"/>
    <d v="2026-06-02T00:00:00"/>
    <d v="2026-06-26T00:00:00"/>
    <s v="FOX DCM"/>
    <s v="CPM"/>
    <n v="19"/>
    <n v="2105263"/>
    <n v="40000"/>
    <s v="Impressions"/>
    <s v="performance"/>
    <n v="0"/>
    <n v="0"/>
    <s v="performance"/>
    <n v="0"/>
    <s v="invoice_schedule"/>
    <n v="0"/>
    <n v="0"/>
    <n v="0"/>
    <m/>
    <m/>
    <d v="2026-06-02T00:00:00"/>
    <d v="2026-06-26T00:00:00"/>
    <s v="Kailey McGinn"/>
    <s v="None"/>
    <s v="JUN'26"/>
    <n v="188965"/>
    <n v="122968"/>
    <s v="Matthew DiToro"/>
  </r>
  <r>
    <s v="AGC002371"/>
    <s v="SAATVA"/>
    <s v="ADV002782"/>
    <s v="Saatva/25-26/Digital/Scatter/Entertainment/2Q"/>
    <x v="47"/>
    <s v="DIO - LFV - Entertainment ROS Preemptible - Package"/>
    <n v="1754"/>
    <n v="579781"/>
    <s v="Satva - DIO - LFV - Entertainment ROS Preemptible - Package"/>
    <d v="2026-04-01T00:00:00"/>
    <d v="2026-06-21T00:00:00"/>
    <s v="FOX Extreme Reach"/>
    <s v="CPM"/>
    <n v="12.5"/>
    <n v="16000000"/>
    <n v="200000"/>
    <s v="Impressions"/>
    <s v="performance"/>
    <n v="0"/>
    <n v="0"/>
    <s v="performance"/>
    <n v="418919"/>
    <s v="invoice_schedule"/>
    <n v="5236.4875000000002"/>
    <n v="5236.4875000000002"/>
    <n v="5236.4875000000002"/>
    <n v="415144"/>
    <n v="418919"/>
    <d v="2026-04-01T00:00:00"/>
    <d v="2026-06-21T00:00:00"/>
    <s v="John Michael Bogusz"/>
    <s v="None"/>
    <s v="JUN'26"/>
    <n v="200000.01"/>
    <n v="129174"/>
    <s v="Tierney Flynn"/>
  </r>
  <r>
    <s v="AGC001312"/>
    <s v="RAMP.COM"/>
    <s v="ADV013024"/>
    <s v="RAMP.COM / SCATTER / DIGITAL / SPORTS / FY Q4 25-26 /"/>
    <x v="48"/>
    <s v="DIO - ROV - FS - Pre/Mid - ROS - DT/MB/CTV - Package"/>
    <n v="7968"/>
    <n v="590840"/>
    <s v="RAMP  - DIO - ROV - FS - Pre/Mid - ROS - DT/MB - 2Q'26"/>
    <d v="2026-06-01T00:00:00"/>
    <d v="2026-06-07T00:00:00"/>
    <s v="FOX Flashtalking"/>
    <s v="CPM"/>
    <n v="28.75"/>
    <n v="48696"/>
    <n v="1400.01"/>
    <s v="Impressions"/>
    <s v="performance"/>
    <n v="0"/>
    <n v="0"/>
    <s v="performance"/>
    <n v="46916"/>
    <s v="invoice_schedule"/>
    <n v="1348.835"/>
    <n v="1348.835"/>
    <n v="1348.835"/>
    <n v="50252"/>
    <n v="46916"/>
    <d v="2026-06-01T00:00:00"/>
    <d v="2026-06-07T00:00:00"/>
    <s v="Anthony Gizzo"/>
    <s v="None"/>
    <s v="JUN'26"/>
    <n v="10800.12"/>
    <n v="129296"/>
    <s v="Adam Chardavoyne"/>
  </r>
  <r>
    <s v="AGC001312"/>
    <s v="RAMP.COM"/>
    <s v="ADV013024"/>
    <s v="RAMP.COM / SCATTER / DIGITAL / SPORTS / FY Q4 25-26 /"/>
    <x v="48"/>
    <s v="DIO - ROV - FS - Pre/Mid - ROS - DT/MB/CTV - Package"/>
    <n v="7968"/>
    <n v="590842"/>
    <s v="RAMP  - DIO - ROV - FS - Pre/Mid - ROS - DT/MB - 2Q'26"/>
    <d v="2026-06-08T00:00:00"/>
    <d v="2026-06-14T00:00:00"/>
    <s v="FOX Flashtalking"/>
    <s v="CPM"/>
    <n v="28.75"/>
    <n v="48696"/>
    <n v="1400.01"/>
    <s v="Impressions"/>
    <s v="performance"/>
    <n v="0"/>
    <n v="0"/>
    <s v="performance"/>
    <n v="14246"/>
    <s v="invoice_schedule"/>
    <n v="409.57249999999999"/>
    <n v="409.57249999999999"/>
    <n v="409.57249999999999"/>
    <n v="15017"/>
    <n v="14246"/>
    <d v="2026-06-08T00:00:00"/>
    <d v="2026-06-14T00:00:00"/>
    <s v="Anthony Gizzo"/>
    <s v="None"/>
    <s v="JUN'26"/>
    <n v="10800.12"/>
    <n v="129296"/>
    <s v="Adam Chardavoyne"/>
  </r>
  <r>
    <s v="AGC001312"/>
    <s v="RAMP.COM"/>
    <s v="ADV013024"/>
    <s v="RAMP.COM / SCATTER / DIGITAL / SPORTS / FY Q4 25-26 /"/>
    <x v="48"/>
    <s v="DIO - ROV - FS - Pre/Mid - ROS - DT/MB/CTV - Package"/>
    <n v="7968"/>
    <n v="590844"/>
    <s v="RAMP  - DIO - ROV - FS - Pre/Mid - ROS - DT/MB - 2Q'26"/>
    <d v="2026-06-15T00:00:00"/>
    <d v="2026-06-21T00:00:00"/>
    <s v="FOX Flashtalking"/>
    <s v="CPM"/>
    <n v="28.75"/>
    <n v="48696"/>
    <n v="1400.01"/>
    <s v="Impressions"/>
    <s v="performance"/>
    <n v="0"/>
    <n v="0"/>
    <s v="performance"/>
    <n v="820"/>
    <s v="invoice_schedule"/>
    <n v="23.574999999999999"/>
    <n v="23.574999999999999"/>
    <n v="23.574999999999999"/>
    <n v="830"/>
    <n v="820"/>
    <d v="2026-06-15T00:00:00"/>
    <d v="2026-06-21T00:00:00"/>
    <s v="Anthony Gizzo"/>
    <s v="None"/>
    <s v="JUN'26"/>
    <n v="10800.12"/>
    <n v="129296"/>
    <s v="Adam Chardavoyne"/>
  </r>
  <r>
    <s v="AGC001312"/>
    <s v="RAMP.COM"/>
    <s v="ADV013024"/>
    <s v="RAMP.COM / SCATTER / DIGITAL / SPORTS / FY Q4 25-26 /"/>
    <x v="48"/>
    <s v="DIO - ROV - FS - Pre/Mid - ROS - DT/MB/CTV - Package"/>
    <n v="7968"/>
    <n v="590846"/>
    <s v="RAMP  - DIO - ROV - FS - Pre/Mid - ROS - DT/MB - 2Q'26"/>
    <d v="2026-06-22T00:00:00"/>
    <d v="2026-06-28T00:00:00"/>
    <s v="FOX Flashtalking"/>
    <s v="CPM"/>
    <n v="28.75"/>
    <n v="48696"/>
    <n v="1400.01"/>
    <s v="Impressions"/>
    <s v="performance"/>
    <n v="0"/>
    <n v="0"/>
    <s v="performance"/>
    <n v="695"/>
    <s v="invoice_schedule"/>
    <n v="19.981300000000001"/>
    <n v="19.981300000000001"/>
    <n v="19.981300000000001"/>
    <n v="758"/>
    <n v="695"/>
    <d v="2026-06-22T00:00:00"/>
    <d v="2026-06-28T00:00:00"/>
    <s v="Anthony Gizzo"/>
    <s v="None"/>
    <s v="JUN'26"/>
    <n v="10800.12"/>
    <n v="129296"/>
    <s v="Adam Chardavoyne"/>
  </r>
  <r>
    <s v="AGC003068"/>
    <s v="UNILEVER"/>
    <s v="ADV000661"/>
    <s v="Unilever/MWC Digital/2026 - Dove MB"/>
    <x v="49"/>
    <s v="Run of World Cup Video - Package"/>
    <n v="8005"/>
    <n v="581108"/>
    <s v="OMP - Unilever - Dove MB - Run of World Cup Video - Package"/>
    <d v="2026-06-11T00:00:00"/>
    <d v="2026-07-19T00:00:00"/>
    <s v="FOX Flashtalking"/>
    <s v="CPM"/>
    <n v="40"/>
    <n v="2997900"/>
    <n v="119916"/>
    <s v="Impressions"/>
    <s v="prorated"/>
    <n v="1537385"/>
    <n v="61495.384700000002"/>
    <s v="prorated"/>
    <n v="1537385"/>
    <s v="invoice_schedule"/>
    <n v="61495.384700000002"/>
    <n v="61495.384700000002"/>
    <n v="61495.384700000002"/>
    <n v="2001193"/>
    <n v="2008864"/>
    <d v="2026-06-11T00:00:00"/>
    <d v="2026-07-19T00:00:00"/>
    <s v="Mia Bonvissuto"/>
    <s v="None"/>
    <s v="JUN'26"/>
    <n v="119916"/>
    <n v="126815"/>
    <s v="Leslie Lowenthal"/>
  </r>
  <r>
    <s v="AGC002408"/>
    <s v="ANHEUSER BUSCH"/>
    <s v="ADV001839"/>
    <s v="AB/DIGITAL/SCATTER/SPORTS/MWC/X AMPLIFY"/>
    <x v="50"/>
    <s v="World Cup Social Sponsorship Content - Package"/>
    <n v="8000"/>
    <n v="581387"/>
    <s v="Anheuser Busch - OMP - World Cup Social Sponsorship Content - X Amplify - 2026 Package"/>
    <d v="2026-06-01T00:00:00"/>
    <d v="2026-07-19T00:00:00"/>
    <s v="FOX 1st Party"/>
    <s v="SOV-Flat Rate"/>
    <n v="500000"/>
    <n v="1"/>
    <n v="500000"/>
    <s v="n/a"/>
    <s v="prorated"/>
    <n v="1"/>
    <n v="306122.44900000002"/>
    <s v="prorated"/>
    <n v="1"/>
    <s v="invoice_schedule"/>
    <n v="306122.44900000002"/>
    <n v="306122.44900000002"/>
    <n v="306122.44900000002"/>
    <m/>
    <m/>
    <d v="2026-06-01T00:00:00"/>
    <d v="2026-07-19T00:00:00"/>
    <s v="Megan Sileo"/>
    <s v="None"/>
    <s v="JUN'26"/>
    <n v="500000"/>
    <n v="125698"/>
    <s v="Janna Goldstein"/>
  </r>
  <r>
    <s v="AGC002371"/>
    <s v="CHIME"/>
    <s v="ADV002070"/>
    <s v="Chime/25-26/Digital/Scatter/Entertainment/2Q"/>
    <x v="51"/>
    <s v="DIO - LFV - Entertainment ROS Preemptible - Package"/>
    <n v="1754"/>
    <n v="581417"/>
    <s v="Chime - DIO - LFV - Entertainment ROS Preemptible - Package"/>
    <d v="2026-04-06T00:00:00"/>
    <d v="2026-06-28T00:00:00"/>
    <m/>
    <s v="CPM"/>
    <n v="12.5"/>
    <n v="3600000"/>
    <n v="45000"/>
    <s v="Impressions"/>
    <s v="performance"/>
    <n v="0"/>
    <n v="0"/>
    <s v="manual"/>
    <n v="1942587"/>
    <s v="manual"/>
    <n v="24282.424999999999"/>
    <n v="24282.424999999999"/>
    <n v="24282.424999999999"/>
    <m/>
    <m/>
    <d v="2026-04-06T00:00:00"/>
    <d v="2026-06-28T00:00:00"/>
    <s v="John Michael Bogusz"/>
    <s v="None"/>
    <s v="JUN'26"/>
    <n v="45000"/>
    <n v="130276"/>
    <s v="Tierney Flynn"/>
  </r>
  <r>
    <s v="AGC001926"/>
    <s v="BMW"/>
    <s v="ADV004582"/>
    <s v="BMW / SCATTER / DIGITAL / SPORTS / FY Q4 25-26 / World Cup"/>
    <x v="52"/>
    <s v="Run of World Cup Display - Package"/>
    <n v="8004"/>
    <n v="581635"/>
    <s v="BMW - Run of World Cup Display - Men's World Cup 26' - 300x250, 320x50, 728x90"/>
    <d v="2026-06-11T00:00:00"/>
    <d v="2026-07-19T00:00:00"/>
    <s v="FOX DCM"/>
    <s v="CPM"/>
    <n v="6"/>
    <n v="13333333"/>
    <n v="80000"/>
    <s v="Impressions"/>
    <s v="performance"/>
    <n v="0"/>
    <n v="0"/>
    <s v="performance"/>
    <n v="4682373"/>
    <s v="invoice_schedule"/>
    <n v="28094.238000000001"/>
    <n v="28094.238000000001"/>
    <n v="28094.238000000001"/>
    <n v="4683082"/>
    <n v="4682373"/>
    <d v="2026-06-11T00:00:00"/>
    <d v="2026-07-19T00:00:00"/>
    <s v="Anthony Gizzo"/>
    <s v="None"/>
    <s v="JUN'26"/>
    <n v="1180000"/>
    <n v="128177"/>
    <s v="Adam Chardavoyne"/>
  </r>
  <r>
    <s v="AGC001926"/>
    <s v="BMW"/>
    <s v="ADV004582"/>
    <s v="BMW / SCATTER / DIGITAL / SPORTS / FY Q4 25-26 / World Cup"/>
    <x v="52"/>
    <s v="World Cup Social Sponsorship Content - Package"/>
    <n v="8000"/>
    <n v="581649"/>
    <s v="BMW - World Cup Social Sponsorship Content - Men's World Cup"/>
    <d v="2026-06-11T00:00:00"/>
    <d v="2026-07-19T00:00:00"/>
    <m/>
    <s v="Cost Per Unit"/>
    <n v="0.15"/>
    <n v="4000000"/>
    <n v="600000"/>
    <s v="Placements"/>
    <s v="prorated"/>
    <n v="2051283"/>
    <n v="307692.3077"/>
    <s v="prorated"/>
    <n v="2051283"/>
    <s v="invoice_schedule"/>
    <n v="307692.3077"/>
    <n v="307692.3077"/>
    <n v="307692.3077"/>
    <m/>
    <m/>
    <d v="2026-06-11T00:00:00"/>
    <d v="2026-07-19T00:00:00"/>
    <s v="Anthony Gizzo"/>
    <s v="None"/>
    <s v="JUN'26"/>
    <n v="1180000"/>
    <n v="128177"/>
    <s v="Adam Chardavoyne"/>
  </r>
  <r>
    <s v="AGC001926"/>
    <s v="BMW"/>
    <s v="ADV004582"/>
    <s v="BMW / SCATTER / DIGITAL / SPORTS / FY Q4 25-26 / World Cup"/>
    <x v="52"/>
    <s v="World Cup FOX Sports Site &amp; App Takeover - Package"/>
    <n v="8003"/>
    <n v="587742"/>
    <s v="BMW - World Cup FOX Sports Site &amp; App Takeover - Non - OMP 6/20/2026"/>
    <d v="2026-06-20T00:00:00"/>
    <d v="2026-06-20T00:00:00"/>
    <s v="FOX DCM"/>
    <s v="Cost Per Day"/>
    <n v="41666.67"/>
    <n v="6"/>
    <n v="250000"/>
    <s v="Days"/>
    <s v="prorated"/>
    <n v="6"/>
    <n v="250000"/>
    <s v="prorated"/>
    <n v="6"/>
    <s v="invoice_schedule"/>
    <n v="250000"/>
    <n v="250000"/>
    <n v="250000"/>
    <n v="0"/>
    <n v="0"/>
    <d v="2026-06-20T00:00:00"/>
    <d v="2026-06-20T00:00:00"/>
    <s v="Anthony Gizzo"/>
    <s v="None"/>
    <s v="JUN'26"/>
    <n v="1180000"/>
    <n v="128177"/>
    <s v="Adam Chardavoyne"/>
  </r>
  <r>
    <s v="AGC004344"/>
    <s v="FERRARA CANDY COMPANY"/>
    <s v="ADV013598"/>
    <s v="Ferrara/Digital/Scatter/World Cup/25-26"/>
    <x v="53"/>
    <s v="Run of World Cup Video - Package"/>
    <n v="8005"/>
    <n v="581781"/>
    <s v="Ferrara - Nerds - Run of World Cup Video - Package"/>
    <d v="2026-06-01T00:00:00"/>
    <d v="2026-07-19T00:00:00"/>
    <s v="FOX DCM"/>
    <s v="CPM"/>
    <n v="40"/>
    <n v="6055550"/>
    <n v="242222"/>
    <s v="Impressions"/>
    <s v="performance"/>
    <n v="0"/>
    <n v="0"/>
    <s v="performance"/>
    <n v="4058316"/>
    <s v="invoice_schedule"/>
    <n v="162332.64000000001"/>
    <n v="162332.64000000001"/>
    <n v="162332.64000000001"/>
    <n v="4059723"/>
    <n v="4058316"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Run of AllFOX Video - Package"/>
    <n v="7998"/>
    <n v="581784"/>
    <s v="Ferrara - Nerds - Run of AllFOX Video - Package"/>
    <d v="2026-06-01T00:00:00"/>
    <d v="2026-07-19T00:00:00"/>
    <s v="FOX DCM"/>
    <s v="CPM"/>
    <n v="15.85"/>
    <n v="5047319"/>
    <n v="80000.009999999995"/>
    <s v="Impressions"/>
    <s v="performance"/>
    <n v="0"/>
    <n v="0"/>
    <s v="performance"/>
    <n v="3414086"/>
    <s v="invoice_schedule"/>
    <n v="54113.263099999996"/>
    <n v="54113.263099999996"/>
    <n v="54113.263099999996"/>
    <n v="3425035"/>
    <n v="3414086"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Run of World Cup Video - Package"/>
    <n v="8005"/>
    <n v="587864"/>
    <s v="Ferrara - Black Forest - Run of World Cup Video - Package"/>
    <d v="2026-06-01T00:00:00"/>
    <d v="2026-07-19T00:00:00"/>
    <s v="FOX DCM"/>
    <s v="CPM"/>
    <n v="40"/>
    <n v="12111150"/>
    <n v="484446"/>
    <s v="Impressions"/>
    <s v="performance"/>
    <n v="0"/>
    <n v="0"/>
    <s v="performance"/>
    <n v="8551857"/>
    <s v="invoice_schedule"/>
    <n v="342074.28"/>
    <n v="342074.28"/>
    <n v="342074.28"/>
    <n v="8570978"/>
    <n v="8551857"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Run of AllFOX Video - Package"/>
    <n v="7998"/>
    <n v="587867"/>
    <s v="Ferrara - Black Forest - Run of AllFOX Video - Package"/>
    <d v="2026-06-01T00:00:00"/>
    <d v="2026-07-19T00:00:00"/>
    <s v="FOX DCM"/>
    <s v="CPM"/>
    <n v="15.85"/>
    <n v="10094637"/>
    <n v="160000"/>
    <s v="Impressions"/>
    <s v="performance"/>
    <n v="0"/>
    <n v="0"/>
    <s v="performance"/>
    <n v="6605183"/>
    <s v="invoice_schedule"/>
    <n v="104692.15059999999"/>
    <n v="104692.15059999999"/>
    <n v="104692.15059999999"/>
    <n v="6645229"/>
    <n v="6605183"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World Cup Social Sponsorship Content - Package"/>
    <n v="8000"/>
    <n v="587870"/>
    <s v="Ferrara - Nerds - World Cup Social Sponsorship Content - Package"/>
    <d v="2026-06-01T00:00:00"/>
    <d v="2026-07-19T00:00:00"/>
    <s v="FOX 1st Party"/>
    <s v="Cost Per Unit"/>
    <n v="0.15"/>
    <n v="1555556"/>
    <n v="233333.4"/>
    <s v="Placements"/>
    <s v="straightline"/>
    <n v="777778"/>
    <n v="116666.7"/>
    <s v="straightline"/>
    <n v="777778"/>
    <s v="invoice_schedule"/>
    <n v="116666.7"/>
    <n v="116666.7"/>
    <n v="116666.7"/>
    <m/>
    <m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World Cup Social Sponsorship Content - Package"/>
    <n v="8000"/>
    <n v="587876"/>
    <s v="Ferrara - Trolli - World Cup Social Sponsorship Content - Package"/>
    <d v="2026-06-01T00:00:00"/>
    <d v="2026-07-19T00:00:00"/>
    <s v="FOX 1st Party"/>
    <s v="Cost Per Unit"/>
    <n v="0.15"/>
    <n v="1555556"/>
    <n v="233333.4"/>
    <s v="Placements"/>
    <s v="straightline"/>
    <n v="777778"/>
    <n v="116666.7"/>
    <s v="straightline"/>
    <n v="777778"/>
    <s v="invoice_schedule"/>
    <n v="116666.7"/>
    <n v="116666.7"/>
    <n v="116666.7"/>
    <m/>
    <m/>
    <d v="2026-06-01T00:00:00"/>
    <d v="2026-07-19T00:00:00"/>
    <s v="Jessica Lang"/>
    <s v="None"/>
    <s v="JUN'26"/>
    <n v="1666668.21"/>
    <n v="127993"/>
    <s v="Mike Maresca"/>
  </r>
  <r>
    <s v="AGC004344"/>
    <s v="FERRARA CANDY COMPANY"/>
    <s v="ADV013598"/>
    <s v="Ferrara/Digital/Scatter/World Cup/25-26"/>
    <x v="53"/>
    <s v="World Cup Social Sponsorship Content - Package"/>
    <n v="8000"/>
    <n v="587880"/>
    <s v="Ferrara - Sweetarts - World Cup Social Sponsorship Content - Package"/>
    <d v="2026-06-01T00:00:00"/>
    <d v="2026-07-19T00:00:00"/>
    <s v="FOX 1st Party"/>
    <s v="Cost Per Unit"/>
    <n v="0.15"/>
    <n v="1555556"/>
    <n v="233333.4"/>
    <s v="Placements"/>
    <s v="straightline"/>
    <n v="777778"/>
    <n v="116666.7"/>
    <s v="straightline"/>
    <n v="777778"/>
    <s v="invoice_schedule"/>
    <n v="116666.7"/>
    <n v="116666.7"/>
    <n v="116666.7"/>
    <m/>
    <m/>
    <d v="2026-06-01T00:00:00"/>
    <d v="2026-07-19T00:00:00"/>
    <s v="Jessica Lang"/>
    <s v="None"/>
    <s v="JUN'26"/>
    <n v="1666668.21"/>
    <n v="127993"/>
    <s v="Mike Maresca"/>
  </r>
  <r>
    <s v="AGC001804"/>
    <s v="FARMERS INSURANCE"/>
    <s v="ADV005117"/>
    <s v="Farmers Insurance/Digital/Scatter/Sports/MWC/2Q-3Q26"/>
    <x v="54"/>
    <s v="Run of World Cup Video - Package"/>
    <n v="8005"/>
    <n v="582291"/>
    <s v="Farmers Insurance- Run of World Cup Video - Package"/>
    <d v="2026-06-01T00:00:00"/>
    <d v="2026-06-28T00:00:00"/>
    <s v="FOX Innovid"/>
    <s v="CPM"/>
    <n v="43"/>
    <n v="8632559"/>
    <n v="371200.03"/>
    <s v="Impressions"/>
    <s v="performance"/>
    <n v="0"/>
    <n v="0"/>
    <s v="performance"/>
    <n v="8632559"/>
    <s v="invoice_schedule"/>
    <n v="371200.03"/>
    <n v="371200.03"/>
    <n v="371200.03"/>
    <n v="8888365"/>
    <n v="8905680"/>
    <d v="2026-06-01T00:00:00"/>
    <d v="2026-06-28T00:00:00"/>
    <s v="Marcela Miranda"/>
    <s v="None"/>
    <s v="JUN'26"/>
    <n v="571200.03"/>
    <n v="129756"/>
    <s v="Kimberly Caraig"/>
  </r>
  <r>
    <s v="AGC001804"/>
    <s v="FARMERS INSURANCE"/>
    <s v="ADV005117"/>
    <s v="Farmers Insurance/Digital/Scatter/Sports/MWC/2Q-3Q26"/>
    <x v="54"/>
    <s v="World Cup Social Sponsorship Content - Package"/>
    <n v="8000"/>
    <n v="582757"/>
    <s v="Farmers Insurance- World Cup Social Sponsorship Content - Package"/>
    <d v="2026-06-01T00:00:00"/>
    <d v="2026-06-28T00:00:00"/>
    <s v="FOX Innovid"/>
    <s v="SOV-Flat Rate"/>
    <n v="200000"/>
    <n v="0"/>
    <n v="200000"/>
    <s v="n/a"/>
    <s v="prorated"/>
    <n v="0"/>
    <n v="200000"/>
    <s v="prorated"/>
    <n v="0"/>
    <s v="invoice_schedule"/>
    <n v="200000"/>
    <n v="200000"/>
    <n v="200000"/>
    <m/>
    <m/>
    <d v="2026-06-01T00:00:00"/>
    <d v="2026-06-28T00:00:00"/>
    <s v="Marcela Miranda"/>
    <s v="None"/>
    <s v="JUN'26"/>
    <n v="571200.03"/>
    <n v="129756"/>
    <s v="Kimberly Caraig"/>
  </r>
  <r>
    <s v="AGC001804"/>
    <s v="FARMERS INSURANCE"/>
    <s v="ADV005117"/>
    <s v="Farmers Insurance/Digital/Scatter/Sports/MWC/2Q-3Q26"/>
    <x v="54"/>
    <s v="DIO - LFV - FSLS - Pre/Mid - ROS - DT/MB/CTV - Package"/>
    <n v="3534"/>
    <n v="591322"/>
    <s v="CANCELLED- Farmers Insurance- DIO - LFV - FSLS - Pre/Mid - ROS - DT/MB/CTV - Package"/>
    <d v="2026-06-26T00:00:00"/>
    <d v="2026-06-26T00:00:00"/>
    <s v="FOX Innovid"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6-26T00:00:00"/>
    <d v="2026-06-26T00:00:00"/>
    <s v="Marcela Miranda"/>
    <s v="None"/>
    <s v="JUN'26"/>
    <n v="571200.03"/>
    <n v="129756"/>
    <s v="Kimberly Caraig"/>
  </r>
  <r>
    <s v="AGC002408"/>
    <s v="VISA"/>
    <s v="ADV006353"/>
    <s v="VISA/DIGITAL/SCATTER/SPORTS/MWC/VISABrand"/>
    <x v="55"/>
    <s v="Run of World Cup Video - Package"/>
    <n v="8005"/>
    <n v="583466"/>
    <s v="VISA - VISA Brand - OMP - Run of World Cup Video - Package - 2026"/>
    <d v="2026-06-01T00:00:00"/>
    <d v="2026-07-19T00:00:00"/>
    <s v="FOX DCM"/>
    <s v="CPM"/>
    <n v="40"/>
    <n v="25000000"/>
    <n v="1000000"/>
    <s v="Impressions"/>
    <s v="performance"/>
    <n v="0"/>
    <n v="0"/>
    <s v="performance"/>
    <n v="16554738"/>
    <s v="invoice_schedule"/>
    <n v="662189.52"/>
    <n v="662189.52"/>
    <n v="662189.52"/>
    <n v="16581808"/>
    <n v="16554738"/>
    <d v="2026-06-01T00:00:00"/>
    <d v="2026-07-19T00:00:00"/>
    <s v="Megan Sileo"/>
    <s v="None"/>
    <s v="JUN'26"/>
    <n v="1000000"/>
    <n v="127415"/>
    <s v="Janna Goldstein"/>
  </r>
  <r>
    <s v="AGC002408"/>
    <s v="VISA"/>
    <s v="ADV006353"/>
    <s v="VISA/DIGITAL/SCATTER/SPORTS/MWC/VISABrand"/>
    <x v="55"/>
    <s v="Run of World Cup Video - Package"/>
    <n v="8005"/>
    <n v="593778"/>
    <s v="VISA - VISA Brand - OMP - Run of World Cup Video - Roster Reveal MG - Package - 2026"/>
    <d v="2026-06-16T00:00:00"/>
    <d v="2026-07-31T00:00:00"/>
    <s v="FOX DCM"/>
    <s v="CPM"/>
    <n v="40"/>
    <n v="701132"/>
    <n v="0"/>
    <s v="Impressions"/>
    <s v="performance"/>
    <n v="0"/>
    <n v="0"/>
    <s v="performance"/>
    <n v="468451"/>
    <s v="invoice_schedule"/>
    <n v="0"/>
    <n v="0"/>
    <n v="0"/>
    <n v="463268"/>
    <n v="468451"/>
    <d v="2026-06-16T00:00:00"/>
    <d v="2026-07-31T00:00:00"/>
    <s v="Megan Sileo"/>
    <s v="None"/>
    <s v="JUN'26"/>
    <n v="1000000"/>
    <n v="127415"/>
    <s v="Janna Goldstein"/>
  </r>
  <r>
    <s v="AGC000907"/>
    <s v="AUDIBLE INC"/>
    <s v="ADV002312"/>
    <s v="Audible/MWC/scatter/25.26/ALLFOX"/>
    <x v="56"/>
    <s v="Run of AllFOX Video - Package"/>
    <n v="7998"/>
    <n v="585121"/>
    <s v="Audible - MWC - Run of AllFOX Video - Package"/>
    <d v="2026-06-11T00:00:00"/>
    <d v="2026-07-31T00:00:00"/>
    <s v="FOX DCM"/>
    <s v="CPM"/>
    <n v="16.5"/>
    <n v="14575758"/>
    <n v="240500.01"/>
    <s v="Impressions"/>
    <s v="performance"/>
    <n v="0"/>
    <n v="0"/>
    <s v="performance"/>
    <n v="6220479"/>
    <s v="invoice_schedule"/>
    <n v="102637.9035"/>
    <n v="102637.9035"/>
    <n v="102637.9035"/>
    <n v="6253690"/>
    <n v="6220479"/>
    <d v="2026-06-11T00:00:00"/>
    <d v="2026-07-31T00:00:00"/>
    <s v="Mia Bonvissuto"/>
    <s v="None"/>
    <s v="JUN'26"/>
    <n v="240500.01"/>
    <n v="126803"/>
    <s v="Leslie Lowenthal"/>
  </r>
  <r>
    <s v="AGC000898"/>
    <s v="UNIVERSAL PICTURES"/>
    <s v="ADV000562"/>
    <s v="UNIVERSAL PICTURES/Digital/Upfront/Entertainment/UF 2025/26 - Minions 3"/>
    <x v="57"/>
    <s v="DIO - LFV - Entertainment ROS - Package"/>
    <n v="2789"/>
    <n v="584846"/>
    <s v="Minions &amp; Monsters_UP_DIO - LFV - Entertainment - Package - Animation + Families w/ Children Showmix"/>
    <d v="2026-06-15T00:00:00"/>
    <d v="2026-07-01T00:00:00"/>
    <s v="FOX DCM"/>
    <s v="CPM"/>
    <n v="19"/>
    <n v="2105263"/>
    <n v="40000"/>
    <s v="CoV Impressions"/>
    <s v="performance"/>
    <n v="0"/>
    <n v="0"/>
    <s v="performance"/>
    <n v="1655505"/>
    <s v="invoice_schedule"/>
    <n v="31454.595000000001"/>
    <n v="31454.595000000001"/>
    <n v="31454.595000000001"/>
    <n v="1413178"/>
    <n v="1655505"/>
    <d v="2026-06-15T00:00:00"/>
    <d v="2026-07-01T00:00:00"/>
    <s v="Marcela Miranda"/>
    <s v="None"/>
    <s v="JUN'26"/>
    <n v="50000.02"/>
    <n v="127605"/>
    <s v="Gina Rodarte"/>
  </r>
  <r>
    <s v="AGC001249"/>
    <s v="EUROITALIA"/>
    <s v="ADV005797"/>
    <s v="EUROITALIA / SCATTER / DIGITAL / FY 25-26 / World Cup digital"/>
    <x v="58"/>
    <s v="Run of World Cup Video - Package"/>
    <n v="8005"/>
    <n v="585599"/>
    <s v="EuroItalia - Run of World Cup Video - MWC 2Q3Q26"/>
    <d v="2026-06-01T00:00:00"/>
    <d v="2026-07-05T00:00:00"/>
    <s v="FOX DCM"/>
    <s v="CPM"/>
    <n v="44"/>
    <n v="4162864"/>
    <n v="183166.02"/>
    <s v="Impressions"/>
    <s v="performance"/>
    <n v="0"/>
    <n v="0"/>
    <s v="performance"/>
    <n v="3671976"/>
    <s v="invoice_schedule"/>
    <n v="161566.94399999999"/>
    <n v="161566.94399999999"/>
    <n v="161566.94399999999"/>
    <n v="3690021"/>
    <n v="3671976"/>
    <d v="2026-06-01T00:00:00"/>
    <d v="2026-07-05T00:00:00"/>
    <s v="Anthony Gizzo"/>
    <s v="None"/>
    <s v="JUN'26"/>
    <n v="325837.03999999998"/>
    <n v="128166"/>
    <s v="Adam Chardavoyne"/>
  </r>
  <r>
    <s v="AGC001249"/>
    <s v="EUROITALIA"/>
    <s v="ADV005797"/>
    <s v="EUROITALIA / SCATTER / DIGITAL / FY 25-26 / World Cup digital"/>
    <x v="58"/>
    <s v="Run of AllFOX Video - Package"/>
    <n v="7998"/>
    <n v="585606"/>
    <s v="EuroItalia - Run of AllFOX Video - MWC2Q3Q26 - GTE on OTS: A18-54 - AAT"/>
    <d v="2026-06-01T00:00:00"/>
    <d v="2026-07-05T00:00:00"/>
    <s v="FOX DCM"/>
    <s v="CPM"/>
    <n v="19.25"/>
    <n v="3672416"/>
    <n v="70694.009999999995"/>
    <s v="Impressions"/>
    <s v="performance"/>
    <n v="0"/>
    <n v="0"/>
    <s v="performance"/>
    <n v="3527387"/>
    <s v="invoice_schedule"/>
    <n v="67902.199800000002"/>
    <n v="67902.199800000002"/>
    <n v="67902.199800000002"/>
    <n v="3517609"/>
    <n v="3527387"/>
    <d v="2026-06-01T00:00:00"/>
    <d v="2026-07-05T00:00:00"/>
    <s v="Anthony Gizzo"/>
    <s v="None"/>
    <s v="JUN'26"/>
    <n v="325837.03999999998"/>
    <n v="128166"/>
    <s v="Adam Chardavoyne"/>
  </r>
  <r>
    <s v="AGC001249"/>
    <s v="EUROITALIA"/>
    <s v="ADV005797"/>
    <s v="EUROITALIA / SCATTER / DIGITAL / FY 25-26 / World Cup digital"/>
    <x v="58"/>
    <s v="Run of FOX Sports Display - Package"/>
    <n v="8001"/>
    <n v="592295"/>
    <s v="EuroItalia - Run of FOX Sports Display - MWC2Q3Q26"/>
    <d v="2026-06-03T00:00:00"/>
    <d v="2026-07-05T00:00:00"/>
    <s v="FOX DCM"/>
    <s v="CPM"/>
    <n v="5"/>
    <n v="14395400"/>
    <n v="71977"/>
    <s v="Impressions"/>
    <s v="performance"/>
    <n v="0"/>
    <n v="0"/>
    <s v="performance"/>
    <n v="12584082"/>
    <s v="invoice_schedule"/>
    <n v="62920.41"/>
    <n v="62920.41"/>
    <n v="62920.41"/>
    <n v="12586939"/>
    <n v="12584082"/>
    <d v="2026-06-03T00:00:00"/>
    <d v="2026-07-05T00:00:00"/>
    <s v="Anthony Gizzo"/>
    <s v="None"/>
    <s v="JUN'26"/>
    <n v="325837.03999999998"/>
    <n v="128166"/>
    <s v="Adam Chardavoyne"/>
  </r>
  <r>
    <s v="AGC001250"/>
    <s v="APPLE INC"/>
    <s v="ADV000467"/>
    <s v="Apple/Digital/Scatter/Sports/2Q-3Q 2026/MWC Digital"/>
    <x v="59"/>
    <s v="Run of AllFOX Video - Package"/>
    <n v="7998"/>
    <n v="587313"/>
    <s v="Apple - Run of AllFOX Video - Package - Soccer Fan Targeted"/>
    <d v="2026-06-11T00:00:00"/>
    <d v="2026-07-19T00:00:00"/>
    <s v="FOX Innovid"/>
    <s v="CPM"/>
    <n v="20"/>
    <n v="7500000"/>
    <n v="150000"/>
    <s v="Impressions"/>
    <s v="performance"/>
    <n v="0"/>
    <n v="0"/>
    <s v="performance"/>
    <n v="4744310"/>
    <s v="invoice_schedule"/>
    <n v="94886.2"/>
    <n v="94886.2"/>
    <n v="94886.2"/>
    <n v="4393247"/>
    <n v="4744310"/>
    <d v="2026-06-11T00:00:00"/>
    <d v="2026-07-19T00:00:00"/>
    <s v="Lester Leon"/>
    <s v="None"/>
    <s v="JUN'26"/>
    <n v="500000.05"/>
    <n v="131007"/>
    <s v="Gina Rodarte"/>
  </r>
  <r>
    <s v="AGC001250"/>
    <s v="APPLE INC"/>
    <s v="ADV000467"/>
    <s v="Apple/Digital/Scatter/Sports/2Q-3Q 2026/MWC Digital"/>
    <x v="59"/>
    <s v="Run of World Cup Video - Package"/>
    <n v="8005"/>
    <n v="587567"/>
    <s v="Apple - Run of World Cup Video - Package"/>
    <d v="2026-06-11T00:00:00"/>
    <d v="2026-07-19T00:00:00"/>
    <s v="FOX Innovid"/>
    <s v="CPM"/>
    <n v="44"/>
    <n v="5681819"/>
    <n v="250000.03"/>
    <s v="Impressions"/>
    <s v="performance"/>
    <n v="0"/>
    <n v="0"/>
    <s v="performance"/>
    <n v="3965300"/>
    <s v="invoice_schedule"/>
    <n v="174473.2"/>
    <n v="174473.2"/>
    <n v="174473.2"/>
    <n v="3771439"/>
    <n v="3965300"/>
    <d v="2026-06-11T00:00:00"/>
    <d v="2026-07-19T00:00:00"/>
    <s v="Lester Leon"/>
    <s v="None"/>
    <s v="JUN'26"/>
    <n v="500000.05"/>
    <n v="131007"/>
    <s v="Gina Rodarte"/>
  </r>
  <r>
    <s v="AGC001250"/>
    <s v="APPLE INC"/>
    <s v="ADV000467"/>
    <s v="Apple/Digital/Scatter/Sports/2Q-3Q 2026/MWC Digital"/>
    <x v="59"/>
    <s v="Run of FOX Sports Video - Package"/>
    <n v="8002"/>
    <n v="587596"/>
    <s v="Apple - Run of FOX Sports Video - Package - P1849 Target"/>
    <d v="2026-06-11T00:00:00"/>
    <d v="2026-07-19T00:00:00"/>
    <s v="FOX Innovid"/>
    <s v="CPM"/>
    <n v="34.72"/>
    <n v="2880185"/>
    <n v="100000.02"/>
    <s v="Impressions"/>
    <s v="performance"/>
    <n v="0"/>
    <n v="0"/>
    <s v="performance"/>
    <n v="1289356"/>
    <s v="invoice_schedule"/>
    <n v="44766.440300000002"/>
    <n v="44766.440300000002"/>
    <n v="44766.440300000002"/>
    <n v="1236162"/>
    <n v="1289356"/>
    <d v="2026-06-11T00:00:00"/>
    <d v="2026-07-19T00:00:00"/>
    <s v="Lester Leon"/>
    <s v="None"/>
    <s v="JUN'26"/>
    <n v="500000.05"/>
    <n v="131007"/>
    <s v="Gina Rodarte"/>
  </r>
  <r>
    <s v="AGC000907"/>
    <s v="JOHNSON &amp; JOHNSON"/>
    <s v="ADV000102"/>
    <s v="J&amp;J MWC'26/scatter/digital - Tremfya GI"/>
    <x v="60"/>
    <s v="Run of World Cup Video - Package"/>
    <n v="8005"/>
    <n v="585622"/>
    <s v="J&amp;J - MWC - TREMFYA GI - Run of World Cup Video - :45s -Package"/>
    <d v="2026-06-01T00:00:00"/>
    <d v="2026-07-19T00:00:00"/>
    <s v="FOX DCM"/>
    <s v="CPM"/>
    <n v="60"/>
    <n v="625000"/>
    <n v="37500"/>
    <s v="Impressions"/>
    <s v="performance"/>
    <n v="0"/>
    <n v="0"/>
    <s v="performance"/>
    <n v="466398"/>
    <s v="invoice_schedule"/>
    <n v="27983.88"/>
    <n v="27983.88"/>
    <n v="27983.88"/>
    <n v="466377"/>
    <n v="466398"/>
    <d v="2026-06-01T00:00:00"/>
    <d v="2026-07-19T00:00:00"/>
    <s v="Mia Bonvissuto"/>
    <s v="None"/>
    <s v="JUN'26"/>
    <n v="950000"/>
    <n v="128224"/>
    <s v="Leslie Lowenthal"/>
  </r>
  <r>
    <s v="AGC000907"/>
    <s v="JOHNSON &amp; JOHNSON"/>
    <s v="ADV000102"/>
    <s v="J&amp;J MWC'26/scatter/digital - Tremfya GI"/>
    <x v="60"/>
    <s v="Run of World Cup Video - Package"/>
    <n v="8005"/>
    <n v="585625"/>
    <s v="J&amp;J - MWC - TREMFYA GI -Run of World Cup Video -:60s - Package"/>
    <d v="2026-06-01T00:00:00"/>
    <d v="2026-07-19T00:00:00"/>
    <s v="FOX DCM"/>
    <s v="CPM"/>
    <n v="80"/>
    <n v="468750"/>
    <n v="37500"/>
    <s v="Impressions"/>
    <s v="performance"/>
    <n v="0"/>
    <n v="0"/>
    <s v="performance"/>
    <n v="344109"/>
    <s v="invoice_schedule"/>
    <n v="27528.720000000001"/>
    <n v="27528.720000000001"/>
    <n v="27528.720000000001"/>
    <n v="344481"/>
    <n v="344109"/>
    <d v="2026-06-01T00:00:00"/>
    <d v="2026-07-19T00:00:00"/>
    <s v="Mia Bonvissuto"/>
    <s v="None"/>
    <s v="JUN'26"/>
    <n v="950000"/>
    <n v="128224"/>
    <s v="Leslie Lowenthal"/>
  </r>
  <r>
    <s v="AGC000907"/>
    <s v="JOHNSON &amp; JOHNSON"/>
    <s v="ADV000102"/>
    <s v="J&amp;J MWC'26/scatter/digital - Tremfya GI"/>
    <x v="60"/>
    <s v="Run of AllFOX Video - Package"/>
    <n v="7998"/>
    <n v="585652"/>
    <s v="J&amp;J - MWC - TREMFYA GI -Run of AllFOX Video - :45s - Package"/>
    <d v="2026-06-01T00:00:00"/>
    <d v="2026-07-19T00:00:00"/>
    <s v="FOX DCM"/>
    <s v="CPM"/>
    <n v="30"/>
    <n v="8750000"/>
    <n v="262500"/>
    <s v="Impressions"/>
    <s v="performance"/>
    <n v="0"/>
    <n v="0"/>
    <s v="performance"/>
    <n v="5780967"/>
    <s v="invoice_schedule"/>
    <n v="173429.01"/>
    <n v="173429.01"/>
    <n v="173429.01"/>
    <n v="5755526"/>
    <n v="5780967"/>
    <d v="2026-06-01T00:00:00"/>
    <d v="2026-07-19T00:00:00"/>
    <s v="Mia Bonvissuto"/>
    <s v="None"/>
    <s v="JUN'26"/>
    <n v="950000"/>
    <n v="128224"/>
    <s v="Leslie Lowenthal"/>
  </r>
  <r>
    <s v="AGC000907"/>
    <s v="JOHNSON &amp; JOHNSON"/>
    <s v="ADV000102"/>
    <s v="J&amp;J MWC'26/scatter/digital - Tremfya GI"/>
    <x v="60"/>
    <s v="Run of AllFOX Video - Package"/>
    <n v="7998"/>
    <n v="585655"/>
    <s v="J&amp;J - MWC - TREMFYA GI  - Run of AllFOX Video -:60s - Package"/>
    <d v="2026-06-01T00:00:00"/>
    <d v="2026-07-19T00:00:00"/>
    <s v="FOX DCM"/>
    <s v="CPM"/>
    <n v="40"/>
    <n v="15312500"/>
    <n v="612500"/>
    <s v="Impressions"/>
    <s v="performance"/>
    <n v="0"/>
    <n v="0"/>
    <s v="performance"/>
    <n v="10101079"/>
    <s v="invoice_schedule"/>
    <n v="404043.16"/>
    <n v="404043.16"/>
    <n v="404043.16"/>
    <n v="10095116"/>
    <n v="10101079"/>
    <d v="2026-06-01T00:00:00"/>
    <d v="2026-07-19T00:00:00"/>
    <s v="Mia Bonvissuto"/>
    <s v="None"/>
    <s v="JUN'26"/>
    <n v="950000"/>
    <n v="128224"/>
    <s v="Leslie Lowenthal"/>
  </r>
  <r>
    <s v="AGC000907"/>
    <s v="JOHNSON &amp; JOHNSON"/>
    <s v="ADV000102"/>
    <s v="J&amp;J MWC'26/scatter/digital - Camlyta MDD"/>
    <x v="61"/>
    <s v="Run of World Cup Video - Package"/>
    <n v="8005"/>
    <n v="585634"/>
    <s v="J&amp;J - MWC - Camlyta MDD - Run of World Cup Video - Package - :60s"/>
    <d v="2026-06-01T00:00:00"/>
    <d v="2026-07-19T00:00:00"/>
    <s v="FOX DCM"/>
    <s v="CPM"/>
    <n v="80"/>
    <n v="1875000"/>
    <n v="150000"/>
    <s v="Impressions"/>
    <s v="performance"/>
    <n v="0"/>
    <n v="0"/>
    <s v="performance"/>
    <n v="1360543"/>
    <s v="invoice_schedule"/>
    <n v="108843.44"/>
    <n v="108843.44"/>
    <n v="108843.44"/>
    <n v="1364801"/>
    <n v="1360543"/>
    <d v="2026-06-01T00:00:00"/>
    <d v="2026-07-19T00:00:00"/>
    <s v="Mia Bonvissuto"/>
    <s v="None"/>
    <s v="JUN'26"/>
    <n v="400000"/>
    <n v="128219"/>
    <s v="Leslie Lowenthal"/>
  </r>
  <r>
    <s v="AGC000907"/>
    <s v="JOHNSON &amp; JOHNSON"/>
    <s v="ADV000102"/>
    <s v="J&amp;J MWC'26/scatter/digital - Camlyta MDD"/>
    <x v="61"/>
    <s v="Run of FOX Sports Video - Package"/>
    <n v="8002"/>
    <n v="587702"/>
    <s v="J&amp;J - MWC - Camlyta MDD - Run of FOX Sports Video - Package - :60s"/>
    <d v="2026-06-01T00:00:00"/>
    <d v="2026-07-19T00:00:00"/>
    <s v="FOX DCM"/>
    <s v="CPM"/>
    <n v="50"/>
    <n v="600000"/>
    <n v="30000"/>
    <s v="CoV Impressions"/>
    <s v="performance"/>
    <n v="0"/>
    <n v="0"/>
    <s v="performance"/>
    <n v="390834"/>
    <s v="invoice_schedule"/>
    <n v="19541.7"/>
    <n v="19541.7"/>
    <n v="19541.7"/>
    <n v="393877"/>
    <n v="390834"/>
    <d v="2026-06-01T00:00:00"/>
    <d v="2026-07-19T00:00:00"/>
    <s v="Mia Bonvissuto"/>
    <s v="None"/>
    <s v="JUN'26"/>
    <n v="400000"/>
    <n v="128219"/>
    <s v="Leslie Lowenthal"/>
  </r>
  <r>
    <s v="AGC000907"/>
    <s v="JOHNSON &amp; JOHNSON"/>
    <s v="ADV000102"/>
    <s v="J&amp;J MWC'26/scatter/digital - Camlyta MDD"/>
    <x v="61"/>
    <s v="Run of AllFOX Video - Package"/>
    <n v="7998"/>
    <n v="587704"/>
    <s v="J&amp;J - MWC - Camlyta MDD - Run of AllFOX Video - Package - :60s"/>
    <d v="2026-06-01T00:00:00"/>
    <d v="2026-09-27T00:00:00"/>
    <s v="FOX DCM"/>
    <s v="CPM"/>
    <n v="40"/>
    <n v="5500000"/>
    <n v="220000"/>
    <s v="Impressions"/>
    <s v="performance"/>
    <n v="0"/>
    <n v="0"/>
    <s v="performance"/>
    <n v="1788333"/>
    <s v="invoice_schedule"/>
    <n v="71533.320000000007"/>
    <n v="71533.320000000007"/>
    <n v="71533.320000000007"/>
    <n v="1776279"/>
    <n v="1788333"/>
    <d v="2026-06-01T00:00:00"/>
    <d v="2026-09-27T00:00:00"/>
    <s v="Mia Bonvissuto"/>
    <s v="None"/>
    <s v="JUN'26"/>
    <n v="400000"/>
    <n v="128219"/>
    <s v="Leslie Lowenthal"/>
  </r>
  <r>
    <s v="AGC001804"/>
    <s v="ROCKET MORTGAGE"/>
    <s v="ADV002317"/>
    <s v="Redfin/MWC26/2Q3Q/Digital"/>
    <x v="62"/>
    <s v="Run of World Cup Video - Package"/>
    <n v="8005"/>
    <n v="585679"/>
    <s v="Redfin - Run of World Cup Video - Package"/>
    <d v="2026-06-01T00:00:00"/>
    <d v="2026-06-30T00:00:00"/>
    <s v="FOX DCM"/>
    <s v="CPM"/>
    <n v="40"/>
    <n v="2667307"/>
    <n v="106692.28"/>
    <s v="Impressions"/>
    <s v="performance"/>
    <n v="0"/>
    <n v="0"/>
    <s v="performance"/>
    <n v="2667307"/>
    <s v="invoice_schedule"/>
    <n v="106692.28"/>
    <n v="106692.28"/>
    <n v="106692.28"/>
    <n v="2739169"/>
    <n v="2741242"/>
    <d v="2026-06-01T00:00:00"/>
    <d v="2026-06-30T00:00:00"/>
    <s v="Marcela Miranda"/>
    <s v="None"/>
    <s v="JUN'26"/>
    <n v="142529.98000000001"/>
    <n v="127633"/>
    <s v="Kimberly Caraig"/>
  </r>
  <r>
    <s v="AGC001804"/>
    <s v="ROCKET MORTGAGE"/>
    <s v="ADV002317"/>
    <s v="Redfin/MWC26/2Q3Q/Digital"/>
    <x v="62"/>
    <s v="Run of AllFOX Video - Package"/>
    <n v="7998"/>
    <n v="585682"/>
    <s v="Redfin - Run of AllFOX Video - Package (Targeting 'Soccer Fan') AAT"/>
    <d v="2026-06-01T00:00:00"/>
    <d v="2026-06-30T00:00:00"/>
    <s v="FOX DCM"/>
    <s v="CPM"/>
    <n v="20"/>
    <n v="1791885"/>
    <n v="35837.699999999997"/>
    <s v="Impressions"/>
    <s v="performance"/>
    <n v="0"/>
    <n v="0"/>
    <s v="performance"/>
    <n v="1791885"/>
    <s v="invoice_schedule"/>
    <n v="35837.699999999997"/>
    <n v="35837.699999999997"/>
    <n v="35837.699999999997"/>
    <n v="1827980"/>
    <n v="1831330"/>
    <d v="2026-06-01T00:00:00"/>
    <d v="2026-06-30T00:00:00"/>
    <s v="Marcela Miranda"/>
    <s v="None"/>
    <s v="JUN'26"/>
    <n v="142529.98000000001"/>
    <n v="127633"/>
    <s v="Kimberly Caraig"/>
  </r>
  <r>
    <s v="AGC001318"/>
    <s v="KIA"/>
    <s v="ADV004496"/>
    <s v="Kia/Digital/Scatter/Sports/MWC/25-26"/>
    <x v="63"/>
    <s v="Run of World Cup Display - Package"/>
    <n v="8004"/>
    <n v="585836"/>
    <s v="KIA - Run of World Cup Display - Package -320x50, 300x250, 728x90 - OMP"/>
    <d v="2026-06-11T00:00:00"/>
    <d v="2026-07-19T00:00:00"/>
    <s v="FOX DCM"/>
    <s v="CPM"/>
    <n v="6"/>
    <n v="12166667"/>
    <n v="73000"/>
    <s v="Impressions"/>
    <s v="performance"/>
    <n v="0"/>
    <n v="0"/>
    <s v="performance"/>
    <n v="8847345"/>
    <s v="invoice_schedule"/>
    <n v="53084.07"/>
    <n v="53084.07"/>
    <n v="53084.07"/>
    <n v="8831908"/>
    <n v="8847345"/>
    <d v="2026-06-11T00:00:00"/>
    <d v="2026-07-19T00:00:00"/>
    <s v="Jessica Lang"/>
    <s v="None"/>
    <s v="JUN'26"/>
    <n v="1065000.18"/>
    <n v="127039"/>
    <s v="Dylan Giordano"/>
  </r>
  <r>
    <s v="AGC001318"/>
    <s v="KIA"/>
    <s v="ADV004496"/>
    <s v="Kia/Digital/Scatter/Sports/MWC/25-26"/>
    <x v="63"/>
    <s v="Run of World Cup Video - Package"/>
    <n v="8005"/>
    <n v="585838"/>
    <s v="KIA - Run of World Cup Video - Package - OMP"/>
    <d v="2026-06-11T00:00:00"/>
    <d v="2026-07-19T00:00:00"/>
    <s v="FOX DCM"/>
    <s v="CPM"/>
    <n v="40"/>
    <n v="8825000"/>
    <n v="353000"/>
    <s v="Impressions"/>
    <s v="performance"/>
    <n v="0"/>
    <n v="0"/>
    <s v="performance"/>
    <n v="2795275"/>
    <s v="invoice_schedule"/>
    <n v="111811"/>
    <n v="111811"/>
    <n v="111811"/>
    <n v="2748579"/>
    <n v="2795275"/>
    <d v="2026-06-11T00:00:00"/>
    <d v="2026-07-19T00:00:00"/>
    <s v="Jessica Lang"/>
    <s v="None"/>
    <s v="JUN'26"/>
    <n v="1065000.18"/>
    <n v="127039"/>
    <s v="Dylan Giordano"/>
  </r>
  <r>
    <s v="AGC001318"/>
    <s v="KIA"/>
    <s v="ADV004496"/>
    <s v="Kia/Digital/Scatter/Sports/MWC/25-26"/>
    <x v="63"/>
    <s v="World Cup Social Sponsorship Content - Package"/>
    <n v="8000"/>
    <n v="585841"/>
    <s v="KIA - World Cup Social Sponsorship Content - Package"/>
    <d v="2026-06-11T00:00:00"/>
    <d v="2026-07-19T00:00:00"/>
    <s v="FOX 1st Party"/>
    <s v="Cost Per Unit"/>
    <n v="0.15"/>
    <n v="2130000"/>
    <n v="319500"/>
    <s v="Placements"/>
    <s v="straightline"/>
    <n v="1065000"/>
    <n v="159750"/>
    <s v="straightline"/>
    <n v="1065000"/>
    <s v="invoice_schedule"/>
    <n v="159750"/>
    <n v="159750"/>
    <n v="159750"/>
    <m/>
    <m/>
    <d v="2026-06-11T00:00:00"/>
    <d v="2026-07-19T00:00:00"/>
    <s v="Jessica Lang"/>
    <s v="None"/>
    <s v="JUN'26"/>
    <n v="1065000.18"/>
    <n v="127039"/>
    <s v="Dylan Giordano"/>
  </r>
  <r>
    <s v="AGC001318"/>
    <s v="KIA"/>
    <s v="ADV004496"/>
    <s v="Kia/Digital/Scatter/Sports/MWC/25-26"/>
    <x v="63"/>
    <s v="Run of FOX Sports Video - Package"/>
    <n v="8002"/>
    <n v="585846"/>
    <s v="KIA - Run of FOX Sports Video - Package"/>
    <d v="2026-06-11T00:00:00"/>
    <d v="2026-07-19T00:00:00"/>
    <s v="FOX DCM"/>
    <s v="CPM"/>
    <n v="25"/>
    <n v="2200000"/>
    <n v="55000.01"/>
    <s v="CoV Impressions"/>
    <s v="performance"/>
    <n v="0"/>
    <n v="0"/>
    <s v="performance"/>
    <n v="1162414"/>
    <s v="invoice_schedule"/>
    <n v="29060.35"/>
    <n v="29060.35"/>
    <n v="29060.35"/>
    <n v="1171013"/>
    <n v="1162414"/>
    <d v="2026-06-11T00:00:00"/>
    <d v="2026-07-19T00:00:00"/>
    <s v="Jessica Lang"/>
    <s v="None"/>
    <s v="JUN'26"/>
    <n v="1065000.18"/>
    <n v="127039"/>
    <s v="Dylan Giordano"/>
  </r>
  <r>
    <s v="AGC001318"/>
    <s v="KIA"/>
    <s v="ADV004496"/>
    <s v="Kia/Digital/Scatter/Sports/MWC/25-26"/>
    <x v="63"/>
    <s v="Run of AllFOX Video - Package"/>
    <n v="7998"/>
    <n v="585848"/>
    <s v="KIA - Run of AllFOX Video - Package"/>
    <d v="2026-06-11T00:00:00"/>
    <d v="2026-07-19T00:00:00"/>
    <s v="FOX DCM"/>
    <s v="CPM"/>
    <n v="23"/>
    <n v="11500007"/>
    <n v="264500.17"/>
    <s v="Impressions"/>
    <s v="performance"/>
    <n v="0"/>
    <n v="0"/>
    <s v="performance"/>
    <n v="6049890"/>
    <s v="invoice_schedule"/>
    <n v="139147.47"/>
    <n v="139147.47"/>
    <n v="139147.47"/>
    <n v="6065355"/>
    <n v="6049890"/>
    <d v="2026-06-11T00:00:00"/>
    <d v="2026-07-19T00:00:00"/>
    <s v="Jessica Lang"/>
    <s v="None"/>
    <s v="JUN'26"/>
    <n v="1065000.18"/>
    <n v="127039"/>
    <s v="Dylan Giordano"/>
  </r>
  <r>
    <s v="AGC002070"/>
    <s v="MARRIOTT"/>
    <s v="ADV005952"/>
    <s v="MARRIOTT/DIGITAL/SCATTER/SPORTS/MWC ROSTER REVEAL"/>
    <x v="64"/>
    <s v="World Cup Social Sponsorship Content - Package"/>
    <n v="8000"/>
    <n v="586417"/>
    <s v="Marriott - OMP - World Cup US Roster Reveal Social Sponsorship Content - 2Q'26 Package"/>
    <d v="2026-05-23T00:00:00"/>
    <d v="2026-06-07T00:00:00"/>
    <s v="FOX 1st Party"/>
    <s v="SOV-Flat Rate"/>
    <n v="150000"/>
    <n v="3"/>
    <n v="150000"/>
    <s v="n/a"/>
    <s v="prorated"/>
    <n v="1"/>
    <n v="65625"/>
    <s v="prorated"/>
    <n v="1"/>
    <s v="invoice_schedule"/>
    <n v="75000"/>
    <n v="75000"/>
    <n v="75000"/>
    <m/>
    <m/>
    <d v="2026-05-23T00:00:00"/>
    <d v="2026-06-07T00:00:00"/>
    <s v="Matthew Vellardito"/>
    <s v="None"/>
    <s v="JUN'26"/>
    <n v="275000"/>
    <n v="128669"/>
    <s v="Janna Goldstein"/>
  </r>
  <r>
    <s v="AGC002070"/>
    <s v="MARRIOTT"/>
    <s v="ADV005952"/>
    <s v="MARRIOTT/DIGITAL/SCATTER/SPORTS/MWC ROSTER REVEAL"/>
    <x v="64"/>
    <s v="World Cup FOX Sports Site &amp; App Takeover - Package"/>
    <n v="8003"/>
    <n v="586422"/>
    <s v="Marriott - OMP - World Cup US Roster Reveal - FOX Sports Site &amp; App Takeover - 6/6 -  2Q'26 Package"/>
    <d v="2026-06-06T00:00:00"/>
    <d v="2026-06-06T00:00:00"/>
    <s v="FOX DCM"/>
    <s v="Cost Per Day"/>
    <n v="12500"/>
    <n v="4"/>
    <n v="50000"/>
    <s v="Days"/>
    <s v="prorated"/>
    <n v="4"/>
    <n v="50000"/>
    <s v="prorated"/>
    <n v="4"/>
    <s v="invoice_schedule"/>
    <n v="50000"/>
    <n v="50000"/>
    <n v="50000"/>
    <n v="0"/>
    <n v="0"/>
    <d v="2026-06-06T00:00:00"/>
    <d v="2026-06-06T00:00:00"/>
    <s v="Matthew Vellardito"/>
    <s v="None"/>
    <s v="JUN'26"/>
    <n v="275000"/>
    <n v="128669"/>
    <s v="Janna Goldstein"/>
  </r>
  <r>
    <s v="AGC002070"/>
    <s v="MARRIOTT"/>
    <s v="ADV005952"/>
    <s v="MARRIOTT/DIGITAL/SCATTER/SPORTS/MWC ROSTER REVEAL"/>
    <x v="64"/>
    <s v="Run of AllFOX Video - Package"/>
    <n v="7998"/>
    <n v="586505"/>
    <s v="Marriott - OMP - Run of AllFOX Video - Soccer Fans AAT - US Roster Reveal 2026 Package"/>
    <d v="2026-05-23T00:00:00"/>
    <d v="2026-06-07T00:00:00"/>
    <s v="FOX Extreme Reach"/>
    <s v="CPM"/>
    <n v="20"/>
    <n v="3750000"/>
    <n v="75000"/>
    <s v="Impressions"/>
    <s v="performance"/>
    <n v="0"/>
    <n v="0"/>
    <s v="performance"/>
    <n v="1314062"/>
    <s v="invoice_schedule"/>
    <n v="26281.24"/>
    <n v="26281.24"/>
    <n v="26281.24"/>
    <n v="1373259"/>
    <n v="1375810"/>
    <d v="2026-05-23T00:00:00"/>
    <d v="2026-06-07T00:00:00"/>
    <s v="Matthew Vellardito"/>
    <s v="None"/>
    <s v="JUN'26"/>
    <n v="275000"/>
    <n v="128669"/>
    <s v="Janna Goldstein"/>
  </r>
  <r>
    <s v="AGC003068"/>
    <s v="UNILEVER"/>
    <s v="ADV000661"/>
    <s v="Unilever/MLS/Scatter/25.26/ X Amplify"/>
    <x v="65"/>
    <s v="DIO - SOC - FOX Sports - Package"/>
    <n v="7993"/>
    <n v="586824"/>
    <s v="Unilever/MLS/Scatter/25.26/ X Amplify"/>
    <d v="2026-05-01T00:00:00"/>
    <d v="2026-06-30T00:00:00"/>
    <m/>
    <s v="SOV-Flat Rate"/>
    <n v="401359.14"/>
    <n v="0"/>
    <n v="401359.14"/>
    <s v="n/a"/>
    <s v="prorated"/>
    <n v="0"/>
    <n v="197389.7409"/>
    <s v="prorated"/>
    <n v="0"/>
    <s v="invoice_schedule"/>
    <n v="197389.74"/>
    <n v="197389.74"/>
    <n v="197389.74"/>
    <m/>
    <m/>
    <d v="2026-05-01T00:00:00"/>
    <d v="2026-06-30T00:00:00"/>
    <s v="Mia Bonvissuto"/>
    <s v="None"/>
    <s v="JUN'26"/>
    <n v="401359.14"/>
    <n v="127091"/>
    <s v="Leslie Lowenthal"/>
  </r>
  <r>
    <s v="AGC000865"/>
    <s v="CREDIT KARMA INC"/>
    <s v="ADV000890"/>
    <s v="Credit Karma/2Q'26/Digital/Scatter/Preempt/HorizonMX"/>
    <x v="66"/>
    <s v="DIO - LFV - Entertainment ROS Preemptible - Package"/>
    <n v="1754"/>
    <n v="586794"/>
    <s v="Credit Karma - DIO - LFV - Entertainment ROS Preemptible - 2Q'26 MX"/>
    <d v="2026-06-01T00:00:00"/>
    <d v="2026-06-07T00:00:00"/>
    <m/>
    <s v="CPM"/>
    <n v="8.5"/>
    <n v="1182824"/>
    <n v="10054"/>
    <s v="CoV Impressions"/>
    <s v="performance"/>
    <n v="0"/>
    <n v="0"/>
    <s v="performance"/>
    <n v="1182824"/>
    <s v="invoice_schedule"/>
    <n v="10054"/>
    <n v="10054"/>
    <n v="10054"/>
    <n v="1230361"/>
    <n v="1217242"/>
    <d v="2026-06-01T00:00:00"/>
    <d v="2026-06-07T00:00:00"/>
    <s v="Anthony Gizzo"/>
    <s v="None"/>
    <s v="JUN'26"/>
    <n v="99785.24"/>
    <n v="127106"/>
    <s v="Sydney Stipanovich"/>
  </r>
  <r>
    <s v="AGC000865"/>
    <s v="CREDIT KARMA INC"/>
    <s v="ADV000890"/>
    <s v="Credit Karma/2Q'26/Digital/Scatter/Preempt/HorizonMX"/>
    <x v="66"/>
    <s v="DIO - LFV - Entertainment ROS Preemptible - Package"/>
    <n v="1754"/>
    <n v="586796"/>
    <s v="Credit Karma - DIO - LFV - Entertainment ROS Preemptible - 2Q'26 MX"/>
    <d v="2026-06-08T00:00:00"/>
    <d v="2026-06-14T00:00:00"/>
    <m/>
    <s v="CPM"/>
    <n v="8.5"/>
    <n v="1182824"/>
    <n v="10054"/>
    <s v="CoV Impressions"/>
    <s v="performance"/>
    <n v="0"/>
    <n v="0"/>
    <s v="performance"/>
    <n v="1182824"/>
    <s v="invoice_schedule"/>
    <n v="10054"/>
    <n v="10054"/>
    <n v="10054"/>
    <n v="1222156"/>
    <n v="1207904"/>
    <d v="2026-06-08T00:00:00"/>
    <d v="2026-06-14T00:00:00"/>
    <s v="Anthony Gizzo"/>
    <s v="None"/>
    <s v="JUN'26"/>
    <n v="99785.24"/>
    <n v="127106"/>
    <s v="Sydney Stipanovich"/>
  </r>
  <r>
    <s v="AGC000865"/>
    <s v="CREDIT KARMA INC"/>
    <s v="ADV000890"/>
    <s v="Credit Karma/2Q'26/Digital/Scatter/Preempt/HorizonMX"/>
    <x v="66"/>
    <s v="DIO - LFV - Entertainment ROS Preemptible - Package"/>
    <n v="1754"/>
    <n v="586798"/>
    <s v="Credit Karma - DIO - LFV - Entertainment ROS Preemptible - 2Q'26 MX"/>
    <d v="2026-06-15T00:00:00"/>
    <d v="2026-06-21T00:00:00"/>
    <m/>
    <s v="CPM"/>
    <n v="8.5"/>
    <n v="1182824"/>
    <n v="10054"/>
    <s v="CoV Impressions"/>
    <s v="performance"/>
    <n v="0"/>
    <n v="0"/>
    <s v="performance"/>
    <n v="472940"/>
    <s v="invoice_schedule"/>
    <n v="4019.99"/>
    <n v="4019.99"/>
    <n v="4019.99"/>
    <n v="527363"/>
    <n v="472940"/>
    <d v="2026-06-15T00:00:00"/>
    <d v="2026-06-21T00:00:00"/>
    <s v="Anthony Gizzo"/>
    <s v="None"/>
    <s v="JUN'26"/>
    <n v="99785.24"/>
    <n v="127106"/>
    <s v="Sydney Stipanovich"/>
  </r>
  <r>
    <s v="AGC000865"/>
    <s v="CREDIT KARMA INC"/>
    <s v="ADV000890"/>
    <s v="Credit Karma/2Q'26/Digital/Scatter/Preempt/HorizonMX"/>
    <x v="66"/>
    <s v="DIO - LFV - Entertainment ROS Preemptible - Package"/>
    <n v="1754"/>
    <n v="586800"/>
    <s v="Credit Karma - DIO - LFV - Entertainment ROS Preemptible - 2Q'26 MX"/>
    <d v="2026-06-22T00:00:00"/>
    <d v="2026-06-28T00:00:00"/>
    <m/>
    <s v="CPM"/>
    <n v="8.5"/>
    <n v="1182824"/>
    <n v="10054"/>
    <s v="CoV Impressions"/>
    <s v="performance"/>
    <n v="0"/>
    <n v="0"/>
    <s v="performance"/>
    <n v="561996"/>
    <s v="invoice_schedule"/>
    <n v="4776.9660000000003"/>
    <n v="4776.9660000000003"/>
    <n v="4776.9660000000003"/>
    <n v="647484"/>
    <n v="561996"/>
    <d v="2026-06-22T00:00:00"/>
    <d v="2026-06-28T00:00:00"/>
    <s v="Anthony Gizzo"/>
    <s v="None"/>
    <s v="JUN'26"/>
    <n v="99785.24"/>
    <n v="127106"/>
    <s v="Sydney Stipanovich"/>
  </r>
  <r>
    <s v="AGC000865"/>
    <s v="CREDIT KARMA INC"/>
    <s v="ADV000890"/>
    <s v="Credit Karma/2Q'26/Digital/Scatter/Preempt/HorizonMX"/>
    <x v="66"/>
    <s v="DIO - LFV - Entertainment ROS Preemptible - Package"/>
    <n v="1754"/>
    <n v="586802"/>
    <s v="Credit Karma - DIO - LFV - Entertainment ROS Preemptible - 2Q'26 MX"/>
    <d v="2026-06-29T00:00:00"/>
    <d v="2026-06-30T00:00:00"/>
    <m/>
    <s v="CPM"/>
    <n v="8.5"/>
    <n v="322588"/>
    <n v="2742"/>
    <s v="CoV Impressions"/>
    <s v="performance"/>
    <n v="0"/>
    <n v="0"/>
    <s v="performance"/>
    <n v="103014"/>
    <s v="invoice_schedule"/>
    <n v="875.61900000000003"/>
    <n v="875.61900000000003"/>
    <n v="875.61900000000003"/>
    <n v="103365"/>
    <n v="103014"/>
    <d v="2026-06-29T00:00:00"/>
    <d v="2026-06-30T00:00:00"/>
    <s v="Anthony Gizzo"/>
    <s v="None"/>
    <s v="JUN'26"/>
    <n v="99785.24"/>
    <n v="127106"/>
    <s v="Sydney Stipanovich"/>
  </r>
  <r>
    <s v="AGC002952"/>
    <s v="DOORDASH"/>
    <s v="ADV001993"/>
    <s v="Fuhrmann | Health Check - 2026.4"/>
    <x v="67"/>
    <m/>
    <m/>
    <n v="587185"/>
    <s v="DIO - LFV - FSLS - Pre/Mid - CBB - DT/MB/CTV"/>
    <d v="2026-06-01T00:00:00"/>
    <d v="2026-06-30T00:00:00"/>
    <s v="FOX Extreme Reach"/>
    <s v="CPM"/>
    <n v="31.76"/>
    <n v="100"/>
    <n v="3.18"/>
    <s v="CoV Impressions"/>
    <s v="performance"/>
    <n v="0"/>
    <n v="0"/>
    <s v="performance"/>
    <n v="0"/>
    <s v="invoice_schedule"/>
    <n v="0"/>
    <n v="0"/>
    <n v="0"/>
    <m/>
    <m/>
    <d v="2026-06-01T00:00:00"/>
    <d v="2026-06-30T00:00:00"/>
    <s v="Client Services Management"/>
    <s v="None"/>
    <s v="JUN'26"/>
    <n v="3.18"/>
    <n v="127363"/>
    <s v="Gina Rodarte"/>
  </r>
  <r>
    <s v="AGC005026"/>
    <s v="GOOGLE"/>
    <s v="ADV005225"/>
    <s v="Google/2026/Scatter/Digital/MWC - Youtube"/>
    <x v="68"/>
    <s v="Run of World Cup Video - Package"/>
    <n v="8005"/>
    <n v="587647"/>
    <s v="Google - YouTube_Run of World Cup Video - Package"/>
    <d v="2026-06-11T00:00:00"/>
    <d v="2026-07-19T00:00:00"/>
    <s v="FOX DCM"/>
    <s v="CPM"/>
    <n v="40"/>
    <n v="7012500"/>
    <n v="280500"/>
    <s v="Impressions"/>
    <s v="performance"/>
    <n v="0"/>
    <n v="0"/>
    <s v="performance"/>
    <n v="4666965"/>
    <s v="invoice_schedule"/>
    <n v="186678.6"/>
    <n v="186678.6"/>
    <n v="186678.6"/>
    <n v="4663894"/>
    <n v="4666965"/>
    <d v="2026-06-11T00:00:00"/>
    <d v="2026-07-19T00:00:00"/>
    <s v="Mia Bonvissuto"/>
    <s v="None"/>
    <s v="JUN'26"/>
    <n v="1050000.02"/>
    <n v="130639"/>
    <s v="Colleen Cahill"/>
  </r>
  <r>
    <s v="AGC005026"/>
    <s v="GOOGLE"/>
    <s v="ADV005225"/>
    <s v="Google/2026/Scatter/Digital/MWC - Youtube"/>
    <x v="68"/>
    <s v="World Cup Social Sponsorship Content - Package"/>
    <n v="8000"/>
    <n v="587655"/>
    <s v="Google - YouTube_World Cup Social Sponsorship Content - Package"/>
    <d v="2026-06-11T00:00:00"/>
    <d v="2026-07-19T00:00:00"/>
    <s v="FOX DCM"/>
    <s v="SOV-Flat Rate"/>
    <n v="435500"/>
    <n v="0"/>
    <n v="435500"/>
    <s v="n/a"/>
    <s v="prorated"/>
    <n v="0"/>
    <n v="223333.3334"/>
    <s v="prorated"/>
    <n v="0"/>
    <s v="invoice_schedule"/>
    <n v="223333.3334"/>
    <n v="223333.3334"/>
    <n v="223333.3334"/>
    <m/>
    <m/>
    <d v="2026-06-11T00:00:00"/>
    <d v="2026-07-19T00:00:00"/>
    <s v="Mia Bonvissuto"/>
    <s v="None"/>
    <s v="JUN'26"/>
    <n v="1050000.02"/>
    <n v="130639"/>
    <s v="Colleen Cahill"/>
  </r>
  <r>
    <s v="AGC005026"/>
    <s v="GOOGLE"/>
    <s v="ADV005225"/>
    <s v="Google/2026/Scatter/Digital/MWC - Youtube"/>
    <x v="68"/>
    <s v="World Cup Social Sponsorship Content - Package"/>
    <n v="8000"/>
    <n v="592837"/>
    <s v="Google - YouTube_World Cup Social Sponsorship Content - X Amplify - Package"/>
    <d v="2026-06-11T00:00:00"/>
    <d v="2026-07-19T00:00:00"/>
    <s v="FOX DCM"/>
    <s v="SOV-Flat Rate"/>
    <n v="334000"/>
    <n v="0"/>
    <n v="334000"/>
    <s v="n/a"/>
    <s v="prorated"/>
    <n v="0"/>
    <n v="171282.05129999999"/>
    <s v="prorated"/>
    <n v="0"/>
    <s v="invoice_schedule"/>
    <n v="171282.05129999999"/>
    <n v="171282.05129999999"/>
    <n v="171282.05129999999"/>
    <m/>
    <m/>
    <d v="2026-06-11T00:00:00"/>
    <d v="2026-07-19T00:00:00"/>
    <s v="Mia Bonvissuto"/>
    <s v="None"/>
    <s v="JUN'26"/>
    <n v="1050000.02"/>
    <n v="130639"/>
    <s v="Colleen Cahill"/>
  </r>
  <r>
    <s v="AGC001035"/>
    <s v="DIAGEO"/>
    <s v="ADV005961"/>
    <s v="Diageo/CASAMIGOS/Digital/Direct/Scatter/Sports/MWC/2026/JUNE"/>
    <x v="69"/>
    <s v="Run of World Cup Video - Package"/>
    <n v="8005"/>
    <n v="588192"/>
    <s v="Diageo - Casamigos  - OMP - Run of World Cup Video - Package - FY26"/>
    <d v="2026-06-01T00:00:00"/>
    <d v="2026-06-30T00:00:00"/>
    <s v="FOX DCM"/>
    <s v="CPM"/>
    <n v="32.5"/>
    <n v="830769"/>
    <n v="27000"/>
    <s v="Impressions"/>
    <s v="straightline"/>
    <n v="830769"/>
    <n v="27000"/>
    <s v="straightline"/>
    <n v="830769"/>
    <s v="invoice_schedule"/>
    <n v="27000"/>
    <n v="27000"/>
    <n v="27000"/>
    <n v="844774"/>
    <n v="842358"/>
    <d v="2026-06-01T00:00:00"/>
    <d v="2026-06-30T00:00:00"/>
    <s v="Kailey McGinn"/>
    <s v="None"/>
    <s v="JUN'26"/>
    <n v="677000.1"/>
    <n v="128995"/>
    <s v="Nicole Gamache"/>
  </r>
  <r>
    <s v="AGC001035"/>
    <s v="DIAGEO"/>
    <s v="ADV005961"/>
    <s v="Diageo/CASAMIGOS/Digital/Direct/Scatter/Sports/MWC/2026/JUNE"/>
    <x v="69"/>
    <s v="World Cup FOX Sports Site &amp; App Takeover - Package"/>
    <n v="8003"/>
    <n v="588198"/>
    <s v="Diageo - Casamigos - OMP - World Cup FOX Sports Site &amp; App Takeover - Package - FY26"/>
    <d v="2026-06-14T00:00:00"/>
    <d v="2026-06-14T00:00:00"/>
    <s v="FOX DCM"/>
    <s v="Cost Per Day"/>
    <n v="50000"/>
    <n v="6"/>
    <n v="300000"/>
    <s v="Days"/>
    <s v="straightline"/>
    <n v="6"/>
    <n v="300000"/>
    <s v="straightline"/>
    <n v="6"/>
    <s v="invoice_schedule"/>
    <n v="300000"/>
    <n v="300000"/>
    <n v="300000"/>
    <n v="0"/>
    <n v="0"/>
    <d v="2026-06-14T00:00:00"/>
    <d v="2026-06-14T00:00:00"/>
    <s v="Kailey McGinn"/>
    <s v="None"/>
    <s v="JUN'26"/>
    <n v="677000.1"/>
    <n v="128995"/>
    <s v="Nicole Gamache"/>
  </r>
  <r>
    <s v="AGC001035"/>
    <s v="DIAGEO"/>
    <s v="ADV005961"/>
    <s v="Diageo/CASAMIGOS/Digital/Direct/Scatter/Sports/MWC/2026/JUNE"/>
    <x v="69"/>
    <s v="World Cup Social Sponsorship Content - Package"/>
    <n v="8000"/>
    <n v="588205"/>
    <s v="Diageo - Casamigos - OMP - World Cup NOW Integrations &amp; Jersey Swap Coverage - Package - FY26"/>
    <d v="2026-06-01T00:00:00"/>
    <d v="2026-06-30T00:00:00"/>
    <s v="FOX 1st Party"/>
    <s v="Cost Per Unit"/>
    <n v="0.15"/>
    <n v="2333334"/>
    <n v="350000.1"/>
    <s v="Placements"/>
    <s v="straightline"/>
    <n v="2333334"/>
    <n v="350000.1"/>
    <s v="straightline"/>
    <n v="2333334"/>
    <s v="invoice_schedule"/>
    <n v="350000.1"/>
    <n v="350000.1"/>
    <n v="350000.1"/>
    <m/>
    <m/>
    <d v="2026-06-01T00:00:00"/>
    <d v="2026-06-30T00:00:00"/>
    <s v="Kailey McGinn"/>
    <s v="None"/>
    <s v="JUN'26"/>
    <n v="677000.1"/>
    <n v="128995"/>
    <s v="Nicole Gamache"/>
  </r>
  <r>
    <s v="AGC001035"/>
    <s v="DIAGEO"/>
    <s v="ADV005961"/>
    <s v="Diageo/CASAMIGOS/Digital/Direct/Scatter/Sports/MWC/2026/JUNE"/>
    <x v="69"/>
    <s v="World Cup FOX Sports Site &amp; App Takeover - Package"/>
    <n v="8003"/>
    <n v="594401"/>
    <s v="MG - Diageo - Casamigos - OMP - World Cup FOX Sports Site &amp; App Takeover - Package - FY26"/>
    <d v="2026-06-22T00:00:00"/>
    <d v="2026-06-22T00:00:00"/>
    <s v="FOX DCM"/>
    <s v="Cost Per Day"/>
    <n v="0"/>
    <n v="6"/>
    <n v="0"/>
    <s v="Days"/>
    <s v="straightline"/>
    <n v="6"/>
    <n v="0"/>
    <s v="straightline"/>
    <n v="6"/>
    <s v="invoice_schedule"/>
    <n v="0"/>
    <n v="0"/>
    <n v="0"/>
    <n v="0"/>
    <n v="0"/>
    <d v="2026-06-22T00:00:00"/>
    <d v="2026-06-22T00:00:00"/>
    <s v="Kailey McGinn"/>
    <s v="None"/>
    <s v="JUN'26"/>
    <n v="677000.1"/>
    <n v="128995"/>
    <s v="Nicole Gamache"/>
  </r>
  <r>
    <s v="AGC001035"/>
    <s v="DIAGEO"/>
    <s v="ADV005961"/>
    <s v="Diageo/DONJULIO/Digital/Direct/Scatter/Sports/MWC/2026/JUNE"/>
    <x v="70"/>
    <s v="Run of World Cup Video - Package"/>
    <n v="8005"/>
    <n v="588259"/>
    <s v="Diageo - Don Julio -OMP -Run of World Cup Video - Package - FY26"/>
    <d v="2026-06-01T00:00:00"/>
    <d v="2026-06-30T00:00:00"/>
    <s v="FOX DCM"/>
    <s v="CPM"/>
    <n v="32.5"/>
    <n v="4038462"/>
    <n v="131250.01999999999"/>
    <s v="Impressions"/>
    <s v="performance"/>
    <n v="0"/>
    <n v="0"/>
    <s v="performance"/>
    <n v="4038462"/>
    <s v="invoice_schedule"/>
    <n v="131250.01999999999"/>
    <n v="131250.01999999999"/>
    <n v="131250.01999999999"/>
    <n v="4111062"/>
    <n v="4087311"/>
    <d v="2026-06-01T00:00:00"/>
    <d v="2026-06-30T00:00:00"/>
    <s v="Kailey McGinn"/>
    <s v="None"/>
    <s v="JUN'26"/>
    <n v="175000.02"/>
    <n v="128342"/>
    <s v="Nicole Gamache"/>
  </r>
  <r>
    <s v="AGC001035"/>
    <s v="DIAGEO"/>
    <s v="ADV005961"/>
    <s v="Diageo/DONJULIO/Digital/Direct/Scatter/Sports/MWC/2026/JUNE"/>
    <x v="70"/>
    <s v="Run of World Cup Display - Package"/>
    <n v="8004"/>
    <n v="588262"/>
    <s v="Diageo - Don Julio - OMP -  Run of World Cup Display - Package - FY26"/>
    <d v="2026-06-01T00:00:00"/>
    <d v="2026-06-30T00:00:00"/>
    <s v="FOX DCM"/>
    <s v="CPM"/>
    <n v="6"/>
    <n v="7291667"/>
    <n v="43750"/>
    <s v="Impressions"/>
    <s v="performance"/>
    <n v="0"/>
    <n v="0"/>
    <s v="performance"/>
    <n v="4629095"/>
    <s v="invoice_schedule"/>
    <n v="27774.57"/>
    <n v="27774.57"/>
    <n v="27774.57"/>
    <n v="4629704"/>
    <n v="4629095"/>
    <d v="2026-06-01T00:00:00"/>
    <d v="2026-06-30T00:00:00"/>
    <s v="Kailey McGinn"/>
    <s v="None"/>
    <s v="JUN'26"/>
    <n v="175000.02"/>
    <n v="128342"/>
    <s v="Nicole Gamache"/>
  </r>
  <r>
    <s v="AGC001035"/>
    <s v="DIAGEO"/>
    <s v="ADV005961"/>
    <s v="Diageo/KETEL/Digital/Direct/Scatter/Sports/MWC/2026/JUNE"/>
    <x v="71"/>
    <s v="Run of World Cup Video - Package"/>
    <n v="8005"/>
    <n v="588310"/>
    <s v="Diageo - Ketel - OMP -Run of World Cup Video - Package - FY26"/>
    <d v="2026-06-01T00:00:00"/>
    <d v="2026-06-30T00:00:00"/>
    <s v="FOX DCM"/>
    <s v="CPM"/>
    <n v="32.5"/>
    <n v="2307693"/>
    <n v="75000.02"/>
    <s v="Impressions"/>
    <s v="performance"/>
    <n v="0"/>
    <n v="0"/>
    <s v="performance"/>
    <n v="2307693"/>
    <s v="invoice_schedule"/>
    <n v="75000.02"/>
    <n v="75000.02"/>
    <n v="75000.02"/>
    <n v="2369440"/>
    <n v="2360160"/>
    <d v="2026-06-01T00:00:00"/>
    <d v="2026-06-30T00:00:00"/>
    <s v="Kailey McGinn"/>
    <s v="None"/>
    <s v="JUN'26"/>
    <n v="100000.02"/>
    <n v="128368"/>
    <s v="Nicole Gamache"/>
  </r>
  <r>
    <s v="AGC001035"/>
    <s v="DIAGEO"/>
    <s v="ADV005961"/>
    <s v="Diageo/KETEL/Digital/Direct/Scatter/Sports/MWC/2026/JUNE"/>
    <x v="71"/>
    <s v="Run of World Cup Display - Package"/>
    <n v="8004"/>
    <n v="588313"/>
    <s v="Diageo - Ketel - OMP -  Run of World Cup Display - Package - FY26"/>
    <d v="2026-06-01T00:00:00"/>
    <d v="2026-06-30T00:00:00"/>
    <s v="FOX DCM"/>
    <s v="CPM"/>
    <n v="6"/>
    <n v="4166667"/>
    <n v="25000"/>
    <s v="Impressions"/>
    <s v="performance"/>
    <n v="0"/>
    <n v="0"/>
    <s v="performance"/>
    <n v="2847268"/>
    <s v="invoice_schedule"/>
    <n v="17083.608"/>
    <n v="17083.608"/>
    <n v="17083.608"/>
    <n v="2847556"/>
    <n v="2847268"/>
    <d v="2026-06-01T00:00:00"/>
    <d v="2026-06-30T00:00:00"/>
    <s v="Kailey McGinn"/>
    <s v="None"/>
    <s v="JUN'26"/>
    <n v="100000.02"/>
    <n v="128368"/>
    <s v="Nicole Gamache"/>
  </r>
  <r>
    <s v="AGC001810"/>
    <s v="ELI LILLY"/>
    <s v="ADV002224"/>
    <s v="Lilly/2026 MWC/Digital/Scatter/Mounjaro"/>
    <x v="72"/>
    <s v="Run of World Cup Display - Package"/>
    <n v="8004"/>
    <n v="588599"/>
    <s v="Eli Lilly - Mounjaro - Run of World Cup Display - Package - 2026"/>
    <d v="2026-06-01T00:00:00"/>
    <d v="2026-07-19T00:00:00"/>
    <s v="FOX DCM"/>
    <s v="CPM"/>
    <n v="6"/>
    <n v="2250000"/>
    <n v="13500"/>
    <s v="Impressions"/>
    <s v="performance"/>
    <n v="0"/>
    <n v="0"/>
    <s v="performance"/>
    <n v="1044323"/>
    <s v="invoice_schedule"/>
    <n v="6265.9380000000001"/>
    <n v="6265.9380000000001"/>
    <n v="6265.9380000000001"/>
    <n v="1044678"/>
    <n v="1044323"/>
    <d v="2026-06-01T00:00:00"/>
    <d v="2026-07-19T00:00:00"/>
    <s v="Megan Sileo"/>
    <s v="None"/>
    <s v="JUN'26"/>
    <n v="200000"/>
    <n v="128868"/>
    <s v="Tom Cecil"/>
  </r>
  <r>
    <s v="AGC001810"/>
    <s v="ELI LILLY"/>
    <s v="ADV002224"/>
    <s v="Lilly/2026 MWC/Digital/Scatter/Mounjaro"/>
    <x v="72"/>
    <s v="Run of AllFOX Video - Package"/>
    <n v="7998"/>
    <n v="588603"/>
    <s v="Eli Lilly - Mounjaro 60 - Run of AllFOX Video - Package - AAT- 2026"/>
    <d v="2026-06-01T00:00:00"/>
    <d v="2026-07-19T00:00:00"/>
    <s v="FOX Innovid"/>
    <s v="CPM"/>
    <n v="40"/>
    <n v="2850000"/>
    <n v="114000"/>
    <s v="Impressions"/>
    <s v="performance"/>
    <n v="0"/>
    <n v="0"/>
    <s v="performance"/>
    <n v="1710992"/>
    <s v="invoice_schedule"/>
    <n v="68439.679999999993"/>
    <n v="68439.679999999993"/>
    <n v="68439.679999999993"/>
    <n v="1717518"/>
    <n v="1710992"/>
    <d v="2026-06-01T00:00:00"/>
    <d v="2026-07-19T00:00:00"/>
    <s v="Megan Sileo"/>
    <s v="None"/>
    <s v="JUN'26"/>
    <n v="200000"/>
    <n v="128868"/>
    <s v="Tom Cecil"/>
  </r>
  <r>
    <s v="AGC001810"/>
    <s v="ELI LILLY"/>
    <s v="ADV002224"/>
    <s v="Lilly/2026 MWC/Digital/Scatter/Mounjaro"/>
    <x v="72"/>
    <s v="Run of AllFOX Video - Package"/>
    <n v="7998"/>
    <n v="588678"/>
    <s v="Eli Lilly - Mounjaro 75 - Run of AllFOX Video - Package -AAT- 2026"/>
    <d v="2026-06-01T00:00:00"/>
    <d v="2026-07-19T00:00:00"/>
    <s v="FOX Innovid"/>
    <s v="CPM"/>
    <n v="50"/>
    <n v="1450000"/>
    <n v="72500"/>
    <s v="Impressions"/>
    <s v="performance"/>
    <n v="0"/>
    <n v="0"/>
    <s v="performance"/>
    <n v="676462"/>
    <s v="invoice_schedule"/>
    <n v="33823.1"/>
    <n v="33823.1"/>
    <n v="33823.1"/>
    <n v="674881"/>
    <n v="676462"/>
    <d v="2026-06-01T00:00:00"/>
    <d v="2026-07-19T00:00:00"/>
    <s v="Megan Sileo"/>
    <s v="None"/>
    <s v="JUN'26"/>
    <n v="200000"/>
    <n v="128868"/>
    <s v="Tom Cecil"/>
  </r>
  <r>
    <s v="AGC001810"/>
    <s v="ELI LILLY"/>
    <s v="ADV002224"/>
    <s v="Lilly/2026 MWC/Digital/Scatter/ZepboundCWM"/>
    <x v="73"/>
    <s v="Run of World Cup Display - Package"/>
    <n v="8004"/>
    <n v="588619"/>
    <s v="Eli Lilly - Zepbound CWM - Run of World Cup Display - Package - 2026"/>
    <d v="2026-06-01T00:00:00"/>
    <d v="2026-07-19T00:00:00"/>
    <s v="FOX DCM"/>
    <s v="CPM"/>
    <n v="6"/>
    <n v="833333"/>
    <n v="5000"/>
    <s v="Impressions"/>
    <s v="performance"/>
    <n v="0"/>
    <n v="0"/>
    <s v="performance"/>
    <n v="407405"/>
    <s v="invoice_schedule"/>
    <n v="2444.4299999999998"/>
    <n v="2444.4299999999998"/>
    <n v="2444.4299999999998"/>
    <n v="407569"/>
    <n v="407405"/>
    <d v="2026-06-01T00:00:00"/>
    <d v="2026-07-19T00:00:00"/>
    <s v="Megan Sileo"/>
    <s v="None"/>
    <s v="JUN'26"/>
    <n v="150000"/>
    <n v="129166"/>
    <s v="Tom Cecil"/>
  </r>
  <r>
    <s v="AGC001810"/>
    <s v="ELI LILLY"/>
    <s v="ADV002224"/>
    <s v="Lilly/2026 MWC/Digital/Scatter/ZepboundCWM"/>
    <x v="73"/>
    <s v="Run of AllFOX Video - Package"/>
    <n v="7998"/>
    <n v="588623"/>
    <s v="Eli Lilly - Zepbound CWM 60 - Run of AllFOX Video - Package -AAT-  2026"/>
    <d v="2026-06-01T00:00:00"/>
    <d v="2026-07-19T00:00:00"/>
    <s v="FOX Innovid"/>
    <s v="CPM"/>
    <n v="40"/>
    <n v="2125000"/>
    <n v="85000"/>
    <s v="Impressions"/>
    <s v="performance"/>
    <n v="0"/>
    <n v="0"/>
    <s v="performance"/>
    <n v="1325080"/>
    <s v="invoice_schedule"/>
    <n v="53003.199999999997"/>
    <n v="53003.199999999997"/>
    <n v="53003.199999999997"/>
    <n v="1326631"/>
    <n v="1325080"/>
    <d v="2026-06-01T00:00:00"/>
    <d v="2026-07-19T00:00:00"/>
    <s v="Megan Sileo"/>
    <s v="None"/>
    <s v="JUN'26"/>
    <n v="150000"/>
    <n v="129166"/>
    <s v="Tom Cecil"/>
  </r>
  <r>
    <s v="AGC001810"/>
    <s v="ELI LILLY"/>
    <s v="ADV002224"/>
    <s v="Lilly/2026 MWC/Digital/Scatter/ZepboundCWM"/>
    <x v="73"/>
    <s v="Run of AllFOX Video - Package"/>
    <n v="7998"/>
    <n v="588692"/>
    <s v="Eli Lilly - Zepbound CWM 75 - Run of AllFOX Video - Package -AAT-  2026"/>
    <d v="2026-06-01T00:00:00"/>
    <d v="2026-07-19T00:00:00"/>
    <s v="FOX Innovid"/>
    <s v="CPM"/>
    <n v="50"/>
    <n v="1200000"/>
    <n v="60000"/>
    <s v="Impressions"/>
    <s v="performance"/>
    <n v="0"/>
    <n v="0"/>
    <s v="performance"/>
    <n v="561336"/>
    <s v="invoice_schedule"/>
    <n v="28066.799999999999"/>
    <n v="28066.799999999999"/>
    <n v="28066.799999999999"/>
    <n v="559648"/>
    <n v="561336"/>
    <d v="2026-06-01T00:00:00"/>
    <d v="2026-07-19T00:00:00"/>
    <s v="Megan Sileo"/>
    <s v="None"/>
    <s v="JUN'26"/>
    <n v="150000"/>
    <n v="129166"/>
    <s v="Tom Cecil"/>
  </r>
  <r>
    <s v="AGC001810"/>
    <s v="ELI LILLY"/>
    <s v="ADV002224"/>
    <s v="Lilly/2026 MWC/Digital/Scatter/ZepboundOSABranded"/>
    <x v="74"/>
    <s v="Run of World Cup Display - Package"/>
    <n v="8004"/>
    <n v="588639"/>
    <s v="Eli Lilly - Zepbound OSA Branded - Run of World Cup Display - Package - 2026"/>
    <d v="2026-06-01T00:00:00"/>
    <d v="2026-07-19T00:00:00"/>
    <s v="FOX DCM"/>
    <s v="CPM"/>
    <n v="6"/>
    <n v="833333"/>
    <n v="5000"/>
    <s v="Impressions"/>
    <s v="performance"/>
    <n v="0"/>
    <n v="0"/>
    <s v="performance"/>
    <n v="396196"/>
    <s v="invoice_schedule"/>
    <n v="2377.1759999999999"/>
    <n v="2377.1759999999999"/>
    <n v="2377.1759999999999"/>
    <n v="404848"/>
    <n v="396196"/>
    <d v="2026-06-01T00:00:00"/>
    <d v="2026-07-19T00:00:00"/>
    <s v="Megan Sileo"/>
    <s v="None"/>
    <s v="JUN'26"/>
    <n v="200000"/>
    <n v="129321"/>
    <s v="Tom Cecil"/>
  </r>
  <r>
    <s v="AGC001810"/>
    <s v="ELI LILLY"/>
    <s v="ADV002224"/>
    <s v="Lilly/2026 MWC/Digital/Scatter/ZepboundOSABranded"/>
    <x v="74"/>
    <s v="Run of AllFOX Video - Package"/>
    <n v="7998"/>
    <n v="588643"/>
    <s v="Eli Lilly - Zepbound OSA Branded : 60 - Run of AllFOX Video - Package - AAT- 2026"/>
    <d v="2026-06-01T00:00:00"/>
    <d v="2026-07-19T00:00:00"/>
    <s v="FOX Innovid"/>
    <s v="CPM"/>
    <n v="40"/>
    <n v="2750000"/>
    <n v="110000"/>
    <s v="Impressions"/>
    <s v="performance"/>
    <n v="0"/>
    <n v="0"/>
    <s v="performance"/>
    <n v="1713880"/>
    <s v="invoice_schedule"/>
    <n v="68555.199999999997"/>
    <n v="68555.199999999997"/>
    <n v="68555.199999999997"/>
    <n v="1717809"/>
    <n v="1713880"/>
    <d v="2026-06-01T00:00:00"/>
    <d v="2026-07-19T00:00:00"/>
    <s v="Megan Sileo"/>
    <s v="None"/>
    <s v="JUN'26"/>
    <n v="200000"/>
    <n v="129321"/>
    <s v="Tom Cecil"/>
  </r>
  <r>
    <s v="AGC001810"/>
    <s v="ELI LILLY"/>
    <s v="ADV002224"/>
    <s v="Lilly/2026 MWC/Digital/Scatter/ZepboundOSABranded"/>
    <x v="74"/>
    <s v="Run of AllFOX Video - Package"/>
    <n v="7998"/>
    <n v="588992"/>
    <s v="Eli Lilly - Zepbound OSA Branded : 75 - Run of AllFOX Video - Package -AAT- 2026"/>
    <d v="2026-06-01T00:00:00"/>
    <d v="2026-07-19T00:00:00"/>
    <s v="FOX Innovid"/>
    <s v="CPM"/>
    <n v="50"/>
    <n v="1700000"/>
    <n v="85000"/>
    <s v="Impressions"/>
    <s v="performance"/>
    <n v="0"/>
    <n v="0"/>
    <s v="performance"/>
    <n v="773177"/>
    <s v="invoice_schedule"/>
    <n v="38658.85"/>
    <n v="38658.85"/>
    <n v="38658.85"/>
    <n v="770349"/>
    <n v="773177"/>
    <d v="2026-06-01T00:00:00"/>
    <d v="2026-07-19T00:00:00"/>
    <s v="Megan Sileo"/>
    <s v="None"/>
    <s v="JUN'26"/>
    <n v="200000"/>
    <n v="129321"/>
    <s v="Tom Cecil"/>
  </r>
  <r>
    <s v="AGC000898"/>
    <s v="UNIVERSAL PICTURES"/>
    <s v="ADV000562"/>
    <s v="UNIVERSAL PICTURES/Digital/Upfront/Entertainment/UF 2025/26 - Disclosure Day"/>
    <x v="75"/>
    <s v="DIO - LFV - Entertainment ROS - Package"/>
    <n v="2789"/>
    <n v="589034"/>
    <s v="Disclosure Day- UP- DIO - LFV - Entertainment - Package - Sci-Fi/Thriller Fans or Moviegoers Showmix"/>
    <d v="2026-05-18T00:00:00"/>
    <d v="2026-06-14T00:00:00"/>
    <s v="FOX DCM"/>
    <s v="CPM"/>
    <n v="19"/>
    <n v="2631579"/>
    <n v="50000"/>
    <s v="CoV Impressions"/>
    <s v="performance"/>
    <n v="0"/>
    <n v="0"/>
    <s v="performance"/>
    <n v="692106"/>
    <s v="invoice_schedule"/>
    <n v="13150.02"/>
    <n v="13150.02"/>
    <n v="13150.02"/>
    <n v="777581"/>
    <n v="779838"/>
    <d v="2026-05-18T00:00:00"/>
    <d v="2026-06-14T00:00:00"/>
    <s v="Marcela Miranda"/>
    <s v="None"/>
    <s v="JUN'26"/>
    <n v="50000"/>
    <n v="128406"/>
    <s v="Gina Rodarte"/>
  </r>
  <r>
    <s v="AGC002411"/>
    <s v="BEST BUY"/>
    <s v="ADV004268"/>
    <s v="BEST BUY/DIGITAL/TUBI/FOXSPORTS/MENSWORLDCUP/2Q-3Q'26/SC"/>
    <x v="76"/>
    <s v="Run of World Cup Video - Package"/>
    <n v="8005"/>
    <n v="589891"/>
    <s v="Best Buy - Run of World Cup Video - Package"/>
    <d v="2026-06-15T00:00:00"/>
    <d v="2026-07-19T00:00:00"/>
    <s v="FOX Flashtalking"/>
    <s v="CPM"/>
    <n v="40"/>
    <n v="2500000"/>
    <n v="100000"/>
    <s v="Impressions"/>
    <s v="performance"/>
    <n v="0"/>
    <n v="0"/>
    <s v="performance"/>
    <n v="1620447"/>
    <s v="invoice_schedule"/>
    <n v="64817.88"/>
    <n v="64817.88"/>
    <n v="64817.88"/>
    <n v="1670696"/>
    <n v="1620447"/>
    <d v="2026-06-15T00:00:00"/>
    <d v="2026-07-19T00:00:00"/>
    <s v="Katie Johnson"/>
    <s v="None"/>
    <s v="JUN'26"/>
    <n v="250000.02"/>
    <n v="130553"/>
    <s v="Tim Wodzisz"/>
  </r>
  <r>
    <s v="AGC002411"/>
    <s v="BEST BUY"/>
    <s v="ADV004268"/>
    <s v="BEST BUY/DIGITAL/TUBI/FOXSPORTS/MENSWORLDCUP/2Q-3Q'26/SC"/>
    <x v="76"/>
    <m/>
    <m/>
    <n v="590056"/>
    <s v="Best Buy - DIO - MWC - Timeout - ROS - Rotational"/>
    <d v="2026-06-15T00:00:00"/>
    <d v="2026-07-26T00:00:00"/>
    <s v="FOX Flashtalking"/>
    <s v="CPM"/>
    <n v="17"/>
    <n v="2941177"/>
    <n v="50000.01"/>
    <s v="Impressions"/>
    <s v="performance"/>
    <n v="0"/>
    <n v="0"/>
    <s v="performance"/>
    <n v="0"/>
    <s v="invoice_schedule"/>
    <n v="0"/>
    <n v="0"/>
    <n v="0"/>
    <m/>
    <m/>
    <d v="2026-06-15T00:00:00"/>
    <d v="2026-07-26T00:00:00"/>
    <s v="Katie Johnson"/>
    <s v="None"/>
    <s v="JUN'26"/>
    <n v="250000.02"/>
    <n v="130553"/>
    <s v="Tim Wodzisz"/>
  </r>
  <r>
    <s v="AGC002411"/>
    <s v="BEST BUY"/>
    <s v="ADV004268"/>
    <s v="BEST BUY/DIGITAL/TUBI/FOXSPORTS/MENSWORLDCUP/2Q-3Q'26/SC"/>
    <x v="76"/>
    <m/>
    <m/>
    <n v="590703"/>
    <s v="Best Buy - DIO - LFV - Tubi - Pre/Mid - ROS - DT/MB/CTV - FW - AAT"/>
    <d v="2026-06-15T00:00:00"/>
    <d v="2026-07-26T00:00:00"/>
    <s v="FOX Flashtalking"/>
    <s v="CPM"/>
    <n v="16.73"/>
    <n v="5977287"/>
    <n v="100000.01"/>
    <s v="Impressions"/>
    <s v="performance"/>
    <n v="0"/>
    <n v="0"/>
    <s v="performance"/>
    <n v="2497649"/>
    <s v="invoice_schedule"/>
    <n v="41785.667800000003"/>
    <n v="41785.667800000003"/>
    <n v="41785.667800000003"/>
    <n v="2501020"/>
    <n v="2497649"/>
    <d v="2026-06-15T00:00:00"/>
    <d v="2026-07-26T00:00:00"/>
    <s v="Katie Johnson"/>
    <s v="None"/>
    <s v="JUN'26"/>
    <n v="250000.02"/>
    <n v="130553"/>
    <s v="Tim Wodzisz"/>
  </r>
  <r>
    <s v="AGC001249"/>
    <s v="PEPSICO"/>
    <s v="ADV006088"/>
    <s v="PEPSICO- FRITO LAY /QUAKERS/ SCATTER / DIGITAL / FY 25-26 / World Cup digital "/>
    <x v="77"/>
    <s v="Run of World Cup Video - Package"/>
    <n v="8005"/>
    <n v="589039"/>
    <s v="Pepsi - Frito Lays - QUAKERS - Run of World Cup Video - OMP"/>
    <d v="2026-06-01T00:00:00"/>
    <d v="2026-07-19T00:00:00"/>
    <s v="FOX DCM"/>
    <s v="CPM"/>
    <n v="30"/>
    <n v="5000000"/>
    <n v="150000"/>
    <s v="Impressions"/>
    <s v="performance"/>
    <n v="0"/>
    <n v="0"/>
    <s v="performance"/>
    <n v="3351248"/>
    <s v="invoice_schedule"/>
    <n v="100537.44"/>
    <n v="100537.44"/>
    <n v="100537.44"/>
    <n v="3346007"/>
    <n v="3351248"/>
    <d v="2026-06-01T00:00:00"/>
    <d v="2026-07-19T00:00:00"/>
    <s v="Anthony Gizzo"/>
    <s v="None"/>
    <s v="JUN'26"/>
    <n v="550000"/>
    <n v="128885"/>
    <s v="Adam Chardavoyne"/>
  </r>
  <r>
    <s v="AGC001249"/>
    <s v="PEPSICO"/>
    <s v="ADV006088"/>
    <s v="PEPSICO- FRITO LAY /QUAKERS/ SCATTER / DIGITAL / FY 25-26 / World Cup digital "/>
    <x v="77"/>
    <s v="Run of FOX Sports Display - Package"/>
    <n v="8001"/>
    <n v="589042"/>
    <s v="Pepsi - Frito Lays - QUAKERS - Run of FOX Sports Display - OMP"/>
    <d v="2026-06-01T00:00:00"/>
    <d v="2026-07-19T00:00:00"/>
    <s v="FOX DCM"/>
    <s v="CPM"/>
    <n v="5"/>
    <n v="20000000"/>
    <n v="100000"/>
    <s v="Impressions"/>
    <s v="performance"/>
    <n v="0"/>
    <n v="0"/>
    <s v="performance"/>
    <n v="16544826"/>
    <s v="invoice_schedule"/>
    <n v="82724.13"/>
    <n v="82724.13"/>
    <n v="82724.13"/>
    <n v="16548404"/>
    <n v="16544826"/>
    <d v="2026-06-01T00:00:00"/>
    <d v="2026-07-19T00:00:00"/>
    <s v="Anthony Gizzo"/>
    <s v="None"/>
    <s v="JUN'26"/>
    <n v="550000"/>
    <n v="128885"/>
    <s v="Adam Chardavoyne"/>
  </r>
  <r>
    <s v="AGC001249"/>
    <s v="PEPSICO"/>
    <s v="ADV006088"/>
    <s v="PEPSICO- FRITO LAY /QUAKERS/ SCATTER / DIGITAL / FY 25-26 / World Cup digital "/>
    <x v="77"/>
    <s v="World Cup Social Sponsorship Content - Package"/>
    <n v="8000"/>
    <n v="589046"/>
    <s v="Pepsi - Frito Lays - QUAKERS - World Cup Social Sponsorship Content - OMP"/>
    <d v="2026-06-01T00:00:00"/>
    <d v="2026-07-19T00:00:00"/>
    <m/>
    <s v="Cost Per Unit"/>
    <n v="0.15"/>
    <n v="2000000"/>
    <n v="300000"/>
    <s v="Placements"/>
    <s v="prorated"/>
    <n v="1224490"/>
    <n v="183673.4694"/>
    <s v="prorated"/>
    <n v="1224490"/>
    <s v="invoice_schedule"/>
    <n v="183673.4694"/>
    <n v="183673.4694"/>
    <n v="183673.4694"/>
    <m/>
    <m/>
    <d v="2026-06-01T00:00:00"/>
    <d v="2026-07-19T00:00:00"/>
    <s v="Anthony Gizzo"/>
    <s v="None"/>
    <s v="JUN'26"/>
    <n v="550000"/>
    <n v="128885"/>
    <s v="Adam Chardavoyne"/>
  </r>
  <r>
    <s v="AGC001249"/>
    <s v="PEPSICO"/>
    <s v="ADV006088"/>
    <s v="PEPSICO- FRITO LAY /SCATTER / DIGITAL / FY 25-26 / World Cup Display &amp; Social"/>
    <x v="78"/>
    <s v="Run of FOX Sports Display - Package"/>
    <n v="8001"/>
    <n v="589083"/>
    <s v="Pepsico - Frito Lay - Run of FOX Sports Display -   320x50, 300x250, 728x90, OMP"/>
    <d v="2026-06-01T00:00:00"/>
    <d v="2026-06-27T00:00:00"/>
    <s v="FOX DCM"/>
    <s v="CPM"/>
    <n v="5"/>
    <n v="15000001"/>
    <n v="75000.009999999995"/>
    <s v="Impressions"/>
    <s v="performance"/>
    <n v="0"/>
    <n v="0"/>
    <s v="performance"/>
    <n v="15000001"/>
    <s v="invoice_schedule"/>
    <n v="75000.009999999995"/>
    <n v="75000.009999999995"/>
    <n v="75000.009999999995"/>
    <n v="15035524"/>
    <n v="15000348"/>
    <d v="2026-06-01T00:00:00"/>
    <d v="2026-06-27T00:00:00"/>
    <s v="Anthony Gizzo"/>
    <s v="None"/>
    <s v="JUN'26"/>
    <n v="275000.11"/>
    <n v="129136"/>
    <s v="Adam Chardavoyne"/>
  </r>
  <r>
    <s v="AGC001249"/>
    <s v="PEPSICO"/>
    <s v="ADV006088"/>
    <s v="PEPSICO- FRITO LAY /SCATTER / DIGITAL / FY 25-26 / World Cup Display &amp; Social"/>
    <x v="78"/>
    <s v="World Cup Social Sponsorship Content - Package"/>
    <n v="8000"/>
    <n v="589086"/>
    <s v="Pepsico - Frito Lay - World Cup Social Sponsorship Content - OMP"/>
    <d v="2026-06-01T00:00:00"/>
    <d v="2026-07-19T00:00:00"/>
    <m/>
    <s v="Cost Per Unit"/>
    <n v="0.15"/>
    <n v="1333334"/>
    <n v="200000.1"/>
    <s v="Placements"/>
    <s v="prorated"/>
    <n v="816327"/>
    <n v="122449.04090000001"/>
    <s v="prorated"/>
    <n v="816327"/>
    <s v="invoice_schedule"/>
    <n v="122449.04090000001"/>
    <n v="122449.04090000001"/>
    <n v="122449.04090000001"/>
    <m/>
    <m/>
    <d v="2026-06-01T00:00:00"/>
    <d v="2026-07-19T00:00:00"/>
    <s v="Anthony Gizzo"/>
    <s v="None"/>
    <s v="JUN'26"/>
    <n v="275000.11"/>
    <n v="129136"/>
    <s v="Adam Chardavoyne"/>
  </r>
  <r>
    <s v="AGC005026"/>
    <s v="GOOGLE"/>
    <s v="ADV005225"/>
    <s v="Google/2026/Scatter/Digital/MWC - Search -NEW"/>
    <x v="79"/>
    <s v="Run of World Cup Video - Package"/>
    <n v="8005"/>
    <n v="589775"/>
    <s v="Google - Search - Run of World Cup Video - Package"/>
    <d v="2026-06-11T00:00:00"/>
    <d v="2026-07-19T00:00:00"/>
    <s v="FOX DCM"/>
    <s v="CPM"/>
    <n v="40"/>
    <n v="25000000"/>
    <n v="1000000"/>
    <s v="Impressions"/>
    <s v="performance"/>
    <n v="0"/>
    <n v="0"/>
    <s v="performance"/>
    <n v="17493555"/>
    <s v="invoice_schedule"/>
    <n v="699742.2"/>
    <n v="699742.2"/>
    <n v="699742.2"/>
    <n v="16577022"/>
    <n v="17493555"/>
    <d v="2026-06-11T00:00:00"/>
    <d v="2026-07-19T00:00:00"/>
    <s v="Mia Bonvissuto"/>
    <s v="None"/>
    <s v="JUN'26"/>
    <n v="3250000.05"/>
    <n v="131040"/>
    <s v="Colleen Cahill"/>
  </r>
  <r>
    <s v="AGC005026"/>
    <s v="GOOGLE"/>
    <s v="ADV005225"/>
    <s v="Google/2026/Scatter/Digital/MWC - Search -NEW"/>
    <x v="79"/>
    <s v="Run of FOX Sports Video - Package"/>
    <n v="8002"/>
    <n v="589778"/>
    <s v="Google - Search -Run of FOX Sports Video - Package"/>
    <d v="2026-06-11T00:00:00"/>
    <d v="2026-07-19T00:00:00"/>
    <s v="FOX DCM"/>
    <s v="CPM"/>
    <n v="25"/>
    <n v="2640000"/>
    <n v="66000"/>
    <m/>
    <s v="performance"/>
    <n v="0"/>
    <n v="0"/>
    <s v="performance"/>
    <n v="700898"/>
    <s v="invoice_schedule"/>
    <n v="17522.45"/>
    <n v="17522.45"/>
    <n v="17522.45"/>
    <n v="544955"/>
    <n v="700898"/>
    <d v="2026-06-11T00:00:00"/>
    <d v="2026-07-19T00:00:00"/>
    <s v="Mia Bonvissuto"/>
    <s v="None"/>
    <s v="JUN'26"/>
    <n v="3250000.05"/>
    <n v="131040"/>
    <s v="Colleen Cahill"/>
  </r>
  <r>
    <s v="AGC005026"/>
    <s v="GOOGLE"/>
    <s v="ADV005225"/>
    <s v="Google/2026/Scatter/Digital/MWC - Search -NEW"/>
    <x v="79"/>
    <s v="Run of AllFOX Sports Bundle Package"/>
    <n v="8038"/>
    <n v="589780"/>
    <s v="Google - Search -Run of AllFOX Sports Bundle Package"/>
    <d v="2026-06-11T00:00:00"/>
    <d v="2026-07-19T00:00:00"/>
    <s v="FOX DCM"/>
    <s v="CPM"/>
    <n v="23"/>
    <n v="25391305"/>
    <n v="584000.01"/>
    <s v="Impressions"/>
    <s v="performance"/>
    <n v="0"/>
    <n v="0"/>
    <s v="performance"/>
    <n v="14547685"/>
    <s v="invoice_schedule"/>
    <n v="334596.755"/>
    <n v="334596.755"/>
    <n v="334596.755"/>
    <n v="13708199"/>
    <n v="14547685"/>
    <d v="2026-06-11T00:00:00"/>
    <d v="2026-07-19T00:00:00"/>
    <s v="Mia Bonvissuto"/>
    <s v="None"/>
    <s v="JUN'26"/>
    <n v="3250000.05"/>
    <n v="131040"/>
    <s v="Colleen Cahill"/>
  </r>
  <r>
    <s v="AGC005026"/>
    <s v="GOOGLE"/>
    <s v="ADV005225"/>
    <s v="Google/2026/Scatter/Digital/MWC - Search -NEW"/>
    <x v="79"/>
    <s v="World Cup Social Sponsorship Content - Package"/>
    <n v="8000"/>
    <n v="589784"/>
    <s v="Google - Search -World Cup Social Sponsorship Content - Package"/>
    <d v="2026-06-11T00:00:00"/>
    <d v="2026-07-19T00:00:00"/>
    <m/>
    <s v="SOV-Flat Rate"/>
    <n v="400000"/>
    <n v="0"/>
    <n v="400000"/>
    <s v="n/a"/>
    <s v="prorated"/>
    <n v="0"/>
    <n v="205128.2052"/>
    <s v="prorated"/>
    <n v="0"/>
    <s v="invoice_schedule"/>
    <n v="205128.2052"/>
    <n v="205128.2052"/>
    <n v="205128.2052"/>
    <m/>
    <m/>
    <d v="2026-06-11T00:00:00"/>
    <d v="2026-07-19T00:00:00"/>
    <s v="Mia Bonvissuto"/>
    <s v="None"/>
    <s v="JUN'26"/>
    <n v="3250000.05"/>
    <n v="131040"/>
    <s v="Colleen Cahill"/>
  </r>
  <r>
    <s v="AGC005026"/>
    <s v="GOOGLE"/>
    <s v="ADV005225"/>
    <s v="Google/2026/Scatter/Digital/MWC - Search -NEW"/>
    <x v="79"/>
    <s v="World Cup Social Sponsorship Content - Package"/>
    <n v="8000"/>
    <n v="590261"/>
    <s v="Google - Search -World Cup ROSTER REVEAL Social Sponsorship Content - Package"/>
    <d v="2026-05-26T00:00:00"/>
    <d v="2026-06-08T00:00:00"/>
    <m/>
    <s v="SOV-Flat Rate"/>
    <n v="200000"/>
    <n v="0"/>
    <n v="200000"/>
    <s v="n/a"/>
    <s v="prorated"/>
    <n v="0"/>
    <n v="114285.71430000001"/>
    <s v="prorated"/>
    <n v="0"/>
    <s v="invoice_schedule"/>
    <n v="114285.71430000001"/>
    <n v="114285.71430000001"/>
    <n v="114285.71430000001"/>
    <m/>
    <m/>
    <d v="2026-05-26T00:00:00"/>
    <d v="2026-06-08T00:00:00"/>
    <s v="Mia Bonvissuto"/>
    <s v="None"/>
    <s v="JUN'26"/>
    <n v="3250000.05"/>
    <n v="131040"/>
    <s v="Colleen Cahill"/>
  </r>
  <r>
    <s v="AGC005026"/>
    <s v="GOOGLE"/>
    <s v="ADV005225"/>
    <s v="Google/2026/Scatter/Digital/MWC - Search -NEW"/>
    <x v="79"/>
    <s v="World Cup Social Sponsorship Content - Package"/>
    <n v="8000"/>
    <n v="593395"/>
    <s v="Google - Search -World Cup Social Sponsorship Content - X Amplify - Package"/>
    <d v="2026-06-11T00:00:00"/>
    <d v="2026-07-19T00:00:00"/>
    <m/>
    <s v="SOV-Flat Rate"/>
    <n v="1000000"/>
    <n v="0"/>
    <n v="1000000"/>
    <s v="n/a"/>
    <s v="prorated"/>
    <n v="0"/>
    <n v="512820.51289999997"/>
    <s v="prorated"/>
    <n v="0"/>
    <s v="invoice_schedule"/>
    <n v="512820.51289999997"/>
    <n v="512820.51289999997"/>
    <n v="512820.51289999997"/>
    <m/>
    <m/>
    <d v="2026-06-11T00:00:00"/>
    <d v="2026-07-19T00:00:00"/>
    <s v="Mia Bonvissuto"/>
    <s v="None"/>
    <s v="JUN'26"/>
    <n v="3250000.05"/>
    <n v="131040"/>
    <s v="Colleen Cahill"/>
  </r>
  <r>
    <s v="AGC002411"/>
    <s v="BANK OF AMERICA"/>
    <s v="ADV005301"/>
    <s v="Bank of America/Digital/Scatter/Men's World Cup/Q2-Q3'26"/>
    <x v="80"/>
    <s v="Premium Video Package: FOX Sports + Tubi - Package"/>
    <n v="8040"/>
    <n v="590640"/>
    <s v="Bank of America - Premium Video Package: FOX Sports + Tubi - Package"/>
    <d v="2026-06-22T00:00:00"/>
    <d v="2026-07-19T00:00:00"/>
    <s v="FOX Innovid"/>
    <s v="CPM"/>
    <n v="12"/>
    <n v="20833334"/>
    <n v="250000"/>
    <s v="Impressions"/>
    <s v="performance"/>
    <n v="0"/>
    <n v="0"/>
    <s v="performance"/>
    <n v="26680"/>
    <s v="invoice_schedule"/>
    <n v="320.16000000000003"/>
    <n v="320.16000000000003"/>
    <n v="320.16000000000003"/>
    <n v="26680"/>
    <n v="0"/>
    <d v="2026-06-22T00:00:00"/>
    <d v="2026-07-19T00:00:00"/>
    <s v="Katie Johnson"/>
    <s v="None"/>
    <s v="JUN'26"/>
    <n v="1000000.01"/>
    <n v="130464"/>
    <s v="Matt Frey"/>
  </r>
  <r>
    <s v="AGC002411"/>
    <s v="BANK OF AMERICA"/>
    <s v="ADV005301"/>
    <s v="Bank of America/Digital/Scatter/Men's World Cup/Q2-Q3'26"/>
    <x v="80"/>
    <s v="Run of World Cup Video - Package"/>
    <n v="8005"/>
    <n v="592087"/>
    <s v="Bank of America - Run of World Cup Video Hub Premium Video - WC Hub ROS"/>
    <d v="2026-06-22T00:00:00"/>
    <d v="2026-07-19T00:00:00"/>
    <s v="FOX Innovid"/>
    <s v="CPM"/>
    <n v="19.25"/>
    <n v="10389611"/>
    <n v="200000.01"/>
    <s v="Impressions"/>
    <s v="performance"/>
    <n v="0"/>
    <n v="0"/>
    <s v="performance"/>
    <n v="930477"/>
    <s v="invoice_schedule"/>
    <n v="17911.6823"/>
    <n v="17911.6823"/>
    <n v="17911.6823"/>
    <n v="930477"/>
    <n v="0"/>
    <d v="2026-06-22T00:00:00"/>
    <d v="2026-07-19T00:00:00"/>
    <s v="Katie Johnson"/>
    <s v="None"/>
    <s v="JUN'26"/>
    <n v="1000000.01"/>
    <n v="130464"/>
    <s v="Matt Frey"/>
  </r>
  <r>
    <s v="AGC002411"/>
    <s v="BANK OF AMERICA"/>
    <s v="ADV005301"/>
    <s v="Bank of America/Digital/Scatter/Men's World Cup/Q2-Q3'26"/>
    <x v="80"/>
    <m/>
    <m/>
    <n v="593181"/>
    <s v="Bank of America - DIO - MWC - Timeout - ROS - Rotational - Updated"/>
    <d v="2026-06-22T00:00:00"/>
    <d v="2026-07-19T00:00:00"/>
    <s v="FOX Innovid"/>
    <s v="CPM"/>
    <n v="12"/>
    <n v="16666667"/>
    <n v="200000"/>
    <s v="Impressions"/>
    <s v="performance"/>
    <n v="0"/>
    <n v="0"/>
    <s v="performance"/>
    <n v="0"/>
    <s v="invoice_schedule"/>
    <n v="0"/>
    <n v="0"/>
    <n v="0"/>
    <m/>
    <m/>
    <d v="2026-06-22T00:00:00"/>
    <d v="2026-07-19T00:00:00"/>
    <s v="Katie Johnson"/>
    <s v="None"/>
    <s v="JUN'26"/>
    <n v="1000000.01"/>
    <n v="130464"/>
    <s v="Matt Frey"/>
  </r>
  <r>
    <s v="AGC002475"/>
    <s v="HEINEKEN"/>
    <s v="ADV005498"/>
    <s v="Heineken/2Q-3Q'26 Scatter/Digital/MWC"/>
    <x v="81"/>
    <s v="Run of World Cup Video - Package"/>
    <n v="8005"/>
    <n v="590783"/>
    <s v="Heineken - Run of World Cup Video - AAT 21+ - Package"/>
    <d v="2026-06-01T00:00:00"/>
    <d v="2026-07-19T00:00:00"/>
    <s v="FOX Innovid"/>
    <s v="CPM"/>
    <n v="40"/>
    <n v="4375000"/>
    <n v="175000"/>
    <s v="Impressions"/>
    <s v="performance"/>
    <n v="0"/>
    <n v="0"/>
    <s v="performance"/>
    <n v="3402087"/>
    <s v="invoice_schedule"/>
    <n v="136083.48000000001"/>
    <n v="136083.48000000001"/>
    <n v="136083.48000000001"/>
    <n v="2927218"/>
    <n v="3402087"/>
    <d v="2026-06-01T00:00:00"/>
    <d v="2026-07-19T00:00:00"/>
    <s v="Jessica Lang"/>
    <s v="None"/>
    <s v="JUN'26"/>
    <n v="400000"/>
    <n v="129870"/>
    <s v="Mike Maresca"/>
  </r>
  <r>
    <s v="AGC002475"/>
    <s v="HEINEKEN"/>
    <s v="ADV005498"/>
    <s v="Heineken/2Q-3Q'26 Scatter/Digital/MWC"/>
    <x v="81"/>
    <s v="World Cup Social Sponsorship Content - Package"/>
    <n v="8000"/>
    <n v="590855"/>
    <s v="Heineken - World Cup Social Sponsorship Content - Package"/>
    <d v="2026-06-01T00:00:00"/>
    <d v="2026-07-19T00:00:00"/>
    <s v="FOX Innovid"/>
    <s v="SOV-Flat Rate"/>
    <n v="225000"/>
    <n v="225000"/>
    <n v="225000"/>
    <s v="n/a"/>
    <s v="prorated"/>
    <n v="137756"/>
    <n v="137755.10209999999"/>
    <s v="prorated"/>
    <n v="137756"/>
    <s v="invoice_schedule"/>
    <n v="137755.10209999999"/>
    <n v="137755.10209999999"/>
    <n v="137755.10209999999"/>
    <m/>
    <m/>
    <d v="2026-06-01T00:00:00"/>
    <d v="2026-07-19T00:00:00"/>
    <s v="Jessica Lang"/>
    <s v="None"/>
    <s v="JUN'26"/>
    <n v="400000"/>
    <n v="129870"/>
    <s v="Mike Maresca"/>
  </r>
  <r>
    <s v="AGC002675"/>
    <s v="PARAMOUNT PICTURES"/>
    <s v="ADV006170"/>
    <s v="Paramount Pictures - Jackass 5/Digital/Satter/2Q26"/>
    <x v="82"/>
    <s v="DIO - LFV - Entertainment ROS - Package"/>
    <n v="2789"/>
    <n v="591418"/>
    <s v="APEX - Paramount Pictures - Jackass 5 - Entertainment ROS - AAT M18-34 - 2Q'26 Package"/>
    <d v="2026-06-01T00:00:00"/>
    <d v="2026-06-28T00:00:00"/>
    <s v="FOX Innovid"/>
    <s v="CPM"/>
    <n v="20"/>
    <n v="3000000"/>
    <n v="60000"/>
    <s v="Impressions"/>
    <s v="performance"/>
    <n v="0"/>
    <n v="0"/>
    <s v="performance"/>
    <n v="3000000"/>
    <s v="invoice_schedule"/>
    <n v="60000"/>
    <n v="60000"/>
    <n v="60000"/>
    <n v="3041029"/>
    <n v="3062023"/>
    <d v="2026-06-01T00:00:00"/>
    <d v="2026-06-28T00:00:00"/>
    <s v="Matthew Vellardito"/>
    <s v="None"/>
    <s v="JUN'26"/>
    <n v="60000"/>
    <n v="129661"/>
    <s v="Jeanne Feeley"/>
  </r>
  <r>
    <s v="AGC001387"/>
    <s v="AMAZON ALEXA+"/>
    <s v="ADV014143"/>
    <s v="Amazon Alexa+/Digital/Scatter/Sports/MWC/2Q-3Q26 (NEW)"/>
    <x v="83"/>
    <s v="Run of World Cup Video - Package"/>
    <n v="8005"/>
    <n v="591579"/>
    <s v="Amazon Alexa+ - Run of World Cup Video - Package"/>
    <d v="2026-06-02T00:00:00"/>
    <d v="2026-07-19T00:00:00"/>
    <m/>
    <s v="CPM"/>
    <n v="42"/>
    <n v="7142858"/>
    <n v="300000.03999999998"/>
    <s v="Impressions"/>
    <s v="performance"/>
    <n v="0"/>
    <n v="0"/>
    <s v="performance"/>
    <n v="5134997"/>
    <s v="invoice_schedule"/>
    <n v="215669.87400000001"/>
    <n v="215669.87400000001"/>
    <n v="215669.87400000001"/>
    <n v="5148893"/>
    <n v="5134997"/>
    <d v="2026-06-02T00:00:00"/>
    <d v="2026-07-19T00:00:00"/>
    <s v="Marcela Miranda"/>
    <s v="None"/>
    <s v="JUN'26"/>
    <n v="500000.04"/>
    <n v="129941"/>
    <s v="Kimberly Caraig"/>
  </r>
  <r>
    <s v="AGC001387"/>
    <s v="AMAZON ALEXA+"/>
    <s v="ADV014143"/>
    <s v="Amazon Alexa+/Digital/Scatter/Sports/MWC/2Q-3Q26 (NEW)"/>
    <x v="83"/>
    <m/>
    <m/>
    <n v="592634"/>
    <s v="Amazon Alexa+ - DIO - MWC - Timeout - ROS - Rotational - Tubi Only - Updated (Pause Ad on Tubi)"/>
    <d v="2026-06-02T00:00:00"/>
    <d v="2026-07-19T00:00:00"/>
    <s v="Tubi DCM/Doubleclick/GAM/DART"/>
    <s v="CPM"/>
    <n v="18"/>
    <n v="11111111"/>
    <n v="200000"/>
    <s v="Impressions"/>
    <s v="performance"/>
    <n v="0"/>
    <n v="0"/>
    <s v="performance"/>
    <n v="0"/>
    <s v="invoice_schedule"/>
    <n v="0"/>
    <n v="0"/>
    <n v="0"/>
    <m/>
    <m/>
    <d v="2026-06-02T00:00:00"/>
    <d v="2026-07-19T00:00:00"/>
    <s v="Marcela Miranda"/>
    <s v="None"/>
    <s v="JUN'26"/>
    <n v="500000.04"/>
    <n v="129941"/>
    <s v="Kimberly Caraig"/>
  </r>
  <r>
    <s v="AGC001250"/>
    <s v="APPLE INC"/>
    <s v="ADV000467"/>
    <s v="Apple/Digital/Upfront/Direct/Entertainment/25-26/2Q'26 - Privacy 7.0"/>
    <x v="84"/>
    <s v="Generic Flighted Bottom Up Package"/>
    <n v="1"/>
    <n v="591686"/>
    <s v="Apple/Digital/Upfront/Direct/Entertainment/25-26- ROS - 2Q'26 - Privacy 7.0"/>
    <d v="2026-06-08T00:00:00"/>
    <d v="2026-06-27T00:00:00"/>
    <s v="FOX Innovid"/>
    <s v="CPM"/>
    <n v="18.62"/>
    <n v="5370570"/>
    <n v="100000.01"/>
    <s v="Impressions"/>
    <s v="performance"/>
    <n v="0"/>
    <n v="0"/>
    <s v="performance"/>
    <n v="2974755"/>
    <s v="invoice_schedule"/>
    <n v="55389.938099999999"/>
    <n v="55389.938099999999"/>
    <n v="55389.938099999999"/>
    <n v="2913090"/>
    <n v="2974755"/>
    <d v="2026-06-08T00:00:00"/>
    <d v="2026-06-27T00:00:00"/>
    <s v="Lester Leon"/>
    <s v="None"/>
    <s v="JUN'26"/>
    <n v="200000.02"/>
    <n v="129944"/>
    <s v="Gina Rodarte"/>
  </r>
  <r>
    <s v="AGC001250"/>
    <s v="APPLE INC"/>
    <s v="ADV000467"/>
    <s v="Apple/Digital/Upfront/Direct/Entertainment/25-26/2Q'26 - Privacy 7.0"/>
    <x v="84"/>
    <s v="Generic Flighted Bottom Up Package"/>
    <n v="1"/>
    <n v="591688"/>
    <s v="Apple/Digital/Upfront/Direct/Entertainment/25-26 -  A/Z - 2Q'26 - Privacy 7.0"/>
    <d v="2026-06-08T00:00:00"/>
    <d v="2026-06-27T00:00:00"/>
    <s v="FOX Innovid"/>
    <s v="CPM"/>
    <n v="18.62"/>
    <n v="5370570"/>
    <n v="100000.01"/>
    <s v="Impressions"/>
    <s v="performance"/>
    <n v="0"/>
    <n v="0"/>
    <s v="performance"/>
    <n v="2459207"/>
    <s v="invoice_schedule"/>
    <n v="45790.434300000001"/>
    <n v="45790.434300000001"/>
    <n v="45790.434300000001"/>
    <n v="2410228"/>
    <n v="2459207"/>
    <d v="2026-06-08T00:00:00"/>
    <d v="2026-06-27T00:00:00"/>
    <s v="Lester Leon"/>
    <s v="None"/>
    <s v="JUN'26"/>
    <n v="200000.02"/>
    <n v="129944"/>
    <s v="Gina Rodarte"/>
  </r>
  <r>
    <s v="AGC000898"/>
    <s v="UNIVERSAL PICTURES"/>
    <s v="ADV000562"/>
    <s v="Universal Pictures/Digital/Scatter/Sports/MWC 2026/The Odyssey"/>
    <x v="85"/>
    <s v="Run of World Cup Video - Package"/>
    <n v="8005"/>
    <n v="591934"/>
    <s v="Universal- Run of World Cup Video - Package (The Odyssey)"/>
    <d v="2026-06-11T00:00:00"/>
    <d v="2026-07-19T00:00:00"/>
    <s v="FOX DCM"/>
    <s v="CPM"/>
    <n v="40"/>
    <n v="7271825"/>
    <n v="290873"/>
    <s v="Impressions"/>
    <s v="performance"/>
    <n v="0"/>
    <n v="0"/>
    <s v="performance"/>
    <n v="5354797"/>
    <s v="invoice_schedule"/>
    <n v="214191.88"/>
    <n v="214191.88"/>
    <n v="214191.88"/>
    <n v="4915319"/>
    <n v="5354797"/>
    <d v="2026-06-11T00:00:00"/>
    <d v="2026-07-19T00:00:00"/>
    <s v="Marcela Miranda"/>
    <s v="None"/>
    <s v="JUN'26"/>
    <n v="540873.02"/>
    <n v="130243"/>
    <s v="Gina Rodarte"/>
  </r>
  <r>
    <s v="AGC000898"/>
    <s v="UNIVERSAL PICTURES"/>
    <s v="ADV000562"/>
    <s v="Universal Pictures/Digital/Scatter/Sports/MWC 2026/The Odyssey"/>
    <x v="85"/>
    <m/>
    <m/>
    <n v="593112"/>
    <s v="Universal- DIO - MWC - Thematic Takeover - Pre Roll - Updated  (The Odyssey)"/>
    <d v="2026-06-11T00:00:00"/>
    <d v="2026-06-17T00:00:00"/>
    <m/>
    <s v="CPM"/>
    <n v="15"/>
    <n v="5000000"/>
    <n v="75000"/>
    <s v="Impressions"/>
    <s v="performance"/>
    <n v="0"/>
    <n v="0"/>
    <s v="performance"/>
    <n v="35585"/>
    <s v="invoice_schedule"/>
    <n v="533.77499999999998"/>
    <n v="533.77499999999998"/>
    <n v="533.77499999999998"/>
    <n v="35585"/>
    <m/>
    <d v="2026-06-11T00:00:00"/>
    <d v="2026-06-17T00:00:00"/>
    <s v="Marcela Miranda"/>
    <s v="None"/>
    <s v="JUN'26"/>
    <n v="540873.02"/>
    <n v="130243"/>
    <s v="Gina Rodarte"/>
  </r>
  <r>
    <s v="AGC000898"/>
    <s v="UNIVERSAL PICTURES"/>
    <s v="ADV000562"/>
    <s v="Universal Pictures/Digital/Scatter/Sports/MWC 2026/The Odyssey"/>
    <x v="85"/>
    <m/>
    <m/>
    <n v="593231"/>
    <s v="Universal- DIO - MWC - Thematic Takeover - Mid Roll - Updated  (The Odyssey)"/>
    <d v="2026-06-11T00:00:00"/>
    <d v="2026-06-17T00:00:00"/>
    <m/>
    <s v="CPM"/>
    <n v="40"/>
    <n v="1250000"/>
    <n v="50000"/>
    <s v="Impressions"/>
    <s v="performance"/>
    <n v="0"/>
    <n v="0"/>
    <s v="performance"/>
    <n v="0"/>
    <s v="invoice_schedule"/>
    <n v="0"/>
    <n v="0"/>
    <n v="0"/>
    <m/>
    <m/>
    <d v="2026-06-11T00:00:00"/>
    <d v="2026-06-17T00:00:00"/>
    <s v="Marcela Miranda"/>
    <s v="None"/>
    <s v="JUN'26"/>
    <n v="540873.02"/>
    <n v="130243"/>
    <s v="Gina Rodarte"/>
  </r>
  <r>
    <s v="AGC000898"/>
    <s v="UNIVERSAL PICTURES"/>
    <s v="ADV000562"/>
    <s v="Universal Pictures/Digital/Scatter/Sports/MWC 2026/The Odyssey"/>
    <x v="85"/>
    <m/>
    <m/>
    <n v="594338"/>
    <s v="Universal- DIO - MWC - Thematic Takeover - Mid Roll - Updated  (The Odyssey)"/>
    <d v="2026-06-11T00:00:00"/>
    <d v="2026-06-17T00:00:00"/>
    <m/>
    <s v="CPM"/>
    <n v="40"/>
    <n v="625000"/>
    <n v="25000"/>
    <s v="Impressions"/>
    <s v="performance"/>
    <n v="0"/>
    <n v="0"/>
    <s v="performance"/>
    <n v="0"/>
    <s v="invoice_schedule"/>
    <n v="0"/>
    <n v="0"/>
    <n v="0"/>
    <m/>
    <m/>
    <d v="2026-06-11T00:00:00"/>
    <d v="2026-06-17T00:00:00"/>
    <s v="Marcela Miranda"/>
    <s v="None"/>
    <s v="JUN'26"/>
    <n v="540873.02"/>
    <n v="130243"/>
    <s v="Gina Rodarte"/>
  </r>
  <r>
    <s v="AGC000898"/>
    <s v="UNIVERSAL PICTURES"/>
    <s v="ADV000562"/>
    <s v="Universal Pictures/Digital/Scatter/Sports/MWC 2026/The Odyssey"/>
    <x v="85"/>
    <m/>
    <m/>
    <n v="598428"/>
    <s v="Universal-  DIO - SOC - FOX Sports - META VAP - MWC  (The Odyssey)"/>
    <d v="2026-06-22T00:00:00"/>
    <d v="2026-07-19T00:00:00"/>
    <m/>
    <s v="CPM"/>
    <n v="30"/>
    <n v="3333334"/>
    <n v="100000.02"/>
    <s v="Impressions"/>
    <s v="performance"/>
    <n v="0"/>
    <n v="0"/>
    <s v="performance"/>
    <n v="0"/>
    <s v="invoice_schedule"/>
    <n v="0"/>
    <n v="0"/>
    <n v="0"/>
    <m/>
    <m/>
    <d v="2026-06-22T00:00:00"/>
    <d v="2026-07-19T00:00:00"/>
    <s v="Marcela Miranda"/>
    <s v="None"/>
    <s v="JUN'26"/>
    <n v="540873.02"/>
    <n v="130243"/>
    <s v="Gina Rodarte"/>
  </r>
  <r>
    <s v="AGC000898"/>
    <s v="UNIVERSAL PICTURES"/>
    <s v="ADV000562"/>
    <s v="Universal Pictures/Digital/Scatter/Sports/MWC 2026/Monsters and Minions"/>
    <x v="86"/>
    <s v="Run of World Cup Video - Package"/>
    <n v="8005"/>
    <n v="592345"/>
    <s v="Universal- Run of World Cup Video - Package (Monsters and Minions)"/>
    <d v="2026-06-11T00:00:00"/>
    <d v="2026-07-04T00:00:00"/>
    <s v="FOX DCM"/>
    <s v="CPM"/>
    <n v="40"/>
    <n v="2555225"/>
    <n v="102209"/>
    <s v="Impressions"/>
    <s v="performance"/>
    <n v="0"/>
    <n v="0"/>
    <s v="performance"/>
    <n v="2476618"/>
    <s v="invoice_schedule"/>
    <n v="99064.72"/>
    <n v="99064.72"/>
    <n v="99064.72"/>
    <n v="2475454"/>
    <n v="2476618"/>
    <d v="2026-06-11T00:00:00"/>
    <d v="2026-07-04T00:00:00"/>
    <s v="Marcela Miranda"/>
    <s v="None"/>
    <s v="JUN'26"/>
    <n v="327209.01"/>
    <n v="130393"/>
    <s v="Gina Rodarte"/>
  </r>
  <r>
    <s v="AGC000898"/>
    <s v="UNIVERSAL PICTURES"/>
    <s v="ADV000562"/>
    <s v="Universal Pictures/Digital/Scatter/Sports/MWC 2026/Monsters and Minions"/>
    <x v="86"/>
    <m/>
    <m/>
    <n v="593104"/>
    <s v="Universal- DIO - MWC - Thematic Takeover - Pre Roll - Updated (Monsters and Minions)"/>
    <d v="2026-06-15T00:00:00"/>
    <d v="2026-06-22T00:00:00"/>
    <m/>
    <s v="CPM"/>
    <n v="15"/>
    <n v="1666667"/>
    <n v="25000.01"/>
    <s v="Impressions"/>
    <s v="performance"/>
    <n v="0"/>
    <n v="0"/>
    <s v="performance"/>
    <n v="0"/>
    <s v="invoice_schedule"/>
    <n v="0"/>
    <n v="0"/>
    <n v="0"/>
    <m/>
    <m/>
    <d v="2026-06-15T00:00:00"/>
    <d v="2026-06-22T00:00:00"/>
    <s v="Marcela Miranda"/>
    <s v="None"/>
    <s v="JUN'26"/>
    <n v="327209.01"/>
    <n v="130393"/>
    <s v="Gina Rodarte"/>
  </r>
  <r>
    <s v="AGC000898"/>
    <s v="UNIVERSAL PICTURES"/>
    <s v="ADV000562"/>
    <s v="Universal Pictures/Digital/Scatter/Sports/MWC 2026/Monsters and Minions"/>
    <x v="86"/>
    <m/>
    <m/>
    <n v="593438"/>
    <s v="Universal- DIO - MWC - Thematic Takeover - Mid Roll - Updated (Monsters and Minions)"/>
    <d v="2026-06-15T00:00:00"/>
    <d v="2026-06-22T00:00:00"/>
    <m/>
    <s v="CPM"/>
    <n v="40"/>
    <n v="1875000"/>
    <n v="75000"/>
    <s v="Impressions"/>
    <s v="performance"/>
    <n v="0"/>
    <n v="0"/>
    <s v="performance"/>
    <n v="0"/>
    <s v="invoice_schedule"/>
    <n v="0"/>
    <n v="0"/>
    <n v="0"/>
    <m/>
    <m/>
    <d v="2026-06-15T00:00:00"/>
    <d v="2026-06-22T00:00:00"/>
    <s v="Marcela Miranda"/>
    <s v="None"/>
    <s v="JUN'26"/>
    <n v="327209.01"/>
    <n v="130393"/>
    <s v="Gina Rodarte"/>
  </r>
  <r>
    <s v="AGC000898"/>
    <s v="UNIVERSAL PICTURES"/>
    <s v="ADV000562"/>
    <s v="Universal Pictures/Digital/Scatter/Sports/MWC 2026/Monsters and Minions"/>
    <x v="86"/>
    <m/>
    <m/>
    <n v="594687"/>
    <s v="Universal- DIO - MWC - Thematic Takeover - Mid Roll - Updated (Monsters and Minions)"/>
    <d v="2026-06-15T00:00:00"/>
    <d v="2026-06-22T00:00:00"/>
    <m/>
    <s v="CPM"/>
    <n v="40"/>
    <n v="1250000"/>
    <n v="50000"/>
    <s v="Impressions"/>
    <s v="performance"/>
    <n v="0"/>
    <n v="0"/>
    <s v="performance"/>
    <n v="0"/>
    <s v="invoice_schedule"/>
    <n v="0"/>
    <n v="0"/>
    <n v="0"/>
    <m/>
    <m/>
    <d v="2026-06-15T00:00:00"/>
    <d v="2026-06-22T00:00:00"/>
    <s v="Marcela Miranda"/>
    <s v="None"/>
    <s v="JUN'26"/>
    <n v="327209.01"/>
    <n v="130393"/>
    <s v="Gina Rodarte"/>
  </r>
  <r>
    <s v="AGC000898"/>
    <s v="UNIVERSAL PICTURES"/>
    <s v="ADV000562"/>
    <s v="Universal Pictures/Digital/Scatter/Sports/MWC 2026/Monsters and Minions"/>
    <x v="86"/>
    <m/>
    <m/>
    <n v="598390"/>
    <s v="Universal- DIO - SOC - FOX Sports - META VAP - MWC  (Monsters and Minions)"/>
    <d v="2026-06-22T00:00:00"/>
    <d v="2026-07-19T00:00:00"/>
    <m/>
    <s v="CPM"/>
    <n v="30"/>
    <n v="2500000"/>
    <n v="75000"/>
    <s v="Impressions"/>
    <s v="performance"/>
    <n v="0"/>
    <n v="0"/>
    <s v="performance"/>
    <n v="0"/>
    <s v="invoice_schedule"/>
    <n v="0"/>
    <n v="0"/>
    <n v="0"/>
    <m/>
    <m/>
    <d v="2026-06-22T00:00:00"/>
    <d v="2026-07-19T00:00:00"/>
    <s v="Marcela Miranda"/>
    <s v="None"/>
    <s v="JUN'26"/>
    <n v="327209.01"/>
    <n v="130393"/>
    <s v="Gina Rodarte"/>
  </r>
  <r>
    <s v="AGC001914"/>
    <s v="CAPITAL ONE"/>
    <s v="ADV004035"/>
    <s v="Capital One/Bank/Digital/BYUF/Entertainment/3Q'26/SCT"/>
    <x v="87"/>
    <s v="DIO - LFV - Entertainment ROS - Package"/>
    <n v="2789"/>
    <n v="595079"/>
    <s v="Capital One - Bank - Incremental - DIO - LFV - Entertainment ROS - 3Q'26"/>
    <d v="2026-06-29T00:00:00"/>
    <d v="2026-09-06T00:00:00"/>
    <s v="FOX Innovid"/>
    <s v="CPM"/>
    <n v="25.21"/>
    <n v="6743357"/>
    <n v="170000.03"/>
    <s v="CoV Impressions"/>
    <s v="performance"/>
    <n v="0"/>
    <n v="0"/>
    <s v="performance"/>
    <n v="56385"/>
    <s v="invoice_schedule"/>
    <n v="1421.4658999999999"/>
    <n v="1421.4658999999999"/>
    <n v="1421.4658999999999"/>
    <n v="51667"/>
    <n v="56385"/>
    <d v="2026-06-29T00:00:00"/>
    <d v="2026-09-06T00:00:00"/>
    <s v="Anthony Gizzo"/>
    <s v="None"/>
    <s v="JUN'26"/>
    <n v="170000.03"/>
    <n v="133123"/>
    <s v="Sydney Stipanovich"/>
  </r>
  <r>
    <s v="AGC003157"/>
    <s v="GENERAL MOTORS"/>
    <s v="ADV004891"/>
    <s v="GM/Digital/Upfront/MG/AllFox/2Q26/Makegood"/>
    <x v="88"/>
    <s v="Run of AllFOX Video - Package"/>
    <n v="7998"/>
    <n v="593675"/>
    <s v="GM- Cadillac - Run of AllFOX Video - AAT - 2Q26 Makegood"/>
    <d v="2026-06-15T00:00:00"/>
    <d v="2026-07-19T00:00:00"/>
    <s v="FOX Innovid"/>
    <s v="CPM"/>
    <n v="17.350000000000001"/>
    <n v="3370816"/>
    <n v="0"/>
    <s v="Impressions"/>
    <s v="performance"/>
    <n v="0"/>
    <n v="0"/>
    <s v="performance"/>
    <n v="812892"/>
    <s v="invoice_schedule"/>
    <n v="0"/>
    <n v="0"/>
    <n v="0"/>
    <n v="811249"/>
    <n v="812892"/>
    <d v="2026-06-15T00:00:00"/>
    <d v="2026-07-19T00:00:00"/>
    <s v="Jessica Lang"/>
    <s v="None"/>
    <s v="JUN'26"/>
    <n v="0"/>
    <n v="131313"/>
    <s v="Allison Klein"/>
  </r>
  <r>
    <s v="AGC002070"/>
    <s v="AFLAC"/>
    <s v="ADV002501"/>
    <s v="Aflac/Digital/Upfront/Entertainment/UF2025-26/3Q'26"/>
    <x v="89"/>
    <s v="Generic Flighted Bottom Up Package"/>
    <n v="1"/>
    <n v="594135"/>
    <s v="Aflac - Brightline - Fox on Hulu - P2+ - 3Q'26 Package"/>
    <d v="2026-06-29T00:00:00"/>
    <d v="2026-09-27T00:00:00"/>
    <s v="FOX DCM"/>
    <s v="CPM"/>
    <n v="23"/>
    <n v="2014479"/>
    <n v="46333.02"/>
    <s v="Impressions"/>
    <s v="performance"/>
    <n v="0"/>
    <n v="0"/>
    <s v="performance"/>
    <n v="11013"/>
    <s v="invoice_schedule"/>
    <n v="253.29900000000001"/>
    <n v="253.29900000000001"/>
    <n v="253.29900000000001"/>
    <n v="11013"/>
    <n v="0"/>
    <d v="2026-06-29T00:00:00"/>
    <d v="2026-09-27T00:00:00"/>
    <s v="Matthew Vellardito"/>
    <s v="None"/>
    <s v="JUN'26"/>
    <n v="96333.02"/>
    <n v="133041"/>
    <s v="Jeanne Feeley"/>
  </r>
  <r>
    <s v="AGC002070"/>
    <s v="META"/>
    <s v="ADV011978"/>
    <s v="META/DIGITAL/SCATTER/SPORTS/MWC/WhatsApp"/>
    <x v="90"/>
    <s v="Run of World Cup Video - Package"/>
    <n v="8005"/>
    <n v="594211"/>
    <s v="META - WhatsApp - Run of World Cup Video - 2026 MWC Package"/>
    <d v="2026-06-17T00:00:00"/>
    <d v="2026-07-19T00:00:00"/>
    <s v="FOX DCM"/>
    <s v="CPM"/>
    <n v="40"/>
    <n v="6625000"/>
    <n v="265000"/>
    <s v="Impressions"/>
    <s v="performance"/>
    <n v="0"/>
    <n v="0"/>
    <s v="performance"/>
    <n v="3963667"/>
    <s v="invoice_schedule"/>
    <n v="158546.68"/>
    <n v="158546.68"/>
    <n v="158546.68"/>
    <n v="3784693"/>
    <n v="3963667"/>
    <d v="2026-06-17T00:00:00"/>
    <d v="2026-07-19T00:00:00"/>
    <s v="Matthew Vellardito"/>
    <s v="None"/>
    <s v="JUN'26"/>
    <n v="1960001"/>
    <n v="132948"/>
    <s v="Janna Goldstein"/>
  </r>
  <r>
    <s v="AGC002070"/>
    <s v="META"/>
    <s v="ADV011978"/>
    <s v="META/DIGITAL/SCATTER/SPORTS/MWC/WhatsApp"/>
    <x v="90"/>
    <s v="Run of AllFOX Video - Package"/>
    <n v="7998"/>
    <n v="594217"/>
    <s v="META - WhatsApp - Run of AllFOX Video - AAT Soccer Fan Audience - 2026 MWC Package"/>
    <d v="2026-06-17T00:00:00"/>
    <d v="2026-07-19T00:00:00"/>
    <s v="FOX DCM"/>
    <s v="CPM"/>
    <n v="23"/>
    <n v="3173913"/>
    <n v="73000"/>
    <s v="Impressions"/>
    <s v="performance"/>
    <n v="0"/>
    <n v="0"/>
    <s v="performance"/>
    <n v="246572"/>
    <s v="invoice_schedule"/>
    <n v="5671.1559999999999"/>
    <n v="5671.1559999999999"/>
    <n v="5671.1559999999999"/>
    <n v="344778"/>
    <n v="246572"/>
    <d v="2026-06-17T00:00:00"/>
    <d v="2026-07-19T00:00:00"/>
    <s v="Matthew Vellardito"/>
    <s v="None"/>
    <s v="JUN'26"/>
    <n v="1960001"/>
    <n v="132948"/>
    <s v="Janna Goldstein"/>
  </r>
  <r>
    <s v="AGC002070"/>
    <s v="META"/>
    <s v="ADV011978"/>
    <s v="META/DIGITAL/SCATTER/SPORTS/MWC/WhatsApp"/>
    <x v="90"/>
    <s v="World Cup Social Sponsorship Content - Package"/>
    <n v="8000"/>
    <n v="594333"/>
    <s v="META - WhatsApp - World Cup Social Sponsorship Content - 2026 MWC Package"/>
    <d v="2026-06-17T00:00:00"/>
    <d v="2026-07-19T00:00:00"/>
    <s v="FOX 1st Party"/>
    <s v="SOV-Flat Rate"/>
    <n v="827001"/>
    <n v="3"/>
    <n v="827001"/>
    <s v="n/a"/>
    <s v="prorated"/>
    <n v="1"/>
    <n v="350848.90899999999"/>
    <s v="prorated"/>
    <n v="1"/>
    <s v="invoice_schedule"/>
    <n v="350848.90899999999"/>
    <n v="350848.90899999999"/>
    <n v="350848.90899999999"/>
    <m/>
    <m/>
    <d v="2026-06-17T00:00:00"/>
    <d v="2026-07-19T00:00:00"/>
    <s v="Matthew Vellardito"/>
    <s v="None"/>
    <s v="JUN'26"/>
    <n v="1960001"/>
    <n v="132948"/>
    <s v="Janna Goldstein"/>
  </r>
  <r>
    <s v="AGC002070"/>
    <s v="META"/>
    <s v="ADV011978"/>
    <s v="META/DIGITAL/SCATTER/SPORTS/MWC/WhatsApp"/>
    <x v="90"/>
    <s v="World Cup Social Sponsorship Content - Package"/>
    <n v="8000"/>
    <n v="597861"/>
    <s v="META - WhatsApp - World Cup Social Sponsorship Fee - Package"/>
    <d v="2026-06-17T00:00:00"/>
    <d v="2026-07-19T00:00:00"/>
    <m/>
    <s v="SOV-Flat Rate"/>
    <n v="45000"/>
    <n v="0"/>
    <n v="45000"/>
    <s v="n/a"/>
    <s v="prorated"/>
    <n v="0"/>
    <n v="19090.909"/>
    <s v="prorated"/>
    <n v="0"/>
    <s v="invoice_schedule"/>
    <n v="19090.909"/>
    <n v="19090.909"/>
    <n v="19090.909"/>
    <m/>
    <m/>
    <d v="2026-06-17T00:00:00"/>
    <d v="2026-07-19T00:00:00"/>
    <s v="Matthew Vellardito"/>
    <s v="None"/>
    <s v="JUN'26"/>
    <n v="1960001"/>
    <n v="132948"/>
    <s v="Janna Goldstein"/>
  </r>
  <r>
    <s v="AGC002408"/>
    <s v="MARS INC"/>
    <s v="ADV002288"/>
    <s v="Mars/AllFOX/3Q26/DIO/M&amp;MsPeanut"/>
    <x v="91"/>
    <s v="Run of AllFOX Video - Package"/>
    <n v="7998"/>
    <n v="595017"/>
    <s v="Mars - M&amp;Ms Peanut - Run of AllFOX Video - 3Q'26 Package"/>
    <d v="2026-06-29T00:00:00"/>
    <d v="2026-09-13T00:00:00"/>
    <s v="FOX DCM"/>
    <s v="CPM"/>
    <n v="14.46"/>
    <n v="6313003"/>
    <n v="91286.03"/>
    <s v="Impressions"/>
    <s v="performance"/>
    <n v="0"/>
    <n v="0"/>
    <s v="performance"/>
    <n v="250715"/>
    <s v="invoice_schedule"/>
    <n v="3625.3389000000002"/>
    <n v="3625.3389000000002"/>
    <n v="3625.3389000000002"/>
    <n v="509387"/>
    <n v="250715"/>
    <d v="2026-06-29T00:00:00"/>
    <d v="2026-09-13T00:00:00"/>
    <s v="Megan Sileo"/>
    <s v="None"/>
    <s v="JUN'26"/>
    <n v="91286.04"/>
    <n v="133623"/>
    <s v="Erin Ilchuk"/>
  </r>
  <r>
    <s v="AGC001250"/>
    <s v="APPLE INC"/>
    <s v="ADV000467"/>
    <s v="Apple/Digital/Upfront/Direct/Entertainment/25-26/3Q'26 - Privacy 7.0"/>
    <x v="92"/>
    <s v="Generic Flighted Bottom Up Package"/>
    <n v="1"/>
    <n v="594901"/>
    <s v="Apple/Digital/Upfront/Direct/Entertainment/25-26- ROS - 3Q'26 - Privacy 7.0"/>
    <d v="2026-06-28T00:00:00"/>
    <d v="2026-07-11T00:00:00"/>
    <s v="FOX Innovid"/>
    <s v="CPM"/>
    <n v="18.62"/>
    <n v="2685285"/>
    <n v="50000.01"/>
    <s v="Impressions"/>
    <s v="performance"/>
    <n v="0"/>
    <n v="0"/>
    <s v="performance"/>
    <n v="168873"/>
    <s v="invoice_schedule"/>
    <n v="3144.4153000000001"/>
    <n v="3144.4153000000001"/>
    <n v="3144.4153000000001"/>
    <n v="154974"/>
    <n v="168873"/>
    <d v="2026-06-28T00:00:00"/>
    <d v="2026-07-11T00:00:00"/>
    <s v="Lester Leon"/>
    <s v="None"/>
    <s v="JUN'26"/>
    <n v="100000.02"/>
    <n v="132708"/>
    <s v="Gina Rodarte"/>
  </r>
  <r>
    <s v="AGC001250"/>
    <s v="APPLE INC"/>
    <s v="ADV000467"/>
    <s v="Apple/Digital/Upfront/Direct/Entertainment/25-26/3Q'26 - Privacy 7.0"/>
    <x v="92"/>
    <s v="Generic Flighted Bottom Up Package"/>
    <n v="1"/>
    <n v="594903"/>
    <s v="Apple/Digital/Upfront/Direct/Entertainment/25-26 -  A/Z - 3Q'26 - Privacy 7.0"/>
    <d v="2026-06-28T00:00:00"/>
    <d v="2026-07-11T00:00:00"/>
    <s v="FOX Innovid"/>
    <s v="CPM"/>
    <n v="18.62"/>
    <n v="2685285"/>
    <n v="50000.01"/>
    <s v="Impressions"/>
    <s v="performance"/>
    <n v="0"/>
    <n v="0"/>
    <s v="performance"/>
    <n v="141148"/>
    <s v="invoice_schedule"/>
    <n v="2628.1758"/>
    <n v="2628.1758"/>
    <n v="2628.1758"/>
    <n v="127864"/>
    <n v="141148"/>
    <d v="2026-06-28T00:00:00"/>
    <d v="2026-07-11T00:00:00"/>
    <s v="Lester Leon"/>
    <s v="None"/>
    <s v="JUN'26"/>
    <n v="100000.02"/>
    <n v="132708"/>
    <s v="Gina Rodarte"/>
  </r>
  <r>
    <s v="AGC001914"/>
    <s v="CAPITAL ONE"/>
    <s v="ADV004035"/>
    <s v=" Capital One/Bank/Digital/BYUF/Entertainment/UF2526_3Q26"/>
    <x v="93"/>
    <s v="LFV - RON Ent - ROS - Pre/Mid - DT/MB/CTV/VOD - Package"/>
    <n v="3535"/>
    <n v="595020"/>
    <s v="CAPITAL ONE - BANK - LFV - RON Ent - ROS - Pre/Mid - DT/MB/CTV- A1849_3Q'26"/>
    <d v="2026-06-29T00:00:00"/>
    <d v="2026-09-06T00:00:00"/>
    <s v="FOX Innovid"/>
    <s v="CPM"/>
    <n v="25.21"/>
    <n v="10286214"/>
    <n v="259315.45"/>
    <s v="CoV Impressions"/>
    <s v="performance"/>
    <n v="0"/>
    <n v="0"/>
    <s v="performance"/>
    <n v="23989"/>
    <s v="invoice_schedule"/>
    <n v="604.7627"/>
    <n v="604.7627"/>
    <n v="604.7627"/>
    <n v="23101"/>
    <n v="23989"/>
    <d v="2026-06-29T00:00:00"/>
    <d v="2026-09-06T00:00:00"/>
    <s v="Anthony Gizzo"/>
    <s v="None"/>
    <s v="JUN'26"/>
    <n v="259315.46"/>
    <n v="132902"/>
    <s v="Sydney Stipanovich"/>
  </r>
  <r>
    <s v="AGC002408"/>
    <s v="MARS INC"/>
    <s v="ADV002288"/>
    <s v="Mars/AllFOX/3Q26/DIO/M&amp;MsCaramelPopd"/>
    <x v="94"/>
    <s v="Run of AllFOX Video - Package"/>
    <n v="7998"/>
    <n v="595247"/>
    <s v="Mars - M&amp;Ms Caramel Pop'd - Run of AllFOX Video - 3Q'26 Package"/>
    <d v="2026-06-29T00:00:00"/>
    <d v="2026-09-13T00:00:00"/>
    <s v="FOX DCM"/>
    <s v="CPM"/>
    <n v="14.46"/>
    <n v="6107540"/>
    <n v="88315.03"/>
    <s v="Impressions"/>
    <s v="performance"/>
    <n v="0"/>
    <n v="0"/>
    <s v="performance"/>
    <n v="193054"/>
    <s v="invoice_schedule"/>
    <n v="2791.5608000000002"/>
    <n v="2791.5608000000002"/>
    <n v="2791.5608000000002"/>
    <n v="517405"/>
    <n v="193054"/>
    <d v="2026-06-29T00:00:00"/>
    <d v="2026-09-13T00:00:00"/>
    <s v="Megan Sileo"/>
    <s v="None"/>
    <s v="JUN'26"/>
    <n v="88315.02"/>
    <n v="133645"/>
    <s v="Erin Ilchuk"/>
  </r>
  <r>
    <s v="AGC000932"/>
    <s v="HILTON HOTELS"/>
    <s v="ADV005857"/>
    <s v="Hilton/Digital/Upfront/Streaming/25-26 -3Q26"/>
    <x v="95"/>
    <s v="DIO - ROV - FS - Pre/Mid - ROS - DT/MB/CTV - Package"/>
    <n v="7968"/>
    <n v="595758"/>
    <s v="Hilton - DIO - ROV - FS - Pre/Mid - ROS - DT/MB/CTV - Package - 3Q26"/>
    <d v="2026-06-29T00:00:00"/>
    <d v="2026-09-27T00:00:00"/>
    <s v="FOX Innovid"/>
    <s v="CPM"/>
    <n v="20"/>
    <n v="5000000"/>
    <n v="100000"/>
    <s v="CoV Impressions"/>
    <s v="performance"/>
    <n v="0"/>
    <n v="0"/>
    <s v="performance"/>
    <n v="1417"/>
    <s v="invoice_schedule"/>
    <n v="28.34"/>
    <n v="28.34"/>
    <n v="28.34"/>
    <n v="1417"/>
    <n v="0"/>
    <d v="2026-06-29T00:00:00"/>
    <d v="2026-09-27T00:00:00"/>
    <s v="Jessica Lang"/>
    <s v="None"/>
    <s v="JUN'26"/>
    <n v="100000"/>
    <n v="133681"/>
    <s v="Mike Maresca"/>
  </r>
  <r>
    <s v="AGC002408"/>
    <s v="MARS INC"/>
    <s v="ADV002288"/>
    <s v="Mars/AllFOX/3Q26/DIO/TwixCore"/>
    <x v="96"/>
    <s v="Run of AllFOX Video - Package"/>
    <n v="7998"/>
    <n v="595806"/>
    <s v="Mars - Twix Core - Run of AllFOX Video - 3Q'26 Package"/>
    <d v="2026-06-29T00:00:00"/>
    <d v="2026-07-26T00:00:00"/>
    <s v="FOX DCM"/>
    <s v="CPM"/>
    <n v="14.46"/>
    <n v="5665136"/>
    <n v="81917.87"/>
    <s v="Impressions"/>
    <s v="performance"/>
    <n v="0"/>
    <n v="0"/>
    <s v="performance"/>
    <n v="384161"/>
    <s v="invoice_schedule"/>
    <n v="5554.9681"/>
    <n v="5554.9681"/>
    <n v="5554.9681"/>
    <n v="752323"/>
    <n v="384161"/>
    <d v="2026-06-29T00:00:00"/>
    <d v="2026-07-26T00:00:00"/>
    <s v="Megan Sileo"/>
    <s v="None"/>
    <s v="JUN'26"/>
    <n v="81917.87"/>
    <n v="133499"/>
    <s v="Erin Ilchuk"/>
  </r>
  <r>
    <s v="AGC001249"/>
    <s v="CLOROX"/>
    <s v="ADV000935"/>
    <s v="Clorox / Scatter / Digital / 25-26 / World Cup"/>
    <x v="97"/>
    <s v="Run of World Cup Video - Package"/>
    <n v="8005"/>
    <n v="596075"/>
    <s v="Clorox - DIO - Run of World Cup Video - 2Q26"/>
    <d v="2026-06-24T00:00:00"/>
    <d v="2026-06-29T00:00:00"/>
    <s v="FOX DCM"/>
    <s v="CPM"/>
    <n v="44"/>
    <n v="1550728"/>
    <n v="68232.03"/>
    <s v="Impressions"/>
    <s v="performance"/>
    <n v="0"/>
    <n v="0"/>
    <s v="performance"/>
    <n v="1550728"/>
    <s v="invoice_schedule"/>
    <n v="68232.03"/>
    <n v="68232.03"/>
    <n v="68232.03"/>
    <n v="1585137"/>
    <n v="0"/>
    <d v="2026-06-24T00:00:00"/>
    <d v="2026-06-29T00:00:00"/>
    <s v="Anthony Gizzo"/>
    <s v="None"/>
    <s v="JUN'26"/>
    <n v="68232.03"/>
    <n v="133015"/>
    <s v="Adam Chardavoyne"/>
  </r>
  <r>
    <s v="AGC000913"/>
    <s v="TACO BELL"/>
    <s v="ADV000233"/>
    <s v="TACO BELL/DIGITAL/UPFRONT/FOXENTERTAINMENT/UF 2025/26/3Q'26 "/>
    <x v="98"/>
    <m/>
    <m/>
    <n v="595992"/>
    <s v="Taco Bell - LFV - RON Ent - Pre/Mid - ROS - DT/MB/CTV - A18+ 3Q'26 E7"/>
    <d v="2026-06-29T00:00:00"/>
    <d v="2026-07-22T00:00:00"/>
    <s v="FOX Extreme Reach"/>
    <s v="CPM"/>
    <n v="18.89"/>
    <n v="11056623"/>
    <n v="208859.61"/>
    <s v="CoV Impressions"/>
    <s v="performance"/>
    <n v="0"/>
    <n v="0"/>
    <s v="performance"/>
    <n v="243838"/>
    <s v="invoice_schedule"/>
    <n v="4606.0998"/>
    <n v="4606.0998"/>
    <n v="4606.0998"/>
    <n v="189673"/>
    <n v="243838"/>
    <d v="2026-06-29T00:00:00"/>
    <d v="2026-07-22T00:00:00"/>
    <s v="Katie Johnson"/>
    <s v="None"/>
    <s v="JUN'26"/>
    <n v="791926.01"/>
    <n v="133461"/>
    <s v="Tim Wodzisz"/>
  </r>
  <r>
    <s v="AGC002952"/>
    <s v="DOORDASH"/>
    <s v="ADV001993"/>
    <s v=" RAE Health Check T3ST 2026.6 S&amp;E Direct"/>
    <x v="99"/>
    <m/>
    <m/>
    <n v="597805"/>
    <s v="DIO - LFV - FSLS - Pre/Mid - CBB - DT/MB/CTV - Preemptible"/>
    <d v="2026-06-29T00:00:00"/>
    <d v="2026-06-30T00:00:00"/>
    <s v="FOX DCM"/>
    <s v="CPM"/>
    <n v="15.53"/>
    <n v="100"/>
    <n v="1.55"/>
    <s v="Impressions"/>
    <s v="performance"/>
    <n v="0"/>
    <n v="0"/>
    <s v="performance"/>
    <n v="0"/>
    <s v="invoice_schedule"/>
    <n v="0"/>
    <n v="0"/>
    <n v="0"/>
    <m/>
    <m/>
    <d v="2026-06-29T00:00:00"/>
    <d v="2026-06-30T00:00:00"/>
    <s v="Client Services Management"/>
    <s v="None"/>
    <s v="JUN'26"/>
    <n v="1.55"/>
    <n v="133834"/>
    <s v="Adam Chardavoyne"/>
  </r>
  <r>
    <s v="AGC003068"/>
    <s v="DOMINO'S"/>
    <s v="ADV000858"/>
    <s v="Dominos/Digital/Upfront/Entertainment/UF 2025/26"/>
    <x v="100"/>
    <s v="LFV - Entertainment ROS Demo - Package"/>
    <n v="1442"/>
    <n v="536482"/>
    <s v="CANCELLED/Dominos/Digital/Upfront/Entertainment/UF 2025/26/2Q'26"/>
    <d v="2026-03-30T00:00:00"/>
    <d v="2026-06-28T00:00:00"/>
    <s v="FOX DCM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3-30T00:00:00"/>
    <d v="2026-06-28T00:00:00"/>
    <s v="Kelsey Brahms"/>
    <s v="None"/>
    <s v="JUN'26"/>
    <n v="0"/>
    <n v="90984"/>
    <s v="Bridgid Antoniello"/>
  </r>
  <r>
    <s v="AGC001319"/>
    <s v="THE WONDERFUL COMPANY"/>
    <s v="ADV003530"/>
    <s v="Wonderful/Digital/Upfront/Entertainment/Fiji/UF 2025/26"/>
    <x v="101"/>
    <s v="Generic Flighted Bottom Up Package"/>
    <n v="1"/>
    <n v="538655"/>
    <s v="FIJI_LFV - RON Ent - Pre/Mid - ROS - CTV - A18-49 - 2Q'26 - UPFT RES"/>
    <d v="2026-04-01T00:00:00"/>
    <d v="2026-06-30T00:00:00"/>
    <s v="FOX 1st Party"/>
    <s v="CPM"/>
    <n v="22.31"/>
    <n v="7077310"/>
    <n v="157894.79"/>
    <s v="Impressions"/>
    <s v="performance"/>
    <n v="0"/>
    <n v="0"/>
    <s v="performance"/>
    <n v="0"/>
    <s v="invoice_schedule"/>
    <n v="0"/>
    <n v="0"/>
    <n v="0"/>
    <m/>
    <m/>
    <d v="2026-04-01T00:00:00"/>
    <d v="2026-06-30T00:00:00"/>
    <s v="Creighton Hendrix"/>
    <s v="None"/>
    <s v="JUN'26"/>
    <n v="300000.09999999998"/>
    <n v="92060"/>
    <s v="Nathan Cortez"/>
  </r>
  <r>
    <s v="AGC002070"/>
    <s v="WENDY'S"/>
    <s v="ADV006548"/>
    <s v="Wendy's/25-26/Upfront/Digital/Sports - UF 2025/26"/>
    <x v="102"/>
    <s v="Generic Flighted Bottom Up Package"/>
    <n v="1"/>
    <n v="536602"/>
    <s v="Wendy's - ROV - ROS - A18-49 - 25/26 UPFT RES - Q3'26 Package - UPFT RES"/>
    <d v="2026-06-29T00:00:00"/>
    <d v="2026-09-27T00:00:00"/>
    <s v="FOX Innovid"/>
    <s v="CPM"/>
    <n v="14.61"/>
    <n v="18572622"/>
    <n v="271346.01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Matthew Vellardito"/>
    <s v="None"/>
    <s v="JUN'26"/>
    <n v="271346.02"/>
    <n v="91198"/>
    <s v="Dylan Giordano"/>
  </r>
  <r>
    <s v="AGC002164"/>
    <s v="VERIZON"/>
    <s v="ADV006048"/>
    <s v="Verizon-Value Brands/25-26/Digital/Upfront/Entertainment"/>
    <x v="103"/>
    <s v="LFV - RON Ent - ROS - Pre/Mid - DT/MB/CTV/VOD - Package"/>
    <n v="3535"/>
    <n v="538762"/>
    <s v="CANCELLED_Verizon - LFV - RON Ent - ROS - Pre/Mid - DT/MB/CTV/VOD - Package - A18-49 - 3Q'26 UPFT RES"/>
    <d v="2026-06-29T00:00:00"/>
    <d v="2026-09-27T00:00:00"/>
    <s v="FOX Innovid"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Megan Sileo"/>
    <s v="None"/>
    <s v="JUN'26"/>
    <n v="0"/>
    <n v="106388"/>
    <s v="Jon Renz"/>
  </r>
  <r>
    <s v="AGC000913"/>
    <s v="ABBVIE"/>
    <s v="ADV001833"/>
    <s v="AbbVie Rinvoq UC/25-26/Digital/Upfront/Entertainment/UF 2025/26"/>
    <x v="104"/>
    <s v="LFV - RON Ent - ROS - Pre/Mid - DT/MB/CTV/VOD - Package"/>
    <n v="3535"/>
    <n v="539615"/>
    <s v="Abbvie Rinvoq UC - LFV - RON Ent - ROS - Pre/Mid - DT/MB/CTV - P2+ 2Q'26 - :60"/>
    <d v="2026-04-01T00:00:00"/>
    <d v="2026-06-30T00:00:00"/>
    <m/>
    <s v="CPM"/>
    <n v="17"/>
    <n v="12500000"/>
    <n v="212500"/>
    <m/>
    <s v="performance"/>
    <n v="0"/>
    <n v="0"/>
    <s v="performance"/>
    <n v="3248150"/>
    <s v="invoice_schedule"/>
    <n v="55218.55"/>
    <n v="55218.55"/>
    <n v="55218.55"/>
    <n v="3118192"/>
    <n v="3248150"/>
    <d v="2026-04-01T00:00:00"/>
    <d v="2026-06-30T00:00:00"/>
    <s v="Katie Johnson"/>
    <s v="None"/>
    <s v="JUN'26"/>
    <n v="722499.99"/>
    <n v="93132"/>
    <s v="Carly Sartwell"/>
  </r>
  <r>
    <s v="AGC000913"/>
    <s v="ABBVIE"/>
    <s v="ADV001833"/>
    <s v="AbbVie Rinvoq AD/25-26/Digital/Upfront/Entertainment/UF 2025/26"/>
    <x v="105"/>
    <s v="LFV - RON Ent - ROS - Pre/Mid - DT/MB/CTV/VOD - Package"/>
    <n v="3535"/>
    <n v="539627"/>
    <s v="Abbvie Rinvoq AD - LFV - RON Ent - ROS - Pre/Mid - DT/MB/CTV - 2Q'26 P2+ :60"/>
    <d v="2026-04-01T00:00:00"/>
    <d v="2026-06-30T00:00:00"/>
    <m/>
    <s v="CPM"/>
    <n v="17"/>
    <n v="7500000"/>
    <n v="127500"/>
    <m/>
    <s v="performance"/>
    <n v="0"/>
    <n v="0"/>
    <s v="performance"/>
    <n v="1785365"/>
    <s v="invoice_schedule"/>
    <n v="30351.205000000002"/>
    <n v="30351.205000000002"/>
    <n v="30351.205000000002"/>
    <n v="1746290"/>
    <n v="1785365"/>
    <d v="2026-04-01T00:00:00"/>
    <d v="2026-06-30T00:00:00"/>
    <s v="Katie Johnson"/>
    <s v="None"/>
    <s v="JUN'26"/>
    <n v="382500"/>
    <n v="93047"/>
    <s v="Carly Sartwell"/>
  </r>
  <r>
    <s v="AGC000913"/>
    <s v="ABBVIE"/>
    <s v="ADV001833"/>
    <s v="AbbVie Skyrizi CD/25-26/Digital/Upfront/Entertainment/UF 2025/26"/>
    <x v="106"/>
    <s v="LFV - RON Ent - ROS - Pre/Mid - DT/MB/CTV/VOD - Package"/>
    <n v="3535"/>
    <n v="539643"/>
    <s v="Abbvie Skyrizi CD - LFV - RON Ent - ROS - Pre/Mid - DT/MB/CTV - P2+ :60 2Q'26"/>
    <d v="2026-04-01T00:00:00"/>
    <d v="2026-06-30T00:00:00"/>
    <m/>
    <s v="CPM"/>
    <n v="17"/>
    <n v="10000000"/>
    <n v="170000"/>
    <m/>
    <s v="performance"/>
    <n v="0"/>
    <n v="0"/>
    <s v="performance"/>
    <n v="2396354"/>
    <s v="invoice_schedule"/>
    <n v="40738.017999999996"/>
    <n v="40738.017999999996"/>
    <n v="40738.017999999996"/>
    <n v="2346047"/>
    <n v="2396354"/>
    <d v="2026-04-01T00:00:00"/>
    <d v="2026-06-30T00:00:00"/>
    <s v="Katie Johnson"/>
    <s v="None"/>
    <s v="JUN'26"/>
    <n v="510000.01"/>
    <n v="92990"/>
    <s v="Carly Sartwell"/>
  </r>
  <r>
    <s v="AGC000932"/>
    <s v="HILTON HOTELS"/>
    <s v="ADV005857"/>
    <s v="CANCELLED - Hilton/Digital/PG/Upfront/Streaming/25-26"/>
    <x v="107"/>
    <s v="LFV - FSLS - Pre/Mid - ROS - DT/MB/TB/CTV P2+ - Package"/>
    <n v="3007"/>
    <n v="536823"/>
    <s v="CANCELLED - Hilton - LFV - FSLS - Pre/Mid - ROV - DT/MB/TB/CTV P2+ - 2Q'26"/>
    <d v="2026-03-30T00:00:00"/>
    <d v="2026-06-28T00:00:00"/>
    <s v="FOX Innovid"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3-30T00:00:00"/>
    <d v="2026-06-28T00:00:00"/>
    <s v="Jessica Lang"/>
    <s v="None"/>
    <s v="JUN'26"/>
    <n v="0"/>
    <n v="93164"/>
    <s v="Mike Maresca"/>
  </r>
  <r>
    <s v="AGC000932"/>
    <s v="HILTON HOTELS"/>
    <s v="ADV005857"/>
    <s v="CANCELLED - Hilton/Digital/PG/Upfront/Streaming/25-26"/>
    <x v="107"/>
    <s v="LFV - FSLS - Pre/Mid - ROS - DT/MB/TB/CTV P2+ - Package"/>
    <n v="3007"/>
    <n v="536825"/>
    <s v="CANCELLED - Hilton - LFV - FSLS - Pre/Mid - ROV - DT/MB/TB/CTV P2+ - 3Q'26"/>
    <d v="2026-06-29T00:00:00"/>
    <d v="2026-09-27T00:00:00"/>
    <s v="FOX Innovid"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Jessica Lang"/>
    <s v="None"/>
    <s v="JUN'26"/>
    <n v="0"/>
    <n v="93164"/>
    <s v="Mike Maresca"/>
  </r>
  <r>
    <s v="AGC005226"/>
    <s v="AMAZON XCM"/>
    <s v="ADV011498"/>
    <s v="Amazon XCM/Digital/Direct/Upfront/Sports/25-26/UPFTRES"/>
    <x v="108"/>
    <s v="Generic Flighted Bottom Up Package"/>
    <n v="1"/>
    <n v="539340"/>
    <s v="CANCELLED_Amazon XCM - LFV - FSLS - Pre/Mid - ROS - DT/MB/CTV - P2+ - 2Q'26 UPFTRES"/>
    <d v="2026-03-30T00:00:00"/>
    <d v="2026-06-14T00:00:00"/>
    <s v="FOX DCM"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3-30T00:00:00"/>
    <d v="2026-06-14T00:00:00"/>
    <s v="Erin Travers"/>
    <s v="None"/>
    <s v="JUN'26"/>
    <n v="219321"/>
    <n v="96038"/>
    <s v="Nicole Gamache"/>
  </r>
  <r>
    <s v="AGC005226"/>
    <s v="AMAZON XCM"/>
    <s v="ADV011498"/>
    <s v="Amazon XCM/Digital/Direct/Upfront/Sports/25-26/UPFTRES"/>
    <x v="108"/>
    <s v="Generic Flighted Bottom Up Package"/>
    <n v="1"/>
    <n v="539342"/>
    <s v="Amazon XCM - LFV - FSLS - Pre/Mid - ROS - DT/MB/CTV - P2+ - 3Q'26 UPFTRES"/>
    <d v="2026-06-29T00:00:00"/>
    <d v="2026-09-27T00:00:00"/>
    <s v="FOX DCM"/>
    <s v="CPM"/>
    <n v="22.65"/>
    <n v="9683047"/>
    <n v="219321.01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Erin Travers"/>
    <s v="None"/>
    <s v="JUN'26"/>
    <n v="219321"/>
    <n v="96038"/>
    <s v="Nicole Gamache"/>
  </r>
  <r>
    <s v="AGC003453"/>
    <s v="JERSEY MIKE'S SUBS"/>
    <s v="ADV007209"/>
    <s v="CANCELLED - Jersey Mike's BTN CY26 Digital - CANCELLED"/>
    <x v="109"/>
    <m/>
    <m/>
    <n v="552500"/>
    <s v="Jersey Mike's DIO - LFV - BTN - Pre/Mid - ROS - DT/MB/CTV 3Q'26"/>
    <d v="2026-05-31T00:00:00"/>
    <d v="2026-09-26T00:00:00"/>
    <s v="FOX Innovid"/>
    <s v="CPM"/>
    <n v="36.619999999999997"/>
    <n v="0"/>
    <n v="0"/>
    <s v="Impressions"/>
    <s v="performance"/>
    <n v="0"/>
    <n v="0"/>
    <s v="performance"/>
    <n v="0"/>
    <s v="invoice_schedule"/>
    <n v="0"/>
    <n v="0"/>
    <n v="0"/>
    <m/>
    <m/>
    <d v="2026-05-31T00:00:00"/>
    <d v="2026-09-26T00:00:00"/>
    <s v="Katie Johnson"/>
    <s v="None"/>
    <s v="JUN'26"/>
    <n v="0"/>
    <n v="110814"/>
    <s v="Christopher Dunlop"/>
  </r>
  <r>
    <s v="AGC000913"/>
    <s v="KENTUCKY FRIED CHICKEN"/>
    <s v="ADV004506"/>
    <s v="KFC/25-26/Digital/Scatter/Sports/Men's World Cup"/>
    <x v="110"/>
    <s v="Run of World Cup Video - Package"/>
    <n v="8005"/>
    <n v="582079"/>
    <s v="KFC - Run of World Cup Video - Package"/>
    <d v="2026-06-11T00:00:00"/>
    <d v="2026-07-19T00:00:00"/>
    <s v="FOX Innovid"/>
    <s v="CPM"/>
    <n v="40"/>
    <n v="12500000"/>
    <n v="500000"/>
    <s v="Impressions"/>
    <s v="performance"/>
    <n v="0"/>
    <n v="0"/>
    <s v="performance"/>
    <n v="8284662"/>
    <s v="invoice_schedule"/>
    <n v="331386.48"/>
    <n v="331386.48"/>
    <n v="331386.48"/>
    <n v="8291923"/>
    <n v="8284662"/>
    <d v="2026-06-11T00:00:00"/>
    <d v="2026-07-19T00:00:00"/>
    <s v="Katie Johnson"/>
    <s v="None"/>
    <s v="JUN'26"/>
    <n v="500000"/>
    <n v="129379"/>
    <s v="Carly Sartwell"/>
  </r>
  <r>
    <s v="AGC004344"/>
    <s v="FERRERO"/>
    <s v="ADV004525"/>
    <s v="Ferrero/Digital/Scatter/World Cup/25-26/Social/Video"/>
    <x v="111"/>
    <s v="World Cup Social Sponsorship Content - Package"/>
    <n v="8000"/>
    <n v="581882"/>
    <s v="Ferrero - Nutella - World Cup Social Sponsorship Content - Package"/>
    <d v="2026-06-01T00:00:00"/>
    <d v="2026-07-19T00:00:00"/>
    <s v="FOX 1st Party"/>
    <s v="Cost Per Unit"/>
    <n v="0.15"/>
    <n v="1111114"/>
    <n v="166667.1"/>
    <s v="Placements"/>
    <s v="straightline"/>
    <n v="555557"/>
    <n v="83333.55"/>
    <s v="straightline"/>
    <n v="555557"/>
    <s v="invoice_schedule"/>
    <n v="83333.55"/>
    <n v="83333.55"/>
    <n v="83333.55"/>
    <m/>
    <m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1887"/>
    <s v="Ferrero - Nutella - Run of World Cup Video - Package"/>
    <d v="2026-06-01T00:00:00"/>
    <d v="2026-07-19T00:00:00"/>
    <s v="FOX DCM"/>
    <s v="CPM"/>
    <n v="40"/>
    <n v="6265950"/>
    <n v="250638"/>
    <s v="Impressions"/>
    <s v="performance"/>
    <n v="0"/>
    <n v="0"/>
    <s v="performance"/>
    <n v="4438068"/>
    <s v="invoice_schedule"/>
    <n v="177522.72"/>
    <n v="177522.72"/>
    <n v="177522.72"/>
    <n v="4444194"/>
    <n v="4438068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19"/>
    <s v="Ferrero - Crunch - Run of World Cup Video - Package"/>
    <d v="2026-06-01T00:00:00"/>
    <d v="2026-07-19T00:00:00"/>
    <s v="FOX DCM"/>
    <s v="CPM"/>
    <n v="40"/>
    <n v="4506150"/>
    <n v="180246"/>
    <s v="Impressions"/>
    <s v="performance"/>
    <n v="0"/>
    <n v="0"/>
    <s v="performance"/>
    <n v="3190068"/>
    <s v="invoice_schedule"/>
    <n v="127602.72"/>
    <n v="127602.72"/>
    <n v="127602.72"/>
    <n v="3195221"/>
    <n v="3190068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World Cup Social Sponsorship Content - Package"/>
    <n v="8000"/>
    <n v="587522"/>
    <s v="Ferrero - Crunch - World Cup Social Sponsorship Content - Package"/>
    <d v="2026-06-01T00:00:00"/>
    <d v="2026-07-19T00:00:00"/>
    <s v="FOX 1st Party"/>
    <s v="Cost Per Unit"/>
    <n v="0.15"/>
    <n v="1111114"/>
    <n v="166667.1"/>
    <s v="Placements"/>
    <s v="straightline"/>
    <n v="555557"/>
    <n v="83333.55"/>
    <s v="straightline"/>
    <n v="555557"/>
    <s v="invoice_schedule"/>
    <n v="83333.55"/>
    <n v="83333.55"/>
    <n v="83333.55"/>
    <m/>
    <m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27"/>
    <s v="Ferrero - Butterfinger - Run of World Cup Video - Package"/>
    <d v="2026-06-01T00:00:00"/>
    <d v="2026-07-19T00:00:00"/>
    <s v="FOX DCM"/>
    <s v="CPM"/>
    <n v="40"/>
    <n v="2944725"/>
    <n v="117789"/>
    <s v="Impressions"/>
    <s v="performance"/>
    <n v="0"/>
    <n v="0"/>
    <s v="performance"/>
    <n v="2086406"/>
    <s v="invoice_schedule"/>
    <n v="83456.240000000005"/>
    <n v="83456.240000000005"/>
    <n v="83456.240000000005"/>
    <n v="2089400"/>
    <n v="2086406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World Cup Social Sponsorship Content - Package"/>
    <n v="8000"/>
    <n v="587530"/>
    <s v="Ferrero - Butterfinger - World Cup Social Sponsorship Content - Package"/>
    <d v="2026-06-01T00:00:00"/>
    <d v="2026-07-19T00:00:00"/>
    <s v="FOX 1st Party"/>
    <s v="Cost Per Unit"/>
    <n v="0.15"/>
    <n v="1111114"/>
    <n v="166667.1"/>
    <s v="Placements"/>
    <s v="straightline"/>
    <n v="555557"/>
    <n v="83333.55"/>
    <s v="straightline"/>
    <n v="555557"/>
    <s v="invoice_schedule"/>
    <n v="83333.55"/>
    <n v="83333.55"/>
    <n v="83333.55"/>
    <m/>
    <m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35"/>
    <s v="Ferrero - Keebler - Run of World Cup Video - Package"/>
    <d v="2026-06-01T00:00:00"/>
    <d v="2026-07-19T00:00:00"/>
    <s v="FOX DCM"/>
    <s v="CPM"/>
    <n v="40"/>
    <n v="4550275"/>
    <n v="182011"/>
    <s v="Impressions"/>
    <s v="performance"/>
    <n v="0"/>
    <n v="0"/>
    <s v="performance"/>
    <n v="3218025"/>
    <s v="invoice_schedule"/>
    <n v="128721"/>
    <n v="128721"/>
    <n v="128721"/>
    <n v="3225078"/>
    <n v="3218025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38"/>
    <s v="Ferrero - Kinder Chocolate - Run of World Cup Video - Package"/>
    <d v="2026-06-01T00:00:00"/>
    <d v="2026-07-19T00:00:00"/>
    <s v="FOX DCM"/>
    <s v="CPM"/>
    <n v="40"/>
    <n v="2941750"/>
    <n v="117670"/>
    <s v="Impressions"/>
    <s v="performance"/>
    <n v="0"/>
    <n v="0"/>
    <s v="performance"/>
    <n v="2086963"/>
    <s v="invoice_schedule"/>
    <n v="83478.52"/>
    <n v="83478.52"/>
    <n v="83478.52"/>
    <n v="2088579"/>
    <n v="2086963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41"/>
    <s v="Ferrero - Blue Bunny - Run of World Cup Video - Package"/>
    <d v="2026-06-01T00:00:00"/>
    <d v="2026-07-19T00:00:00"/>
    <s v="FOX DCM"/>
    <s v="CPM"/>
    <n v="40"/>
    <n v="3012350"/>
    <n v="120494"/>
    <s v="Impressions"/>
    <s v="performance"/>
    <n v="0"/>
    <n v="0"/>
    <s v="performance"/>
    <n v="2134939"/>
    <s v="invoice_schedule"/>
    <n v="85397.56"/>
    <n v="85397.56"/>
    <n v="85397.56"/>
    <n v="2138341"/>
    <n v="2134939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44"/>
    <s v="Ferrero - Ferrero Rocher - Run of World Cup Video - Package"/>
    <d v="2026-06-01T00:00:00"/>
    <d v="2026-07-19T00:00:00"/>
    <s v="FOX DCM"/>
    <s v="CPM"/>
    <n v="40"/>
    <n v="2854825"/>
    <n v="114193"/>
    <s v="Impressions"/>
    <s v="performance"/>
    <n v="0"/>
    <n v="0"/>
    <s v="performance"/>
    <n v="2026460"/>
    <s v="invoice_schedule"/>
    <n v="81058.399999999994"/>
    <n v="81058.399999999994"/>
    <n v="81058.399999999994"/>
    <n v="2028089"/>
    <n v="2026460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47"/>
    <s v="Ferrero - Kinder Bueno - Run of World Cup Video - Package"/>
    <d v="2026-06-22T00:00:00"/>
    <d v="2026-07-05T00:00:00"/>
    <s v="FOX Innovid"/>
    <s v="CPM"/>
    <n v="40"/>
    <n v="2340675"/>
    <n v="93627"/>
    <s v="Impressions"/>
    <s v="performance"/>
    <n v="0"/>
    <n v="0"/>
    <s v="performance"/>
    <n v="1541941"/>
    <s v="invoice_schedule"/>
    <n v="61677.64"/>
    <n v="61677.64"/>
    <n v="61677.64"/>
    <n v="1539454"/>
    <n v="1541941"/>
    <d v="2026-06-22T00:00:00"/>
    <d v="2026-07-05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50"/>
    <s v="Ferrero - TicTac - Run of World Cup Video - Package"/>
    <d v="2026-06-08T00:00:00"/>
    <d v="2026-06-22T00:00:00"/>
    <s v="FOX DCM"/>
    <s v="CPM"/>
    <n v="40"/>
    <n v="2022625"/>
    <n v="80905"/>
    <s v="Impressions"/>
    <s v="performance"/>
    <n v="0"/>
    <n v="0"/>
    <s v="performance"/>
    <n v="2022625"/>
    <s v="invoice_schedule"/>
    <n v="80905"/>
    <n v="80905"/>
    <n v="80905"/>
    <n v="2074587"/>
    <n v="2062850"/>
    <d v="2026-06-08T00:00:00"/>
    <d v="2026-06-22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53"/>
    <s v="Ferrero - Halo Top - Run of World Cup Video - Package"/>
    <d v="2026-06-08T00:00:00"/>
    <d v="2026-06-28T00:00:00"/>
    <s v="FOX DCM"/>
    <s v="CPM"/>
    <n v="40"/>
    <n v="1890475"/>
    <n v="75619"/>
    <s v="Impressions"/>
    <s v="performance"/>
    <n v="0"/>
    <n v="0"/>
    <s v="performance"/>
    <n v="1890475"/>
    <s v="invoice_schedule"/>
    <n v="75619"/>
    <n v="75619"/>
    <n v="75619"/>
    <n v="1938738"/>
    <n v="1934945"/>
    <d v="2026-06-08T00:00:00"/>
    <d v="2026-06-28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59"/>
    <s v="Ferrero - Kinder Bueno Ice Cream - Run of World Cup Video - Package"/>
    <d v="2026-06-08T00:00:00"/>
    <d v="2026-06-22T00:00:00"/>
    <s v="FOX DCM"/>
    <s v="CPM"/>
    <n v="40"/>
    <n v="705875"/>
    <n v="28235"/>
    <s v="Impressions"/>
    <s v="performance"/>
    <n v="0"/>
    <n v="0"/>
    <s v="performance"/>
    <n v="705875"/>
    <s v="invoice_schedule"/>
    <n v="28235"/>
    <n v="28235"/>
    <n v="28235"/>
    <n v="722455"/>
    <n v="719661"/>
    <d v="2026-06-08T00:00:00"/>
    <d v="2026-06-22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87570"/>
    <s v="Ferrero - Kinder Joy - Run of World Cup Video - Package"/>
    <d v="2026-06-01T00:00:00"/>
    <d v="2026-07-19T00:00:00"/>
    <s v="FOX DCM"/>
    <s v="CPM"/>
    <n v="40"/>
    <n v="2513975"/>
    <n v="100559"/>
    <s v="Impressions"/>
    <s v="performance"/>
    <n v="0"/>
    <n v="0"/>
    <s v="performance"/>
    <n v="1782971"/>
    <s v="invoice_schedule"/>
    <n v="71318.84"/>
    <n v="71318.84"/>
    <n v="71318.84"/>
    <n v="1785224"/>
    <n v="1782971"/>
    <d v="2026-06-01T00:00:00"/>
    <d v="2026-07-19T00:00:00"/>
    <s v="Jessica Lang"/>
    <s v="None"/>
    <s v="JUN'26"/>
    <n v="2000001.3"/>
    <n v="127990"/>
    <s v="Mike Maresca"/>
  </r>
  <r>
    <s v="AGC004344"/>
    <s v="FERRERO"/>
    <s v="ADV004525"/>
    <s v="Ferrero/Digital/Scatter/World Cup/25-26/Social/Video"/>
    <x v="111"/>
    <s v="Run of World Cup Video - Package"/>
    <n v="8005"/>
    <n v="593053"/>
    <s v="Ferrero - FMC Ice Cream - Run of World Cup Video - Package"/>
    <d v="2026-06-22T00:00:00"/>
    <d v="2026-07-05T00:00:00"/>
    <s v="FOX DCM"/>
    <s v="CPM"/>
    <n v="40"/>
    <n v="358500"/>
    <n v="14340"/>
    <s v="Impressions"/>
    <s v="performance"/>
    <n v="0"/>
    <n v="0"/>
    <s v="performance"/>
    <n v="327115"/>
    <s v="invoice_schedule"/>
    <n v="13084.6"/>
    <n v="13084.6"/>
    <n v="13084.6"/>
    <n v="327065"/>
    <n v="327115"/>
    <d v="2026-06-22T00:00:00"/>
    <d v="2026-07-05T00:00:00"/>
    <s v="Jessica Lang"/>
    <s v="None"/>
    <s v="JUN'26"/>
    <n v="2000001.3"/>
    <n v="127990"/>
    <s v="Mike Maresca"/>
  </r>
  <r>
    <s v="AGC003095"/>
    <s v="PRUDENTIAL"/>
    <s v="ADV006811"/>
    <s v="Prudential/Digital/Scatter/MWC/2026"/>
    <x v="112"/>
    <s v="Run of World Cup Video - Package"/>
    <n v="8005"/>
    <n v="581216"/>
    <s v="Prudential - Run of World Cup Video - Package"/>
    <d v="2026-06-11T00:00:00"/>
    <d v="2026-07-19T00:00:00"/>
    <s v="FOX 1st Party"/>
    <s v="CPM"/>
    <n v="40"/>
    <n v="11375000"/>
    <n v="455000"/>
    <s v="Impressions"/>
    <s v="prorated"/>
    <n v="5833334"/>
    <n v="233333.3334"/>
    <s v="prorated"/>
    <n v="5833334"/>
    <s v="invoice_schedule"/>
    <n v="233333.3334"/>
    <n v="233333.3334"/>
    <n v="233333.3334"/>
    <n v="7573435"/>
    <n v="0"/>
    <d v="2026-06-11T00:00:00"/>
    <d v="2026-07-19T00:00:00"/>
    <s v="Mia Bonvissuto"/>
    <s v="None"/>
    <s v="JUN'26"/>
    <n v="1400000.01"/>
    <n v="126558"/>
    <s v="Nicole Joscelyn"/>
  </r>
  <r>
    <s v="AGC003095"/>
    <s v="PRUDENTIAL"/>
    <s v="ADV006811"/>
    <s v="Prudential/Digital/Scatter/MWC/2026"/>
    <x v="112"/>
    <s v="Run of World Cup Display - Package"/>
    <n v="8004"/>
    <n v="581219"/>
    <s v="Prudential - Run of World Cup Display - Package"/>
    <d v="2026-06-11T00:00:00"/>
    <d v="2026-07-19T00:00:00"/>
    <s v="FOX DCM"/>
    <s v="CPM"/>
    <n v="6"/>
    <n v="17500000"/>
    <n v="105000"/>
    <s v="Impressions"/>
    <s v="prorated"/>
    <n v="8974359"/>
    <n v="53846.153899999998"/>
    <s v="prorated"/>
    <n v="8974359"/>
    <s v="invoice_schedule"/>
    <n v="53846.153899999998"/>
    <n v="53846.153899999998"/>
    <n v="53846.153899999998"/>
    <n v="6318452"/>
    <n v="6317258"/>
    <d v="2026-06-11T00:00:00"/>
    <d v="2026-07-19T00:00:00"/>
    <s v="Mia Bonvissuto"/>
    <s v="None"/>
    <s v="JUN'26"/>
    <n v="1400000.01"/>
    <n v="126558"/>
    <s v="Nicole Joscelyn"/>
  </r>
  <r>
    <s v="AGC003095"/>
    <s v="PRUDENTIAL"/>
    <s v="ADV006811"/>
    <s v="Prudential/Digital/Scatter/MWC/2026"/>
    <x v="112"/>
    <s v="World Cup FOX Sports Site &amp; App Takeover - Package"/>
    <n v="8003"/>
    <n v="581221"/>
    <s v="Prudential - World Cup FOX Sports Site &amp; App Takeover - Package"/>
    <d v="2026-06-26T00:00:00"/>
    <d v="2026-06-26T00:00:00"/>
    <s v="FOX 1st Party"/>
    <s v="Cost Per Day"/>
    <n v="42500"/>
    <n v="6"/>
    <n v="255000"/>
    <s v="Days"/>
    <s v="prorated"/>
    <n v="6"/>
    <n v="255000"/>
    <s v="prorated"/>
    <n v="6"/>
    <s v="invoice_schedule"/>
    <n v="255000"/>
    <n v="255000"/>
    <n v="255000"/>
    <n v="0"/>
    <n v="0"/>
    <d v="2026-06-26T00:00:00"/>
    <d v="2026-06-26T00:00:00"/>
    <s v="Mia Bonvissuto"/>
    <s v="None"/>
    <s v="JUN'26"/>
    <n v="1400000.01"/>
    <n v="126558"/>
    <s v="Nicole Joscelyn"/>
  </r>
  <r>
    <s v="AGC003095"/>
    <s v="PRUDENTIAL"/>
    <s v="ADV006811"/>
    <s v="Prudential/Digital/Scatter/MWC/2026"/>
    <x v="112"/>
    <s v="Run of FOX Sports Video - Package"/>
    <n v="8002"/>
    <n v="581225"/>
    <s v="Prudential - Run of FOX Sports Video - Package"/>
    <d v="2026-06-11T00:00:00"/>
    <d v="2026-07-19T00:00:00"/>
    <s v="FOX 1st Party"/>
    <s v="CPM"/>
    <n v="25"/>
    <n v="1000000"/>
    <n v="25000"/>
    <m/>
    <s v="prorated"/>
    <n v="512821"/>
    <n v="12820.5129"/>
    <s v="prorated"/>
    <n v="512821"/>
    <s v="invoice_schedule"/>
    <n v="12820.5129"/>
    <n v="12820.5129"/>
    <n v="12820.5129"/>
    <n v="444090"/>
    <n v="0"/>
    <d v="2026-06-11T00:00:00"/>
    <d v="2026-07-19T00:00:00"/>
    <s v="Mia Bonvissuto"/>
    <s v="None"/>
    <s v="JUN'26"/>
    <n v="1400000.01"/>
    <n v="126558"/>
    <s v="Nicole Joscelyn"/>
  </r>
  <r>
    <s v="AGC003095"/>
    <s v="PRUDENTIAL"/>
    <s v="ADV006811"/>
    <s v="Prudential/Digital/Scatter/MWC/2026"/>
    <x v="112"/>
    <s v="Run of AllFOX Video - Package"/>
    <n v="7998"/>
    <n v="581227"/>
    <s v="Prudential - Run of AllFOX Video - Package"/>
    <d v="2026-06-11T00:00:00"/>
    <d v="2026-07-19T00:00:00"/>
    <s v="FOX 1st Party"/>
    <s v="CPM"/>
    <n v="22"/>
    <n v="6363637"/>
    <n v="140000.01"/>
    <s v="Impressions"/>
    <s v="prorated"/>
    <n v="3263404"/>
    <n v="71794.876999999993"/>
    <s v="prorated"/>
    <n v="3263404"/>
    <s v="invoice_schedule"/>
    <n v="71794.876999999993"/>
    <n v="71794.876999999993"/>
    <n v="71794.876999999993"/>
    <n v="3540786"/>
    <n v="0"/>
    <d v="2026-06-11T00:00:00"/>
    <d v="2026-07-19T00:00:00"/>
    <s v="Mia Bonvissuto"/>
    <s v="None"/>
    <s v="JUN'26"/>
    <n v="1400000.01"/>
    <n v="126558"/>
    <s v="Nicole Joscelyn"/>
  </r>
  <r>
    <s v="AGC003095"/>
    <s v="PRUDENTIAL"/>
    <s v="ADV006811"/>
    <s v="Prudential/Digital/Scatter/MWC/2026"/>
    <x v="112"/>
    <s v="World Cup Social Sponsorship Content - Package"/>
    <n v="8000"/>
    <n v="581230"/>
    <s v="Prudential - World Cup Social Sponsorship Content - Package"/>
    <d v="2026-06-11T00:00:00"/>
    <d v="2026-07-19T00:00:00"/>
    <s v="FOX 1st Party"/>
    <s v="Cost Per Unit"/>
    <n v="0.15"/>
    <n v="2800000"/>
    <n v="420000"/>
    <s v="Placements"/>
    <s v="prorated"/>
    <n v="1435898"/>
    <n v="215384.61540000001"/>
    <s v="prorated"/>
    <n v="1435898"/>
    <s v="invoice_schedule"/>
    <n v="215384.61540000001"/>
    <n v="215384.61540000001"/>
    <n v="215384.61540000001"/>
    <m/>
    <m/>
    <d v="2026-06-11T00:00:00"/>
    <d v="2026-07-19T00:00:00"/>
    <s v="Mia Bonvissuto"/>
    <s v="None"/>
    <s v="JUN'26"/>
    <n v="1400000.01"/>
    <n v="126558"/>
    <s v="Nicole Joscelyn"/>
  </r>
  <r>
    <s v="AGC001035"/>
    <s v="VOLKSWAGEN"/>
    <s v="ADV006308"/>
    <s v="Volkswagen/Digital/Direct/Scatter/Sports/MWC/2026"/>
    <x v="113"/>
    <s v="World Cup Social Sponsorship Content - Package"/>
    <n v="8000"/>
    <n v="583044"/>
    <s v="Volkswagen - World Cup Social Sponsorship Content - Package - 20% SOV for 90 in 90 Full Match Recaps"/>
    <d v="2026-06-01T00:00:00"/>
    <d v="2026-07-19T00:00:00"/>
    <s v="FOX 1st Party"/>
    <s v="Cost Per Unit"/>
    <n v="0.18"/>
    <n v="13888889"/>
    <n v="2500000.02"/>
    <s v="Placements"/>
    <s v="straightline"/>
    <n v="6944444"/>
    <n v="1250000.01"/>
    <s v="straightline"/>
    <n v="6944445"/>
    <s v="invoice_schedule"/>
    <n v="1250000.01"/>
    <n v="1250000.01"/>
    <n v="1250000.01"/>
    <m/>
    <m/>
    <d v="2026-06-0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s v="World Cup Social Sponsorship Content - Package"/>
    <n v="8000"/>
    <n v="591653"/>
    <s v="Volkswagen - World Cup on X - Package"/>
    <d v="2026-06-01T00:00:00"/>
    <d v="2026-07-19T00:00:00"/>
    <s v="FOX 1st Party"/>
    <s v="Cost Per Unit"/>
    <n v="0.03"/>
    <n v="16666667"/>
    <n v="500000.01"/>
    <s v="Placements"/>
    <s v="straightline"/>
    <n v="8333333"/>
    <n v="250000.005"/>
    <s v="straightline"/>
    <n v="8333334"/>
    <s v="invoice_schedule"/>
    <n v="250000.005"/>
    <n v="250000.005"/>
    <n v="250000.005"/>
    <m/>
    <m/>
    <d v="2026-06-0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m/>
    <m/>
    <n v="592195"/>
    <s v="CANCELLED - Volkswagen - DIO - MWC - WC Hub - ROH - Rotational Video"/>
    <d v="2026-06-11T00:00:00"/>
    <d v="2026-07-19T00:00:00"/>
    <s v="FOX DCM"/>
    <s v="CPM"/>
    <n v="0"/>
    <n v="0"/>
    <n v="0"/>
    <s v="Impressions"/>
    <s v="straightline"/>
    <n v="0"/>
    <n v="0"/>
    <s v="straightline"/>
    <n v="0"/>
    <s v="invoice_schedule"/>
    <n v="0"/>
    <n v="0"/>
    <n v="0"/>
    <m/>
    <m/>
    <d v="2026-06-1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m/>
    <m/>
    <n v="592409"/>
    <s v="CANCELLED - Volkswagen - DIO - MWC - Tubi ROS - Rotational Video"/>
    <d v="2026-06-11T00:00:00"/>
    <d v="2026-07-19T00:00:00"/>
    <s v="FOX DCM"/>
    <s v="CPM"/>
    <n v="0"/>
    <n v="0"/>
    <n v="0"/>
    <s v="Impressions"/>
    <s v="straightline"/>
    <n v="0"/>
    <n v="0"/>
    <s v="straightline"/>
    <n v="0"/>
    <s v="invoice_schedule"/>
    <n v="0"/>
    <n v="0"/>
    <n v="0"/>
    <m/>
    <m/>
    <d v="2026-06-1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m/>
    <m/>
    <n v="592698"/>
    <s v="Volkswagen - DIO - MWC - Timeout - ROS - Rotational - Updated"/>
    <d v="2026-06-11T00:00:00"/>
    <d v="2026-07-19T00:00:00"/>
    <s v="FOX DCM"/>
    <s v="CPM"/>
    <n v="17"/>
    <n v="2941177"/>
    <n v="50000.01"/>
    <s v="Impressions"/>
    <s v="straightline"/>
    <n v="1470588"/>
    <n v="25000.005000000001"/>
    <s v="straightline"/>
    <n v="1470589"/>
    <s v="invoice_schedule"/>
    <n v="25000.005000000001"/>
    <n v="25000.005000000001"/>
    <n v="25000.005000000001"/>
    <m/>
    <m/>
    <d v="2026-06-1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m/>
    <m/>
    <n v="592699"/>
    <s v="Volkswagen - DIO - MWC - Tubi ROS - Rotational Video - Updated"/>
    <d v="2026-06-11T00:00:00"/>
    <d v="2026-07-19T00:00:00"/>
    <s v="FOX DCM"/>
    <s v="CPM"/>
    <n v="16.25"/>
    <n v="6153846"/>
    <n v="100000"/>
    <s v="Impressions"/>
    <s v="straightline"/>
    <n v="3076923"/>
    <n v="50000"/>
    <s v="straightline"/>
    <n v="3076923"/>
    <s v="invoice_schedule"/>
    <n v="50000"/>
    <n v="50000"/>
    <n v="50000"/>
    <n v="185727"/>
    <m/>
    <d v="2026-06-11T00:00:00"/>
    <d v="2026-07-19T00:00:00"/>
    <s v="Kailey McGinn"/>
    <s v="None"/>
    <s v="JUN'26"/>
    <n v="3400000.05"/>
    <n v="128865"/>
    <s v="Nicole Gamache"/>
  </r>
  <r>
    <s v="AGC001035"/>
    <s v="VOLKSWAGEN"/>
    <s v="ADV006308"/>
    <s v="Volkswagen/Digital/Direct/Scatter/Sports/MWC/2026"/>
    <x v="113"/>
    <s v="Run of World Cup Video - Package"/>
    <n v="8005"/>
    <n v="593311"/>
    <s v="Volkswagen - Run of World Cup Video - Package"/>
    <d v="2026-06-11T00:00:00"/>
    <d v="2026-07-19T00:00:00"/>
    <s v="FOX DCM"/>
    <s v="CPM"/>
    <n v="40"/>
    <n v="2500000"/>
    <n v="100000"/>
    <s v="Impressions"/>
    <s v="straightline"/>
    <n v="1250000"/>
    <n v="50000"/>
    <s v="straightline"/>
    <n v="1250000"/>
    <s v="invoice_schedule"/>
    <n v="50000"/>
    <n v="50000"/>
    <n v="50000"/>
    <n v="1671360"/>
    <n v="0"/>
    <d v="2026-06-11T00:00:00"/>
    <d v="2026-07-19T00:00:00"/>
    <s v="Kailey McGinn"/>
    <s v="None"/>
    <s v="JUN'26"/>
    <n v="3400000.05"/>
    <n v="128865"/>
    <s v="Nicole Gamache"/>
  </r>
  <r>
    <s v="AGC005478"/>
    <s v="SARGENTO"/>
    <s v="ADV001946"/>
    <s v="SARGENTO/DIGITAL/FOX/ENTERTAINMENT/2026/SC"/>
    <x v="114"/>
    <m/>
    <m/>
    <n v="549806"/>
    <s v="SARGENTO DIO - LFV - FOX - Pre/Mid - FOX FOOD - DT/MB/CTV"/>
    <d v="2026-04-01T00:00:00"/>
    <d v="2026-07-04T00:00:00"/>
    <s v="FOX Flashtalking"/>
    <s v="CPM"/>
    <n v="20.9"/>
    <n v="17000000"/>
    <n v="355300"/>
    <s v="CoV Impressions"/>
    <s v="performance"/>
    <n v="0"/>
    <n v="0"/>
    <s v="performance"/>
    <n v="3126128"/>
    <s v="invoice_schedule"/>
    <n v="65336.075199999999"/>
    <n v="65336.075199999999"/>
    <n v="65336.075199999999"/>
    <n v="3067953"/>
    <n v="3126128"/>
    <d v="2026-04-01T00:00:00"/>
    <d v="2026-07-04T00:00:00"/>
    <s v="Grace Stryker"/>
    <s v="None"/>
    <s v="JUN'26"/>
    <n v="637500.01"/>
    <n v="125024"/>
    <s v="Tim Wodzisz"/>
  </r>
  <r>
    <s v="AGC005478"/>
    <s v="SARGENTO"/>
    <s v="ADV001946"/>
    <s v="SARGENTO/DIGITAL/FOX/ENTERTAINMENT/2026/SC"/>
    <x v="114"/>
    <m/>
    <m/>
    <n v="582762"/>
    <s v="SARGENTO DIO - LFV - RON Ent - Absolute A - Show Mix - DT/MB/CTV/STB FLIGHT 2"/>
    <d v="2026-06-07T00:00:00"/>
    <d v="2026-07-15T00:00:00"/>
    <s v="FOX Flashtalking"/>
    <s v="CPM"/>
    <n v="38"/>
    <n v="2689474"/>
    <n v="102200.01"/>
    <s v="CoV Impressions"/>
    <s v="performance"/>
    <n v="0"/>
    <n v="0"/>
    <s v="performance"/>
    <n v="1875242"/>
    <s v="invoice_schedule"/>
    <n v="71259.195999999996"/>
    <n v="71259.195999999996"/>
    <n v="71259.195999999996"/>
    <n v="1770019"/>
    <n v="1875242"/>
    <d v="2026-06-07T00:00:00"/>
    <d v="2026-07-15T00:00:00"/>
    <s v="Grace Stryker"/>
    <s v="None"/>
    <s v="JUN'26"/>
    <n v="637500.01"/>
    <n v="125024"/>
    <s v="Tim Wodzisz"/>
  </r>
  <r>
    <s v="AGC001913"/>
    <s v="CONSTELLATION BRANDS"/>
    <s v="ADV001091"/>
    <s v="Constellation/2026/Scatter/Digital/MWC"/>
    <x v="115"/>
    <s v="Run of FOX Sports Video - Package"/>
    <n v="8002"/>
    <n v="581023"/>
    <s v="CONSTELLATION BRANDS/S/SPORTS/25-26/MWC/Run of FS Video"/>
    <d v="2026-06-01T00:00:00"/>
    <d v="2026-07-19T00:00:00"/>
    <s v="FOX 1st Party"/>
    <s v="CPM"/>
    <n v="25"/>
    <n v="1000000"/>
    <n v="25000"/>
    <s v="CoV Impressions"/>
    <s v="performance"/>
    <n v="0"/>
    <n v="0"/>
    <s v="performance"/>
    <n v="544781"/>
    <s v="invoice_schedule"/>
    <n v="13619.525"/>
    <n v="13619.525"/>
    <n v="13619.525"/>
    <n v="544781"/>
    <n v="0"/>
    <d v="2026-06-01T00:00:00"/>
    <d v="2026-07-19T00:00:00"/>
    <s v="John Hertman"/>
    <s v="None"/>
    <s v="JUN'26"/>
    <n v="1244033.04"/>
    <n v="128041"/>
    <s v="Colleen Cahill"/>
  </r>
  <r>
    <s v="AGC001913"/>
    <s v="CONSTELLATION BRANDS"/>
    <s v="ADV001091"/>
    <s v="Constellation/2026/Scatter/Digital/MWC"/>
    <x v="115"/>
    <s v="Run of World Cup Display - Package"/>
    <n v="8004"/>
    <n v="581025"/>
    <s v="CONSTELLATION BRANDS/S/SPORTS/25-26/MWC/Run of WC Display"/>
    <d v="2026-06-01T00:00:00"/>
    <d v="2026-07-19T00:00:00"/>
    <s v="FOX 1st Party"/>
    <s v="CPM"/>
    <n v="6"/>
    <n v="45833333"/>
    <n v="275000"/>
    <s v="Impressions"/>
    <s v="performance"/>
    <n v="0"/>
    <n v="0"/>
    <s v="performance"/>
    <n v="15895695"/>
    <s v="invoice_schedule"/>
    <n v="95374.17"/>
    <n v="95374.17"/>
    <n v="95374.17"/>
    <n v="15895695"/>
    <n v="0"/>
    <d v="2026-06-01T00:00:00"/>
    <d v="2026-07-19T00:00:00"/>
    <s v="John Hertman"/>
    <s v="None"/>
    <s v="JUN'26"/>
    <n v="1244033.04"/>
    <n v="128041"/>
    <s v="Colleen Cahill"/>
  </r>
  <r>
    <s v="AGC001913"/>
    <s v="CONSTELLATION BRANDS"/>
    <s v="ADV001091"/>
    <s v="Constellation/2026/Scatter/Digital/MWC"/>
    <x v="115"/>
    <s v="Run of World Cup Video - Package"/>
    <n v="8005"/>
    <n v="581027"/>
    <s v="CONSTELLATION BRANDS/S/SPORTS/25-26/MWC/Run of WC Video"/>
    <d v="2026-06-01T00:00:00"/>
    <d v="2026-07-19T00:00:00"/>
    <m/>
    <s v="CPM"/>
    <n v="30"/>
    <n v="9166667"/>
    <n v="275000.01"/>
    <s v="Impressions"/>
    <s v="performance"/>
    <n v="0"/>
    <n v="0"/>
    <s v="performance"/>
    <n v="6083425"/>
    <s v="invoice_schedule"/>
    <n v="182502.75"/>
    <n v="182502.75"/>
    <n v="182502.75"/>
    <n v="6083425"/>
    <n v="0"/>
    <d v="2026-06-01T00:00:00"/>
    <d v="2026-07-19T00:00:00"/>
    <s v="John Hertman"/>
    <s v="None"/>
    <s v="JUN'26"/>
    <n v="1244033.04"/>
    <n v="128041"/>
    <s v="Colleen Cahill"/>
  </r>
  <r>
    <s v="AGC001913"/>
    <s v="CONSTELLATION BRANDS"/>
    <s v="ADV001091"/>
    <s v="Constellation/2026/Scatter/Digital/MWC"/>
    <x v="115"/>
    <s v="World Cup Social Sponsorship Content - Package"/>
    <n v="8000"/>
    <n v="581030"/>
    <s v="CONSTELLATION BRANDS/S/SPORTS/25-26/MWC/SOCIAL"/>
    <d v="2026-06-01T00:00:00"/>
    <d v="2026-07-19T00:00:00"/>
    <s v="FOX 1st Party"/>
    <s v="SOV-Flat Rate"/>
    <n v="300000"/>
    <n v="3"/>
    <n v="300000"/>
    <s v="n/a"/>
    <s v="prorated"/>
    <n v="2"/>
    <n v="183673.4694"/>
    <s v="prorated"/>
    <n v="2"/>
    <s v="invoice_schedule"/>
    <n v="183673.4694"/>
    <n v="183673.4694"/>
    <n v="183673.4694"/>
    <m/>
    <m/>
    <d v="2026-06-01T00:00:00"/>
    <d v="2026-07-19T00:00:00"/>
    <s v="John Hertman"/>
    <s v="None"/>
    <s v="JUN'26"/>
    <n v="1244033.04"/>
    <n v="128041"/>
    <s v="Colleen Cahill"/>
  </r>
  <r>
    <s v="AGC001913"/>
    <s v="CONSTELLATION BRANDS"/>
    <s v="ADV001091"/>
    <s v="Constellation/2026/Scatter/Digital/MWC"/>
    <x v="115"/>
    <s v="Run of AllFOX Video - Package"/>
    <n v="7998"/>
    <n v="582669"/>
    <s v="CONSTELLATION BRANDS/S/SPORTS/25-26/ALLFOX/AAT"/>
    <d v="2026-06-01T00:00:00"/>
    <d v="2026-07-19T00:00:00"/>
    <s v="FOX 1st Party"/>
    <s v="CPM"/>
    <n v="23.53"/>
    <n v="4846282"/>
    <n v="114033.02"/>
    <s v="Impressions"/>
    <s v="performance"/>
    <n v="0"/>
    <n v="0"/>
    <s v="performance"/>
    <n v="3187194"/>
    <s v="invoice_schedule"/>
    <n v="74994.674799999993"/>
    <n v="74994.674799999993"/>
    <n v="74994.674799999993"/>
    <n v="3187194"/>
    <n v="0"/>
    <d v="2026-06-01T00:00:00"/>
    <d v="2026-07-19T00:00:00"/>
    <s v="John Hertman"/>
    <s v="None"/>
    <s v="JUN'26"/>
    <n v="1244033.04"/>
    <n v="128041"/>
    <s v="Colleen Cahill"/>
  </r>
  <r>
    <s v="AGC002239"/>
    <s v="DICK'S SPORTING GOODS"/>
    <s v="ADV005946"/>
    <s v="Dick's/2026 MWC/Digital/Scatter/Adidas"/>
    <x v="116"/>
    <s v="Run of World Cup Video - Package"/>
    <n v="8005"/>
    <n v="582272"/>
    <s v="DSG - Run of World Cup Video - Package - 2026"/>
    <d v="2026-06-11T00:00:00"/>
    <d v="2026-07-19T00:00:00"/>
    <s v="FOX Innovid"/>
    <s v="CPM"/>
    <n v="40"/>
    <n v="6525000"/>
    <n v="261000"/>
    <s v="Impressions"/>
    <s v="performance"/>
    <n v="0"/>
    <n v="0"/>
    <s v="performance"/>
    <n v="4354129"/>
    <s v="invoice_schedule"/>
    <n v="174165.16"/>
    <n v="174165.16"/>
    <n v="174165.16"/>
    <n v="4354129"/>
    <n v="0"/>
    <d v="2026-06-11T00:00:00"/>
    <d v="2026-07-19T00:00:00"/>
    <s v="Megan Sileo"/>
    <s v="None"/>
    <s v="JUN'26"/>
    <n v="1305000.01"/>
    <n v="128169"/>
    <s v="Tom Cecil"/>
  </r>
  <r>
    <s v="AGC002239"/>
    <s v="DICK'S SPORTING GOODS"/>
    <s v="ADV005946"/>
    <s v="Dick's/2026 MWC/Digital/Scatter/Adidas"/>
    <x v="116"/>
    <s v="World Cup FOX Sports Site &amp; App Takeover - Package"/>
    <n v="8003"/>
    <n v="582287"/>
    <s v="DSG - World Cup FOX Sports Site &amp; App Takeover - Package - 2026"/>
    <d v="2026-06-24T00:00:00"/>
    <d v="2026-06-24T00:00:00"/>
    <s v="FOX DCM"/>
    <s v="Cost Per Day"/>
    <n v="42500"/>
    <n v="6"/>
    <n v="255000"/>
    <s v="Days"/>
    <s v="prorated"/>
    <n v="6"/>
    <n v="255000"/>
    <s v="prorated"/>
    <n v="6"/>
    <s v="invoice_schedule"/>
    <n v="255000"/>
    <n v="255000"/>
    <n v="255000"/>
    <n v="0"/>
    <n v="0"/>
    <d v="2026-06-24T00:00:00"/>
    <d v="2026-06-24T00:00:00"/>
    <s v="Megan Sileo"/>
    <s v="None"/>
    <s v="JUN'26"/>
    <n v="1305000.01"/>
    <n v="128169"/>
    <s v="Tom Cecil"/>
  </r>
  <r>
    <s v="AGC002239"/>
    <s v="DICK'S SPORTING GOODS"/>
    <s v="ADV005946"/>
    <s v="Dick's/2026 MWC/Digital/Scatter/Adidas"/>
    <x v="116"/>
    <s v="Run of FOX Sports Video - Package"/>
    <n v="8002"/>
    <n v="582667"/>
    <s v="DSG - Run of FOX Sports Video - Package - 2026"/>
    <d v="2026-06-11T00:00:00"/>
    <d v="2026-07-19T00:00:00"/>
    <s v="FOX Innovid"/>
    <s v="CPM"/>
    <n v="25"/>
    <n v="3840000"/>
    <n v="96000.01"/>
    <m/>
    <s v="performance"/>
    <n v="0"/>
    <n v="0"/>
    <s v="performance"/>
    <n v="1171560"/>
    <s v="invoice_schedule"/>
    <n v="29289"/>
    <n v="29289"/>
    <n v="29289"/>
    <n v="1171560"/>
    <n v="0"/>
    <d v="2026-06-11T00:00:00"/>
    <d v="2026-07-19T00:00:00"/>
    <s v="Megan Sileo"/>
    <s v="None"/>
    <s v="JUN'26"/>
    <n v="1305000.01"/>
    <n v="128169"/>
    <s v="Tom Cecil"/>
  </r>
  <r>
    <s v="AGC002239"/>
    <s v="DICK'S SPORTING GOODS"/>
    <s v="ADV005946"/>
    <s v="Dick's/2026 MWC/Digital/Scatter/Adidas"/>
    <x v="116"/>
    <s v="Run of AllFOX Video - Package"/>
    <n v="7998"/>
    <n v="582672"/>
    <s v="DSG - Run of AllFOX Video - Package-AAT- 2026"/>
    <d v="2026-06-11T00:00:00"/>
    <d v="2026-07-19T00:00:00"/>
    <s v="FOX Innovid"/>
    <s v="CPM"/>
    <n v="20"/>
    <n v="12150000"/>
    <n v="243000"/>
    <s v="Impressions"/>
    <s v="performance"/>
    <n v="0"/>
    <n v="0"/>
    <s v="performance"/>
    <n v="6754441"/>
    <s v="invoice_schedule"/>
    <n v="135088.82"/>
    <n v="135088.82"/>
    <n v="135088.82"/>
    <n v="6754441"/>
    <n v="0"/>
    <d v="2026-06-11T00:00:00"/>
    <d v="2026-07-19T00:00:00"/>
    <s v="Megan Sileo"/>
    <s v="None"/>
    <s v="JUN'26"/>
    <n v="1305000.01"/>
    <n v="128169"/>
    <s v="Tom Cecil"/>
  </r>
  <r>
    <s v="AGC002239"/>
    <s v="DICK'S SPORTING GOODS"/>
    <s v="ADV005946"/>
    <s v="Dick's/2026 MWC/Digital/Scatter/Adidas"/>
    <x v="116"/>
    <s v="World Cup Social Sponsorship Content - Package"/>
    <n v="8000"/>
    <n v="582675"/>
    <s v="DSG - World Cup Social Sponsorship Content - Package - 2026"/>
    <d v="2026-06-01T00:00:00"/>
    <d v="2026-07-19T00:00:00"/>
    <s v="FOX 1st Party"/>
    <s v="SOV-Flat Rate"/>
    <n v="450000"/>
    <n v="3"/>
    <n v="450000"/>
    <s v="n/a"/>
    <s v="prorated"/>
    <n v="2"/>
    <n v="275510.20409999997"/>
    <s v="prorated"/>
    <n v="2"/>
    <s v="invoice_schedule"/>
    <n v="275510.20409999997"/>
    <n v="275510.20409999997"/>
    <n v="275510.20409999997"/>
    <m/>
    <m/>
    <d v="2026-06-01T00:00:00"/>
    <d v="2026-07-19T00:00:00"/>
    <s v="Megan Sileo"/>
    <s v="None"/>
    <s v="JUN'26"/>
    <n v="1305000.01"/>
    <n v="128169"/>
    <s v="Tom Cecil"/>
  </r>
  <r>
    <s v="AGC002411"/>
    <s v="ALLSTATE"/>
    <s v="ADV001510"/>
    <s v="Allstate/Digital/Scatter/MWC/Q2-Q3'26"/>
    <x v="117"/>
    <s v="World Cup Social Sponsorship Content - Package"/>
    <n v="8000"/>
    <n v="582215"/>
    <s v="Allstate - World Cup Social Sponsorship Content - Package"/>
    <d v="2026-06-01T00:00:00"/>
    <d v="2026-07-19T00:00:00"/>
    <m/>
    <s v="Cost Per Unit"/>
    <n v="0.15"/>
    <n v="2000000"/>
    <n v="300000"/>
    <s v="Placements"/>
    <s v="straightline"/>
    <n v="1000000"/>
    <n v="150000"/>
    <s v="straightline"/>
    <n v="1000000"/>
    <s v="invoice_schedule"/>
    <n v="150000"/>
    <n v="150000"/>
    <n v="150000"/>
    <m/>
    <m/>
    <d v="2026-06-01T00:00:00"/>
    <d v="2026-07-19T00:00:00"/>
    <s v="Grace Stryker"/>
    <s v="None"/>
    <s v="JUN'26"/>
    <n v="1000000"/>
    <n v="127695"/>
    <s v="Matt Frey"/>
  </r>
  <r>
    <s v="AGC002411"/>
    <s v="ALLSTATE"/>
    <s v="ADV001510"/>
    <s v="Allstate/Digital/Scatter/MWC/Q2-Q3'26"/>
    <x v="117"/>
    <s v="Run of World Cup Video - Package"/>
    <n v="8005"/>
    <n v="582226"/>
    <s v="Allstate - Run of World Cup Video - Package"/>
    <d v="2026-06-01T00:00:00"/>
    <d v="2026-07-19T00:00:00"/>
    <s v="FOX DCM"/>
    <s v="CPM"/>
    <n v="40"/>
    <n v="15000000"/>
    <n v="600000"/>
    <s v="Impressions"/>
    <s v="performance"/>
    <n v="0"/>
    <n v="0"/>
    <s v="performance"/>
    <n v="8302488"/>
    <s v="invoice_schedule"/>
    <n v="332099.52"/>
    <n v="332099.52"/>
    <n v="332099.52"/>
    <n v="8313169"/>
    <n v="8302488"/>
    <d v="2026-06-01T00:00:00"/>
    <d v="2026-07-19T00:00:00"/>
    <s v="Grace Stryker"/>
    <s v="None"/>
    <s v="JUN'26"/>
    <n v="1000000"/>
    <n v="127695"/>
    <s v="Matt Frey"/>
  </r>
  <r>
    <s v="AGC002411"/>
    <s v="ALLSTATE"/>
    <s v="ADV001510"/>
    <s v="Allstate/Digital/Scatter/MWC/Q2-Q3'26"/>
    <x v="117"/>
    <s v="Run of World Cup Display - Package"/>
    <n v="8004"/>
    <n v="582237"/>
    <s v="Allstate - Run of World Cup Display - Package"/>
    <d v="2026-06-01T00:00:00"/>
    <d v="2026-07-19T00:00:00"/>
    <s v="FOX DCM"/>
    <s v="CPM"/>
    <n v="6"/>
    <n v="16666667"/>
    <n v="100000"/>
    <s v="Impressions"/>
    <s v="straightline"/>
    <n v="8333333"/>
    <n v="50000"/>
    <s v="straightline"/>
    <n v="8333334"/>
    <s v="invoice_schedule"/>
    <n v="50000"/>
    <n v="50000"/>
    <n v="50000"/>
    <n v="10862662"/>
    <n v="10860868"/>
    <d v="2026-06-01T00:00:00"/>
    <d v="2026-07-19T00:00:00"/>
    <s v="Grace Stryker"/>
    <s v="None"/>
    <s v="JUN'26"/>
    <n v="1000000"/>
    <n v="127695"/>
    <s v="Matt Frey"/>
  </r>
  <r>
    <s v="AGC002175"/>
    <s v="MILLERCOORS"/>
    <s v="ADV006968"/>
    <s v="Coors Light/Digital/Scatter/Men's World Cup/Q2-Q3'26"/>
    <x v="118"/>
    <s v="World Cup Social Sponsorship Content - Package"/>
    <n v="8000"/>
    <n v="582132"/>
    <s v="Coors Light - World Cup Social Sponsorship Content - Package - X"/>
    <d v="2026-06-11T00:00:00"/>
    <d v="2026-07-19T00:00:00"/>
    <s v="FOX 1st Party"/>
    <s v="SOV-Flat Rate"/>
    <n v="250000"/>
    <n v="1"/>
    <n v="250000"/>
    <s v="n/a"/>
    <s v="prorated"/>
    <n v="1"/>
    <n v="128205.1283"/>
    <s v="prorated"/>
    <n v="1"/>
    <s v="invoice_schedule"/>
    <n v="128205.1283"/>
    <n v="128205.1283"/>
    <n v="128205.1283"/>
    <m/>
    <m/>
    <d v="2026-06-11T00:00:00"/>
    <d v="2026-07-19T00:00:00"/>
    <s v="Grace Stryker"/>
    <s v="None"/>
    <s v="JUN'26"/>
    <n v="600000.01"/>
    <n v="129350"/>
    <s v="Matt Frey"/>
  </r>
  <r>
    <s v="AGC002175"/>
    <s v="MILLERCOORS"/>
    <s v="ADV006968"/>
    <s v="Coors Light/Digital/Scatter/Men's World Cup/Q2-Q3'26"/>
    <x v="118"/>
    <s v="Run of World Cup Video - Package"/>
    <n v="8005"/>
    <n v="582142"/>
    <s v="Coors Light - Run of World Cup Video - Package"/>
    <d v="2026-06-01T00:00:00"/>
    <d v="2026-07-19T00:00:00"/>
    <s v="FOX Innovid"/>
    <s v="CPM"/>
    <n v="40"/>
    <n v="8750000"/>
    <n v="350000"/>
    <s v="Impressions"/>
    <s v="performance"/>
    <n v="0"/>
    <n v="0"/>
    <s v="performance"/>
    <n v="5855991"/>
    <s v="invoice_schedule"/>
    <n v="234239.64"/>
    <n v="234239.64"/>
    <n v="234239.64"/>
    <n v="5844753"/>
    <n v="5855991"/>
    <d v="2026-06-01T00:00:00"/>
    <d v="2026-07-19T00:00:00"/>
    <s v="Grace Stryker"/>
    <s v="None"/>
    <s v="JUN'26"/>
    <n v="600000.01"/>
    <n v="129350"/>
    <s v="Matt Frey"/>
  </r>
  <r>
    <s v="AGC001386"/>
    <s v="BRISTOL MYERS SQUIBB"/>
    <s v="ADV003845"/>
    <s v="BMS/25-26/Upfront/Digital/ENT/QVANTIG"/>
    <x v="119"/>
    <s v="DIO - LFV - Entertainment ROS - Package"/>
    <n v="2789"/>
    <n v="556628"/>
    <s v="BMS/UF/RON/25-26/AAT/2Q'26/QVANTIG"/>
    <d v="2026-04-01T00:00:00"/>
    <d v="2026-06-30T00:00:00"/>
    <s v="FOX Flashtalking"/>
    <s v="CPM"/>
    <n v="52.25"/>
    <n v="956938"/>
    <n v="50000.01"/>
    <s v="Impressions"/>
    <s v="performance"/>
    <n v="0"/>
    <n v="0"/>
    <s v="performance"/>
    <n v="1"/>
    <s v="invoice_schedule"/>
    <n v="0.05"/>
    <n v="0.05"/>
    <n v="0.05"/>
    <n v="94262"/>
    <n v="99974"/>
    <d v="2026-04-01T00:00:00"/>
    <d v="2026-06-30T00:00:00"/>
    <s v="John Hertman"/>
    <s v="None"/>
    <s v="JUN'26"/>
    <n v="90000.06"/>
    <n v="108730"/>
    <s v="Jeanne Feeley"/>
  </r>
  <r>
    <s v="AGC001386"/>
    <s v="BRISTOL MYERS SQUIBB"/>
    <s v="ADV003845"/>
    <s v="BMS/25-26/Upfront/Digital/Sports/CAMZYOS"/>
    <x v="120"/>
    <s v="DIO - LFV - FSLS - Pre/Mid - ROS - DT/MB/CTV - Package"/>
    <n v="3534"/>
    <n v="556448"/>
    <s v="BMS/UF/SPORTS/D/25-26/LFV/AAT/2Q'26/CAMZYOS"/>
    <d v="2026-04-01T00:00:00"/>
    <d v="2026-06-30T00:00:00"/>
    <s v="FOX Flashtalking"/>
    <s v="CPM"/>
    <n v="59"/>
    <n v="1396916"/>
    <n v="82418.05"/>
    <s v="Impressions"/>
    <s v="performance"/>
    <n v="0"/>
    <n v="0"/>
    <s v="performance"/>
    <n v="92455"/>
    <s v="invoice_schedule"/>
    <n v="5454.8450000000003"/>
    <n v="5454.8450000000003"/>
    <n v="5454.8450000000003"/>
    <n v="93597"/>
    <n v="92455"/>
    <d v="2026-04-01T00:00:00"/>
    <d v="2026-06-30T00:00:00"/>
    <s v="John Hertman"/>
    <s v="None"/>
    <s v="JUN'26"/>
    <n v="150000.35999999999"/>
    <n v="108737"/>
    <s v="Colleen Cahill"/>
  </r>
  <r>
    <s v="AGC005026"/>
    <s v="INDEED.COM"/>
    <s v="ADV004116"/>
    <s v="Indeed/2026/Scatter/Digital/MWC"/>
    <x v="121"/>
    <s v="Run of World Cup Display - Package"/>
    <n v="8004"/>
    <n v="582775"/>
    <s v="Indeed - Run of World Cup Display"/>
    <d v="2026-06-03T00:00:00"/>
    <d v="2026-07-19T00:00:00"/>
    <s v="FOX DCM"/>
    <s v="CPM"/>
    <n v="6"/>
    <n v="20281667"/>
    <n v="121690"/>
    <s v="Impressions"/>
    <s v="performance"/>
    <n v="0"/>
    <n v="0"/>
    <s v="performance"/>
    <n v="9671448"/>
    <s v="invoice_schedule"/>
    <n v="58028.688000000002"/>
    <n v="58028.688000000002"/>
    <n v="58028.688000000002"/>
    <n v="9649662"/>
    <n v="9671448"/>
    <d v="2026-06-03T00:00:00"/>
    <d v="2026-07-19T00:00:00"/>
    <s v="Kelsey Brahms"/>
    <s v="None"/>
    <s v="JUN'26"/>
    <n v="1227498.03"/>
    <n v="129257"/>
    <s v="Colleen Cahill"/>
  </r>
  <r>
    <s v="AGC005026"/>
    <s v="INDEED.COM"/>
    <s v="ADV004116"/>
    <s v="Indeed/2026/Scatter/Digital/MWC"/>
    <x v="121"/>
    <s v="Run of World Cup Video - Package"/>
    <n v="8005"/>
    <n v="582776"/>
    <s v="Indeed - Run of World Cup Video"/>
    <d v="2026-06-03T00:00:00"/>
    <d v="2026-07-19T00:00:00"/>
    <s v="FOX DCM"/>
    <s v="CPM"/>
    <n v="36.5"/>
    <n v="12778083"/>
    <n v="466400.03"/>
    <s v="Impressions"/>
    <s v="performance"/>
    <n v="0"/>
    <n v="0"/>
    <s v="performance"/>
    <n v="8535998"/>
    <s v="invoice_schedule"/>
    <n v="311563.92700000003"/>
    <n v="311563.92700000003"/>
    <n v="311563.92700000003"/>
    <n v="8532477"/>
    <n v="8535998"/>
    <d v="2026-06-03T00:00:00"/>
    <d v="2026-07-19T00:00:00"/>
    <s v="Kelsey Brahms"/>
    <s v="None"/>
    <s v="JUN'26"/>
    <n v="1227498.03"/>
    <n v="129257"/>
    <s v="Colleen Cahill"/>
  </r>
  <r>
    <s v="AGC005026"/>
    <s v="INDEED.COM"/>
    <s v="ADV004116"/>
    <s v="Indeed/2026/Scatter/Digital/MWC"/>
    <x v="121"/>
    <s v="World Cup Social Sponsorship Content - Package"/>
    <n v="8000"/>
    <n v="582777"/>
    <s v="Indeed - World Cup Social Sponsorship Content"/>
    <d v="2026-06-03T00:00:00"/>
    <d v="2026-07-19T00:00:00"/>
    <s v="FOX 1st Party"/>
    <s v="SOV-Flat Rate"/>
    <n v="389408"/>
    <n v="3"/>
    <n v="389408"/>
    <s v="n/a"/>
    <s v="prorated"/>
    <n v="2"/>
    <n v="231987.74470000001"/>
    <s v="prorated"/>
    <n v="2"/>
    <s v="invoice_schedule"/>
    <n v="231987.74470000001"/>
    <n v="231987.74470000001"/>
    <n v="231987.74470000001"/>
    <m/>
    <m/>
    <d v="2026-06-03T00:00:00"/>
    <d v="2026-07-19T00:00:00"/>
    <s v="Kelsey Brahms"/>
    <s v="None"/>
    <s v="JUN'26"/>
    <n v="1227498.03"/>
    <n v="129257"/>
    <s v="Colleen Cahill"/>
  </r>
  <r>
    <s v="AGC005026"/>
    <s v="INDEED.COM"/>
    <s v="ADV004116"/>
    <s v="Indeed/2026/Scatter/Digital/MWC"/>
    <x v="121"/>
    <s v="World Cup FOX Sports Site &amp; App Takeover - Package"/>
    <n v="8003"/>
    <n v="587938"/>
    <s v="Indeed - World Cup FOX Sports Site &amp; App Takeover- 6/27"/>
    <d v="2026-06-27T00:00:00"/>
    <d v="2026-06-27T00:00:00"/>
    <s v="FOX DCM"/>
    <s v="Cost Per Day"/>
    <n v="41666.67"/>
    <n v="6"/>
    <n v="0"/>
    <s v="Days"/>
    <s v="prorated"/>
    <n v="0"/>
    <n v="0"/>
    <s v="performance"/>
    <n v="0"/>
    <s v="invoice_schedule"/>
    <n v="0"/>
    <n v="0"/>
    <n v="0"/>
    <n v="0"/>
    <n v="0"/>
    <d v="2026-06-27T00:00:00"/>
    <d v="2026-06-27T00:00:00"/>
    <s v="Kelsey Brahms"/>
    <s v="None"/>
    <s v="JUN'26"/>
    <n v="1227498.03"/>
    <n v="129257"/>
    <s v="Colleen Cahill"/>
  </r>
  <r>
    <s v="AGC002411"/>
    <s v="MCDONALDS"/>
    <s v="ADV001113"/>
    <s v="McDonalds/Digital/Scatter/Sports/World Cup '26"/>
    <x v="122"/>
    <s v="World Cup FOX Sports Site &amp; App Takeover - Package"/>
    <n v="8003"/>
    <n v="579585"/>
    <s v="MCD - World Cup FOX Sports Site &amp; App Takeover - Package - 6/11 - OMP"/>
    <d v="2026-06-11T00:00:00"/>
    <d v="2026-06-11T00:00:00"/>
    <s v="FOX DCM"/>
    <s v="Cost Per Day"/>
    <n v="50000"/>
    <n v="6"/>
    <n v="300000"/>
    <s v="Days"/>
    <s v="prorated"/>
    <n v="6"/>
    <n v="300000"/>
    <s v="prorated"/>
    <n v="6"/>
    <s v="invoice_schedule"/>
    <n v="300000"/>
    <n v="300000"/>
    <n v="300000"/>
    <n v="0"/>
    <n v="0"/>
    <d v="2026-06-11T00:00:00"/>
    <d v="2026-06-11T00:00:00"/>
    <s v="Katie Johnson"/>
    <s v="None"/>
    <s v="JUN'26"/>
    <n v="850000"/>
    <n v="129276"/>
    <s v="Lisa Geraldson"/>
  </r>
  <r>
    <s v="AGC002411"/>
    <s v="MCDONALDS"/>
    <s v="ADV001113"/>
    <s v="McDonalds/Digital/Scatter/Sports/World Cup '26"/>
    <x v="122"/>
    <s v="Run of World Cup Video - Package"/>
    <n v="8005"/>
    <n v="581035"/>
    <s v="MCD - Run of World Cup Video - Package - OMP"/>
    <d v="2026-06-09T00:00:00"/>
    <d v="2026-07-19T00:00:00"/>
    <s v="FOX DCM"/>
    <s v="CPM"/>
    <n v="40"/>
    <n v="13750000"/>
    <n v="550000"/>
    <s v="Impressions"/>
    <s v="performance"/>
    <n v="0"/>
    <n v="0"/>
    <s v="performance"/>
    <n v="9112118"/>
    <s v="invoice_schedule"/>
    <n v="364484.72"/>
    <n v="364484.72"/>
    <n v="364484.72"/>
    <n v="9121683"/>
    <n v="9112118"/>
    <d v="2026-06-09T00:00:00"/>
    <d v="2026-07-19T00:00:00"/>
    <s v="Katie Johnson"/>
    <s v="None"/>
    <s v="JUN'26"/>
    <n v="850000"/>
    <n v="129276"/>
    <s v="Lisa Geraldson"/>
  </r>
  <r>
    <s v="AGC002411"/>
    <s v="MCDONALDS"/>
    <s v="ADV001113"/>
    <s v="McDonalds/Digital/Scatter/Sports/World Cup '26"/>
    <x v="122"/>
    <s v="World Cup FOX Sports Site &amp; App Takeover - Package"/>
    <n v="8003"/>
    <n v="596271"/>
    <s v="MCD - World Cup FOX Sports Site &amp; App Takeover - Package - 6/30 - OMP MG"/>
    <d v="2026-06-30T00:00:00"/>
    <d v="2026-06-30T00:00:00"/>
    <s v="FOX DCM"/>
    <s v="Cost Per Day"/>
    <n v="75000"/>
    <n v="4"/>
    <n v="0"/>
    <s v="Days"/>
    <s v="prorated"/>
    <n v="4"/>
    <n v="0"/>
    <s v="prorated"/>
    <n v="4"/>
    <s v="invoice_schedule"/>
    <n v="0"/>
    <n v="0"/>
    <n v="0"/>
    <n v="0"/>
    <n v="0"/>
    <d v="2026-06-30T00:00:00"/>
    <d v="2026-06-30T00:00:00"/>
    <s v="Katie Johnson"/>
    <s v="None"/>
    <s v="JUN'26"/>
    <n v="850000"/>
    <n v="129276"/>
    <s v="Lisa Geraldson"/>
  </r>
  <r>
    <s v="AGC002371"/>
    <s v="NUTRAFOL"/>
    <s v="ADV008819"/>
    <s v="Nutrafol/2Q26/Digital/Entertainment/DR "/>
    <x v="123"/>
    <s v="Generic Flighted Bottom Up Package"/>
    <n v="1"/>
    <n v="556672"/>
    <s v="Nutrafol - LFV - RON Ent - Pre/Mid - ROS - DT/MB/CTV/STB - non-CoV Preemptible - 2Q26"/>
    <d v="2026-06-08T00:00:00"/>
    <d v="2026-06-30T00:00:00"/>
    <s v="FOX Extreme Reach"/>
    <s v="CPM"/>
    <n v="12.5"/>
    <n v="2500080"/>
    <n v="31251"/>
    <s v="Impressions"/>
    <s v="performance"/>
    <n v="0"/>
    <n v="0"/>
    <s v="performance"/>
    <n v="749897"/>
    <s v="invoice_schedule"/>
    <n v="9373.7124999999996"/>
    <n v="9373.7124999999996"/>
    <n v="9373.7124999999996"/>
    <n v="742601"/>
    <n v="749897"/>
    <d v="2026-06-08T00:00:00"/>
    <d v="2026-06-30T00:00:00"/>
    <s v="Jessica Lang"/>
    <s v="None"/>
    <s v="JUN'26"/>
    <n v="31251"/>
    <n v="120914"/>
    <s v="Nunzio Belfiore"/>
  </r>
  <r>
    <s v="AGC001318"/>
    <s v="ZILLOW.COM"/>
    <s v="ADV000211"/>
    <s v="Zillow 2026 MWC Digital Plan"/>
    <x v="124"/>
    <s v="DIO - SOC - FS - MWC - Package"/>
    <n v="7981"/>
    <n v="558520"/>
    <s v="Zillow - DIO - SOC - FS - MWC - Social Package"/>
    <d v="2026-03-01T00:00:00"/>
    <d v="2026-07-22T00:00:00"/>
    <s v="FOX 1st Party"/>
    <s v="SOV-Flat Rate"/>
    <n v="4000000"/>
    <n v="4"/>
    <n v="4000000"/>
    <s v="n/a"/>
    <s v="prorated"/>
    <n v="1"/>
    <n v="833333.33330000006"/>
    <s v="prorated"/>
    <n v="0"/>
    <s v="invoice_schedule"/>
    <n v="1061946.9029999999"/>
    <n v="1061946.9025999999"/>
    <n v="1061946.9025999999"/>
    <m/>
    <m/>
    <d v="2026-03-01T00:00:00"/>
    <d v="2026-07-22T00:00:00"/>
    <s v="Jessica Lang"/>
    <s v="None"/>
    <s v="JUN'26"/>
    <n v="4000000"/>
    <n v="109945"/>
    <s v="Dylan Giordano"/>
  </r>
  <r>
    <s v="AGC005095"/>
    <s v="VGP HOLDINGS LLC"/>
    <s v="ADV006108"/>
    <s v="Valvoline/Digital/Scatter/OneFox/WC2026"/>
    <x v="125"/>
    <s v="DIO - ROV - 1F SEN - Pre/Mid - ROS - FW - SXD - Package"/>
    <n v="7950"/>
    <n v="564222"/>
    <s v="Valvoline - Heavy Duty -  DIO - ROV - 1F SEN - Pre/Mid - ROS - FW - SXD - 1Q2Q26"/>
    <d v="2026-03-16T00:00:00"/>
    <d v="2026-10-31T00:00:00"/>
    <s v="FOX 1st Party"/>
    <s v="CPM"/>
    <n v="11"/>
    <n v="18750000"/>
    <n v="206250"/>
    <s v="Impressions"/>
    <s v="performance"/>
    <n v="0"/>
    <n v="0"/>
    <s v="performance"/>
    <n v="0"/>
    <s v="invoice_schedule"/>
    <n v="0"/>
    <n v="0"/>
    <n v="0"/>
    <m/>
    <m/>
    <d v="2026-03-16T00:00:00"/>
    <d v="2026-10-31T00:00:00"/>
    <s v="Anthony Gizzo"/>
    <s v="None"/>
    <s v="JUN'26"/>
    <n v="450000"/>
    <n v="117008"/>
    <s v="Adam Chardavoyne"/>
  </r>
  <r>
    <s v="AGC002601"/>
    <s v="AT&amp;T ENTERTAINMENT GROUP"/>
    <s v="ADV007060"/>
    <s v="AT&amp;T/Digital/Direct/Scatter/Sports/MWC/2026"/>
    <x v="126"/>
    <s v="Run of World Cup Video - Package"/>
    <n v="8005"/>
    <n v="581721"/>
    <s v="AT&amp;T - Run of World Cup Video - Package"/>
    <d v="2026-06-11T00:00:00"/>
    <d v="2026-07-19T00:00:00"/>
    <s v="FOX DCM"/>
    <s v="CPM"/>
    <n v="33.75"/>
    <n v="20888889"/>
    <n v="705000"/>
    <s v="Impressions"/>
    <s v="performance"/>
    <n v="0"/>
    <n v="0"/>
    <s v="performance"/>
    <n v="14868276"/>
    <s v="invoice_schedule"/>
    <n v="501804.31510000001"/>
    <n v="501804.31510000001"/>
    <n v="501804.31510000001"/>
    <n v="14834414"/>
    <n v="14868276"/>
    <d v="2026-06-11T00:00:00"/>
    <d v="2026-07-19T00:00:00"/>
    <s v="Kailey McGinn"/>
    <s v="None"/>
    <s v="JUN'26"/>
    <n v="2000000.03"/>
    <n v="127769"/>
    <s v="Nicole Gamache"/>
  </r>
  <r>
    <s v="AGC002601"/>
    <s v="AT&amp;T ENTERTAINMENT GROUP"/>
    <s v="ADV007060"/>
    <s v="AT&amp;T/Digital/Direct/Scatter/Sports/MWC/2026"/>
    <x v="126"/>
    <s v="Run of World Cup Display - Package"/>
    <n v="8004"/>
    <n v="581872"/>
    <s v="AT&amp;T - Run of World Cup Display - Package"/>
    <d v="2026-06-11T00:00:00"/>
    <d v="2026-07-19T00:00:00"/>
    <m/>
    <s v="CPM"/>
    <n v="6"/>
    <n v="7500000"/>
    <n v="45000"/>
    <s v="Impressions"/>
    <s v="performance"/>
    <n v="0"/>
    <n v="0"/>
    <s v="performance"/>
    <n v="2909711"/>
    <s v="invoice_schedule"/>
    <n v="17458.266"/>
    <n v="17458.266"/>
    <n v="17458.266"/>
    <n v="2910420"/>
    <n v="2909711"/>
    <d v="2026-06-11T00:00:00"/>
    <d v="2026-07-19T00:00:00"/>
    <s v="Kailey McGinn"/>
    <s v="None"/>
    <s v="JUN'26"/>
    <n v="2000000.03"/>
    <n v="127769"/>
    <s v="Nicole Gamache"/>
  </r>
  <r>
    <s v="AGC002601"/>
    <s v="AT&amp;T ENTERTAINMENT GROUP"/>
    <s v="ADV007060"/>
    <s v="AT&amp;T/Digital/Direct/Scatter/Sports/MWC/2026"/>
    <x v="126"/>
    <s v="World Cup Social Sponsorship Content - Package"/>
    <n v="8000"/>
    <n v="581894"/>
    <s v="AT&amp;T - World Cup Social Sponsorship Content - Package"/>
    <d v="2026-06-11T00:00:00"/>
    <d v="2026-07-19T00:00:00"/>
    <s v="FOX 1st Party"/>
    <s v="SOV-Flat Rate"/>
    <n v="1000000"/>
    <n v="1"/>
    <n v="1000000"/>
    <s v="n/a"/>
    <s v="prorated"/>
    <n v="1"/>
    <n v="512820.51289999997"/>
    <s v="prorated"/>
    <n v="1"/>
    <s v="invoice_schedule"/>
    <n v="512820.51289999997"/>
    <n v="512820.51289999997"/>
    <n v="512820.51289999997"/>
    <m/>
    <m/>
    <d v="2026-06-11T00:00:00"/>
    <d v="2026-07-19T00:00:00"/>
    <s v="Kailey McGinn"/>
    <s v="None"/>
    <s v="JUN'26"/>
    <n v="2000000.03"/>
    <n v="127769"/>
    <s v="Nicole Gamache"/>
  </r>
  <r>
    <s v="AGC002601"/>
    <s v="AT&amp;T ENTERTAINMENT GROUP"/>
    <s v="ADV007060"/>
    <s v="AT&amp;T/Digital/Direct/Scatter/Sports/MWC/2026"/>
    <x v="126"/>
    <s v="World Cup FOX Sports Site &amp; App Takeover - Package"/>
    <n v="8003"/>
    <n v="581899"/>
    <s v="AT&amp;T - World Cup FOX Sports Site &amp; App Takeover - Package - 6/18"/>
    <d v="2026-06-18T00:00:00"/>
    <d v="2026-06-18T00:00:00"/>
    <s v="FOX DCM"/>
    <s v="Cost Per Day"/>
    <n v="41666.67"/>
    <n v="6"/>
    <n v="250000"/>
    <s v="Days"/>
    <s v="prorated"/>
    <n v="6"/>
    <n v="250000"/>
    <s v="prorated"/>
    <n v="6"/>
    <s v="invoice_schedule"/>
    <n v="250000"/>
    <n v="250000"/>
    <n v="250000"/>
    <n v="0"/>
    <n v="0"/>
    <d v="2026-06-18T00:00:00"/>
    <d v="2026-06-18T00:00:00"/>
    <s v="Kailey McGinn"/>
    <s v="None"/>
    <s v="JUN'26"/>
    <n v="2000000.03"/>
    <n v="127769"/>
    <s v="Nicole Gamache"/>
  </r>
  <r>
    <s v="AGC002601"/>
    <s v="AT&amp;T ENTERTAINMENT GROUP"/>
    <s v="ADV007060"/>
    <s v="AT&amp;T/Digital/Direct/Scatter/Sports/MWC/2026"/>
    <x v="126"/>
    <s v="Run of World Cup Video - Package"/>
    <n v="8005"/>
    <n v="595194"/>
    <s v="MG -  AT&amp;T - Run of World Cup Video - Package"/>
    <d v="2026-06-22T00:00:00"/>
    <d v="2026-07-19T00:00:00"/>
    <s v="FOX DCM"/>
    <s v="CPM"/>
    <n v="33.75"/>
    <n v="2853630"/>
    <n v="0"/>
    <s v="Impressions"/>
    <s v="performance"/>
    <n v="0"/>
    <n v="0"/>
    <s v="performance"/>
    <n v="1893917"/>
    <s v="invoice_schedule"/>
    <n v="0"/>
    <n v="0"/>
    <n v="0"/>
    <n v="1896541"/>
    <n v="1893917"/>
    <d v="2026-06-22T00:00:00"/>
    <d v="2026-07-19T00:00:00"/>
    <s v="Kailey McGinn"/>
    <s v="None"/>
    <s v="JUN'26"/>
    <n v="2000000.03"/>
    <n v="127769"/>
    <s v="Nicole Gamache"/>
  </r>
  <r>
    <s v="AGC001810"/>
    <s v="ELI LILLY"/>
    <s v="ADV002224"/>
    <s v="Lilly/2026 MWC/Digital/Scatter/Ebglyss"/>
    <x v="127"/>
    <s v="Run of World Cup Video - Package"/>
    <n v="8005"/>
    <n v="581831"/>
    <s v="Eli Lilly - Ebglyss :60 - Run of World Cup Video - Package - 2026"/>
    <d v="2026-06-01T00:00:00"/>
    <d v="2026-07-19T00:00:00"/>
    <s v="FOX Innovid"/>
    <s v="CPM"/>
    <n v="40"/>
    <n v="1800742"/>
    <n v="72029.679999999993"/>
    <s v="Impressions"/>
    <s v="performance"/>
    <n v="0"/>
    <n v="0"/>
    <s v="performance"/>
    <n v="1128511"/>
    <s v="invoice_schedule"/>
    <n v="45140.44"/>
    <n v="45140.44"/>
    <n v="45140.44"/>
    <n v="1137650"/>
    <n v="1128511"/>
    <d v="2026-06-01T00:00:00"/>
    <d v="2026-07-19T00:00:00"/>
    <s v="Megan Sileo"/>
    <s v="None"/>
    <s v="JUN'26"/>
    <n v="400000"/>
    <n v="129282"/>
    <s v="Tom Cecil"/>
  </r>
  <r>
    <s v="AGC001810"/>
    <s v="ELI LILLY"/>
    <s v="ADV002224"/>
    <s v="Lilly/2026 MWC/Digital/Scatter/Ebglyss"/>
    <x v="127"/>
    <s v="Run of World Cup Display - Package"/>
    <n v="8004"/>
    <n v="581834"/>
    <s v="Eli Lilly - Ebglyss-  Run of World Cup Display - Package - 2026"/>
    <d v="2026-06-01T00:00:00"/>
    <d v="2026-07-19T00:00:00"/>
    <s v="FOX DCM"/>
    <s v="CPM"/>
    <n v="6"/>
    <n v="4500000"/>
    <n v="27000"/>
    <s v="Impressions"/>
    <s v="performance"/>
    <n v="0"/>
    <n v="0"/>
    <s v="performance"/>
    <n v="1926862"/>
    <s v="invoice_schedule"/>
    <n v="11561.172"/>
    <n v="11561.172"/>
    <n v="11561.172"/>
    <n v="1965690"/>
    <n v="1926862"/>
    <d v="2026-06-01T00:00:00"/>
    <d v="2026-07-19T00:00:00"/>
    <s v="Megan Sileo"/>
    <s v="None"/>
    <s v="JUN'26"/>
    <n v="400000"/>
    <n v="129282"/>
    <s v="Tom Cecil"/>
  </r>
  <r>
    <s v="AGC001810"/>
    <s v="ELI LILLY"/>
    <s v="ADV002224"/>
    <s v="Lilly/2026 MWC/Digital/Scatter/Ebglyss"/>
    <x v="127"/>
    <s v="Run of AllFOX Video - Package"/>
    <n v="7998"/>
    <n v="581845"/>
    <s v="Eli Lilly - Ebglyss :60 - Run of AllFOX Video - Package -AAT- 2026"/>
    <d v="2026-06-01T00:00:00"/>
    <d v="2026-07-19T00:00:00"/>
    <s v="FOX Innovid"/>
    <s v="CPM"/>
    <n v="20"/>
    <n v="9579523"/>
    <n v="191590.46"/>
    <s v="Impressions"/>
    <s v="performance"/>
    <n v="0"/>
    <n v="0"/>
    <s v="performance"/>
    <n v="3481510"/>
    <s v="invoice_schedule"/>
    <n v="69630.2"/>
    <n v="69630.2"/>
    <n v="69630.2"/>
    <n v="3489001"/>
    <n v="3481510"/>
    <d v="2026-06-01T00:00:00"/>
    <d v="2026-07-19T00:00:00"/>
    <s v="Megan Sileo"/>
    <s v="None"/>
    <s v="JUN'26"/>
    <n v="400000"/>
    <n v="129282"/>
    <s v="Tom Cecil"/>
  </r>
  <r>
    <s v="AGC001810"/>
    <s v="ELI LILLY"/>
    <s v="ADV002224"/>
    <s v="Lilly/2026 MWC/Digital/Scatter/Ebglyss"/>
    <x v="127"/>
    <s v="Run of AllFOX Video - Package"/>
    <n v="7998"/>
    <n v="590795"/>
    <s v="Eli Lilly - Ebglyss :30 - Run of AllFOX Video - Package- AAT - 2026"/>
    <d v="2026-06-01T00:00:00"/>
    <d v="2026-06-26T00:00:00"/>
    <s v="FOX Innovid"/>
    <s v="CPM"/>
    <n v="20"/>
    <n v="4070477"/>
    <n v="81409.539999999994"/>
    <s v="Impressions"/>
    <s v="performance"/>
    <n v="0"/>
    <n v="0"/>
    <s v="performance"/>
    <n v="4070477"/>
    <s v="invoice_schedule"/>
    <n v="81409.539999999994"/>
    <n v="81409.539999999994"/>
    <n v="81409.539999999994"/>
    <n v="4098424"/>
    <n v="4070481"/>
    <d v="2026-06-01T00:00:00"/>
    <d v="2026-06-26T00:00:00"/>
    <s v="Megan Sileo"/>
    <s v="None"/>
    <s v="JUN'26"/>
    <n v="400000"/>
    <n v="129282"/>
    <s v="Tom Cecil"/>
  </r>
  <r>
    <s v="AGC001810"/>
    <s v="ELI LILLY"/>
    <s v="ADV002224"/>
    <s v="Lilly/2026 MWC/Digital/Scatter/Ebglyss"/>
    <x v="127"/>
    <s v="Run of World Cup Video - Package"/>
    <n v="8005"/>
    <n v="590798"/>
    <s v="Eli Lilly - Ebglyss :30 - Run of World Cup Video - Package - 2026"/>
    <d v="2026-06-01T00:00:00"/>
    <d v="2026-06-26T00:00:00"/>
    <s v="FOX Innovid"/>
    <s v="CPM"/>
    <n v="40"/>
    <n v="699258"/>
    <n v="27970.32"/>
    <s v="Impressions"/>
    <s v="performance"/>
    <n v="0"/>
    <n v="0"/>
    <s v="performance"/>
    <n v="697719"/>
    <s v="invoice_schedule"/>
    <n v="27908.76"/>
    <n v="27908.76"/>
    <n v="27908.76"/>
    <n v="699301"/>
    <n v="697719"/>
    <d v="2026-06-01T00:00:00"/>
    <d v="2026-06-26T00:00:00"/>
    <s v="Megan Sileo"/>
    <s v="None"/>
    <s v="JUN'26"/>
    <n v="400000"/>
    <n v="129282"/>
    <s v="Tom Cecil"/>
  </r>
  <r>
    <s v="AGC004676"/>
    <s v="COCA COLA"/>
    <s v="ADV000868"/>
    <s v="COCA-COLA/DIGITAL/SCATTER/SPORTS/MWC"/>
    <x v="128"/>
    <s v="Run of World Cup Video - Package"/>
    <n v="8005"/>
    <n v="582202"/>
    <s v="Coca-Cola - Run of World Cup Video - 2026 MWC Package"/>
    <d v="2026-06-01T00:00:00"/>
    <d v="2026-07-19T00:00:00"/>
    <s v="FOX Extreme Reach"/>
    <s v="CPM"/>
    <n v="40"/>
    <n v="13385000"/>
    <n v="535400"/>
    <s v="Impressions"/>
    <s v="performance"/>
    <n v="0"/>
    <n v="0"/>
    <s v="performance"/>
    <n v="8674835"/>
    <s v="invoice_schedule"/>
    <n v="346993.4"/>
    <n v="346993.4"/>
    <n v="346993.4"/>
    <n v="8895334"/>
    <n v="8674835"/>
    <d v="2026-06-01T00:00:00"/>
    <d v="2026-07-19T00:00:00"/>
    <s v="Matthew Vellardito"/>
    <s v="None"/>
    <s v="JUN'26"/>
    <n v="2430400"/>
    <n v="128503"/>
    <s v="Janna Goldstein"/>
  </r>
  <r>
    <s v="AGC004676"/>
    <s v="COCA COLA"/>
    <s v="ADV000868"/>
    <s v="COCA-COLA/DIGITAL/SCATTER/SPORTS/MWC"/>
    <x v="128"/>
    <s v="World Cup Social Sponsorship Content - Package"/>
    <n v="8000"/>
    <n v="582204"/>
    <s v="Coca-Cola - World Cup Social Sponsorship Content - 2026 MWC Package"/>
    <d v="2026-06-01T00:00:00"/>
    <d v="2026-07-19T00:00:00"/>
    <s v="FOX 1st Party"/>
    <s v="SOV-Flat Rate"/>
    <n v="1895000"/>
    <n v="3"/>
    <n v="1895000"/>
    <s v="n/a"/>
    <s v="prorated"/>
    <n v="2"/>
    <n v="1160204.0819999999"/>
    <s v="prorated"/>
    <n v="2"/>
    <s v="invoice_schedule"/>
    <n v="1160204.0819999999"/>
    <n v="1160204.0817"/>
    <n v="1160204.0817"/>
    <m/>
    <m/>
    <d v="2026-06-01T00:00:00"/>
    <d v="2026-07-19T00:00:00"/>
    <s v="Matthew Vellardito"/>
    <s v="None"/>
    <s v="JUN'26"/>
    <n v="2430400"/>
    <n v="128503"/>
    <s v="Janna Goldstein"/>
  </r>
  <r>
    <s v="AGC004676"/>
    <s v="COCA COLA"/>
    <s v="ADV000868"/>
    <s v="FAIRLIFE/DIGITAL/SCATTER/SPORTS/MWC"/>
    <x v="129"/>
    <s v="Run of World Cup Video - Package"/>
    <n v="8005"/>
    <n v="582096"/>
    <s v="Fairlife - Run of World Cup Video - P2+ - 2026 MWC Package"/>
    <d v="2026-06-01T00:00:00"/>
    <d v="2026-07-19T00:00:00"/>
    <s v="FOX Extreme Reach"/>
    <s v="CPM"/>
    <n v="40"/>
    <n v="2825000"/>
    <n v="113000"/>
    <s v="Impressions"/>
    <s v="performance"/>
    <n v="0"/>
    <n v="0"/>
    <s v="performance"/>
    <n v="1928920"/>
    <s v="invoice_schedule"/>
    <n v="77156.800000000003"/>
    <n v="77156.800000000003"/>
    <n v="77156.800000000003"/>
    <n v="2005227"/>
    <n v="1928920"/>
    <d v="2026-06-01T00:00:00"/>
    <d v="2026-07-19T00:00:00"/>
    <s v="Matthew Vellardito"/>
    <s v="None"/>
    <s v="JUN'26"/>
    <n v="172000"/>
    <n v="128500"/>
    <s v="Janna Goldstein"/>
  </r>
  <r>
    <s v="AGC004676"/>
    <s v="COCA COLA"/>
    <s v="ADV000868"/>
    <s v="FAIRLIFE/DIGITAL/SCATTER/SPORTS/MWC"/>
    <x v="129"/>
    <s v="World Cup Social Sponsorship Content - Package"/>
    <n v="8000"/>
    <n v="582113"/>
    <s v="Fairlife - World Cup Social Sponsorship Content - 2026 MWC Package"/>
    <d v="2026-06-01T00:00:00"/>
    <d v="2026-07-19T00:00:00"/>
    <s v="FOX 1st Party"/>
    <s v="SOV-Flat Rate"/>
    <n v="59000"/>
    <n v="3"/>
    <n v="59000"/>
    <s v="n/a"/>
    <s v="prorated"/>
    <n v="2"/>
    <n v="36122.449000000001"/>
    <s v="prorated"/>
    <n v="2"/>
    <s v="invoice_schedule"/>
    <n v="36122.449000000001"/>
    <n v="36122.449000000001"/>
    <n v="36122.449000000001"/>
    <m/>
    <m/>
    <d v="2026-06-01T00:00:00"/>
    <d v="2026-07-19T00:00:00"/>
    <s v="Matthew Vellardito"/>
    <s v="None"/>
    <s v="JUN'26"/>
    <n v="172000"/>
    <n v="128500"/>
    <s v="Janna Goldstein"/>
  </r>
  <r>
    <s v="AGC005205"/>
    <s v="A24 FILMS"/>
    <s v="ADV004471"/>
    <s v="A24 Death of Robin Hood/Digital/Scatter/AllFOX &amp; Abs A/25.26/2Q26"/>
    <x v="130"/>
    <s v="DIO - ROV - 1F SEN - Pre/Mid - ROS - FW - SXD - Package"/>
    <n v="7950"/>
    <n v="565285"/>
    <s v="DIO - ROV - 1F SEN - Pre/Mid - ROS - FW - SXD - Package (AAT A25-54 and Fandango Fans)"/>
    <d v="2026-06-01T00:00:00"/>
    <d v="2026-06-28T00:00:00"/>
    <s v="FOX 1st Party"/>
    <s v="CPM"/>
    <n v="21.25"/>
    <n v="9882353"/>
    <n v="210000.01"/>
    <s v="Impressions"/>
    <s v="performance"/>
    <n v="0"/>
    <n v="0"/>
    <s v="performance"/>
    <n v="9882353"/>
    <s v="invoice_schedule"/>
    <n v="210000.01"/>
    <n v="210000.01"/>
    <n v="210000.01"/>
    <n v="10108533"/>
    <n v="0"/>
    <d v="2026-06-01T00:00:00"/>
    <d v="2026-06-28T00:00:00"/>
    <s v="Marcela Miranda"/>
    <s v="None"/>
    <s v="JUN'26"/>
    <n v="250000.03"/>
    <n v="129821"/>
    <s v="Kimberly Caraig"/>
  </r>
  <r>
    <s v="AGC005205"/>
    <s v="A24 FILMS"/>
    <s v="ADV004471"/>
    <s v="A24 Death of Robin Hood/Digital/Scatter/AllFOX &amp; Abs A/25.26/2Q26"/>
    <x v="130"/>
    <m/>
    <m/>
    <n v="565482"/>
    <s v="DIO - LFV - RON Ent - Absolute A - Show Mix - DT/MB/CTV/STB (Masked Singer and Fear Factor)"/>
    <d v="2026-06-01T00:00:00"/>
    <d v="2026-06-28T00:00:00"/>
    <s v="FOX 1st Party"/>
    <s v="CPM"/>
    <n v="30"/>
    <n v="1333334"/>
    <n v="40000.019999999997"/>
    <s v="Impressions"/>
    <s v="performance"/>
    <n v="0"/>
    <n v="0"/>
    <s v="performance"/>
    <n v="1133108"/>
    <s v="invoice_schedule"/>
    <n v="33993.24"/>
    <n v="33993.24"/>
    <n v="33993.24"/>
    <n v="1133108"/>
    <m/>
    <d v="2026-06-01T00:00:00"/>
    <d v="2026-06-28T00:00:00"/>
    <s v="Marcela Miranda"/>
    <s v="None"/>
    <s v="JUN'26"/>
    <n v="250000.03"/>
    <n v="129821"/>
    <s v="Kimberly Caraig"/>
  </r>
  <r>
    <s v="AGC004589"/>
    <s v="HE GETS US"/>
    <s v="ADV012618"/>
    <s v="He Gets Us/25-26/Digital/Scatter/Sports/Men's World Cup "/>
    <x v="131"/>
    <s v="Run of World Cup Video - Package"/>
    <n v="8005"/>
    <n v="582343"/>
    <s v="HGU - Run of World Cup Video - Package"/>
    <d v="2026-06-01T00:00:00"/>
    <d v="2026-07-19T00:00:00"/>
    <m/>
    <s v="CPM"/>
    <n v="40"/>
    <n v="15000000"/>
    <n v="600000"/>
    <s v="Impressions"/>
    <s v="performance"/>
    <n v="0"/>
    <n v="0"/>
    <s v="performance"/>
    <n v="10012667"/>
    <s v="invoice_schedule"/>
    <n v="400506.68"/>
    <n v="400506.68"/>
    <n v="400506.68"/>
    <n v="10012667"/>
    <n v="0"/>
    <d v="2026-06-01T00:00:00"/>
    <d v="2026-07-19T00:00:00"/>
    <s v="Grace Stryker"/>
    <s v="None"/>
    <s v="JUN'26"/>
    <n v="2000000.01"/>
    <n v="127799"/>
    <s v="Carly Sartwell"/>
  </r>
  <r>
    <s v="AGC004589"/>
    <s v="HE GETS US"/>
    <s v="ADV012618"/>
    <s v="He Gets Us/25-26/Digital/Scatter/Sports/Men's World Cup "/>
    <x v="131"/>
    <s v="Run of World Cup Display - Package"/>
    <n v="8004"/>
    <n v="582348"/>
    <s v="HGU - Run of World Cup Display - Package"/>
    <d v="2026-06-01T00:00:00"/>
    <d v="2026-07-19T00:00:00"/>
    <m/>
    <s v="CPM"/>
    <n v="6"/>
    <n v="33333334"/>
    <n v="200000"/>
    <s v="Impressions"/>
    <s v="prorated"/>
    <n v="20408164"/>
    <n v="122448.97960000001"/>
    <s v="prorated"/>
    <n v="20408164"/>
    <s v="invoice_schedule"/>
    <n v="122448.97960000001"/>
    <n v="122448.97960000001"/>
    <n v="122448.97960000001"/>
    <n v="14401166"/>
    <n v="0"/>
    <d v="2026-06-01T00:00:00"/>
    <d v="2026-07-19T00:00:00"/>
    <s v="Grace Stryker"/>
    <s v="None"/>
    <s v="JUN'26"/>
    <n v="2000000.01"/>
    <n v="127799"/>
    <s v="Carly Sartwell"/>
  </r>
  <r>
    <s v="AGC004589"/>
    <s v="HE GETS US"/>
    <s v="ADV012618"/>
    <s v="He Gets Us/25-26/Digital/Scatter/Sports/Men's World Cup "/>
    <x v="131"/>
    <s v="Run of FOX Sports Video - Package"/>
    <n v="8002"/>
    <n v="582415"/>
    <s v="HGU - Run of FOX Sports Video - Package"/>
    <d v="2026-06-01T00:00:00"/>
    <d v="2026-07-19T00:00:00"/>
    <m/>
    <s v="CPM"/>
    <n v="25"/>
    <n v="1000000"/>
    <n v="25000"/>
    <m/>
    <s v="performance"/>
    <n v="0"/>
    <n v="0"/>
    <s v="performance"/>
    <n v="446951"/>
    <s v="invoice_schedule"/>
    <n v="11173.775"/>
    <n v="11173.775"/>
    <n v="11173.775"/>
    <n v="446951"/>
    <n v="0"/>
    <d v="2026-06-01T00:00:00"/>
    <d v="2026-07-19T00:00:00"/>
    <s v="Grace Stryker"/>
    <s v="None"/>
    <s v="JUN'26"/>
    <n v="2000000.01"/>
    <n v="127799"/>
    <s v="Carly Sartwell"/>
  </r>
  <r>
    <s v="AGC004589"/>
    <s v="HE GETS US"/>
    <s v="ADV012618"/>
    <s v="He Gets Us/25-26/Digital/Scatter/Sports/Men's World Cup "/>
    <x v="131"/>
    <s v="Run of AllFOX Video - Package"/>
    <n v="7998"/>
    <n v="582417"/>
    <s v="HGU - Run of AllFOX Video - Package"/>
    <d v="2026-06-01T00:00:00"/>
    <d v="2026-07-19T00:00:00"/>
    <m/>
    <s v="CPM"/>
    <n v="20"/>
    <n v="23750000"/>
    <n v="475000"/>
    <s v="Impressions"/>
    <s v="performance"/>
    <n v="0"/>
    <n v="0"/>
    <s v="performance"/>
    <n v="16748183"/>
    <s v="invoice_schedule"/>
    <n v="334963.65999999997"/>
    <n v="334963.65999999997"/>
    <n v="334963.65999999997"/>
    <n v="16748183"/>
    <n v="0"/>
    <d v="2026-06-01T00:00:00"/>
    <d v="2026-07-19T00:00:00"/>
    <s v="Grace Stryker"/>
    <s v="None"/>
    <s v="JUN'26"/>
    <n v="2000000.01"/>
    <n v="127799"/>
    <s v="Carly Sartwell"/>
  </r>
  <r>
    <s v="AGC004589"/>
    <s v="HE GETS US"/>
    <s v="ADV012618"/>
    <s v="He Gets Us/25-26/Digital/Scatter/Sports/Men's World Cup "/>
    <x v="131"/>
    <s v="World Cup Social Sponsorship Content - Package"/>
    <n v="8000"/>
    <n v="582420"/>
    <s v="HGU - World Cup Social Sponsorship Content - Package"/>
    <d v="2026-06-01T00:00:00"/>
    <d v="2026-07-19T00:00:00"/>
    <m/>
    <s v="Cost Per Unit"/>
    <n v="0.15"/>
    <n v="2000000"/>
    <n v="300000"/>
    <s v="Placements"/>
    <s v="prorated"/>
    <n v="1224490"/>
    <n v="183673.4694"/>
    <s v="prorated"/>
    <n v="1224490"/>
    <s v="invoice_schedule"/>
    <n v="183673.4694"/>
    <n v="183673.4694"/>
    <n v="183673.4694"/>
    <m/>
    <m/>
    <d v="2026-06-01T00:00:00"/>
    <d v="2026-07-19T00:00:00"/>
    <s v="Grace Stryker"/>
    <s v="None"/>
    <s v="JUN'26"/>
    <n v="2000000.01"/>
    <n v="127799"/>
    <s v="Carly Sartwell"/>
  </r>
  <r>
    <s v="AGC004676"/>
    <s v="COCA COLA"/>
    <s v="ADV000868"/>
    <s v="COCA-COLA/DIGITAL/SCATTER/SPORTS/MLS"/>
    <x v="132"/>
    <s v="DIO - SOC - FS - MLS - Package"/>
    <n v="7997"/>
    <n v="570181"/>
    <s v="Coca-Cola - DIO - SOC - FS - MLS - 2026 Package"/>
    <d v="2026-02-21T00:00:00"/>
    <d v="2026-12-27T00:00:00"/>
    <s v="FOX 1st Party"/>
    <s v="SOV-Flat Rate"/>
    <n v="100000"/>
    <n v="0"/>
    <n v="100000"/>
    <s v="n/a"/>
    <s v="prorated"/>
    <n v="0"/>
    <n v="9677.4192999999996"/>
    <s v="prorated"/>
    <n v="0"/>
    <s v="invoice_schedule"/>
    <n v="9090.9143000000004"/>
    <n v="9090.9143000000004"/>
    <n v="9090.9143000000004"/>
    <m/>
    <m/>
    <d v="2026-02-21T00:00:00"/>
    <d v="2026-12-27T00:00:00"/>
    <s v="Matthew Vellardito"/>
    <s v="None"/>
    <s v="JUN'26"/>
    <n v="99999.99"/>
    <n v="118413"/>
    <s v="Janna Goldstein"/>
  </r>
  <r>
    <s v="AGC001804"/>
    <s v="BD TIKTOK USA LLC"/>
    <s v="ADV010365"/>
    <s v="BD TikTok USA LLC/Digital/Scatter/Sports/25.26/World Cup"/>
    <x v="133"/>
    <s v="Run of World Cup Video - Package"/>
    <n v="8005"/>
    <n v="584032"/>
    <s v="TikTok- Run of World Cup Video - Package"/>
    <d v="2026-06-08T00:00:00"/>
    <d v="2026-07-19T00:00:00"/>
    <s v="FOX Innovid"/>
    <s v="CPM"/>
    <n v="43"/>
    <n v="5232559"/>
    <n v="225000.04"/>
    <s v="Impressions"/>
    <s v="performance"/>
    <n v="0"/>
    <n v="0"/>
    <s v="performance"/>
    <n v="3556694"/>
    <s v="invoice_schedule"/>
    <n v="152937.842"/>
    <n v="152937.842"/>
    <n v="152937.842"/>
    <n v="3545562"/>
    <n v="3556694"/>
    <d v="2026-06-08T00:00:00"/>
    <d v="2026-07-19T00:00:00"/>
    <s v="Marcela Miranda"/>
    <s v="None"/>
    <s v="JUN'26"/>
    <n v="450000.07"/>
    <n v="128371"/>
    <s v="Kimberly Caraig"/>
  </r>
  <r>
    <s v="AGC001804"/>
    <s v="BD TIKTOK USA LLC"/>
    <s v="ADV010365"/>
    <s v="BD TikTok USA LLC/Digital/Scatter/Sports/25.26/World Cup"/>
    <x v="133"/>
    <s v="Run of AllFOX Video - Package"/>
    <n v="7998"/>
    <n v="586134"/>
    <s v="TikTok- Run of AllFOX Video - Package (Epsilon Segment: A18-64)"/>
    <d v="2026-06-08T00:00:00"/>
    <d v="2026-08-02T00:00:00"/>
    <s v="FOX Innovid"/>
    <s v="CPM"/>
    <n v="14.46"/>
    <n v="15560167"/>
    <n v="225000.02"/>
    <s v="Impressions"/>
    <s v="performance"/>
    <n v="0"/>
    <n v="0"/>
    <s v="performance"/>
    <n v="6278807"/>
    <s v="invoice_schedule"/>
    <n v="90791.549199999994"/>
    <n v="90791.549199999994"/>
    <n v="90791.549199999994"/>
    <n v="6254151"/>
    <n v="6278807"/>
    <d v="2026-06-08T00:00:00"/>
    <d v="2026-08-02T00:00:00"/>
    <s v="Marcela Miranda"/>
    <s v="None"/>
    <s v="JUN'26"/>
    <n v="450000.07"/>
    <n v="128371"/>
    <s v="Kimberly Caraig"/>
  </r>
  <r>
    <s v="AGC002675"/>
    <s v="ABBVIE"/>
    <s v="ADV001833"/>
    <s v="AbbVie Skyrizi PS DSA1 /25-26/Digital/Scatter/Entertainment/"/>
    <x v="134"/>
    <s v="DIO - LFV - Entertainment ROS - Package"/>
    <n v="2789"/>
    <n v="578383"/>
    <s v="Abbvie Skyrizi PS DSA1 - DIO - LFV - Entertainment ROS"/>
    <d v="2026-04-01T00:00:00"/>
    <d v="2026-06-30T00:00:00"/>
    <s v="FOX Innovid"/>
    <s v="CPM"/>
    <n v="13.6"/>
    <n v="18529412"/>
    <n v="252000"/>
    <m/>
    <s v="performance"/>
    <n v="0"/>
    <n v="0"/>
    <s v="performance"/>
    <n v="5852568"/>
    <s v="invoice_schedule"/>
    <n v="79594.924799999993"/>
    <n v="79594.924799999993"/>
    <n v="79594.924799999993"/>
    <n v="5836845"/>
    <n v="5852568"/>
    <d v="2026-04-01T00:00:00"/>
    <d v="2026-06-30T00:00:00"/>
    <s v="Katie Johnson"/>
    <s v="None"/>
    <s v="JUN'26"/>
    <n v="252000"/>
    <n v="123490"/>
    <s v="Carly Sartwell"/>
  </r>
  <r>
    <s v="AGC005218"/>
    <s v="SCOPELY"/>
    <s v="ADV002650"/>
    <s v="Scopely Monopoly Go!/Digital/Scatter/Entertainment/2025/26/2Q26"/>
    <x v="135"/>
    <m/>
    <m/>
    <n v="587304"/>
    <s v="Scopely- DIO - LFV - RON Ent - Absolute A - Show Mix - DT/MB/CTV/STB  (Family Guy, Bob‚Äôs Burgers, American Dad, and Simpsons)"/>
    <d v="2026-06-03T00:00:00"/>
    <d v="2026-07-05T00:00:00"/>
    <s v="FOX DCM"/>
    <s v="CPM"/>
    <n v="30"/>
    <n v="10000000"/>
    <n v="300000"/>
    <s v="CoV Impressions"/>
    <s v="performance"/>
    <n v="0"/>
    <n v="0"/>
    <s v="performance"/>
    <n v="9873823"/>
    <s v="invoice_schedule"/>
    <n v="296214.69"/>
    <n v="296214.69"/>
    <n v="296214.69"/>
    <n v="9251904"/>
    <n v="9873823"/>
    <d v="2026-06-03T00:00:00"/>
    <d v="2026-07-05T00:00:00"/>
    <s v="Marcela Miranda"/>
    <s v="None"/>
    <s v="JUN'26"/>
    <n v="350000"/>
    <n v="129536"/>
    <s v="Kimberly Caraig"/>
  </r>
  <r>
    <s v="AGC005218"/>
    <s v="SCOPELY"/>
    <s v="ADV002650"/>
    <s v="Scopely Monopoly Go!/Digital/Scatter/Entertainment/2025/26/2Q26"/>
    <x v="135"/>
    <s v="DIO - LFV - Entertainment ROS - Package"/>
    <n v="2789"/>
    <n v="587311"/>
    <s v="Scopely- DIO - LFV - Entertainment ROS - Package"/>
    <d v="2026-06-03T00:00:00"/>
    <d v="2026-07-05T00:00:00"/>
    <s v="FOX DCM"/>
    <s v="CPM"/>
    <n v="18"/>
    <n v="2777778"/>
    <n v="50000"/>
    <s v="Impressions"/>
    <s v="performance"/>
    <n v="0"/>
    <n v="0"/>
    <s v="performance"/>
    <n v="2107382"/>
    <s v="invoice_schedule"/>
    <n v="37932.875999999997"/>
    <n v="37932.875999999997"/>
    <n v="37932.875999999997"/>
    <n v="1956897"/>
    <n v="2107382"/>
    <d v="2026-06-03T00:00:00"/>
    <d v="2026-07-05T00:00:00"/>
    <s v="Marcela Miranda"/>
    <s v="None"/>
    <s v="JUN'26"/>
    <n v="350000"/>
    <n v="129536"/>
    <s v="Kimberly Caraig"/>
  </r>
  <r>
    <s v="AGC002270"/>
    <s v="ALKERMES"/>
    <s v="ADV012436"/>
    <s v="Alkermes:Lybalvi/25-26/Scatter/ Digital/2Q'26"/>
    <x v="136"/>
    <s v="DIO - LFV - Entertainment ROS - Package"/>
    <n v="2789"/>
    <n v="571990"/>
    <s v="Alkermes Lybalvi - DIO - LFV - Entertainment - Animation Only - AAT A18-54 - :60s - 2Q'26 Package"/>
    <d v="2026-03-30T00:00:00"/>
    <d v="2026-06-21T00:00:00"/>
    <s v="FOX DCM"/>
    <s v="CPM"/>
    <n v="17.989999999999998"/>
    <n v="2390217"/>
    <n v="43000"/>
    <s v="Impressions"/>
    <s v="performance"/>
    <n v="0"/>
    <n v="0"/>
    <s v="performance"/>
    <n v="532561"/>
    <s v="invoice_schedule"/>
    <n v="9580.77"/>
    <n v="9580.77"/>
    <n v="9580.77"/>
    <n v="593277"/>
    <n v="597032"/>
    <d v="2026-03-30T00:00:00"/>
    <d v="2026-06-21T00:00:00"/>
    <s v="Matthew Vellardito"/>
    <s v="None"/>
    <s v="JUN'26"/>
    <n v="233000"/>
    <n v="121331"/>
    <s v="Jon Renz"/>
  </r>
  <r>
    <s v="AGC000898"/>
    <s v="UNIVERSAL PICTURES"/>
    <s v="ADV000562"/>
    <s v="UNIVERSAL PICTURES/Digital/Upfront/Entertainment/Overall Deal/UF 2025/26 (UPFT RES)"/>
    <x v="137"/>
    <s v="DIO - LFV - Entertainment ROS - Package"/>
    <n v="2789"/>
    <n v="571740"/>
    <s v="UP_DIO - LFV - Entertainment ROS - 2Q'26 Package - UPFTRES"/>
    <d v="2026-06-22T00:00:00"/>
    <d v="2026-06-28T00:00:00"/>
    <s v="FOX DCM"/>
    <s v="CPM"/>
    <n v="19"/>
    <n v="8169474"/>
    <n v="155220.01"/>
    <s v="CoV Impressions"/>
    <s v="performance"/>
    <n v="0"/>
    <n v="0"/>
    <s v="performance"/>
    <n v="0"/>
    <s v="invoice_schedule"/>
    <n v="0"/>
    <n v="0"/>
    <n v="0"/>
    <m/>
    <m/>
    <d v="2026-06-22T00:00:00"/>
    <d v="2026-06-28T00:00:00"/>
    <s v="Marcela Miranda"/>
    <s v="None"/>
    <s v="JUN'26"/>
    <n v="275000.02"/>
    <n v="121044"/>
    <s v="Gina Rodarte"/>
  </r>
  <r>
    <s v="AGC000898"/>
    <s v="UNIVERSAL PICTURES"/>
    <s v="ADV000562"/>
    <s v="UNIVERSAL PICTURES/Digital/Upfront/Entertainment/Overall Deal/UF 2025/26 (UPFT RES)"/>
    <x v="137"/>
    <s v="DIO - LFV - Entertainment ROS - Package"/>
    <n v="2789"/>
    <n v="571745"/>
    <s v="UP_DIO - LFV - Entertainment ROS - 3Q'26 Package - UPFTRES"/>
    <d v="2026-06-29T00:00:00"/>
    <d v="2026-09-27T00:00:00"/>
    <s v="FOX DCM"/>
    <s v="CPM"/>
    <n v="19"/>
    <n v="6304211"/>
    <n v="119780.01"/>
    <s v="CoV Impressions"/>
    <s v="performance"/>
    <n v="0"/>
    <n v="0"/>
    <s v="performance"/>
    <n v="0"/>
    <s v="invoice_schedule"/>
    <n v="0"/>
    <n v="0"/>
    <n v="0"/>
    <m/>
    <m/>
    <d v="2026-06-29T00:00:00"/>
    <d v="2026-09-27T00:00:00"/>
    <s v="Marcela Miranda"/>
    <s v="None"/>
    <s v="JUN'26"/>
    <n v="275000.02"/>
    <n v="121044"/>
    <s v="Gina Rodarte"/>
  </r>
  <r>
    <s v="AGC001810"/>
    <s v="ELI LILLY"/>
    <s v="ADV002224"/>
    <s v="Eli Lilly/Dig/UF/25.26/Sports/Ebglyss/2Q'26"/>
    <x v="138"/>
    <s v="Run of AllFOX Sports Bundle Package"/>
    <n v="8038"/>
    <n v="591635"/>
    <s v="Eli Lilly - Ebglyss 30 - Run of AllFOX Sports Bundle Package - 2Q'26"/>
    <d v="2026-05-29T00:00:00"/>
    <d v="2026-06-30T00:00:00"/>
    <s v="FOX Innovid"/>
    <s v="CPM"/>
    <n v="23.97"/>
    <n v="91718"/>
    <n v="2198.48"/>
    <s v="Impressions"/>
    <s v="performance"/>
    <n v="0"/>
    <n v="0"/>
    <s v="performance"/>
    <n v="57220"/>
    <s v="invoice_schedule"/>
    <n v="1371.56"/>
    <n v="1371.56"/>
    <n v="1371.56"/>
    <n v="77535"/>
    <n v="77552"/>
    <d v="2026-05-29T00:00:00"/>
    <d v="2026-06-30T00:00:00"/>
    <s v="Megan Sileo"/>
    <s v="None"/>
    <s v="JUN'26"/>
    <n v="41735.050000000003"/>
    <n v="129716"/>
    <s v="Tom Cecil"/>
  </r>
  <r>
    <s v="AGC001810"/>
    <s v="ELI LILLY"/>
    <s v="ADV002224"/>
    <s v="Eli Lilly/Dig/UF/25.26/Sports/Ebglyss/2Q'26"/>
    <x v="138"/>
    <s v="Run of AllFOX Sports Bundle Package"/>
    <n v="8038"/>
    <n v="591648"/>
    <s v="Eli Lilly - Ebglyss 60 - Run of AllFOX Sports Bundle Package - 2Q'26"/>
    <d v="2026-05-29T00:00:00"/>
    <d v="2026-06-30T00:00:00"/>
    <s v="FOX Innovid"/>
    <s v="CPM"/>
    <n v="23.97"/>
    <n v="866566"/>
    <n v="20771.59"/>
    <s v="Impressions"/>
    <s v="performance"/>
    <n v="0"/>
    <n v="0"/>
    <s v="performance"/>
    <n v="772764"/>
    <s v="invoice_schedule"/>
    <n v="18523.16"/>
    <n v="18523.16"/>
    <n v="18523.16"/>
    <n v="797388"/>
    <n v="794387"/>
    <d v="2026-05-29T00:00:00"/>
    <d v="2026-06-30T00:00:00"/>
    <s v="Megan Sileo"/>
    <s v="None"/>
    <s v="JUN'26"/>
    <n v="41735.050000000003"/>
    <n v="129716"/>
    <s v="Tom Cecil"/>
  </r>
  <r>
    <s v="AGC002070"/>
    <s v="USAA INSURANCE"/>
    <s v="ADV000505"/>
    <s v="USAA/DIGITAL/UPFRONT/SOCIAL/UF 2025/26/2Q'26/MLB"/>
    <x v="139"/>
    <s v="DIO - LFV - FSLS - Pre/Mid - ROS - DT/MB/CTV - Package"/>
    <n v="3534"/>
    <n v="573139"/>
    <s v="USAA - Fox Sports - X Social Sponsorship - MLB Q2'26 Package"/>
    <d v="2026-03-30T00:00:00"/>
    <d v="2026-06-28T00:00:00"/>
    <s v="FOX 1st Party"/>
    <s v="SOV-Flat Rate"/>
    <n v="500000"/>
    <n v="1"/>
    <n v="500000"/>
    <s v="n/a"/>
    <s v="prorated"/>
    <n v="0"/>
    <n v="153846.1538"/>
    <s v="prorated"/>
    <n v="0"/>
    <s v="invoice_schedule"/>
    <n v="153846.16"/>
    <n v="153846.16"/>
    <n v="153846.16"/>
    <m/>
    <m/>
    <d v="2026-03-30T00:00:00"/>
    <d v="2026-06-28T00:00:00"/>
    <s v="Matthew Vellardito"/>
    <s v="None"/>
    <s v="JUN'26"/>
    <n v="500000.02"/>
    <n v="120117"/>
    <s v="Janna Goldstein"/>
  </r>
  <r>
    <s v="AGC001914"/>
    <s v="CAPITAL ONE"/>
    <s v="ADV004035"/>
    <s v=" Capital One/Bank/Digital/BYUF/Entertainment/UF2526_2Q'26"/>
    <x v="140"/>
    <s v="LFV - RON Ent - ROS - Pre/Mid - DT/MB/CTV/VOD - Package"/>
    <n v="3535"/>
    <n v="573327"/>
    <s v="CAPITAL ONE - BANK - LFV - RON Ent - ROS - Pre/Mid - DT/MB/CTV- A1849_2Q'26"/>
    <d v="2026-03-30T00:00:00"/>
    <d v="2026-06-28T00:00:00"/>
    <s v="FOX Innovid"/>
    <s v="CPM"/>
    <n v="25.21"/>
    <n v="20735819"/>
    <n v="522750"/>
    <s v="CoV Impressions"/>
    <s v="performance"/>
    <n v="0"/>
    <n v="0"/>
    <s v="performance"/>
    <n v="4536917"/>
    <s v="invoice_schedule"/>
    <n v="114375.6776"/>
    <n v="114375.6776"/>
    <n v="114375.6776"/>
    <n v="4483916"/>
    <n v="4536917"/>
    <d v="2026-03-30T00:00:00"/>
    <d v="2026-06-28T00:00:00"/>
    <s v="Anthony Gizzo"/>
    <s v="None"/>
    <s v="JUN'26"/>
    <n v="522749.99"/>
    <n v="120470"/>
    <s v="Sydney Stipanovich"/>
  </r>
  <r>
    <s v="AGC000865"/>
    <s v="CHARTER SPECTRUM"/>
    <s v="ADV002622"/>
    <s v="Charter/Spectrum Residential/Digital/NASCAR - 2Q'26"/>
    <x v="141"/>
    <s v="DIO - ROV - FS - Pre/Mid - ROS - DT/MB/CTV - Package"/>
    <n v="7968"/>
    <n v="576210"/>
    <s v="Charter - Spectrum - DIO - ROV - FS - Pre/Mid - ROS - DT/MB/CTV - 2Q'26 NASCAR"/>
    <d v="2026-04-01T00:00:00"/>
    <d v="2026-06-30T00:00:00"/>
    <s v="FOX Extreme Reach"/>
    <s v="CPM"/>
    <n v="28.75"/>
    <n v="695652"/>
    <n v="20000"/>
    <s v="CoV Impressions"/>
    <s v="performance"/>
    <n v="0"/>
    <n v="0"/>
    <s v="performance"/>
    <n v="803"/>
    <s v="invoice_schedule"/>
    <n v="23.086300000000001"/>
    <n v="23.086300000000001"/>
    <n v="23.086300000000001"/>
    <n v="814"/>
    <n v="803"/>
    <d v="2026-04-01T00:00:00"/>
    <d v="2026-06-30T00:00:00"/>
    <s v="Anthony Gizzo"/>
    <s v="None"/>
    <s v="JUN'26"/>
    <n v="20000"/>
    <n v="121997"/>
    <s v="Dylan Giordano"/>
  </r>
  <r>
    <s v="AGC001249"/>
    <s v="HOME DEPOT"/>
    <s v="ADV004751"/>
    <s v="HOME DEPOT / SCATTER / DIGITAL / FY 25-26 / World Cup digital"/>
    <x v="142"/>
    <s v="Run of World Cup Display - Package"/>
    <n v="8004"/>
    <n v="588533"/>
    <s v="Home Depot - Run of World Cup Display - Knockout Stage -  Q2Q326 - OMP - 320x50, 300x250, 728x90"/>
    <d v="2026-06-28T00:00:00"/>
    <d v="2026-07-19T00:00:00"/>
    <s v="FOX Innovid"/>
    <s v="CPM"/>
    <n v="5"/>
    <n v="50000000"/>
    <n v="250000"/>
    <s v="Impressions"/>
    <s v="performance"/>
    <n v="0"/>
    <n v="0"/>
    <s v="performance"/>
    <n v="7347922"/>
    <s v="invoice_schedule"/>
    <n v="36739.61"/>
    <n v="36739.61"/>
    <n v="36739.61"/>
    <n v="7347922"/>
    <n v="0"/>
    <d v="2026-06-28T00:00:00"/>
    <d v="2026-07-19T00:00:00"/>
    <s v="Anthony Gizzo"/>
    <s v="None"/>
    <s v="JUN'26"/>
    <n v="2450000.0699999998"/>
    <n v="128780"/>
    <s v="Adam Chardavoyne"/>
  </r>
  <r>
    <s v="AGC001249"/>
    <s v="HOME DEPOT"/>
    <s v="ADV004751"/>
    <s v="HOME DEPOT / SCATTER / DIGITAL / FY 25-26 / World Cup digital"/>
    <x v="142"/>
    <s v="Run of World Cup Video - Package"/>
    <n v="8005"/>
    <n v="588770"/>
    <s v="Home Depot - Run of World Cup Video - OMP"/>
    <d v="2026-06-11T00:00:00"/>
    <d v="2026-07-19T00:00:00"/>
    <s v="FOX Innovid"/>
    <s v="CPM"/>
    <n v="30"/>
    <n v="19166667"/>
    <n v="575000.01"/>
    <s v="Impressions"/>
    <s v="performance"/>
    <n v="0"/>
    <n v="0"/>
    <s v="performance"/>
    <n v="9951650"/>
    <s v="invoice_schedule"/>
    <n v="298549.5"/>
    <n v="298549.5"/>
    <n v="298549.5"/>
    <n v="9949906"/>
    <n v="9951650"/>
    <d v="2026-06-11T00:00:00"/>
    <d v="2026-07-19T00:00:00"/>
    <s v="Anthony Gizzo"/>
    <s v="None"/>
    <s v="JUN'26"/>
    <n v="2450000.0699999998"/>
    <n v="128780"/>
    <s v="Adam Chardavoyne"/>
  </r>
  <r>
    <s v="AGC001249"/>
    <s v="HOME DEPOT"/>
    <s v="ADV004751"/>
    <s v="HOME DEPOT / SCATTER / DIGITAL / FY 25-26 / World Cup digital"/>
    <x v="142"/>
    <s v="World Cup Social Sponsorship Content - Package"/>
    <n v="8000"/>
    <n v="588775"/>
    <s v="Home Depot - World Cup Social Sponsorship Content - OMP"/>
    <d v="2026-06-11T00:00:00"/>
    <d v="2026-07-19T00:00:00"/>
    <s v="FOX Innovid"/>
    <s v="Cost Per Unit"/>
    <n v="0.15"/>
    <n v="5333334"/>
    <n v="800000.1"/>
    <s v="Placements"/>
    <s v="prorated"/>
    <n v="2735044"/>
    <n v="410256.46159999998"/>
    <s v="prorated"/>
    <n v="2735044"/>
    <s v="invoice_schedule"/>
    <n v="410256.46159999998"/>
    <n v="410256.46159999998"/>
    <n v="410256.46159999998"/>
    <m/>
    <m/>
    <d v="2026-06-11T00:00:00"/>
    <d v="2026-07-19T00:00:00"/>
    <s v="Anthony Gizzo"/>
    <s v="None"/>
    <s v="JUN'26"/>
    <n v="2450000.0699999998"/>
    <n v="128780"/>
    <s v="Adam Chardavoyne"/>
  </r>
  <r>
    <s v="AGC001249"/>
    <s v="HOME DEPOT"/>
    <s v="ADV004751"/>
    <s v="HOME DEPOT / SCATTER / DIGITAL / FY 25-26 / World Cup digital"/>
    <x v="142"/>
    <s v="World Cup Social Sponsorship Content - Package"/>
    <n v="8000"/>
    <n v="596028"/>
    <s v="Home Depot - COSM - World Cup Social Sponsorship Content - OMP"/>
    <d v="2026-06-08T00:00:00"/>
    <d v="2026-07-19T00:00:00"/>
    <s v="FOX Innovid"/>
    <s v="Cost Per Unit"/>
    <n v="0.15"/>
    <n v="1000000"/>
    <n v="150000"/>
    <s v="Placements"/>
    <s v="prorated"/>
    <n v="547620"/>
    <n v="82142.857199999999"/>
    <s v="prorated"/>
    <n v="547620"/>
    <s v="invoice_schedule"/>
    <n v="82142.857199999999"/>
    <n v="82142.857199999999"/>
    <n v="82142.857199999999"/>
    <m/>
    <m/>
    <d v="2026-06-08T00:00:00"/>
    <d v="2026-07-19T00:00:00"/>
    <s v="Anthony Gizzo"/>
    <s v="None"/>
    <s v="JUN'26"/>
    <n v="2450000.0699999998"/>
    <n v="128780"/>
    <s v="Adam Chardavoyne"/>
  </r>
  <r>
    <s v="AGC001249"/>
    <s v="HOME DEPOT"/>
    <s v="ADV004751"/>
    <s v="HOME DEPOT / SCATTER / DIGITAL / FY 25-26 / World Cup digital"/>
    <x v="142"/>
    <s v="World Cup Social Sponsorship Content - Package"/>
    <n v="8000"/>
    <n v="596032"/>
    <s v="Home Depot - World Cup Social Sponsorship Content - COSM - OMP"/>
    <d v="2026-06-08T00:00:00"/>
    <d v="2026-07-19T00:00:00"/>
    <s v="FOX Innovid"/>
    <s v="various"/>
    <n v="0"/>
    <n v="933333"/>
    <n v="299999.95"/>
    <m/>
    <s v="prorated"/>
    <n v="511111"/>
    <n v="164285.68700000001"/>
    <s v="prorated"/>
    <n v="511111"/>
    <s v="invoice_schedule"/>
    <n v="164285.68700000001"/>
    <n v="164285.68700000001"/>
    <n v="164285.68700000001"/>
    <m/>
    <m/>
    <d v="2026-06-08T00:00:00"/>
    <d v="2026-07-19T00:00:00"/>
    <s v="Anthony Gizzo"/>
    <s v="None"/>
    <s v="JUN'26"/>
    <n v="2450000.0699999998"/>
    <n v="128780"/>
    <s v="Adam Chardavoyne"/>
  </r>
  <r>
    <s v="AGC001914"/>
    <s v="CAPITAL ONE"/>
    <s v="ADV004035"/>
    <s v="Capital One/CARD/25-26/Upfront/Digital/MLB/WS -  UF 2025/26 "/>
    <x v="143"/>
    <s v="DIO - LFV - FSLS - Pre/Mid - ROS - DT/MB/CTV - Package"/>
    <n v="3534"/>
    <n v="574576"/>
    <s v="Capital One - CARD - DIO - LFV - FSLS - Pre/Mid - ROS - DT/MB/CTV - Regular Season"/>
    <d v="2026-03-25T00:00:00"/>
    <d v="2026-09-27T00:00:00"/>
    <s v="FOX Innovid"/>
    <s v="CPM"/>
    <n v="32.25"/>
    <n v="241953"/>
    <n v="7802.98"/>
    <s v="CoV Impressions"/>
    <s v="performance"/>
    <n v="0"/>
    <n v="0"/>
    <s v="performance"/>
    <n v="209"/>
    <s v="invoice_schedule"/>
    <n v="6.7403000000000004"/>
    <n v="6.7403000000000004"/>
    <n v="6.7403000000000004"/>
    <n v="229"/>
    <n v="209"/>
    <d v="2026-03-25T00:00:00"/>
    <d v="2026-09-27T00:00:00"/>
    <s v="Anthony Gizzo"/>
    <s v="None"/>
    <s v="JUN'26"/>
    <n v="78030.02"/>
    <n v="121817"/>
    <s v="Dylan Giordano"/>
  </r>
  <r>
    <s v="AGC002070"/>
    <s v="AFLAC"/>
    <s v="ADV002501"/>
    <s v="Aflac/Digital/Upfront/Entertainment/UF2025/26/2Q'26"/>
    <x v="144"/>
    <s v="Generic Flighted Bottom Up Package"/>
    <n v="1"/>
    <n v="575474"/>
    <s v="Aflac - Brightline - Fox on Hulu - P2+ - 2Q'26 Package"/>
    <d v="2026-03-30T00:00:00"/>
    <d v="2026-06-28T00:00:00"/>
    <s v="FOX DCM"/>
    <s v="CPM"/>
    <n v="23"/>
    <n v="2797087"/>
    <n v="64333"/>
    <s v="Impressions"/>
    <s v="performance"/>
    <n v="0"/>
    <n v="0"/>
    <s v="performance"/>
    <n v="534994"/>
    <s v="invoice_schedule"/>
    <n v="12304.861999999999"/>
    <n v="12304.861999999999"/>
    <n v="12304.861999999999"/>
    <n v="526362"/>
    <n v="534994"/>
    <d v="2026-03-30T00:00:00"/>
    <d v="2026-06-28T00:00:00"/>
    <s v="Matthew Vellardito"/>
    <s v="None"/>
    <s v="JUN'26"/>
    <n v="114333.01"/>
    <n v="121653"/>
    <s v="Jeanne Feeley"/>
  </r>
  <r>
    <s v="AGC001336"/>
    <s v="NEW BALANCE"/>
    <s v="ADV004569"/>
    <s v="New Balance/Digital/Scatter/World Cup/25-26"/>
    <x v="145"/>
    <s v="Run of World Cup Video - Package"/>
    <n v="8005"/>
    <n v="581684"/>
    <s v="New Balance - Run of World Cup Video - Package"/>
    <d v="2026-06-01T00:00:00"/>
    <d v="2026-07-19T00:00:00"/>
    <m/>
    <s v="CPM"/>
    <n v="40"/>
    <n v="12500000"/>
    <n v="500000"/>
    <s v="Impressions"/>
    <s v="performance"/>
    <n v="0"/>
    <n v="0"/>
    <s v="performance"/>
    <n v="8818535"/>
    <s v="invoice_schedule"/>
    <n v="352741.4"/>
    <n v="352741.4"/>
    <n v="352741.4"/>
    <n v="8835354"/>
    <n v="8818535"/>
    <d v="2026-06-01T00:00:00"/>
    <d v="2026-07-19T00:00:00"/>
    <s v="JohnMichael Bogusz"/>
    <s v="None"/>
    <s v="JUN'26"/>
    <n v="1000000.4"/>
    <n v="127637"/>
    <s v="Mike Maresca"/>
  </r>
  <r>
    <s v="AGC001336"/>
    <s v="NEW BALANCE"/>
    <s v="ADV004569"/>
    <s v="New Balance/Digital/Scatter/World Cup/25-26"/>
    <x v="145"/>
    <s v="World Cup Social Sponsorship Content - Package"/>
    <n v="8000"/>
    <n v="582851"/>
    <s v="New Balance - World Cup Social Sponsorship Content - Package"/>
    <d v="2026-06-01T00:00:00"/>
    <d v="2026-07-19T00:00:00"/>
    <m/>
    <s v="Cost Per Unit"/>
    <n v="0.15"/>
    <n v="3333336"/>
    <n v="500000.4"/>
    <s v="Guaranteed Views"/>
    <s v="straightline"/>
    <n v="1666668"/>
    <n v="250000.2"/>
    <s v="straightline"/>
    <n v="1666668"/>
    <s v="invoice_schedule"/>
    <n v="250000.2"/>
    <n v="250000.2"/>
    <n v="250000.2"/>
    <m/>
    <m/>
    <d v="2026-06-01T00:00:00"/>
    <d v="2026-07-19T00:00:00"/>
    <s v="JohnMichael Bogusz"/>
    <s v="None"/>
    <s v="JUN'26"/>
    <n v="1000000.4"/>
    <n v="127637"/>
    <s v="Mike Maresca"/>
  </r>
  <r>
    <s v="AGC002070"/>
    <s v="WENDY'S"/>
    <s v="ADV006548"/>
    <s v="Wendy's/25-26/Upfront/Digital/Sports - 2025/26 - 2Q'26"/>
    <x v="146"/>
    <s v="Generic Flighted Bottom Up Package"/>
    <n v="1"/>
    <n v="576699"/>
    <s v="Wendy's - ROV - ROS - A18-49 - 25/26 UPFT - Q2'26 Package - VAL1"/>
    <d v="2026-03-30T00:00:00"/>
    <d v="2026-06-28T00:00:00"/>
    <s v="FOX Innovid"/>
    <s v="CPM"/>
    <n v="14.61"/>
    <n v="2270959"/>
    <n v="33178.71"/>
    <s v="CoV Impressions"/>
    <s v="performance"/>
    <n v="0"/>
    <n v="0"/>
    <s v="performance"/>
    <n v="29420"/>
    <s v="invoice_schedule"/>
    <n v="429.81"/>
    <n v="429.81"/>
    <n v="429.81"/>
    <n v="34609"/>
    <n v="34595"/>
    <d v="2026-03-30T00:00:00"/>
    <d v="2026-06-28T00:00:00"/>
    <s v="Matthew Vellardito"/>
    <s v="None"/>
    <s v="JUN'26"/>
    <n v="271346.15999999997"/>
    <n v="123831"/>
    <s v="Dylan Giordano"/>
  </r>
  <r>
    <s v="AGC002070"/>
    <s v="WENDY'S"/>
    <s v="ADV006548"/>
    <s v="Wendy's/25-26/Upfront/Digital/Sports - 2025/26 - 2Q'26"/>
    <x v="146"/>
    <s v="DIO - ROV - 1F Sports Bundle - Pre/Mid - ROS - FW - SXD - Package"/>
    <n v="7952"/>
    <n v="576705"/>
    <s v="Wendy's - DIO - ROV - ALLFOX Sports Bundle - A18-49 - Pre/Mid - ROS - 2Q'26 Package - VAL1"/>
    <d v="2026-03-30T00:00:00"/>
    <d v="2026-06-28T00:00:00"/>
    <s v="FOX Innovid"/>
    <s v="CPM"/>
    <n v="14.61"/>
    <n v="4575223"/>
    <n v="66844"/>
    <s v="Impressions"/>
    <s v="performance"/>
    <n v="0"/>
    <n v="0"/>
    <s v="performance"/>
    <n v="2855093"/>
    <s v="invoice_schedule"/>
    <n v="41712.908799999997"/>
    <n v="41712.908799999997"/>
    <n v="41712.908799999997"/>
    <n v="2863208"/>
    <n v="2855093"/>
    <d v="2026-03-30T00:00:00"/>
    <d v="2026-06-28T00:00:00"/>
    <s v="Matthew Vellardito"/>
    <s v="None"/>
    <s v="JUN'26"/>
    <n v="271346.15999999997"/>
    <n v="123831"/>
    <s v="Dylan Giordano"/>
  </r>
  <r>
    <s v="AGC002070"/>
    <s v="WENDY'S"/>
    <s v="ADV006548"/>
    <s v="Wendy's/25-26/Upfront/Digital/Sports - 2025/26 - 2Q'26"/>
    <x v="146"/>
    <s v="DIO - ROV - 1F Sports Bundle - Pre/Mid - ROS - FW - SXD - Package"/>
    <n v="7952"/>
    <n v="576851"/>
    <s v="Wendy's - DIO - ROV - ALLFOX Sports Bundle - A18-49 - Pre/Mid - ROS - 2Q'26 Package - EQU1"/>
    <d v="2026-06-15T00:00:00"/>
    <d v="2026-06-28T00:00:00"/>
    <s v="FOX Innovid"/>
    <s v="CPM"/>
    <n v="14.61"/>
    <n v="4827606"/>
    <n v="70531.320000000007"/>
    <s v="Impressions"/>
    <s v="performance"/>
    <n v="0"/>
    <n v="0"/>
    <s v="performance"/>
    <n v="4827606"/>
    <s v="invoice_schedule"/>
    <n v="70531.320000000007"/>
    <n v="70531.320000000007"/>
    <n v="70531.320000000007"/>
    <n v="4871465"/>
    <n v="4853861"/>
    <d v="2026-06-15T00:00:00"/>
    <d v="2026-06-28T00:00:00"/>
    <s v="Matthew Vellardito"/>
    <s v="None"/>
    <s v="JUN'26"/>
    <n v="271346.15999999997"/>
    <n v="123831"/>
    <s v="Dylan Giordano"/>
  </r>
  <r>
    <s v="AGC001312"/>
    <s v="ALBERT"/>
    <s v="ADV010900"/>
    <s v="Albert/25-26/2Q'26/Digital/One Fox"/>
    <x v="147"/>
    <s v="DIO - ROV - 1F SEN - Pre/Mid - ROS - FW - SXD - Package"/>
    <n v="7950"/>
    <n v="591110"/>
    <s v="Albert - DIO - ROV - 1F SEN - Pre/Mid - ROS - FW - SXD - 2Q'26"/>
    <d v="2026-06-01T00:00:00"/>
    <d v="2026-06-07T00:00:00"/>
    <s v="FOX Flashtalking"/>
    <s v="CPM"/>
    <n v="17"/>
    <n v="147063"/>
    <n v="2500.08"/>
    <s v="Impressions"/>
    <s v="performance"/>
    <n v="0"/>
    <n v="0"/>
    <s v="performance"/>
    <n v="119466"/>
    <s v="invoice_schedule"/>
    <n v="2030.922"/>
    <n v="2030.922"/>
    <n v="2030.922"/>
    <n v="151579"/>
    <n v="119466"/>
    <d v="2026-06-01T00:00:00"/>
    <d v="2026-06-07T00:00:00"/>
    <s v="Anthony Gizzo"/>
    <s v="None"/>
    <s v="JUN'26"/>
    <n v="30000.959999999999"/>
    <n v="129468"/>
    <s v="Jon Renz"/>
  </r>
  <r>
    <s v="AGC001312"/>
    <s v="ALBERT"/>
    <s v="ADV010900"/>
    <s v="Albert/25-26/2Q'26/Digital/One Fox"/>
    <x v="147"/>
    <s v="DIO - ROV - 1F SEN - Pre/Mid - ROS - FW - SXD - Package"/>
    <n v="7950"/>
    <n v="591123"/>
    <s v="Albert - DIO - ROV - 1F SEN - Pre/Mid - ROS - FW - SXD - 2Q'26"/>
    <d v="2026-06-08T00:00:00"/>
    <d v="2026-06-14T00:00:00"/>
    <s v="FOX Flashtalking"/>
    <s v="CPM"/>
    <n v="17"/>
    <n v="147063"/>
    <n v="2500.08"/>
    <s v="Impressions"/>
    <s v="performance"/>
    <n v="0"/>
    <n v="0"/>
    <s v="performance"/>
    <n v="140250"/>
    <s v="invoice_schedule"/>
    <n v="2384.25"/>
    <n v="2384.25"/>
    <n v="2384.25"/>
    <n v="152040"/>
    <n v="140250"/>
    <d v="2026-06-08T00:00:00"/>
    <d v="2026-06-14T00:00:00"/>
    <s v="Anthony Gizzo"/>
    <s v="None"/>
    <s v="JUN'26"/>
    <n v="30000.959999999999"/>
    <n v="129468"/>
    <s v="Jon Renz"/>
  </r>
  <r>
    <s v="AGC001312"/>
    <s v="ALBERT"/>
    <s v="ADV010900"/>
    <s v="Albert/25-26/2Q'26/Digital/One Fox"/>
    <x v="147"/>
    <s v="DIO - ROV - 1F SEN - Pre/Mid - ROS - FW - SXD - Package"/>
    <n v="7950"/>
    <n v="591126"/>
    <s v="Albert - DIO - ROV - 1F SEN - Pre/Mid - ROS - FW - SXD - 2Q'26"/>
    <d v="2026-06-15T00:00:00"/>
    <d v="2026-06-21T00:00:00"/>
    <s v="FOX Flashtalking"/>
    <s v="CPM"/>
    <n v="17"/>
    <n v="147063"/>
    <n v="2500.08"/>
    <s v="Impressions"/>
    <s v="performance"/>
    <n v="0"/>
    <n v="0"/>
    <s v="performance"/>
    <n v="147063"/>
    <s v="invoice_schedule"/>
    <n v="2500.08"/>
    <n v="2500.08"/>
    <n v="2500.08"/>
    <n v="152083"/>
    <n v="147216"/>
    <d v="2026-06-15T00:00:00"/>
    <d v="2026-06-21T00:00:00"/>
    <s v="Anthony Gizzo"/>
    <s v="None"/>
    <s v="JUN'26"/>
    <n v="30000.959999999999"/>
    <n v="129468"/>
    <s v="Jon Renz"/>
  </r>
  <r>
    <s v="AGC001312"/>
    <s v="ALBERT"/>
    <s v="ADV010900"/>
    <s v="Albert/25-26/2Q'26/Digital/One Fox"/>
    <x v="147"/>
    <s v="DIO - ROV - 1F SEN - Pre/Mid - ROS - FW - SXD - Package"/>
    <n v="7950"/>
    <n v="591129"/>
    <s v="Albert - DIO - ROV - 1F SEN - Pre/Mid - ROS - FW - SXD - 2Q'26"/>
    <d v="2026-06-22T00:00:00"/>
    <d v="2026-06-28T00:00:00"/>
    <s v="FOX Flashtalking"/>
    <s v="CPM"/>
    <n v="17"/>
    <n v="147063"/>
    <n v="2500.08"/>
    <s v="Impressions"/>
    <s v="performance"/>
    <n v="0"/>
    <n v="0"/>
    <s v="performance"/>
    <n v="147063"/>
    <s v="invoice_schedule"/>
    <n v="2500.08"/>
    <n v="2500.08"/>
    <n v="2500.08"/>
    <n v="143029"/>
    <n v="148802"/>
    <d v="2026-06-22T00:00:00"/>
    <d v="2026-06-28T00:00:00"/>
    <s v="Anthony Gizzo"/>
    <s v="None"/>
    <s v="JUN'26"/>
    <n v="30000.959999999999"/>
    <n v="129468"/>
    <s v="Jon Renz"/>
  </r>
  <r>
    <s v="AGC003068"/>
    <s v="UNILEVER"/>
    <s v="ADV000661"/>
    <s v="Unilever/MWC Digital/2026 - DM+C SLC"/>
    <x v="148"/>
    <s v="Run of World Cup Video - Package"/>
    <n v="8005"/>
    <n v="580827"/>
    <s v="OMP-Unilever DM+C SLC Run of World Cup Video"/>
    <d v="2026-06-01T00:00:00"/>
    <d v="2026-07-19T00:00:00"/>
    <s v="FOX Flashtalking"/>
    <s v="CPM"/>
    <n v="40"/>
    <n v="500000"/>
    <n v="20000"/>
    <s v="Impressions"/>
    <s v="prorated"/>
    <n v="306123"/>
    <n v="12244.897999999999"/>
    <s v="prorated"/>
    <n v="306123"/>
    <s v="invoice_schedule"/>
    <n v="12244.897999999999"/>
    <n v="12244.897999999999"/>
    <n v="12244.897999999999"/>
    <n v="329777"/>
    <n v="334686"/>
    <d v="2026-06-01T00:00:00"/>
    <d v="2026-07-19T00:00:00"/>
    <s v="Mia Bonvissuto"/>
    <s v="None"/>
    <s v="JUN'26"/>
    <n v="659615.11"/>
    <n v="124244"/>
    <s v="Leslie Lowenthal"/>
  </r>
  <r>
    <s v="AGC003068"/>
    <s v="UNILEVER"/>
    <s v="ADV000661"/>
    <s v="Unilever/MWC Digital/2026 - DM+C SLC"/>
    <x v="148"/>
    <s v="Run of FOX Sports Video - Package"/>
    <n v="8002"/>
    <n v="580830"/>
    <s v="OMP-Unilever DM+C SLC Run of FOX Sports Video"/>
    <d v="2026-04-01T00:00:00"/>
    <d v="2026-07-19T00:00:00"/>
    <s v="FOX Flashtalking"/>
    <s v="CPM"/>
    <n v="25"/>
    <n v="2000000"/>
    <n v="50000"/>
    <s v="CoV Impressions"/>
    <s v="prorated"/>
    <n v="545454"/>
    <n v="13636.363600000001"/>
    <s v="prorated"/>
    <n v="760570"/>
    <s v="invoice_schedule"/>
    <n v="19014.2327"/>
    <n v="19014.2327"/>
    <n v="19014.2327"/>
    <n v="505991"/>
    <n v="498321"/>
    <d v="2026-04-01T00:00:00"/>
    <d v="2026-07-19T00:00:00"/>
    <s v="Mia Bonvissuto"/>
    <s v="None"/>
    <s v="JUN'26"/>
    <n v="659615.11"/>
    <n v="124244"/>
    <s v="Leslie Lowenthal"/>
  </r>
  <r>
    <s v="AGC003068"/>
    <s v="UNILEVER"/>
    <s v="ADV000661"/>
    <s v="Unilever/MWC Digital/2026 - DM+C SLC"/>
    <x v="148"/>
    <s v="Run of AllFOX Video - Package"/>
    <n v="7998"/>
    <n v="580832"/>
    <s v="OMP-Unilever DM+C SLC Run of AllFOX Video - Soccer Fans - AAT - Package"/>
    <d v="2026-04-01T00:00:00"/>
    <d v="2026-07-19T00:00:00"/>
    <s v="FOX Flashtalking"/>
    <s v="CPM"/>
    <n v="20"/>
    <n v="9003350"/>
    <n v="180067"/>
    <s v="Impressions"/>
    <s v="prorated"/>
    <n v="2455459"/>
    <n v="49109.181799999998"/>
    <s v="prorated"/>
    <n v="735013"/>
    <s v="invoice_schedule"/>
    <n v="14700.269399999999"/>
    <n v="14700.269399999999"/>
    <n v="14700.269399999999"/>
    <n v="2483212"/>
    <n v="2505354"/>
    <d v="2026-04-01T00:00:00"/>
    <d v="2026-07-19T00:00:00"/>
    <s v="Mia Bonvissuto"/>
    <s v="None"/>
    <s v="JUN'26"/>
    <n v="659615.11"/>
    <n v="124244"/>
    <s v="Leslie Lowenthal"/>
  </r>
  <r>
    <s v="AGC003068"/>
    <s v="UNILEVER"/>
    <s v="ADV000661"/>
    <s v="Unilever/MWC Digital/2026 - DM+C SLC"/>
    <x v="148"/>
    <s v="World Cup Social Sponsorship Content - Package"/>
    <n v="8000"/>
    <n v="580835"/>
    <s v="OMP-Unilever DM+C SLC World Cup Social Sponsorship Content - Package"/>
    <d v="2026-06-01T00:00:00"/>
    <d v="2026-07-19T00:00:00"/>
    <s v="FOX Flashtalking"/>
    <s v="various"/>
    <n v="0"/>
    <n v="2313654"/>
    <n v="347048.1"/>
    <m/>
    <s v="prorated"/>
    <n v="1416523"/>
    <n v="212478.42860000001"/>
    <s v="prorated"/>
    <n v="1416523"/>
    <s v="invoice_schedule"/>
    <n v="212478.42860000001"/>
    <n v="212478.42860000001"/>
    <n v="212478.42860000001"/>
    <m/>
    <m/>
    <d v="2026-06-01T00:00:00"/>
    <d v="2026-07-19T00:00:00"/>
    <s v="Mia Bonvissuto"/>
    <s v="None"/>
    <s v="JUN'26"/>
    <n v="659615.11"/>
    <n v="124244"/>
    <s v="Leslie Lowenthal"/>
  </r>
  <r>
    <s v="AGC003068"/>
    <s v="UNILEVER"/>
    <s v="ADV000661"/>
    <s v="Unilever/MWC Digital/2026 - DM+C SLC"/>
    <x v="148"/>
    <s v="World Cup Social Sponsorship Content - Package"/>
    <n v="8000"/>
    <n v="593185"/>
    <s v="OMP-Unilever DM+C SLC World Cup Social Sponsorship Content - X Amplify - Package"/>
    <d v="2026-06-01T00:00:00"/>
    <d v="2026-07-19T00:00:00"/>
    <s v="FOX Flashtalking"/>
    <s v="SOV-Flat Rate"/>
    <n v="62500"/>
    <n v="0"/>
    <n v="62500"/>
    <s v="n/a"/>
    <s v="prorated"/>
    <n v="0"/>
    <n v="38265.306199999999"/>
    <s v="prorated"/>
    <n v="0"/>
    <s v="invoice_schedule"/>
    <n v="38265.306199999999"/>
    <n v="38265.306199999999"/>
    <n v="38265.306199999999"/>
    <m/>
    <m/>
    <d v="2026-06-01T00:00:00"/>
    <d v="2026-07-19T00:00:00"/>
    <s v="Mia Bonvissuto"/>
    <s v="None"/>
    <s v="JUN'26"/>
    <n v="659615.11"/>
    <n v="124244"/>
    <s v="Leslie Lowenthal"/>
  </r>
  <r>
    <s v="AGC000913"/>
    <s v="TACO BELL"/>
    <s v="ADV000233"/>
    <s v="TACO BELL/DIGITAL/UPFRONT/FOXENTERTAINMENT/UF 2025/26/2Q'26"/>
    <x v="149"/>
    <m/>
    <m/>
    <n v="580681"/>
    <s v="Taco Bell - LFV - RON Ent - Pre/Mid - ROS - DT/MB/CTV - A18+ 2Q'26 E6"/>
    <d v="2026-05-21T00:00:00"/>
    <d v="2026-06-17T00:00:00"/>
    <s v="FOX Extreme Reach"/>
    <s v="CPM"/>
    <n v="18.89"/>
    <n v="8913727"/>
    <n v="168380.3"/>
    <s v="CoV Impressions"/>
    <s v="performance"/>
    <n v="0"/>
    <n v="0"/>
    <s v="performance"/>
    <n v="3331099"/>
    <s v="invoice_schedule"/>
    <n v="62924.46"/>
    <n v="62924.46"/>
    <n v="62924.46"/>
    <n v="4285234"/>
    <n v="4209974"/>
    <d v="2026-05-21T00:00:00"/>
    <d v="2026-06-17T00:00:00"/>
    <s v="Katie Johnson"/>
    <s v="None"/>
    <s v="JUN'26"/>
    <n v="547236"/>
    <n v="123238"/>
    <s v="Tim Wodzisz"/>
  </r>
  <r>
    <s v="AGC000913"/>
    <s v="TACO BELL"/>
    <s v="ADV000233"/>
    <s v="TACO BELL/DIGITAL/UPFRONT/FOXENTERTAINMENT/UF 2025/26/2Q'26"/>
    <x v="149"/>
    <m/>
    <m/>
    <n v="580682"/>
    <s v="Taco Bell - LFV - RON Ent - Pre/Mid - ROS - DT/MB/CTV - A18+ 2Q'26 E7"/>
    <d v="2026-06-18T00:00:00"/>
    <d v="2026-06-28T00:00:00"/>
    <s v="FOX Extreme Reach"/>
    <s v="CPM"/>
    <n v="18.89"/>
    <n v="3501822"/>
    <n v="66149.42"/>
    <s v="CoV Impressions"/>
    <s v="performance"/>
    <n v="0"/>
    <n v="0"/>
    <s v="performance"/>
    <n v="3501822"/>
    <s v="invoice_schedule"/>
    <n v="66149.42"/>
    <n v="66149.42"/>
    <n v="66149.42"/>
    <n v="3646154"/>
    <n v="3636191"/>
    <d v="2026-06-18T00:00:00"/>
    <d v="2026-06-28T00:00:00"/>
    <s v="Katie Johnson"/>
    <s v="None"/>
    <s v="JUN'26"/>
    <n v="547236"/>
    <n v="123238"/>
    <s v="Tim Wodzisz"/>
  </r>
  <r>
    <s v="AGC001350"/>
    <s v="THERABODY INC"/>
    <s v="ADV010974"/>
    <s v="THERABODY/PMG/25-26/Digital/Scatter/Sports/MWC"/>
    <x v="150"/>
    <s v="Run of World Cup Video - Package"/>
    <n v="8005"/>
    <n v="582278"/>
    <s v="Therabody - Run of World Cup Video - Package"/>
    <d v="2026-06-10T00:00:00"/>
    <d v="2026-07-19T00:00:00"/>
    <m/>
    <s v="CPM"/>
    <n v="44"/>
    <n v="1704546"/>
    <n v="75000.02"/>
    <s v="Impressions"/>
    <s v="performance"/>
    <n v="0"/>
    <n v="0"/>
    <s v="performance"/>
    <n v="650168"/>
    <s v="invoice_schedule"/>
    <n v="28607.392"/>
    <n v="28607.392"/>
    <n v="28607.392"/>
    <n v="940990"/>
    <n v="650168"/>
    <d v="2026-06-10T00:00:00"/>
    <d v="2026-07-19T00:00:00"/>
    <s v="Grace Stryker"/>
    <s v="None"/>
    <s v="JUN'26"/>
    <n v="150000.03"/>
    <n v="130913"/>
    <s v="Carly Sartwell"/>
  </r>
  <r>
    <s v="AGC001350"/>
    <s v="THERABODY INC"/>
    <s v="ADV010974"/>
    <s v="THERABODY/PMG/25-26/Digital/Scatter/Sports/MWC"/>
    <x v="150"/>
    <s v="Run of AllFOX Video - Package"/>
    <n v="7998"/>
    <n v="592128"/>
    <s v="CANCELLED - Therabody - Run of AllFOX Video - Package - AAT"/>
    <d v="2026-06-10T00:00:00"/>
    <d v="2026-07-19T00:00:00"/>
    <m/>
    <s v="CPM"/>
    <n v="0"/>
    <n v="0"/>
    <n v="0"/>
    <s v="Impressions"/>
    <s v="performance"/>
    <n v="0"/>
    <n v="0"/>
    <s v="performance"/>
    <n v="0"/>
    <s v="invoice_schedule"/>
    <n v="0"/>
    <n v="0"/>
    <n v="0"/>
    <n v="446262"/>
    <n v="256972"/>
    <d v="2026-06-10T00:00:00"/>
    <d v="2026-07-19T00:00:00"/>
    <s v="Grace Stryker"/>
    <s v="None"/>
    <s v="JUN'26"/>
    <n v="150000.03"/>
    <n v="130913"/>
    <s v="Carly Sartwell"/>
  </r>
  <r>
    <s v="AGC001350"/>
    <s v="THERABODY INC"/>
    <s v="ADV010974"/>
    <s v="THERABODY/PMG/25-26/Digital/Scatter/Sports/MWC"/>
    <x v="150"/>
    <s v="Run of FOX Sports Video - Package"/>
    <n v="8002"/>
    <n v="595783"/>
    <s v="Therabody - Run of FOX Sports Video - Package"/>
    <d v="2026-06-24T00:00:00"/>
    <d v="2026-09-30T00:00:00"/>
    <s v="FOX DCM"/>
    <s v="CPM"/>
    <n v="25"/>
    <n v="3000000"/>
    <n v="75000"/>
    <s v="Impressions"/>
    <s v="performance"/>
    <n v="0"/>
    <n v="0"/>
    <s v="performance"/>
    <n v="9192"/>
    <s v="invoice_schedule"/>
    <n v="229.8"/>
    <n v="229.8"/>
    <n v="229.8"/>
    <n v="10341"/>
    <n v="9192"/>
    <d v="2026-06-24T00:00:00"/>
    <d v="2026-09-30T00:00:00"/>
    <s v="Grace Stryker"/>
    <s v="None"/>
    <s v="JUN'26"/>
    <n v="150000.03"/>
    <n v="130913"/>
    <s v="Carly Sartwell"/>
  </r>
  <r>
    <s v="AGC000052"/>
    <s v="THRIVENT FINANCIAL FOR LUTHERANS FOUNDATION"/>
    <s v="ADV009438"/>
    <s v="Thrivent/Digital/Upfront/Sports - UF 2025/26 - 2Q'26"/>
    <x v="151"/>
    <s v="DIO - ROV - FS - Pre/Mid - ROS - DT/MB/CTV - Package"/>
    <n v="7968"/>
    <n v="578617"/>
    <s v="Thrivent - DIO - ROV - FS - Pre/Mid - ROS - DT/MB/CTV - P2+ - 2Q'26 Package"/>
    <d v="2026-04-01T00:00:00"/>
    <d v="2026-06-30T00:00:00"/>
    <s v="FOX DCM"/>
    <s v="CPM"/>
    <n v="21.79"/>
    <n v="11702616"/>
    <n v="255000.01"/>
    <m/>
    <s v="performance"/>
    <n v="0"/>
    <n v="0"/>
    <s v="performance"/>
    <n v="3454995"/>
    <s v="invoice_schedule"/>
    <n v="75284.350000000006"/>
    <n v="75284.350000000006"/>
    <n v="75284.350000000006"/>
    <n v="3649701"/>
    <n v="3574491"/>
    <d v="2026-04-01T00:00:00"/>
    <d v="2026-06-30T00:00:00"/>
    <s v="Matthew Vellardito"/>
    <s v="None"/>
    <s v="JUN'26"/>
    <n v="255000.01"/>
    <n v="123974"/>
    <s v="Tom Cecil"/>
  </r>
  <r>
    <s v="AGC001810"/>
    <s v="WALMART"/>
    <s v="ADV006265"/>
    <s v="Walmart/Digital/Upfront/Sports-Social/UF/2Q'26"/>
    <x v="152"/>
    <s v="DIO - ROV - FS - Pre/Mid - ROS - DT/MB/CTV - Package"/>
    <n v="7968"/>
    <n v="578855"/>
    <s v="Walmart - DIO - ROV - FS - Pre/Mid - ROS - DT/MB/CTV - A18-49 - 2Q'26 Package - FB2"/>
    <d v="2026-05-01T00:00:00"/>
    <d v="2026-06-07T00:00:00"/>
    <s v="FOX Innovid"/>
    <s v="CPM"/>
    <n v="29.21"/>
    <n v="18465"/>
    <n v="539.36"/>
    <s v="Impressions"/>
    <s v="straightline"/>
    <n v="9233"/>
    <n v="269.68"/>
    <s v="straightline"/>
    <n v="0"/>
    <s v="invoice_schedule"/>
    <n v="0"/>
    <n v="0"/>
    <n v="0"/>
    <n v="5744"/>
    <n v="5719"/>
    <d v="2026-05-01T00:00:00"/>
    <d v="2026-06-07T00:00:00"/>
    <s v="Megan Sileo"/>
    <s v="None"/>
    <s v="JUN'26"/>
    <n v="150000"/>
    <n v="123556"/>
    <s v="Tom Cecil"/>
  </r>
  <r>
    <s v="AGC001810"/>
    <s v="WALMART"/>
    <s v="ADV006265"/>
    <s v="Walmart/Digital/Upfront/Sports-Social/UF/2Q'26"/>
    <x v="152"/>
    <s v="DIO - ROV - FS - Pre/Mid - ROS - DT/MB/CTV - Package"/>
    <n v="7968"/>
    <n v="578857"/>
    <s v="Walmart - DIO - ROV - FS - Pre/Mid - ROS - DT/MB/CTV - A18-49 - 2Q'26 Package - BTX2"/>
    <d v="2026-06-22T00:00:00"/>
    <d v="2026-06-28T00:00:00"/>
    <s v="FOX Innovid"/>
    <s v="CPM"/>
    <n v="29.21"/>
    <n v="170280"/>
    <n v="4973.88"/>
    <s v="Impressions"/>
    <s v="straightline"/>
    <n v="170280"/>
    <n v="4973.88"/>
    <s v="straightline"/>
    <n v="170280"/>
    <s v="invoice_schedule"/>
    <n v="4973.88"/>
    <n v="4973.88"/>
    <n v="4973.88"/>
    <n v="209364"/>
    <n v="211246"/>
    <d v="2026-06-22T00:00:00"/>
    <d v="2026-06-28T00:00:00"/>
    <s v="Megan Sileo"/>
    <s v="None"/>
    <s v="JUN'26"/>
    <n v="150000"/>
    <n v="123556"/>
    <s v="Tom Cecil"/>
  </r>
  <r>
    <s v="AGC001810"/>
    <s v="WALMART"/>
    <s v="ADV006265"/>
    <s v="Walmart/Digital/Upfront/Sports-Social/UF/2Q'26"/>
    <x v="152"/>
    <s v="DIO - ROV - FS - Pre/Mid - ROS - DT/MB/CTV - Package"/>
    <n v="7968"/>
    <n v="578859"/>
    <s v="Walmart - DIO - ROV - FS - Pre/Mid - ROS - DT/MB/CTV - A18-49 - 2Q'26 Package - WAL2"/>
    <d v="2026-05-04T00:00:00"/>
    <d v="2026-06-21T00:00:00"/>
    <s v="FOX Innovid"/>
    <s v="CPM"/>
    <n v="29.21"/>
    <n v="1097919"/>
    <n v="32070.21"/>
    <s v="Impressions"/>
    <s v="straightline"/>
    <n v="548960"/>
    <n v="16035.105"/>
    <s v="straightline"/>
    <n v="647399"/>
    <s v="invoice_schedule"/>
    <n v="18910.509999999998"/>
    <n v="18910.509999999998"/>
    <n v="18910.509999999998"/>
    <n v="889350"/>
    <n v="897753"/>
    <d v="2026-05-04T00:00:00"/>
    <d v="2026-06-21T00:00:00"/>
    <s v="Megan Sileo"/>
    <s v="None"/>
    <s v="JUN'26"/>
    <n v="150000"/>
    <n v="123556"/>
    <s v="Tom Cecil"/>
  </r>
  <r>
    <s v="AGC001810"/>
    <s v="WALMART"/>
    <s v="ADV006265"/>
    <s v="Walmart/Digital/Upfront/Sports-Social/UF/2Q'26"/>
    <x v="152"/>
    <s v="DIO - ROV - FS - Pre/Mid - ROS - DT/MB/CTV - Package"/>
    <n v="7968"/>
    <n v="578865"/>
    <s v="Walmart - DIO - ROV - FS - Pre/Mid - ROS - DT/MB/CTV - A18-49 - 2Q'26 Package - PO2"/>
    <d v="2026-05-04T00:00:00"/>
    <d v="2026-06-21T00:00:00"/>
    <s v="FOX Innovid"/>
    <s v="CPM"/>
    <n v="29.21"/>
    <n v="1144136"/>
    <n v="33420.21"/>
    <s v="Impressions"/>
    <s v="straightline"/>
    <n v="572068"/>
    <n v="16710.105"/>
    <s v="straightline"/>
    <n v="618884"/>
    <s v="invoice_schedule"/>
    <n v="18077.599999999999"/>
    <n v="18077.599999999999"/>
    <n v="18077.599999999999"/>
    <n v="899051"/>
    <n v="907341"/>
    <d v="2026-05-04T00:00:00"/>
    <d v="2026-06-21T00:00:00"/>
    <s v="Megan Sileo"/>
    <s v="None"/>
    <s v="JUN'26"/>
    <n v="150000"/>
    <n v="123556"/>
    <s v="Tom Cecil"/>
  </r>
  <r>
    <s v="AGC001810"/>
    <s v="WALMART"/>
    <s v="ADV006265"/>
    <s v="Walmart/Digital/Upfront/Sports-Social/UF/2Q'26"/>
    <x v="152"/>
    <s v="DIO - ROV - FS - Pre/Mid - ROS - DT/MB/CTV - Package"/>
    <n v="7968"/>
    <n v="578869"/>
    <s v="Walmart - DIO - ROV - FS - Pre/Mid - ROS - DT/MB/CTV - A18-49 - 2Q'26 Package - EX2"/>
    <d v="2026-05-01T00:00:00"/>
    <d v="2026-06-28T00:00:00"/>
    <s v="FOX Innovid"/>
    <s v="CPM"/>
    <n v="29.21"/>
    <n v="960040"/>
    <n v="28042.77"/>
    <s v="Impressions"/>
    <s v="straightline"/>
    <n v="480020"/>
    <n v="14021.385"/>
    <s v="straightline"/>
    <n v="402811"/>
    <s v="invoice_schedule"/>
    <n v="11766.11"/>
    <n v="11766.11"/>
    <n v="11766.11"/>
    <n v="580823"/>
    <n v="586494"/>
    <d v="2026-05-01T00:00:00"/>
    <d v="2026-06-28T00:00:00"/>
    <s v="Megan Sileo"/>
    <s v="None"/>
    <s v="JUN'26"/>
    <n v="150000"/>
    <n v="123556"/>
    <s v="Tom Cecil"/>
  </r>
  <r>
    <s v="AGC002411"/>
    <s v="BANK OF AMERICA"/>
    <s v="ADV005301"/>
    <s v="Bank of America/Digital/Scatter/FOX Sports DAI/Q2-Q4'26"/>
    <x v="153"/>
    <s v="DIO - ROV - FS - Pre/Mid - ROS - DT/MB/CTV - Package"/>
    <n v="7968"/>
    <n v="588479"/>
    <s v="Bank of America - DIO - ROV - FS - Pre/Mid - ROS - DT/MB/CTV - Package"/>
    <d v="2026-05-28T00:00:00"/>
    <d v="2026-11-29T00:00:00"/>
    <s v="FOX Flashtalking"/>
    <s v="CPM"/>
    <n v="23.76"/>
    <n v="17676768"/>
    <n v="420000.01"/>
    <s v="CoV Impressions"/>
    <s v="performance"/>
    <n v="0"/>
    <n v="0"/>
    <s v="performance"/>
    <n v="1477"/>
    <s v="invoice_schedule"/>
    <n v="35.093499999999999"/>
    <n v="35.093499999999999"/>
    <n v="35.093499999999999"/>
    <n v="7082"/>
    <n v="1477"/>
    <d v="2026-05-28T00:00:00"/>
    <d v="2026-11-29T00:00:00"/>
    <s v="Katie Johnson"/>
    <s v="None"/>
    <s v="JUN'26"/>
    <n v="420000.01"/>
    <n v="129915"/>
    <s v="Matt Frey"/>
  </r>
  <r>
    <s v="AGC003068"/>
    <s v="UNILEVER"/>
    <s v="ADV000661"/>
    <s v="Unilever/MWC Digital/2026 - Axe Deo"/>
    <x v="154"/>
    <s v="Run of World Cup Video - Package"/>
    <n v="8005"/>
    <n v="580930"/>
    <s v="OMP-Unilever - Axe Deo - Run of World Cup Video"/>
    <d v="2026-06-01T00:00:00"/>
    <d v="2026-07-19T00:00:00"/>
    <s v="FOX Flashtalking"/>
    <s v="CPM"/>
    <n v="40"/>
    <n v="500000"/>
    <n v="20000"/>
    <s v="Impressions"/>
    <s v="prorated"/>
    <n v="306123"/>
    <n v="12244.897999999999"/>
    <s v="prorated"/>
    <n v="306123"/>
    <s v="invoice_schedule"/>
    <n v="12244.897999999999"/>
    <n v="12244.897999999999"/>
    <n v="12244.897999999999"/>
    <n v="354920"/>
    <n v="357110"/>
    <d v="2026-06-01T00:00:00"/>
    <d v="2026-07-19T00:00:00"/>
    <s v="Mia Bonvissuto"/>
    <s v="None"/>
    <s v="JUN'26"/>
    <n v="697348.11"/>
    <n v="125400"/>
    <s v="Leslie Lowenthal"/>
  </r>
  <r>
    <s v="AGC003068"/>
    <s v="UNILEVER"/>
    <s v="ADV000661"/>
    <s v="Unilever/MWC Digital/2026 - Axe Deo"/>
    <x v="154"/>
    <s v="Run of FOX Sports Video - Package"/>
    <n v="8002"/>
    <n v="580933"/>
    <s v="OMP-Unilever - Axe Deo - Run of FOX Sports Video"/>
    <d v="2026-04-13T00:00:00"/>
    <d v="2026-07-19T00:00:00"/>
    <s v="FOX Flashtalking"/>
    <s v="CPM"/>
    <n v="25"/>
    <n v="2000000"/>
    <n v="50000"/>
    <s v="CoV Impressions"/>
    <s v="prorated"/>
    <n v="612245"/>
    <n v="15306.122499999999"/>
    <s v="prorated"/>
    <n v="999585"/>
    <s v="invoice_schedule"/>
    <n v="24989.587800000001"/>
    <n v="24989.587800000001"/>
    <n v="24989.587800000001"/>
    <n v="599527"/>
    <n v="591533"/>
    <d v="2026-04-13T00:00:00"/>
    <d v="2026-07-19T00:00:00"/>
    <s v="Mia Bonvissuto"/>
    <s v="None"/>
    <s v="JUN'26"/>
    <n v="697348.11"/>
    <n v="125400"/>
    <s v="Leslie Lowenthal"/>
  </r>
  <r>
    <s v="AGC003068"/>
    <s v="UNILEVER"/>
    <s v="ADV000661"/>
    <s v="Unilever/MWC Digital/2026 - Axe Deo"/>
    <x v="154"/>
    <s v="Run of AllFOX Video - Package"/>
    <n v="7998"/>
    <n v="580935"/>
    <s v="OMP-Unilever - Axe Deo - Run of AllFOX Video - Soccer Fans - AAT"/>
    <d v="2026-04-13T00:00:00"/>
    <d v="2026-07-19T00:00:00"/>
    <s v="FOX Flashtalking"/>
    <s v="CPM"/>
    <n v="20"/>
    <n v="4000000"/>
    <n v="80000"/>
    <s v="Impressions"/>
    <s v="prorated"/>
    <n v="1224490"/>
    <n v="24489.795999999998"/>
    <s v="prorated"/>
    <n v="1999168"/>
    <s v="invoice_schedule"/>
    <n v="39983.340400000001"/>
    <n v="39983.340400000001"/>
    <n v="39983.340400000001"/>
    <n v="1216661"/>
    <n v="1212373"/>
    <d v="2026-04-13T00:00:00"/>
    <d v="2026-07-19T00:00:00"/>
    <s v="Mia Bonvissuto"/>
    <s v="None"/>
    <s v="JUN'26"/>
    <n v="697348.11"/>
    <n v="125400"/>
    <s v="Leslie Lowenthal"/>
  </r>
  <r>
    <s v="AGC003068"/>
    <s v="UNILEVER"/>
    <s v="ADV000661"/>
    <s v="Unilever/MWC Digital/2026 - Axe Deo"/>
    <x v="154"/>
    <s v="World Cup Social Sponsorship Content - Package"/>
    <n v="8000"/>
    <n v="580938"/>
    <s v="OMP-Unilever - Axe Deo - World Cup Social Sponsorship Content"/>
    <d v="2026-04-13T00:00:00"/>
    <d v="2026-07-19T00:00:00"/>
    <s v="FOX Flashtalking"/>
    <s v="various"/>
    <n v="0"/>
    <n v="2815654"/>
    <n v="547348.1"/>
    <m/>
    <s v="prorated"/>
    <n v="861935"/>
    <n v="167555.54089999999"/>
    <s v="prorated"/>
    <n v="1723870"/>
    <s v="invoice_schedule"/>
    <n v="321054.44089999999"/>
    <n v="321054.44089999999"/>
    <n v="321054.44089999999"/>
    <m/>
    <m/>
    <d v="2026-04-13T00:00:00"/>
    <d v="2026-07-19T00:00:00"/>
    <s v="Mia Bonvissuto"/>
    <s v="None"/>
    <s v="JUN'26"/>
    <n v="697348.11"/>
    <n v="125400"/>
    <s v="Leslie Lowenthal"/>
  </r>
  <r>
    <s v="AGC003068"/>
    <s v="UNILEVER"/>
    <s v="ADV000661"/>
    <s v="Unilever/MWC Digital/2026 - DM+C Deo"/>
    <x v="155"/>
    <s v="Run of World Cup Video - Package"/>
    <n v="8005"/>
    <n v="580968"/>
    <s v="OMP-Unilever - DM+C Deo - Run of World Cup Video - Package"/>
    <d v="2026-06-01T00:00:00"/>
    <d v="2026-07-19T00:00:00"/>
    <s v="FOX Flashtalking"/>
    <s v="CPM"/>
    <n v="40"/>
    <n v="500000"/>
    <n v="20000"/>
    <s v="Impressions"/>
    <s v="prorated"/>
    <n v="306123"/>
    <n v="12244.897999999999"/>
    <s v="prorated"/>
    <n v="306123"/>
    <s v="invoice_schedule"/>
    <n v="12244.897999999999"/>
    <n v="12244.897999999999"/>
    <n v="12244.897999999999"/>
    <n v="329279"/>
    <n v="334306"/>
    <d v="2026-06-01T00:00:00"/>
    <d v="2026-07-19T00:00:00"/>
    <s v="Mia Bonvissuto"/>
    <s v="None"/>
    <s v="JUN'26"/>
    <n v="609480.11"/>
    <n v="124455"/>
    <s v="Leslie Lowenthal"/>
  </r>
  <r>
    <s v="AGC003068"/>
    <s v="UNILEVER"/>
    <s v="ADV000661"/>
    <s v="Unilever/MWC Digital/2026 - DM+C Deo"/>
    <x v="155"/>
    <s v="Run of FOX Sports Video - Package"/>
    <n v="8002"/>
    <n v="580980"/>
    <s v="OMP-Unilever - DM+C Deo -  Run of FOX Sports Video - Package"/>
    <d v="2026-04-01T00:00:00"/>
    <d v="2026-07-19T00:00:00"/>
    <s v="FOX Flashtalking"/>
    <s v="CPM"/>
    <n v="25"/>
    <n v="2000000"/>
    <n v="50000"/>
    <s v="CoV Impressions"/>
    <s v="prorated"/>
    <n v="545454"/>
    <n v="13636.363600000001"/>
    <s v="prorated"/>
    <n v="890538"/>
    <s v="invoice_schedule"/>
    <n v="22263.450799999999"/>
    <n v="22263.450799999999"/>
    <n v="22263.450799999999"/>
    <n v="517298"/>
    <n v="504229"/>
    <d v="2026-04-01T00:00:00"/>
    <d v="2026-07-19T00:00:00"/>
    <s v="Mia Bonvissuto"/>
    <s v="None"/>
    <s v="JUN'26"/>
    <n v="609480.11"/>
    <n v="124455"/>
    <s v="Leslie Lowenthal"/>
  </r>
  <r>
    <s v="AGC003068"/>
    <s v="UNILEVER"/>
    <s v="ADV000661"/>
    <s v="Unilever/MWC Digital/2026 - DM+C Deo"/>
    <x v="155"/>
    <s v="Run of AllFOX Video - Package"/>
    <n v="7998"/>
    <n v="580982"/>
    <s v="OMP-Unilever - DM+C Deo -  Run of AllFOX Video - Soccer Fans- AAT - Package"/>
    <d v="2026-04-01T00:00:00"/>
    <d v="2026-07-19T00:00:00"/>
    <s v="FOX Flashtalking"/>
    <s v="CPM"/>
    <n v="20"/>
    <n v="6496600"/>
    <n v="129932"/>
    <s v="Impressions"/>
    <s v="prorated"/>
    <n v="1771800"/>
    <n v="35436"/>
    <s v="prorated"/>
    <n v="2892735"/>
    <s v="invoice_schedule"/>
    <n v="57854.693899999998"/>
    <n v="57854.693899999998"/>
    <n v="57854.693899999998"/>
    <n v="1887041"/>
    <n v="1902468"/>
    <d v="2026-04-01T00:00:00"/>
    <d v="2026-07-19T00:00:00"/>
    <s v="Mia Bonvissuto"/>
    <s v="None"/>
    <s v="JUN'26"/>
    <n v="609480.11"/>
    <n v="124455"/>
    <s v="Leslie Lowenthal"/>
  </r>
  <r>
    <s v="AGC003068"/>
    <s v="UNILEVER"/>
    <s v="ADV000661"/>
    <s v="Unilever/MWC Digital/2026 - DM+C Deo"/>
    <x v="155"/>
    <s v="World Cup Social Sponsorship Content - Package"/>
    <n v="8000"/>
    <n v="580985"/>
    <s v="OMP-Unilever - DM+C Deo - World Cup Social Sponsorship Content - Package"/>
    <d v="2026-06-01T00:00:00"/>
    <d v="2026-07-19T00:00:00"/>
    <s v="FOX Flashtalking"/>
    <s v="various"/>
    <n v="0"/>
    <n v="2313654"/>
    <n v="347048.1"/>
    <m/>
    <s v="prorated"/>
    <n v="1416523"/>
    <n v="212478.42860000001"/>
    <s v="prorated"/>
    <n v="1360973"/>
    <s v="invoice_schedule"/>
    <n v="204145.9412"/>
    <n v="204145.9412"/>
    <n v="204145.9412"/>
    <m/>
    <m/>
    <d v="2026-06-01T00:00:00"/>
    <d v="2026-07-19T00:00:00"/>
    <s v="Mia Bonvissuto"/>
    <s v="None"/>
    <s v="JUN'26"/>
    <n v="609480.11"/>
    <n v="124455"/>
    <s v="Leslie Lowenthal"/>
  </r>
  <r>
    <s v="AGC003068"/>
    <s v="UNILEVER"/>
    <s v="ADV000661"/>
    <s v="Unilever/MWC Digital/2026 - DM+C Deo"/>
    <x v="155"/>
    <s v="World Cup Social Sponsorship Content - Package"/>
    <n v="8000"/>
    <n v="593176"/>
    <s v="OMP-Unilever - DM+C Deo - World Cup Social Sponsorship Content - X Amplify - Package"/>
    <d v="2026-06-01T00:00:00"/>
    <d v="2026-07-19T00:00:00"/>
    <s v="FOX Flashtalking"/>
    <s v="SOV-Flat Rate"/>
    <n v="62500"/>
    <n v="0"/>
    <n v="62500"/>
    <s v="n/a"/>
    <s v="prorated"/>
    <n v="0"/>
    <n v="38265.306199999999"/>
    <s v="prorated"/>
    <n v="0"/>
    <s v="invoice_schedule"/>
    <n v="38265.306199999999"/>
    <n v="38265.306199999999"/>
    <n v="38265.306199999999"/>
    <m/>
    <m/>
    <d v="2026-06-01T00:00:00"/>
    <d v="2026-07-19T00:00:00"/>
    <s v="Mia Bonvissuto"/>
    <s v="None"/>
    <s v="JUN'26"/>
    <n v="609480.11"/>
    <n v="124455"/>
    <s v="Leslie Lowenthal"/>
  </r>
  <r>
    <s v="AGC003068"/>
    <s v="UNILEVER"/>
    <s v="ADV000661"/>
    <s v="Unilever/MWC Digital/2026 - Degree"/>
    <x v="156"/>
    <s v="Run of World Cup Video - Package"/>
    <n v="8005"/>
    <n v="581007"/>
    <s v="OMP-Unilever - Degree -Run of World Cup Video - Package"/>
    <d v="2026-06-01T00:00:00"/>
    <d v="2026-07-19T00:00:00"/>
    <s v="FOX Flashtalking"/>
    <s v="CPM"/>
    <n v="40"/>
    <n v="500000"/>
    <n v="20000"/>
    <s v="Impressions"/>
    <s v="prorated"/>
    <n v="306123"/>
    <n v="12244.897999999999"/>
    <s v="prorated"/>
    <n v="306123"/>
    <s v="invoice_schedule"/>
    <n v="12244.897999999999"/>
    <n v="12244.897999999999"/>
    <n v="12244.897999999999"/>
    <n v="329376"/>
    <n v="334480"/>
    <d v="2026-06-01T00:00:00"/>
    <d v="2026-07-19T00:00:00"/>
    <s v="Mia Bonvissuto"/>
    <s v="None"/>
    <s v="JUN'26"/>
    <n v="433979.22"/>
    <n v="125118"/>
    <s v="Leslie Lowenthal"/>
  </r>
  <r>
    <s v="AGC003068"/>
    <s v="UNILEVER"/>
    <s v="ADV000661"/>
    <s v="Unilever/MWC Digital/2026 - Degree"/>
    <x v="156"/>
    <s v="Run of FOX Sports Video - Package"/>
    <n v="8002"/>
    <n v="581010"/>
    <s v="OMP-Unilever - Degree -Run of FOX Sports Video - Package"/>
    <d v="2026-04-01T00:00:00"/>
    <d v="2026-07-19T00:00:00"/>
    <s v="FOX Flashtalking"/>
    <s v="CPM"/>
    <n v="25"/>
    <n v="2000000"/>
    <n v="50000"/>
    <m/>
    <s v="prorated"/>
    <n v="545454"/>
    <n v="13636.363600000001"/>
    <s v="prorated"/>
    <n v="530009"/>
    <s v="invoice_schedule"/>
    <n v="13250.204100000001"/>
    <n v="13250.204100000001"/>
    <n v="13250.204100000001"/>
    <n v="519395"/>
    <n v="510025"/>
    <d v="2026-04-01T00:00:00"/>
    <d v="2026-07-19T00:00:00"/>
    <s v="Mia Bonvissuto"/>
    <s v="None"/>
    <s v="JUN'26"/>
    <n v="433979.22"/>
    <n v="125118"/>
    <s v="Leslie Lowenthal"/>
  </r>
  <r>
    <s v="AGC003068"/>
    <s v="UNILEVER"/>
    <s v="ADV000661"/>
    <s v="Unilever/MWC Digital/2026 - Degree"/>
    <x v="156"/>
    <s v="Run of AllFOX Video - Package"/>
    <n v="7998"/>
    <n v="581011"/>
    <s v="OMP-Unilever - Degree -Run of AllFOX Video - Soccer Fan - Package"/>
    <d v="2026-04-01T00:00:00"/>
    <d v="2026-07-19T00:00:00"/>
    <s v="FOX Flashtalking"/>
    <s v="CPM"/>
    <n v="20"/>
    <n v="5250000"/>
    <n v="105000"/>
    <s v="Impressions"/>
    <s v="prorated"/>
    <n v="1431818"/>
    <n v="28636.363600000001"/>
    <s v="prorated"/>
    <n v="459184"/>
    <s v="invoice_schedule"/>
    <n v="9183.6735000000008"/>
    <n v="9183.6735000000008"/>
    <n v="9183.6735000000008"/>
    <n v="1376252"/>
    <n v="1392175"/>
    <d v="2026-04-01T00:00:00"/>
    <d v="2026-07-19T00:00:00"/>
    <s v="Mia Bonvissuto"/>
    <s v="None"/>
    <s v="JUN'26"/>
    <n v="433979.22"/>
    <n v="125118"/>
    <s v="Leslie Lowenthal"/>
  </r>
  <r>
    <s v="AGC003068"/>
    <s v="UNILEVER"/>
    <s v="ADV000661"/>
    <s v="Unilever/MWC Digital/2026 - Degree"/>
    <x v="156"/>
    <s v="World Cup Social Sponsorship Content - Package"/>
    <n v="8000"/>
    <n v="581015"/>
    <s v="OMP-Unilever - Degree - World Cup Social Sponsorship Content - Package"/>
    <d v="2026-06-01T00:00:00"/>
    <d v="2026-07-19T00:00:00"/>
    <m/>
    <s v="Cost Per Unit"/>
    <n v="0.15"/>
    <n v="1726528"/>
    <n v="258979.20000000001"/>
    <s v="Placements"/>
    <s v="prorated"/>
    <n v="1057058"/>
    <n v="158558.69390000001"/>
    <s v="prorated"/>
    <n v="1057058"/>
    <s v="invoice_schedule"/>
    <n v="158558.69390000001"/>
    <n v="158558.69390000001"/>
    <n v="158558.69390000001"/>
    <m/>
    <m/>
    <d v="2026-06-01T00:00:00"/>
    <d v="2026-07-19T00:00:00"/>
    <s v="Mia Bonvissuto"/>
    <s v="None"/>
    <s v="JUN'26"/>
    <n v="433979.22"/>
    <n v="125118"/>
    <s v="Leslie Lowenthal"/>
  </r>
  <r>
    <s v="AGC003068"/>
    <s v="UNILEVER"/>
    <s v="ADV000661"/>
    <s v="Unilever/MWC Digital/2026 - Dove SCL BW"/>
    <x v="157"/>
    <s v="Run of World Cup Video - Package"/>
    <n v="8005"/>
    <n v="581183"/>
    <s v="OMP- Unilever - Dove SCL BW - Run of World Cup Video - Package"/>
    <d v="2026-06-11T00:00:00"/>
    <d v="2026-07-19T00:00:00"/>
    <s v="FOX Flashtalking"/>
    <s v="CPM"/>
    <n v="40"/>
    <n v="1439826"/>
    <n v="57593.04"/>
    <s v="Impressions"/>
    <s v="prorated"/>
    <n v="738373"/>
    <n v="29534.892400000001"/>
    <s v="prorated"/>
    <n v="738373"/>
    <s v="invoice_schedule"/>
    <n v="29534.892400000001"/>
    <n v="29534.892400000001"/>
    <n v="29534.892400000001"/>
    <n v="958716"/>
    <n v="1054003"/>
    <d v="2026-06-11T00:00:00"/>
    <d v="2026-07-19T00:00:00"/>
    <s v="Mia Bonvissuto"/>
    <s v="None"/>
    <s v="JUN'26"/>
    <n v="57593.04"/>
    <n v="126806"/>
    <s v="Leslie Lowenthal"/>
  </r>
  <r>
    <s v="AGC003068"/>
    <s v="UNILEVER"/>
    <s v="ADV000661"/>
    <s v="Unilever/MWC Digital/2026 - Dove Deo Clinical"/>
    <x v="158"/>
    <s v="Run of World Cup Video - Package"/>
    <n v="8005"/>
    <n v="581186"/>
    <s v="OMP - Unilever - Dove Deo Clinical - Run of World Cup Video - Package"/>
    <d v="2026-06-11T00:00:00"/>
    <d v="2026-07-19T00:00:00"/>
    <s v="FOX Flashtalking"/>
    <s v="CPM"/>
    <n v="40"/>
    <n v="2997900"/>
    <n v="119916"/>
    <s v="Impressions"/>
    <s v="prorated"/>
    <n v="1537385"/>
    <n v="61495.384700000002"/>
    <s v="prorated"/>
    <n v="1537385"/>
    <s v="invoice_schedule"/>
    <n v="61495.384700000002"/>
    <n v="61495.384700000002"/>
    <n v="61495.384700000002"/>
    <n v="2001713"/>
    <n v="2008411"/>
    <d v="2026-06-11T00:00:00"/>
    <d v="2026-07-19T00:00:00"/>
    <s v="Mia Bonvissuto"/>
    <s v="None"/>
    <s v="JUN'26"/>
    <n v="119916"/>
    <n v="126800"/>
    <s v="Leslie Lowenthal"/>
  </r>
  <r>
    <s v="AGC003068"/>
    <s v="UNILEVER"/>
    <s v="ADV000661"/>
    <s v="Unilever/MWC Digital/2026 - Dove Deo Core Deo"/>
    <x v="159"/>
    <s v="Run of World Cup Video - Package"/>
    <n v="8005"/>
    <n v="581190"/>
    <s v="OMP - Unilever - Dove Deo Core Deo - Run of World Cup Video - Package"/>
    <d v="2026-06-11T00:00:00"/>
    <d v="2026-07-19T00:00:00"/>
    <s v="FOX Flashtalking"/>
    <s v="CPM"/>
    <n v="40"/>
    <n v="2997876"/>
    <n v="119915.04"/>
    <s v="Impressions"/>
    <s v="prorated"/>
    <n v="1537373"/>
    <n v="61494.892399999997"/>
    <s v="prorated"/>
    <n v="1537373"/>
    <s v="invoice_schedule"/>
    <n v="61494.892399999997"/>
    <n v="61494.892399999997"/>
    <n v="61494.892399999997"/>
    <n v="2002034"/>
    <n v="2194861"/>
    <d v="2026-06-11T00:00:00"/>
    <d v="2026-07-19T00:00:00"/>
    <s v="Mia Bonvissuto"/>
    <s v="None"/>
    <s v="JUN'26"/>
    <n v="119915.04"/>
    <n v="126812"/>
    <s v="Leslie Lowenthal"/>
  </r>
  <r>
    <s v="AGC002164"/>
    <s v="VERIZON"/>
    <s v="ADV006048"/>
    <s v="Verizon/2026 MWC/Digital/Scatter/Mobility"/>
    <x v="160"/>
    <s v="World Cup Social Sponsorship Content - Package"/>
    <n v="8000"/>
    <n v="582267"/>
    <s v="Verizon - OMP - Mobility - World Cup Social Sponsorship Content - Package - 2026"/>
    <d v="2026-06-01T00:00:00"/>
    <d v="2026-07-19T00:00:00"/>
    <s v="FOX 1st Party"/>
    <s v="SOV-Flat Rate"/>
    <n v="750000"/>
    <n v="3"/>
    <n v="750000"/>
    <s v="n/a"/>
    <s v="prorated"/>
    <n v="2"/>
    <n v="459183.67349999998"/>
    <s v="prorated"/>
    <n v="2"/>
    <s v="invoice_schedule"/>
    <n v="459183.67349999998"/>
    <n v="459183.67349999998"/>
    <n v="459183.67349999998"/>
    <m/>
    <m/>
    <d v="2026-06-01T00:00:00"/>
    <d v="2026-07-19T00:00:00"/>
    <s v="Megan Sileo"/>
    <s v="None"/>
    <s v="JUN'26"/>
    <n v="750000"/>
    <n v="131161"/>
    <s v="Tom Cecil"/>
  </r>
  <r>
    <s v="AGC000219"/>
    <s v="INSULET CORPORATION"/>
    <s v="ADV010802"/>
    <s v="Insulet: Omnipod/AllFOX/Scatter/2Q26"/>
    <x v="161"/>
    <s v="Run of AllFOX Video - Package"/>
    <n v="7998"/>
    <n v="583352"/>
    <s v="Insulet - Omnipod - Run of AllFOX Video - 2Q26 - Crossix"/>
    <d v="2026-04-20T00:00:00"/>
    <d v="2026-06-30T00:00:00"/>
    <m/>
    <s v="CPM"/>
    <n v="21.25"/>
    <n v="2352942"/>
    <n v="50000.02"/>
    <s v="Impressions"/>
    <s v="performance"/>
    <n v="0"/>
    <n v="0"/>
    <s v="performance"/>
    <n v="830777"/>
    <s v="invoice_schedule"/>
    <n v="17654.011200000001"/>
    <n v="17654.011200000001"/>
    <n v="17654.011200000001"/>
    <n v="887873"/>
    <n v="900563"/>
    <d v="2026-04-20T00:00:00"/>
    <d v="2026-06-30T00:00:00"/>
    <s v="John Michael Bogusz"/>
    <s v="None"/>
    <s v="JUN'26"/>
    <n v="100000.04"/>
    <n v="126667"/>
    <s v="Tierney Flynn"/>
  </r>
  <r>
    <s v="AGC000219"/>
    <s v="INSULET CORPORATION"/>
    <s v="ADV010802"/>
    <s v="Insulet: Omnipod/AllFOX/Scatter/2Q26"/>
    <x v="161"/>
    <s v="Run of AllFOX Video - Package"/>
    <n v="7998"/>
    <n v="583356"/>
    <s v="Insulet - Omnipod - Run of AllFOX Video - 2Q26 - Swoop"/>
    <d v="2026-04-20T00:00:00"/>
    <d v="2026-06-30T00:00:00"/>
    <m/>
    <s v="CPM"/>
    <n v="21.25"/>
    <n v="2352942"/>
    <n v="50000.02"/>
    <s v="Impressions"/>
    <s v="performance"/>
    <n v="0"/>
    <n v="0"/>
    <s v="performance"/>
    <n v="831317"/>
    <s v="invoice_schedule"/>
    <n v="17665.4912"/>
    <n v="17665.4912"/>
    <n v="17665.4912"/>
    <n v="886100"/>
    <n v="898095"/>
    <d v="2026-04-20T00:00:00"/>
    <d v="2026-06-30T00:00:00"/>
    <s v="John Michael Bogusz"/>
    <s v="None"/>
    <s v="JUN'26"/>
    <n v="100000.04"/>
    <n v="126667"/>
    <s v="Tierney Flynn"/>
  </r>
  <r>
    <s v="AGC002239"/>
    <s v="DICK'S SPORTING GOODS"/>
    <s v="ADV005946"/>
    <s v="Dick's/2026 MWC/Digital/Scatter/DSGB"/>
    <x v="162"/>
    <s v="Run of World Cup Video - Package"/>
    <n v="8005"/>
    <n v="582701"/>
    <s v="DSG - Run of World Cup Video - Package - 2026"/>
    <d v="2026-06-11T00:00:00"/>
    <d v="2026-07-19T00:00:00"/>
    <s v="FOX Innovid"/>
    <s v="CPM"/>
    <n v="40"/>
    <n v="2437500"/>
    <n v="97500"/>
    <s v="Impressions"/>
    <s v="performance"/>
    <n v="0"/>
    <n v="0"/>
    <s v="performance"/>
    <n v="1730657"/>
    <s v="invoice_schedule"/>
    <n v="69226.28"/>
    <n v="69226.28"/>
    <n v="69226.28"/>
    <n v="1730657"/>
    <n v="0"/>
    <d v="2026-06-11T00:00:00"/>
    <d v="2026-07-19T00:00:00"/>
    <s v="Megan Sileo"/>
    <s v="None"/>
    <s v="JUN'26"/>
    <n v="195000.01"/>
    <n v="128231"/>
    <s v="Tom Cecil"/>
  </r>
  <r>
    <s v="AGC002239"/>
    <s v="DICK'S SPORTING GOODS"/>
    <s v="ADV005946"/>
    <s v="Dick's/2026 MWC/Digital/Scatter/DSGB"/>
    <x v="162"/>
    <s v="Run of FOX Sports Video - Package"/>
    <n v="8002"/>
    <n v="582711"/>
    <s v="DSG - Run of FOX Sports Video - Package - 2026"/>
    <d v="2026-06-11T00:00:00"/>
    <d v="2026-07-19T00:00:00"/>
    <s v="FOX Innovid"/>
    <s v="CPM"/>
    <n v="25"/>
    <n v="1950000"/>
    <n v="48750"/>
    <m/>
    <s v="performance"/>
    <n v="0"/>
    <n v="0"/>
    <s v="performance"/>
    <n v="756615"/>
    <s v="invoice_schedule"/>
    <n v="18915.375"/>
    <n v="18915.375"/>
    <n v="18915.375"/>
    <n v="756615"/>
    <n v="0"/>
    <d v="2026-06-11T00:00:00"/>
    <d v="2026-07-19T00:00:00"/>
    <s v="Megan Sileo"/>
    <s v="None"/>
    <s v="JUN'26"/>
    <n v="195000.01"/>
    <n v="128231"/>
    <s v="Tom Cecil"/>
  </r>
  <r>
    <s v="AGC002239"/>
    <s v="DICK'S SPORTING GOODS"/>
    <s v="ADV005946"/>
    <s v="Dick's/2026 MWC/Digital/Scatter/DSGB"/>
    <x v="162"/>
    <s v="Run of AllFOX Video - Package"/>
    <n v="7998"/>
    <n v="582713"/>
    <s v="DSG - Run of AllFOX Video - Package -AAT-  2026"/>
    <d v="2026-06-11T00:00:00"/>
    <d v="2026-07-19T00:00:00"/>
    <s v="FOX Innovid"/>
    <s v="CPM"/>
    <n v="20"/>
    <n v="2437500"/>
    <n v="48750"/>
    <s v="Impressions"/>
    <s v="performance"/>
    <n v="0"/>
    <n v="0"/>
    <s v="performance"/>
    <n v="1341823"/>
    <s v="invoice_schedule"/>
    <n v="26836.46"/>
    <n v="26836.46"/>
    <n v="26836.46"/>
    <n v="1341823"/>
    <n v="0"/>
    <d v="2026-06-11T00:00:00"/>
    <d v="2026-07-19T00:00:00"/>
    <s v="Megan Sileo"/>
    <s v="None"/>
    <s v="JUN'26"/>
    <n v="195000.01"/>
    <n v="128231"/>
    <s v="Tom Cecil"/>
  </r>
  <r>
    <s v="AGC002408"/>
    <s v="VISA"/>
    <s v="ADV006353"/>
    <s v="VISA/DIGITAL/SCATTER/SPORTS/MWC ROSTER REVEAL"/>
    <x v="163"/>
    <s v="Run of AllFOX Video - Package"/>
    <n v="7998"/>
    <n v="586040"/>
    <s v="Visa - Roster Reveal - Run of AllFOX Video -AAT- &quot;Soccer Fan&quot; - 2Q'26 Package"/>
    <d v="2026-05-26T00:00:00"/>
    <d v="2026-06-10T00:00:00"/>
    <s v="FOX DCM"/>
    <s v="CPM"/>
    <n v="20"/>
    <n v="7500000"/>
    <n v="150000"/>
    <s v="Impressions"/>
    <s v="performance"/>
    <n v="0"/>
    <n v="0"/>
    <s v="performance"/>
    <n v="3943882"/>
    <s v="invoice_schedule"/>
    <n v="78877.64"/>
    <n v="78877.64"/>
    <n v="78877.64"/>
    <n v="4094432"/>
    <n v="4062940"/>
    <d v="2026-05-26T00:00:00"/>
    <d v="2026-06-10T00:00:00"/>
    <s v="Megan Sileo"/>
    <s v="None"/>
    <s v="JUN'26"/>
    <n v="300000"/>
    <n v="128142"/>
    <s v="Janna Goldstein"/>
  </r>
  <r>
    <s v="AGC002408"/>
    <s v="VISA"/>
    <s v="ADV006353"/>
    <s v="VISA/DIGITAL/SCATTER/SPORTS/MWC ROSTER REVEAL"/>
    <x v="163"/>
    <s v="World Cup Social Sponsorship Content - Package"/>
    <n v="8000"/>
    <n v="586087"/>
    <s v="Visa - Roster Reveal - World Cup Social Sponsorship Content - 2Q'26 Package"/>
    <d v="2026-05-26T00:00:00"/>
    <d v="2026-06-10T00:00:00"/>
    <s v="FOX 1st Party"/>
    <s v="SOV-Flat Rate"/>
    <n v="150000"/>
    <n v="3"/>
    <n v="150000"/>
    <s v="n/a"/>
    <s v="prorated"/>
    <n v="2"/>
    <n v="93750"/>
    <s v="prorated"/>
    <n v="2"/>
    <s v="invoice_schedule"/>
    <n v="75000"/>
    <n v="75000"/>
    <n v="75000"/>
    <m/>
    <m/>
    <d v="2026-05-26T00:00:00"/>
    <d v="2026-06-10T00:00:00"/>
    <s v="Megan Sileo"/>
    <s v="None"/>
    <s v="JUN'26"/>
    <n v="300000"/>
    <n v="128142"/>
    <s v="Janna Goldstein"/>
  </r>
  <r>
    <s v="AGC003157"/>
    <s v="MICROSOFT"/>
    <s v="ADV006763"/>
    <s v="Microsoft/Digital/Scatter/Sports/1QUD/2Q'26"/>
    <x v="164"/>
    <s v="Run of FOX Sports Video - Package"/>
    <n v="8002"/>
    <n v="584536"/>
    <s v="Microsoft - Run of FOX Sports Video - Package - 2Q26"/>
    <d v="2026-04-20T00:00:00"/>
    <d v="2026-06-30T00:00:00"/>
    <s v="FOX DCM"/>
    <s v="CPM"/>
    <n v="21.5"/>
    <n v="1234432"/>
    <n v="26540.29"/>
    <s v="CoV Impressions"/>
    <s v="performance"/>
    <n v="0"/>
    <n v="0"/>
    <s v="performance"/>
    <n v="335303"/>
    <s v="invoice_schedule"/>
    <n v="7209.0145000000002"/>
    <n v="7209.0145000000002"/>
    <n v="7209.0145000000002"/>
    <n v="297746"/>
    <n v="335303"/>
    <d v="2026-04-20T00:00:00"/>
    <d v="2026-06-30T00:00:00"/>
    <s v="Jessica Lang"/>
    <s v="None"/>
    <s v="JUN'26"/>
    <n v="26540.29"/>
    <n v="126158"/>
    <s v="Mike Maresca"/>
  </r>
  <r>
    <s v="AGC001914"/>
    <s v="CAPITAL ONE"/>
    <s v="ADV004035"/>
    <s v="Capital One/Bank/Digital/BYUF/Entertainment/2Q'26/SCT"/>
    <x v="165"/>
    <s v="DIO - LFV - Entertainment ROS - Package"/>
    <n v="2789"/>
    <n v="587212"/>
    <s v="Capital One - Bank - Incremental -  Destination - DIO - LFV - Entertainment ROS - 2Q'26"/>
    <d v="2026-05-11T00:00:00"/>
    <d v="2026-06-28T00:00:00"/>
    <s v="FOX Innovid"/>
    <s v="CPM"/>
    <n v="25.21"/>
    <n v="6743356"/>
    <n v="170000"/>
    <s v="CoV Impressions"/>
    <s v="performance"/>
    <n v="0"/>
    <n v="0"/>
    <s v="performance"/>
    <n v="3048373"/>
    <s v="invoice_schedule"/>
    <n v="76849.483300000007"/>
    <n v="76849.483300000007"/>
    <n v="76849.483300000007"/>
    <n v="3035251"/>
    <n v="3048373"/>
    <d v="2026-05-11T00:00:00"/>
    <d v="2026-06-28T00:00:00"/>
    <s v="Anthony Gizzo"/>
    <s v="None"/>
    <s v="JUN'26"/>
    <n v="170000"/>
    <n v="127692"/>
    <s v="Sydney Stipanovich"/>
  </r>
  <r>
    <s v="AGC001312"/>
    <s v="KALSHI INC"/>
    <s v="ADV013720"/>
    <s v="KALSHI INC / SCATTER / DIGITAL / FY 25-26 / World Cup digital"/>
    <x v="166"/>
    <s v="Run of World Cup Video - Package"/>
    <n v="8005"/>
    <n v="585576"/>
    <s v="Kalshi - Run of World Cup Video - MWC 2Q3Q26"/>
    <d v="2026-06-01T00:00:00"/>
    <d v="2026-07-19T00:00:00"/>
    <s v="FOX Flashtalking"/>
    <s v="CPM"/>
    <n v="44"/>
    <n v="15284091"/>
    <n v="672500.01"/>
    <s v="Impressions"/>
    <s v="thirdparty_performance"/>
    <n v="0"/>
    <n v="0"/>
    <s v="thirdparty_performance"/>
    <n v="10080638"/>
    <s v="invoice_schedule"/>
    <n v="443548.07199999999"/>
    <n v="443548.07199999999"/>
    <n v="443548.07199999999"/>
    <n v="10122724"/>
    <n v="10080638"/>
    <d v="2026-06-01T00:00:00"/>
    <d v="2026-07-19T00:00:00"/>
    <s v="Anthony Gizzo"/>
    <s v="None"/>
    <s v="JUN'26"/>
    <n v="1395000.01"/>
    <n v="128876"/>
    <s v="Adam Chardavoyne"/>
  </r>
  <r>
    <s v="AGC001312"/>
    <s v="KALSHI INC"/>
    <s v="ADV013720"/>
    <s v="KALSHI INC / SCATTER / DIGITAL / FY 25-26 / World Cup digital"/>
    <x v="166"/>
    <s v="Run of AllFOX Video - Package"/>
    <n v="7998"/>
    <n v="585595"/>
    <s v="Kalshi - Run of AllFOX Video - Soccer Fans - MWC 2Q3Q26 - AAT"/>
    <d v="2026-06-01T00:00:00"/>
    <d v="2026-09-27T00:00:00"/>
    <s v="FOX Flashtalking"/>
    <s v="CPM"/>
    <n v="20"/>
    <n v="21125000"/>
    <n v="422500"/>
    <s v="Impressions"/>
    <s v="thirdparty_performance"/>
    <n v="0"/>
    <n v="0"/>
    <s v="thirdparty_performance"/>
    <n v="6125356"/>
    <s v="invoice_schedule"/>
    <n v="122507.12"/>
    <n v="122507.12"/>
    <n v="122507.12"/>
    <n v="6129891"/>
    <n v="6125356"/>
    <d v="2026-06-01T00:00:00"/>
    <d v="2026-09-27T00:00:00"/>
    <s v="Anthony Gizzo"/>
    <s v="None"/>
    <s v="JUN'26"/>
    <n v="1395000.01"/>
    <n v="128876"/>
    <s v="Adam Chardavoyne"/>
  </r>
  <r>
    <s v="AGC001312"/>
    <s v="KALSHI INC"/>
    <s v="ADV013720"/>
    <s v="KALSHI INC / SCATTER / DIGITAL / FY 25-26 / World Cup digital"/>
    <x v="166"/>
    <s v="World Cup Social Sponsorship Content - Package"/>
    <n v="8000"/>
    <n v="588687"/>
    <s v="Kalshi - World Cup Social Sponsorship Content - TalkSports Sponsorship"/>
    <d v="2026-06-01T00:00:00"/>
    <d v="2026-07-19T00:00:00"/>
    <s v="FOX 1st Party"/>
    <s v="Cost Per Unit"/>
    <n v="0.15"/>
    <n v="2000000"/>
    <n v="300000"/>
    <s v="Placements"/>
    <s v="prorated"/>
    <n v="1224490"/>
    <n v="183673.4694"/>
    <s v="prorated"/>
    <n v="1224490"/>
    <s v="invoice_schedule"/>
    <n v="183673.4694"/>
    <n v="183673.4694"/>
    <n v="183673.4694"/>
    <m/>
    <m/>
    <d v="2026-06-01T00:00:00"/>
    <d v="2026-07-19T00:00:00"/>
    <s v="Anthony Gizzo"/>
    <s v="None"/>
    <s v="JUN'26"/>
    <n v="1395000.01"/>
    <n v="128876"/>
    <s v="Adam Chardavoyne"/>
  </r>
  <r>
    <s v="AGC001810"/>
    <s v="ELI LILLY"/>
    <s v="ADV002224"/>
    <s v="Lilly/2026/MWC/Digital/Scatter/Tubi/ZepboundCWM"/>
    <x v="167"/>
    <s v="Run of World Cup Video - Package"/>
    <n v="8005"/>
    <n v="585798"/>
    <s v="Eli Lilly - Zepbound CWM - Run of World Cup Video - 2026 Package - Tubi - :60"/>
    <d v="2026-06-01T00:00:00"/>
    <d v="2026-06-30T00:00:00"/>
    <s v="FOX Innovid"/>
    <s v="CPM"/>
    <n v="40"/>
    <n v="781250"/>
    <n v="31250"/>
    <s v="Impressions"/>
    <s v="performance"/>
    <n v="0"/>
    <n v="0"/>
    <s v="performance"/>
    <n v="781250"/>
    <s v="invoice_schedule"/>
    <n v="31250"/>
    <n v="31250"/>
    <n v="31250"/>
    <n v="818653"/>
    <n v="812717"/>
    <d v="2026-06-01T00:00:00"/>
    <d v="2026-06-30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s v="Run of AllFOX Video - Package"/>
    <n v="7998"/>
    <n v="585818"/>
    <s v="Eli Lilly - Zepbound CWM - Run of AllFOX Video - 2026 Package - Tubi -AAT- :60"/>
    <d v="2026-05-12T00:00:00"/>
    <d v="2026-06-30T00:00:00"/>
    <s v="FOX Innovid"/>
    <s v="CPM"/>
    <n v="20"/>
    <n v="5778200"/>
    <n v="115564"/>
    <s v="Impressions"/>
    <s v="performance"/>
    <n v="0"/>
    <n v="0"/>
    <s v="performance"/>
    <n v="3556875"/>
    <s v="invoice_schedule"/>
    <n v="71137.5"/>
    <n v="71137.5"/>
    <n v="71137.5"/>
    <n v="3708381"/>
    <n v="3697427"/>
    <d v="2026-05-12T00:00:00"/>
    <d v="2026-06-30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s v="Run of World Cup Video - Package"/>
    <n v="8005"/>
    <n v="585821"/>
    <s v="Eli Lilly - Zepbound CWM - Run of World Cup Video - 2026 Package - Tubi - :75"/>
    <d v="2026-06-01T00:00:00"/>
    <d v="2026-06-30T00:00:00"/>
    <s v="FOX Innovid"/>
    <s v="CPM"/>
    <n v="40"/>
    <n v="781250"/>
    <n v="31250"/>
    <s v="Impressions"/>
    <s v="performance"/>
    <n v="0"/>
    <n v="0"/>
    <s v="performance"/>
    <n v="781250"/>
    <s v="invoice_schedule"/>
    <n v="31250"/>
    <n v="31250"/>
    <n v="31250"/>
    <n v="818937"/>
    <n v="813305"/>
    <d v="2026-06-01T00:00:00"/>
    <d v="2026-06-30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s v="Run of AllFOX Video - Package"/>
    <n v="7998"/>
    <n v="585828"/>
    <s v="Eli Lilly - Zepbound CWM - Run of AllFOX Video - 2026 Package - Tubi -AAT-  :75"/>
    <d v="2026-05-12T00:00:00"/>
    <d v="2026-06-30T00:00:00"/>
    <s v="FOX Innovid"/>
    <s v="CPM"/>
    <n v="20"/>
    <n v="5778200"/>
    <n v="115564"/>
    <s v="Impressions"/>
    <s v="performance"/>
    <n v="0"/>
    <n v="0"/>
    <s v="performance"/>
    <n v="3550736"/>
    <s v="invoice_schedule"/>
    <n v="71014.720000000001"/>
    <n v="71014.720000000001"/>
    <n v="71014.720000000001"/>
    <n v="3705294"/>
    <n v="3707253"/>
    <d v="2026-05-12T00:00:00"/>
    <d v="2026-06-30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m/>
    <m/>
    <n v="585853"/>
    <s v="Eli Lilly - Zepbound CWM - DIO - 1A Takeover - Tubi - 6/11"/>
    <d v="2026-06-11T00:00:00"/>
    <d v="2026-06-11T00:00:00"/>
    <s v="FOX Innovid"/>
    <s v="CPM"/>
    <n v="28"/>
    <n v="6607143"/>
    <n v="185000"/>
    <s v="Impressions"/>
    <s v="performance"/>
    <n v="0"/>
    <n v="0"/>
    <s v="performance"/>
    <n v="2639225"/>
    <s v="invoice_schedule"/>
    <n v="73898.3"/>
    <n v="73898.3"/>
    <n v="73898.3"/>
    <n v="2639225"/>
    <m/>
    <d v="2026-06-11T00:00:00"/>
    <d v="2026-06-11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m/>
    <m/>
    <n v="585854"/>
    <s v="Eli Lilly - Zepbound CWM - DIO - 1A Takeover - Tubi - 6/14"/>
    <d v="2026-06-14T00:00:00"/>
    <d v="2026-06-14T00:00:00"/>
    <s v="FOX Innovid"/>
    <s v="CPM"/>
    <n v="28"/>
    <n v="6607143"/>
    <n v="185000"/>
    <s v="Impressions"/>
    <s v="performance"/>
    <n v="0"/>
    <n v="0"/>
    <s v="performance"/>
    <n v="3130647"/>
    <s v="invoice_schedule"/>
    <n v="87658.115999999995"/>
    <n v="87658.115999999995"/>
    <n v="87658.115999999995"/>
    <n v="3130647"/>
    <m/>
    <d v="2026-06-14T00:00:00"/>
    <d v="2026-06-14T00:00:00"/>
    <s v="Megan Sileo"/>
    <s v="None"/>
    <s v="JUN'26"/>
    <n v="848628"/>
    <n v="128045"/>
    <s v="Tom Cecil"/>
  </r>
  <r>
    <s v="AGC001810"/>
    <s v="ELI LILLY"/>
    <s v="ADV002224"/>
    <s v="Lilly/2026/MWC/Digital/Scatter/Tubi/ZepboundCWM"/>
    <x v="167"/>
    <m/>
    <m/>
    <n v="585855"/>
    <s v="Eli Lilly - Zepbound CWM - DIO - 1A Takeover - Tubi - 6/19"/>
    <d v="2026-06-19T00:00:00"/>
    <d v="2026-06-19T00:00:00"/>
    <s v="FOX Innovid"/>
    <s v="CPM"/>
    <n v="28"/>
    <n v="6607143"/>
    <n v="185000"/>
    <s v="Impressions"/>
    <s v="performance"/>
    <n v="0"/>
    <n v="0"/>
    <s v="performance"/>
    <n v="4906250"/>
    <s v="invoice_schedule"/>
    <n v="137375"/>
    <n v="137375"/>
    <n v="137375"/>
    <n v="4906250"/>
    <m/>
    <d v="2026-06-19T00:00:00"/>
    <d v="2026-06-19T00:00:00"/>
    <s v="Megan Sileo"/>
    <s v="None"/>
    <s v="JUN'26"/>
    <n v="848628"/>
    <n v="128045"/>
    <s v="Tom Cecil"/>
  </r>
  <r>
    <s v="AGC001249"/>
    <s v="MICHELIN"/>
    <s v="ADV001182"/>
    <s v="MICHELIN / SCATTER / DIGITAL / FY 25-26 / World Cup digital"/>
    <x v="168"/>
    <s v="Run of World Cup Video - Package"/>
    <n v="8005"/>
    <n v="587629"/>
    <s v="Michelin - Run of World Cup Video - 2Q3Q26"/>
    <d v="2026-05-11T00:00:00"/>
    <d v="2026-07-19T00:00:00"/>
    <s v="FOX 1st Party"/>
    <s v="CPM"/>
    <n v="40"/>
    <n v="2500000"/>
    <n v="100000"/>
    <s v="Impressions"/>
    <s v="publisher_performance"/>
    <n v="0"/>
    <n v="0"/>
    <s v="publisher_performance"/>
    <n v="1009125"/>
    <s v="invoice_schedule"/>
    <n v="40365"/>
    <n v="40365"/>
    <n v="40365"/>
    <n v="1009125"/>
    <n v="0"/>
    <d v="2026-05-11T00:00:00"/>
    <d v="2026-07-19T00:00:00"/>
    <s v="Anthony Gizzo"/>
    <s v="None"/>
    <s v="JUN'26"/>
    <n v="250002"/>
    <n v="128029"/>
    <s v="Adam Chardavoyne"/>
  </r>
  <r>
    <s v="AGC001249"/>
    <s v="MICHELIN"/>
    <s v="ADV001182"/>
    <s v="MICHELIN / SCATTER / DIGITAL / FY 25-26 / World Cup digital"/>
    <x v="168"/>
    <s v="Run of AllFOX Video - Package"/>
    <n v="7998"/>
    <n v="587634"/>
    <s v="Michelin - World Cup - Run of AllFOX Video - Package"/>
    <d v="2026-05-11T00:00:00"/>
    <d v="2026-07-26T00:00:00"/>
    <s v="FOX 1st Party"/>
    <s v="CPM"/>
    <n v="20"/>
    <n v="5000050"/>
    <n v="100001"/>
    <s v="Impressions"/>
    <s v="publisher_performance"/>
    <n v="0"/>
    <n v="0"/>
    <s v="publisher_performance"/>
    <n v="2033289"/>
    <s v="invoice_schedule"/>
    <n v="40665.78"/>
    <n v="40665.78"/>
    <n v="40665.78"/>
    <n v="2033289"/>
    <n v="0"/>
    <d v="2026-05-11T00:00:00"/>
    <d v="2026-07-26T00:00:00"/>
    <s v="Anthony Gizzo"/>
    <s v="None"/>
    <s v="JUN'26"/>
    <n v="250002"/>
    <n v="128029"/>
    <s v="Adam Chardavoyne"/>
  </r>
  <r>
    <s v="AGC001249"/>
    <s v="MICHELIN"/>
    <s v="ADV001182"/>
    <s v="MICHELIN / SCATTER / DIGITAL / FY 25-26 / World Cup digital"/>
    <x v="168"/>
    <s v="DIO - Rotational Timeout"/>
    <n v="7940"/>
    <n v="588573"/>
    <s v="Michelin - World Cup - DIO - Rotational Timeout"/>
    <d v="2026-05-12T00:00:00"/>
    <d v="2026-07-26T00:00:00"/>
    <s v="FOX 1st Party"/>
    <s v="CPM"/>
    <n v="17"/>
    <n v="2941235"/>
    <n v="50001"/>
    <s v="Impressions"/>
    <s v="publisher_performance"/>
    <n v="0"/>
    <n v="0"/>
    <s v="publisher_performance"/>
    <n v="266804"/>
    <s v="invoice_schedule"/>
    <n v="4535.6679999999997"/>
    <n v="4535.6679999999997"/>
    <n v="4535.6679999999997"/>
    <n v="266804"/>
    <n v="0"/>
    <d v="2026-05-12T00:00:00"/>
    <d v="2026-07-26T00:00:00"/>
    <s v="Anthony Gizzo"/>
    <s v="None"/>
    <s v="JUN'26"/>
    <n v="250002"/>
    <n v="128029"/>
    <s v="Adam Chardavoyne"/>
  </r>
  <r>
    <s v="AGC005676"/>
    <s v="WERNER ENTERPRISES"/>
    <s v="ADV014803"/>
    <s v="WERNER/25-26/SCATTER/NFL/DIGITAL"/>
    <x v="169"/>
    <s v="DIO - ROV - FS - Pre/Mid - ROS - DT/MB/CTV - Package"/>
    <n v="7968"/>
    <n v="585497"/>
    <s v="WERNER/NFL/DIGITAL/SCATTER/AAT-Custom Segment/ROV/25-26"/>
    <d v="2026-05-01T00:00:00"/>
    <d v="2026-12-31T00:00:00"/>
    <s v="FOX 1st Party"/>
    <s v="CPM"/>
    <n v="30"/>
    <n v="1016667"/>
    <n v="30500.01"/>
    <s v="Impressions"/>
    <s v="performance"/>
    <n v="0"/>
    <n v="0"/>
    <s v="performance"/>
    <n v="27111"/>
    <s v="invoice_schedule"/>
    <n v="813.33"/>
    <n v="813.33"/>
    <n v="813.33"/>
    <n v="27111"/>
    <n v="0"/>
    <d v="2026-05-01T00:00:00"/>
    <d v="2026-12-31T00:00:00"/>
    <s v="Mia Bonvissuto"/>
    <s v="None"/>
    <s v="JUN'26"/>
    <n v="170000.02"/>
    <n v="127221"/>
    <s v="Nicole Gamache"/>
  </r>
  <r>
    <s v="AGC005676"/>
    <s v="WERNER ENTERPRISES"/>
    <s v="ADV014803"/>
    <s v="WERNER/25-26/SCATTER/NFL/DIGITAL"/>
    <x v="169"/>
    <s v="DIO - ROV - FS - Pre/Mid - ROS - DT/MB/CTV - Package"/>
    <n v="7968"/>
    <n v="585499"/>
    <s v="WERNER/NFL/DIGITAL/SCATTER/AAT-NFL Football Fans/ROV/25-26"/>
    <d v="2026-05-01T00:00:00"/>
    <d v="2026-12-31T00:00:00"/>
    <s v="FOX 1st Party"/>
    <s v="CPM"/>
    <n v="30"/>
    <n v="3150000"/>
    <n v="94500"/>
    <s v="Impressions"/>
    <s v="performance"/>
    <n v="0"/>
    <n v="0"/>
    <s v="performance"/>
    <n v="93495"/>
    <s v="invoice_schedule"/>
    <n v="2804.85"/>
    <n v="2804.85"/>
    <n v="2804.85"/>
    <n v="93495"/>
    <n v="0"/>
    <d v="2026-05-01T00:00:00"/>
    <d v="2026-12-31T00:00:00"/>
    <s v="Mia Bonvissuto"/>
    <s v="None"/>
    <s v="JUN'26"/>
    <n v="170000.02"/>
    <n v="127221"/>
    <s v="Nicole Gamache"/>
  </r>
  <r>
    <s v="AGC001810"/>
    <s v="ELI LILLY"/>
    <s v="ADV002224"/>
    <s v="Lilly/2026/MWC/Digital/Scatter/Tubi/Mounjaro"/>
    <x v="170"/>
    <s v="Run of World Cup Video - Package"/>
    <n v="8005"/>
    <n v="585856"/>
    <s v="Eli Lilly - Mounjaro - Run of World Cup Video - 2026 Package - Tubi - :60"/>
    <d v="2026-06-11T00:00:00"/>
    <d v="2026-06-30T00:00:00"/>
    <s v="FOX Innovid"/>
    <s v="CPM"/>
    <n v="40"/>
    <n v="781250"/>
    <n v="31250"/>
    <s v="Impressions"/>
    <s v="performance"/>
    <n v="0"/>
    <n v="0"/>
    <s v="performance"/>
    <n v="781250"/>
    <s v="invoice_schedule"/>
    <n v="31250"/>
    <n v="31250"/>
    <n v="31250"/>
    <n v="803404"/>
    <n v="797606"/>
    <d v="2026-06-11T00:00:00"/>
    <d v="2026-06-30T00:00:00"/>
    <s v="Megan Sileo"/>
    <s v="None"/>
    <s v="JUN'26"/>
    <n v="541530"/>
    <n v="127213"/>
    <s v="Tom Cecil"/>
  </r>
  <r>
    <s v="AGC001810"/>
    <s v="ELI LILLY"/>
    <s v="ADV002224"/>
    <s v="Lilly/2026/MWC/Digital/Scatter/Tubi/Mounjaro"/>
    <x v="170"/>
    <s v="Run of AllFOX Video - Package"/>
    <n v="7998"/>
    <n v="585859"/>
    <s v="Eli Lilly - Mounjaro - Run of AllFOX Video - 2026 Package - Tubi - AAT- :60"/>
    <d v="2026-05-12T00:00:00"/>
    <d v="2026-06-30T00:00:00"/>
    <s v="FOX Innovid"/>
    <s v="CPM"/>
    <n v="20"/>
    <n v="2725750"/>
    <n v="54515"/>
    <s v="Impressions"/>
    <s v="performance"/>
    <n v="0"/>
    <n v="0"/>
    <s v="performance"/>
    <n v="2725750"/>
    <s v="invoice_schedule"/>
    <n v="54515"/>
    <n v="54515"/>
    <n v="54515"/>
    <n v="2923220"/>
    <n v="2927485"/>
    <d v="2026-05-12T00:00:00"/>
    <d v="2026-06-30T00:00:00"/>
    <s v="Megan Sileo"/>
    <s v="None"/>
    <s v="JUN'26"/>
    <n v="541530"/>
    <n v="127213"/>
    <s v="Tom Cecil"/>
  </r>
  <r>
    <s v="AGC001810"/>
    <s v="ELI LILLY"/>
    <s v="ADV002224"/>
    <s v="Lilly/2026/MWC/Digital/Scatter/Tubi/Mounjaro"/>
    <x v="170"/>
    <s v="Run of World Cup Video - Package"/>
    <n v="8005"/>
    <n v="585862"/>
    <s v="Eli Lilly - Mounjaro - Run of World Cup Video - 2026 Package - Tubi - :75"/>
    <d v="2026-06-11T00:00:00"/>
    <d v="2026-06-30T00:00:00"/>
    <s v="FOX Innovid"/>
    <s v="CPM"/>
    <n v="40"/>
    <n v="781250"/>
    <n v="31250"/>
    <s v="Impressions"/>
    <s v="performance"/>
    <n v="0"/>
    <n v="0"/>
    <s v="performance"/>
    <n v="781250"/>
    <s v="invoice_schedule"/>
    <n v="31250"/>
    <n v="31250"/>
    <n v="31250"/>
    <n v="803490"/>
    <n v="798053"/>
    <d v="2026-06-11T00:00:00"/>
    <d v="2026-06-30T00:00:00"/>
    <s v="Megan Sileo"/>
    <s v="None"/>
    <s v="JUN'26"/>
    <n v="541530"/>
    <n v="127213"/>
    <s v="Tom Cecil"/>
  </r>
  <r>
    <s v="AGC001810"/>
    <s v="ELI LILLY"/>
    <s v="ADV002224"/>
    <s v="Lilly/2026/MWC/Digital/Scatter/Tubi/Mounjaro"/>
    <x v="170"/>
    <s v="Run of AllFOX Video - Package"/>
    <n v="7998"/>
    <n v="585865"/>
    <s v="Eli Lilly - Mounjaro - Run of AllFOX Video - 2026 Package - Tubi - AAT- :75"/>
    <d v="2026-05-12T00:00:00"/>
    <d v="2026-06-30T00:00:00"/>
    <s v="FOX Innovid"/>
    <s v="CPM"/>
    <n v="20"/>
    <n v="2725750"/>
    <n v="54515"/>
    <s v="Impressions"/>
    <s v="performance"/>
    <n v="0"/>
    <n v="0"/>
    <s v="performance"/>
    <n v="2725750"/>
    <s v="invoice_schedule"/>
    <n v="54515"/>
    <n v="54515"/>
    <n v="54515"/>
    <n v="2969974"/>
    <n v="2969803"/>
    <d v="2026-05-12T00:00:00"/>
    <d v="2026-06-30T00:00:00"/>
    <s v="Megan Sileo"/>
    <s v="None"/>
    <s v="JUN'26"/>
    <n v="541530"/>
    <n v="127213"/>
    <s v="Tom Cecil"/>
  </r>
  <r>
    <s v="AGC001810"/>
    <s v="ELI LILLY"/>
    <s v="ADV002224"/>
    <s v="Lilly/2026/MWC/Digital/Scatter/Tubi/Mounjaro"/>
    <x v="170"/>
    <m/>
    <m/>
    <n v="585868"/>
    <s v="Eli Lilly - Mounjaro - DIO - 1A Takeover - Tubi - 6/15"/>
    <d v="2026-06-15T00:00:00"/>
    <d v="2026-06-15T00:00:00"/>
    <s v="FOX Innovid"/>
    <s v="CPM"/>
    <n v="28"/>
    <n v="6607143"/>
    <n v="185000"/>
    <s v="Impressions"/>
    <s v="performance"/>
    <n v="0"/>
    <n v="0"/>
    <s v="performance"/>
    <n v="4326422"/>
    <s v="invoice_schedule"/>
    <n v="121139.81600000001"/>
    <n v="121139.81600000001"/>
    <n v="121139.81600000001"/>
    <n v="4326422"/>
    <m/>
    <d v="2026-06-15T00:00:00"/>
    <d v="2026-06-15T00:00:00"/>
    <s v="Megan Sileo"/>
    <s v="None"/>
    <s v="JUN'26"/>
    <n v="541530"/>
    <n v="127213"/>
    <s v="Tom Cecil"/>
  </r>
  <r>
    <s v="AGC001810"/>
    <s v="ELI LILLY"/>
    <s v="ADV002224"/>
    <s v="Lilly/2026/MWC/Digital/Scatter/Tubi/Mounjaro"/>
    <x v="170"/>
    <m/>
    <m/>
    <n v="585869"/>
    <s v="Eli Lilly -Mounjaro - DIO - 1A Takeover - Tubi - 6/16"/>
    <d v="2026-06-16T00:00:00"/>
    <d v="2026-06-16T00:00:00"/>
    <s v="FOX Innovid"/>
    <s v="CPM"/>
    <n v="28"/>
    <n v="6607143"/>
    <n v="185000"/>
    <s v="Impressions"/>
    <s v="performance"/>
    <n v="0"/>
    <n v="0"/>
    <s v="performance"/>
    <n v="4770879"/>
    <s v="invoice_schedule"/>
    <n v="133584.61199999999"/>
    <n v="133584.61199999999"/>
    <n v="133584.61199999999"/>
    <n v="4770879"/>
    <m/>
    <d v="2026-06-16T00:00:00"/>
    <d v="2026-06-16T00:00:00"/>
    <s v="Megan Sileo"/>
    <s v="None"/>
    <s v="JUN'26"/>
    <n v="541530"/>
    <n v="127213"/>
    <s v="Tom Cecil"/>
  </r>
  <r>
    <s v="AGC001810"/>
    <s v="ELI LILLY"/>
    <s v="ADV002224"/>
    <s v="Lilly/2026/MWC/Digital/Scatter/Tubi/Masterbrand"/>
    <x v="171"/>
    <m/>
    <m/>
    <n v="594316"/>
    <s v="Eli Lilly - Masterbrand :30 - DIO - MWC - Tubi Prime - Rotational Video - Updated"/>
    <d v="2026-06-17T00:00:00"/>
    <d v="2026-06-30T00:00:00"/>
    <s v="FOX Innovid"/>
    <s v="CPM"/>
    <n v="19.25"/>
    <n v="5950234"/>
    <n v="114542"/>
    <s v="Impressions"/>
    <s v="performance"/>
    <n v="0"/>
    <n v="0"/>
    <s v="performance"/>
    <n v="1299465"/>
    <s v="invoice_schedule"/>
    <n v="25014.701300000001"/>
    <n v="25014.701300000001"/>
    <n v="25014.701300000001"/>
    <n v="1299465"/>
    <m/>
    <d v="2026-06-17T00:00:00"/>
    <d v="2026-06-30T00:00:00"/>
    <s v="Megan Sileo"/>
    <s v="None"/>
    <s v="JUN'26"/>
    <n v="229084"/>
    <n v="128099"/>
    <s v="Tom Cecil"/>
  </r>
  <r>
    <s v="AGC001810"/>
    <s v="ELI LILLY"/>
    <s v="ADV002224"/>
    <s v="Lilly/2026/MWC/Digital/Scatter/Tubi/Masterbrand"/>
    <x v="171"/>
    <m/>
    <m/>
    <n v="594317"/>
    <s v="Eli Lilly - Masterbrand :60 - DIO - MWC - Tubi Prime - Rotational Video - Updated"/>
    <d v="2026-06-17T00:00:00"/>
    <d v="2026-06-30T00:00:00"/>
    <s v="FOX Innovid"/>
    <s v="CPM"/>
    <n v="19.25"/>
    <n v="5950234"/>
    <n v="114542"/>
    <s v="Impressions"/>
    <s v="performance"/>
    <n v="0"/>
    <n v="0"/>
    <s v="performance"/>
    <n v="869143"/>
    <s v="invoice_schedule"/>
    <n v="16731.002799999998"/>
    <n v="16731.002799999998"/>
    <n v="16731.002799999998"/>
    <n v="869143"/>
    <m/>
    <d v="2026-06-17T00:00:00"/>
    <d v="2026-06-30T00:00:00"/>
    <s v="Megan Sileo"/>
    <s v="None"/>
    <s v="JUN'26"/>
    <n v="229084"/>
    <n v="128099"/>
    <s v="Tom Cecil"/>
  </r>
  <r>
    <s v="AGC001810"/>
    <s v="WALMART"/>
    <s v="ADV006265"/>
    <s v="Walmart/25-26/Upfront/Digital/One Fox2Q'26IncrementalDIO-Summer Deals"/>
    <x v="172"/>
    <s v="Run of AllFOX Video - Package"/>
    <n v="7998"/>
    <n v="585996"/>
    <s v="Walmart - Run of AllFOX Video - 2Q'26 Package - AAT - A18-49 - Summer Deals"/>
    <d v="2026-06-08T00:00:00"/>
    <d v="2026-06-28T00:00:00"/>
    <s v="FOX Innovid"/>
    <s v="CPM"/>
    <n v="16.46"/>
    <n v="7594168"/>
    <n v="125000"/>
    <s v="Impressions"/>
    <s v="performance"/>
    <n v="0"/>
    <n v="0"/>
    <s v="performance"/>
    <n v="7594168"/>
    <s v="invoice_schedule"/>
    <n v="125000"/>
    <n v="125000"/>
    <n v="125000"/>
    <n v="7799119"/>
    <n v="7813337"/>
    <d v="2026-06-08T00:00:00"/>
    <d v="2026-06-28T00:00:00"/>
    <s v="Megan Sileo"/>
    <s v="None"/>
    <s v="JUN'26"/>
    <n v="125000"/>
    <n v="129374"/>
    <s v="Jon Renz"/>
  </r>
  <r>
    <s v="AGC002371"/>
    <s v="ARENA CLUB"/>
    <s v="ADV013606"/>
    <s v="ArenaClub/Tatari/Digital/25-26/SCT"/>
    <x v="173"/>
    <s v="DIO - LFV - FSLS - Pre/Mid - ROS - DT/MB/CTV - Preemptible - Package"/>
    <n v="7965"/>
    <n v="586943"/>
    <s v="Arena Club - DIO - LFV - FSLS - Pre/Mid - ROS - DT/MB/CTV - Preemptible - Package"/>
    <d v="2026-05-01T00:00:00"/>
    <d v="2026-06-30T00:00:00"/>
    <m/>
    <s v="CPM"/>
    <n v="15"/>
    <n v="2433334"/>
    <n v="36500.03"/>
    <s v="Impressions"/>
    <s v="performance"/>
    <n v="0"/>
    <n v="0"/>
    <s v="performance"/>
    <n v="70"/>
    <s v="invoice_schedule"/>
    <n v="1.05"/>
    <n v="1.05"/>
    <n v="1.05"/>
    <n v="91"/>
    <n v="70"/>
    <d v="2026-05-01T00:00:00"/>
    <d v="2026-06-30T00:00:00"/>
    <s v="JohnMichael Bogusz"/>
    <s v="None"/>
    <s v="JUN'26"/>
    <n v="36500.03"/>
    <n v="130332"/>
    <s v="Nicole Joscelyn"/>
  </r>
  <r>
    <s v="AGC001035"/>
    <s v="DIAGEO"/>
    <s v="ADV005961"/>
    <s v="Diageo/THECOCKTAILCOLLECTION/Digital/Direct/Scatter/Sports/MWC/2026/JUNE"/>
    <x v="174"/>
    <s v="Run of World Cup Display - Package"/>
    <n v="8004"/>
    <n v="588412"/>
    <s v="Diageo -The Cocktail Collection - OMP -  Run of World Cup Display - Package - FY26"/>
    <d v="2026-06-01T00:00:00"/>
    <d v="2026-06-30T00:00:00"/>
    <s v="FOX DCM"/>
    <s v="CPM"/>
    <n v="6"/>
    <n v="5838167"/>
    <n v="35029"/>
    <s v="Impressions"/>
    <s v="performance"/>
    <n v="0"/>
    <n v="0"/>
    <s v="performance"/>
    <n v="3784642"/>
    <s v="invoice_schedule"/>
    <n v="22707.851999999999"/>
    <n v="22707.851999999999"/>
    <n v="22707.851999999999"/>
    <n v="3785281"/>
    <n v="3784642"/>
    <d v="2026-06-01T00:00:00"/>
    <d v="2026-06-30T00:00:00"/>
    <s v="Kailey McGinn"/>
    <s v="None"/>
    <s v="JUN'26"/>
    <n v="140114.01"/>
    <n v="128364"/>
    <s v="Nicole Gamache"/>
  </r>
  <r>
    <s v="AGC001035"/>
    <s v="DIAGEO"/>
    <s v="ADV005961"/>
    <s v="Diageo/THECOCKTAILCOLLECTION/Digital/Direct/Scatter/Sports/MWC/2026/JUNE"/>
    <x v="174"/>
    <s v="Run of World Cup Video - Package"/>
    <n v="8005"/>
    <n v="588414"/>
    <s v="Diageo -The Cocktail Collection - OMP  -Run of World Cup Video - Package - FY26"/>
    <d v="2026-06-01T00:00:00"/>
    <d v="2026-06-30T00:00:00"/>
    <s v="FOX DCM"/>
    <s v="CPM"/>
    <n v="32.5"/>
    <n v="3233385"/>
    <n v="105085.01"/>
    <s v="Impressions"/>
    <s v="performance"/>
    <n v="0"/>
    <n v="0"/>
    <s v="performance"/>
    <n v="3233385"/>
    <s v="invoice_schedule"/>
    <n v="105085.01"/>
    <n v="105085.01"/>
    <n v="105085.01"/>
    <n v="3291255"/>
    <n v="3272327"/>
    <d v="2026-06-01T00:00:00"/>
    <d v="2026-06-30T00:00:00"/>
    <s v="Kailey McGinn"/>
    <s v="None"/>
    <s v="JUN'26"/>
    <n v="140114.01"/>
    <n v="128364"/>
    <s v="Nicole Gamache"/>
  </r>
  <r>
    <s v="AGC001810"/>
    <s v="ELI LILLY"/>
    <s v="ADV002224"/>
    <s v="Lilly/2026 MWC/Digital/Scatter/Masterbrand"/>
    <x v="175"/>
    <s v="Run of World Cup Video - Package"/>
    <n v="8005"/>
    <n v="588586"/>
    <s v="Eli Lilly - Masterbrand 15 - Run of World Cup Video - Package - 2026"/>
    <d v="2026-06-01T00:00:00"/>
    <d v="2026-07-19T00:00:00"/>
    <s v="FOX Innovid"/>
    <s v="CPM"/>
    <n v="40"/>
    <n v="125000"/>
    <n v="5000"/>
    <s v="Impressions"/>
    <s v="performance"/>
    <n v="0"/>
    <n v="0"/>
    <s v="performance"/>
    <n v="90165"/>
    <s v="invoice_schedule"/>
    <n v="3606.6"/>
    <n v="3606.6"/>
    <n v="3606.6"/>
    <n v="88453"/>
    <n v="90165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World Cup Display - Package"/>
    <n v="8004"/>
    <n v="588589"/>
    <s v="Eli Lilly - Masterbrand - Run of World Cup Display - Package - 2026"/>
    <d v="2026-06-01T00:00:00"/>
    <d v="2026-07-19T00:00:00"/>
    <s v="FOX DCM"/>
    <s v="CPM"/>
    <n v="6"/>
    <n v="833333"/>
    <n v="5000"/>
    <s v="Impressions"/>
    <s v="performance"/>
    <n v="0"/>
    <n v="0"/>
    <s v="performance"/>
    <n v="407618"/>
    <s v="invoice_schedule"/>
    <n v="2445.7080000000001"/>
    <n v="2445.7080000000001"/>
    <n v="2445.7080000000001"/>
    <n v="407708"/>
    <n v="407618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FOX Sports Video - Package"/>
    <n v="8002"/>
    <n v="588591"/>
    <s v="Eli Lilly - Masterbrand 15 - Run of FOX Sports Video - Package - 2026"/>
    <d v="2026-06-01T00:00:00"/>
    <d v="2026-07-19T00:00:00"/>
    <s v="FOX Innovid"/>
    <s v="CPM"/>
    <n v="25"/>
    <n v="400000"/>
    <n v="10000"/>
    <s v="CoV Impressions"/>
    <s v="performance"/>
    <n v="0"/>
    <n v="0"/>
    <s v="performance"/>
    <n v="209735"/>
    <s v="invoice_schedule"/>
    <n v="5243.375"/>
    <n v="5243.375"/>
    <n v="5243.375"/>
    <n v="207327"/>
    <n v="209735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World Cup Video - Package"/>
    <n v="8005"/>
    <n v="588663"/>
    <s v="Eli Lilly - Masterbrand 60 -  Run of World Cup Video - Package - 2026"/>
    <d v="2026-06-01T00:00:00"/>
    <d v="2026-07-19T00:00:00"/>
    <s v="FOX Innovid"/>
    <s v="CPM"/>
    <n v="80"/>
    <n v="125000"/>
    <n v="10000"/>
    <s v="Impressions"/>
    <s v="performance"/>
    <n v="0"/>
    <n v="0"/>
    <s v="performance"/>
    <n v="91432"/>
    <s v="invoice_schedule"/>
    <n v="7314.56"/>
    <n v="7314.56"/>
    <n v="7314.56"/>
    <n v="92070"/>
    <n v="91432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FOX Sports Video - Package"/>
    <n v="8002"/>
    <n v="588666"/>
    <s v="Eli Lilly - Masterbrand 60 - Run of FOX Sports Video - Package - 2026"/>
    <d v="2026-06-01T00:00:00"/>
    <d v="2026-07-19T00:00:00"/>
    <s v="FOX Innovid"/>
    <s v="CPM"/>
    <n v="50"/>
    <n v="100000"/>
    <n v="5000"/>
    <s v="CoV Impressions"/>
    <s v="performance"/>
    <n v="0"/>
    <n v="0"/>
    <s v="performance"/>
    <n v="55149"/>
    <s v="invoice_schedule"/>
    <n v="2757.45"/>
    <n v="2757.45"/>
    <n v="2757.45"/>
    <n v="54777"/>
    <n v="55149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FOX Sports Video - Package"/>
    <n v="8002"/>
    <n v="590250"/>
    <s v="Eli Lilly - Masterbrand 30 - Run of FOX Sports Video - Package - 2026"/>
    <d v="2026-06-01T00:00:00"/>
    <d v="2026-07-19T00:00:00"/>
    <s v="FOX Innovid"/>
    <s v="CPM"/>
    <n v="25"/>
    <n v="400000"/>
    <n v="10000"/>
    <s v="CoV Impressions"/>
    <s v="performance"/>
    <n v="0"/>
    <n v="0"/>
    <s v="performance"/>
    <n v="219900"/>
    <s v="invoice_schedule"/>
    <n v="5497.5"/>
    <n v="5497.5"/>
    <n v="5497.5"/>
    <n v="219507"/>
    <n v="219900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Masterbrand"/>
    <x v="175"/>
    <s v="Run of World Cup Video - Package"/>
    <n v="8005"/>
    <n v="590252"/>
    <s v="Eli Lilly - Masterbrand 30 - Run of World Cup Video - Package - 2026"/>
    <d v="2026-06-01T00:00:00"/>
    <d v="2026-07-19T00:00:00"/>
    <s v="FOX Innovid"/>
    <s v="CPM"/>
    <n v="40"/>
    <n v="125000"/>
    <n v="5000"/>
    <s v="Impressions"/>
    <s v="performance"/>
    <n v="0"/>
    <n v="0"/>
    <s v="performance"/>
    <n v="83197"/>
    <s v="invoice_schedule"/>
    <n v="3327.88"/>
    <n v="3327.88"/>
    <n v="3327.88"/>
    <n v="79861"/>
    <n v="83197"/>
    <d v="2026-06-01T00:00:00"/>
    <d v="2026-07-19T00:00:00"/>
    <s v="Megan Sileo"/>
    <s v="None"/>
    <s v="JUN'26"/>
    <n v="50000"/>
    <n v="129145"/>
    <s v="Tom Cecil"/>
  </r>
  <r>
    <s v="AGC001810"/>
    <s v="ELI LILLY"/>
    <s v="ADV002224"/>
    <s v="Lilly/2026 MWC/Digital/Scatter/Foundayo"/>
    <x v="176"/>
    <s v="Run of World Cup Display - Package"/>
    <n v="8004"/>
    <n v="588609"/>
    <s v="Eli Lilly - Foundayo - Run of World Cup Display - Package - 2026"/>
    <d v="2026-06-08T00:00:00"/>
    <d v="2026-07-02T00:00:00"/>
    <s v="FOX DCM"/>
    <s v="CPM"/>
    <n v="6"/>
    <n v="1081680"/>
    <n v="6490.08"/>
    <s v="Impressions"/>
    <s v="performance"/>
    <n v="0"/>
    <n v="0"/>
    <s v="performance"/>
    <n v="920158"/>
    <s v="invoice_schedule"/>
    <n v="5520.9480000000003"/>
    <n v="5520.9480000000003"/>
    <n v="5520.9480000000003"/>
    <n v="920495"/>
    <n v="920158"/>
    <d v="2026-06-08T00:00:00"/>
    <d v="2026-07-02T00:00:00"/>
    <s v="Megan Sileo"/>
    <s v="None"/>
    <s v="JUN'26"/>
    <n v="75000.08"/>
    <n v="130378"/>
    <s v="Tom Cecil"/>
  </r>
  <r>
    <s v="AGC001810"/>
    <s v="ELI LILLY"/>
    <s v="ADV002224"/>
    <s v="Lilly/2026 MWC/Digital/Scatter/Foundayo"/>
    <x v="176"/>
    <s v="Run of AllFOX Video - Package"/>
    <n v="7998"/>
    <n v="588613"/>
    <s v="Eli Lilly - Foundayo 60 - Run of AllFOX Video - Package -AAT-  2026"/>
    <d v="2026-06-08T00:00:00"/>
    <d v="2026-07-19T00:00:00"/>
    <s v="FOX Innovid"/>
    <s v="CPM"/>
    <n v="40"/>
    <n v="1462750"/>
    <n v="58510"/>
    <s v="Impressions"/>
    <s v="performance"/>
    <n v="0"/>
    <n v="0"/>
    <s v="performance"/>
    <n v="645938"/>
    <s v="invoice_schedule"/>
    <n v="25837.52"/>
    <n v="25837.52"/>
    <n v="25837.52"/>
    <n v="642269"/>
    <n v="645938"/>
    <d v="2026-06-08T00:00:00"/>
    <d v="2026-07-19T00:00:00"/>
    <s v="Megan Sileo"/>
    <s v="None"/>
    <s v="JUN'26"/>
    <n v="75000.08"/>
    <n v="130378"/>
    <s v="Tom Cecil"/>
  </r>
  <r>
    <s v="AGC001810"/>
    <s v="ELI LILLY"/>
    <s v="ADV002224"/>
    <s v="Lilly/2026 MWC/Digital/Scatter/Foundayo"/>
    <x v="176"/>
    <s v="Run of AllFOX Video - Package"/>
    <n v="7998"/>
    <n v="588684"/>
    <s v="Eli Lilly - Foundayo 75 - Run of AllFOX Video - Package -AAT-  2026"/>
    <d v="2026-06-08T00:00:00"/>
    <d v="2026-07-19T00:00:00"/>
    <s v="FOX Innovid"/>
    <s v="CPM"/>
    <n v="50"/>
    <n v="200000"/>
    <n v="10000"/>
    <s v="Impressions"/>
    <s v="performance"/>
    <n v="0"/>
    <n v="0"/>
    <s v="performance"/>
    <n v="73465"/>
    <s v="invoice_schedule"/>
    <n v="3673.25"/>
    <n v="3673.25"/>
    <n v="3673.25"/>
    <n v="70419"/>
    <n v="73465"/>
    <d v="2026-06-08T00:00:00"/>
    <d v="2026-07-19T00:00:00"/>
    <s v="Megan Sileo"/>
    <s v="None"/>
    <s v="JUN'26"/>
    <n v="75000.08"/>
    <n v="130378"/>
    <s v="Tom Cecil"/>
  </r>
  <r>
    <s v="AGC001810"/>
    <s v="ELI LILLY"/>
    <s v="ADV002224"/>
    <s v="Lilly/2026 MWC/Digital/Scatter/ZepboundOSADSE"/>
    <x v="177"/>
    <s v="Run of World Cup Display - Package"/>
    <n v="8004"/>
    <n v="588629"/>
    <s v="Eli Lilly - Zepbound OSA DSE - Run of World Cup Display - Package - 2026"/>
    <d v="2026-06-01T00:00:00"/>
    <d v="2026-07-19T00:00:00"/>
    <s v="FOX DCM"/>
    <s v="CPM"/>
    <n v="6"/>
    <n v="833333"/>
    <n v="5000"/>
    <s v="Impressions"/>
    <s v="performance"/>
    <n v="0"/>
    <n v="0"/>
    <s v="performance"/>
    <n v="402576"/>
    <s v="invoice_schedule"/>
    <n v="2415.4560000000001"/>
    <n v="2415.4560000000001"/>
    <n v="2415.4560000000001"/>
    <n v="402576"/>
    <n v="0"/>
    <d v="2026-06-01T00:00:00"/>
    <d v="2026-07-19T00:00:00"/>
    <s v="Megan Sileo"/>
    <s v="None"/>
    <s v="JUN'26"/>
    <n v="200000"/>
    <n v="129163"/>
    <s v="Tom Cecil"/>
  </r>
  <r>
    <s v="AGC001810"/>
    <s v="ELI LILLY"/>
    <s v="ADV002224"/>
    <s v="Lilly/2026 MWC/Digital/Scatter/ZepboundOSADSE"/>
    <x v="177"/>
    <s v="Run of World Cup Video - Package"/>
    <n v="8005"/>
    <n v="588981"/>
    <s v="Eli Lilly - Zepbound OSA DSE :45 - Run of World Cup Video - Package - 2026"/>
    <d v="2026-06-01T00:00:00"/>
    <d v="2026-07-19T00:00:00"/>
    <s v="FOX Innovid"/>
    <s v="CPM"/>
    <n v="60"/>
    <n v="3250000"/>
    <n v="195000"/>
    <s v="Impressions"/>
    <s v="performance"/>
    <n v="0"/>
    <n v="0"/>
    <s v="performance"/>
    <n v="2384612"/>
    <s v="invoice_schedule"/>
    <n v="143076.72"/>
    <n v="143076.72"/>
    <n v="143076.72"/>
    <n v="2412203"/>
    <n v="2384612"/>
    <d v="2026-06-01T00:00:00"/>
    <d v="2026-07-19T00:00:00"/>
    <s v="Megan Sileo"/>
    <s v="None"/>
    <s v="JUN'26"/>
    <n v="200000"/>
    <n v="129163"/>
    <s v="Tom Cecil"/>
  </r>
  <r>
    <s v="AGC002675"/>
    <s v="PARAMOUNT PICTURES"/>
    <s v="ADV006170"/>
    <s v="Scary Movie/Digital/Scatter/2Q26"/>
    <x v="178"/>
    <s v="DIO - LFV - Entertainment ROS - Package"/>
    <n v="2789"/>
    <n v="588711"/>
    <s v="APEX - Paramount Pictures - Scary Movie - Entertainment ROS - AAT A18-34 - 2Q'26 Package"/>
    <d v="2026-05-13T00:00:00"/>
    <d v="2026-06-07T00:00:00"/>
    <s v="FOX Innovid"/>
    <s v="CPM"/>
    <n v="20"/>
    <n v="3000000"/>
    <n v="60000"/>
    <s v="Impressions"/>
    <s v="performance"/>
    <n v="0"/>
    <n v="0"/>
    <s v="performance"/>
    <n v="678408"/>
    <s v="invoice_schedule"/>
    <n v="13568.16"/>
    <n v="13568.16"/>
    <n v="13568.16"/>
    <n v="698080"/>
    <n v="694626"/>
    <d v="2026-05-13T00:00:00"/>
    <d v="2026-06-07T00:00:00"/>
    <s v="Matthew Vellardito"/>
    <s v="None"/>
    <s v="JUN'26"/>
    <n v="60000"/>
    <n v="128349"/>
    <s v="Jeanne Feeley"/>
  </r>
  <r>
    <s v="AGC004029"/>
    <s v="WAYMO"/>
    <s v="ADV001749"/>
    <s v="Waymo/Digital/Scatter/Sports/MWC"/>
    <x v="179"/>
    <s v="Run of World Cup Video - Package"/>
    <n v="8005"/>
    <n v="588744"/>
    <s v="Waymo - Run of World Cup Video - 2026 MWC Package"/>
    <d v="2026-06-12T00:00:00"/>
    <d v="2026-07-19T00:00:00"/>
    <s v="FOX DCM"/>
    <s v="CPM"/>
    <n v="42"/>
    <n v="3571429"/>
    <n v="150000.01999999999"/>
    <s v="Impressions"/>
    <s v="performance"/>
    <n v="0"/>
    <n v="0"/>
    <s v="performance"/>
    <n v="2391963"/>
    <s v="invoice_schedule"/>
    <n v="100462.446"/>
    <n v="100462.446"/>
    <n v="100462.446"/>
    <n v="2390865"/>
    <n v="2391963"/>
    <d v="2026-06-12T00:00:00"/>
    <d v="2026-07-19T00:00:00"/>
    <s v="Matthew Vellardito"/>
    <s v="None"/>
    <s v="JUN'26"/>
    <n v="600000.1"/>
    <n v="130953"/>
    <s v="Tom Cecil"/>
  </r>
  <r>
    <s v="AGC004029"/>
    <s v="WAYMO"/>
    <s v="ADV001749"/>
    <s v="Waymo/Digital/Scatter/Sports/MWC"/>
    <x v="179"/>
    <s v="Run of AllFOX Video - Package"/>
    <n v="7998"/>
    <n v="588753"/>
    <s v="Waymo - Run of AllFOX Video - 2026 MWC Package"/>
    <d v="2026-06-12T00:00:00"/>
    <d v="2026-07-19T00:00:00"/>
    <s v="FOX DCM"/>
    <s v="CPM"/>
    <n v="20"/>
    <n v="3750000"/>
    <n v="75000"/>
    <s v="Impressions"/>
    <s v="performance"/>
    <n v="0"/>
    <n v="0"/>
    <s v="performance"/>
    <n v="1889938"/>
    <s v="invoice_schedule"/>
    <n v="37798.76"/>
    <n v="37798.76"/>
    <n v="37798.76"/>
    <n v="1857031"/>
    <n v="1889938"/>
    <d v="2026-06-12T00:00:00"/>
    <d v="2026-07-19T00:00:00"/>
    <s v="Matthew Vellardito"/>
    <s v="None"/>
    <s v="JUN'26"/>
    <n v="600000.1"/>
    <n v="130953"/>
    <s v="Tom Cecil"/>
  </r>
  <r>
    <s v="AGC004029"/>
    <s v="WAYMO"/>
    <s v="ADV001749"/>
    <s v="Waymo/Digital/Scatter/Sports/MWC"/>
    <x v="179"/>
    <s v="Run of World Cup Video - Package"/>
    <n v="8005"/>
    <n v="593843"/>
    <s v="Waymo - Run of World Cup Video - 2026 MWC :60s Package"/>
    <d v="2026-06-16T00:00:00"/>
    <d v="2026-07-19T00:00:00"/>
    <s v="FOX DCM"/>
    <s v="CPM"/>
    <n v="84"/>
    <n v="595239"/>
    <n v="50000.08"/>
    <s v="Impressions"/>
    <s v="performance"/>
    <n v="0"/>
    <n v="0"/>
    <s v="performance"/>
    <n v="434287"/>
    <s v="invoice_schedule"/>
    <n v="36480.108"/>
    <n v="36480.108"/>
    <n v="36480.108"/>
    <n v="433176"/>
    <n v="434287"/>
    <d v="2026-06-16T00:00:00"/>
    <d v="2026-07-19T00:00:00"/>
    <s v="Matthew Vellardito"/>
    <s v="None"/>
    <s v="JUN'26"/>
    <n v="600000.1"/>
    <n v="130953"/>
    <s v="Tom Cecil"/>
  </r>
  <r>
    <s v="AGC004029"/>
    <s v="WAYMO"/>
    <s v="ADV001749"/>
    <s v="Waymo/Digital/Scatter/Sports/MWC"/>
    <x v="179"/>
    <s v="Run of AllFOX Video - Package"/>
    <n v="7998"/>
    <n v="593846"/>
    <s v="Waymo - Run of AllFOX Video - 2026 MWC :60s Package"/>
    <d v="2026-06-16T00:00:00"/>
    <d v="2026-07-19T00:00:00"/>
    <s v="FOX DCM"/>
    <s v="CPM"/>
    <n v="40"/>
    <n v="625000"/>
    <n v="25000"/>
    <s v="Impressions"/>
    <s v="performance"/>
    <n v="0"/>
    <n v="0"/>
    <s v="performance"/>
    <n v="295861"/>
    <s v="invoice_schedule"/>
    <n v="11834.44"/>
    <n v="11834.44"/>
    <n v="11834.44"/>
    <n v="292809"/>
    <n v="295861"/>
    <d v="2026-06-16T00:00:00"/>
    <d v="2026-07-19T00:00:00"/>
    <s v="Matthew Vellardito"/>
    <s v="None"/>
    <s v="JUN'26"/>
    <n v="600000.1"/>
    <n v="130953"/>
    <s v="Tom Cecil"/>
  </r>
  <r>
    <s v="AGC002175"/>
    <s v="MILLERCOORS"/>
    <s v="ADV006968"/>
    <s v="Miller Coors/Digital/Scatter/Men's World Cup/Q2-Q3'26 "/>
    <x v="180"/>
    <s v="World Cup Social Sponsorship Content - Package"/>
    <n v="8000"/>
    <n v="588871"/>
    <s v="Miller Lite - World Cup Social Sponsorship Content - Package - X"/>
    <d v="2026-06-11T00:00:00"/>
    <d v="2026-07-19T00:00:00"/>
    <s v="FOX Innovid"/>
    <s v="SOV-Flat Rate"/>
    <n v="250000"/>
    <n v="1"/>
    <n v="250000"/>
    <s v="n/a"/>
    <s v="prorated"/>
    <n v="1"/>
    <n v="128205.1283"/>
    <s v="prorated"/>
    <n v="1"/>
    <s v="invoice_schedule"/>
    <n v="128205.1283"/>
    <n v="128205.1283"/>
    <n v="128205.1283"/>
    <m/>
    <m/>
    <d v="2026-06-11T00:00:00"/>
    <d v="2026-07-19T00:00:00"/>
    <s v="Grace Stryker"/>
    <s v="None"/>
    <s v="JUN'26"/>
    <n v="400000.01"/>
    <n v="129388"/>
    <s v="Matt Frey"/>
  </r>
  <r>
    <s v="AGC002175"/>
    <s v="MILLERCOORS"/>
    <s v="ADV006968"/>
    <s v="Miller Coors/Digital/Scatter/Men's World Cup/Q2-Q3'26 "/>
    <x v="180"/>
    <s v="Run of World Cup Video - Package"/>
    <n v="8005"/>
    <n v="588876"/>
    <s v="Miller Lite - Run of World Cup Video - Package"/>
    <d v="2026-06-01T00:00:00"/>
    <d v="2026-07-19T00:00:00"/>
    <s v="FOX Innovid"/>
    <s v="CPM"/>
    <n v="40"/>
    <n v="3750000"/>
    <n v="150000"/>
    <s v="Impressions"/>
    <s v="performance"/>
    <n v="0"/>
    <n v="0"/>
    <s v="performance"/>
    <n v="2515728"/>
    <s v="invoice_schedule"/>
    <n v="100629.12"/>
    <n v="100629.12"/>
    <n v="100629.12"/>
    <n v="2508542"/>
    <n v="2515728"/>
    <d v="2026-06-01T00:00:00"/>
    <d v="2026-07-19T00:00:00"/>
    <s v="Grace Stryker"/>
    <s v="None"/>
    <s v="JUN'26"/>
    <n v="400000.01"/>
    <n v="129388"/>
    <s v="Matt Frey"/>
  </r>
  <r>
    <s v="AGC001249"/>
    <s v="PEPSICO"/>
    <s v="ADV006088"/>
    <s v="PEPSICO- FRITO LAY /SCATTER / DIGITAL / FY 25-26 / Run of World Cup Digital Video "/>
    <x v="181"/>
    <s v="Run of World Cup Video - Package"/>
    <n v="8005"/>
    <n v="589051"/>
    <s v="Pepsi - Frito Lays - Run of World Cup Video - OMP"/>
    <d v="2026-06-01T00:00:00"/>
    <d v="2026-07-19T00:00:00"/>
    <s v="FOX DCM"/>
    <s v="CPM"/>
    <n v="30"/>
    <n v="5833333"/>
    <n v="174999.99"/>
    <s v="Impressions"/>
    <s v="performance"/>
    <n v="0"/>
    <n v="0"/>
    <s v="performance"/>
    <n v="3909144"/>
    <s v="invoice_schedule"/>
    <n v="117274.32"/>
    <n v="117274.32"/>
    <n v="117274.32"/>
    <n v="3904886"/>
    <n v="3909144"/>
    <d v="2026-06-01T00:00:00"/>
    <d v="2026-07-19T00:00:00"/>
    <s v="Anthony Gizzo"/>
    <s v="None"/>
    <s v="JUN'26"/>
    <n v="174999.99"/>
    <n v="128712"/>
    <s v="Adam Chardavoyne"/>
  </r>
  <r>
    <s v="AGC001249"/>
    <s v="PEPSICO"/>
    <s v="ADV006088"/>
    <s v="PEPSICO- FRITO LAY/ SCATTER / DIGITAL / FY 25-26 / World Cup Social X"/>
    <x v="182"/>
    <s v="World Cup Social Sponsorship Content - Package"/>
    <n v="8000"/>
    <n v="589069"/>
    <s v="PEPSICO- FRITO LAY - World Cup Social Sponsorship Content - OMP"/>
    <d v="2026-06-01T00:00:00"/>
    <d v="2026-07-19T00:00:00"/>
    <s v="FOX 1st Party"/>
    <s v="SOV-Flat Rate"/>
    <n v="250000"/>
    <n v="1"/>
    <n v="250000"/>
    <s v="n/a"/>
    <s v="prorated"/>
    <n v="1"/>
    <n v="153061.22450000001"/>
    <s v="prorated"/>
    <n v="1"/>
    <s v="invoice_schedule"/>
    <n v="153061.22450000001"/>
    <n v="153061.22450000001"/>
    <n v="153061.22450000001"/>
    <m/>
    <m/>
    <d v="2026-06-01T00:00:00"/>
    <d v="2026-07-19T00:00:00"/>
    <s v="Anthony Gizzo"/>
    <s v="None"/>
    <s v="JUN'26"/>
    <n v="250000"/>
    <n v="128456"/>
    <s v="Adam Chardavoyne"/>
  </r>
  <r>
    <s v="AGC005759"/>
    <s v="LENOVO"/>
    <s v="ADV003788"/>
    <s v="Lenovo/OMP/Digital/Scatter/Sports/MWC"/>
    <x v="183"/>
    <s v="Run of World Cup Video - Package"/>
    <n v="8005"/>
    <n v="590257"/>
    <s v="Lenovo - OMP - Run of World Cup Video - 2026 MWC Package"/>
    <d v="2026-06-01T00:00:00"/>
    <d v="2026-07-31T00:00:00"/>
    <s v="FOX 1st Party"/>
    <s v="CPM"/>
    <n v="44"/>
    <n v="11363637"/>
    <n v="500000.02"/>
    <s v="Impressions"/>
    <s v="performance"/>
    <n v="0"/>
    <n v="0"/>
    <s v="performance"/>
    <n v="7548969"/>
    <s v="invoice_schedule"/>
    <n v="332154.636"/>
    <n v="332154.636"/>
    <n v="332154.636"/>
    <n v="7548969"/>
    <n v="0"/>
    <d v="2026-06-01T00:00:00"/>
    <d v="2026-07-31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0289"/>
    <s v="Lenovo - OMP - Tubi Timeout - Rotational Animated Pause Ad Inventory - 2026 MWC"/>
    <d v="2026-06-10T00:00:00"/>
    <d v="2026-07-19T00:00:00"/>
    <s v="FOX 1st Party"/>
    <s v="CPM"/>
    <n v="18"/>
    <n v="2222222"/>
    <n v="40000"/>
    <s v="Impressions"/>
    <s v="performance"/>
    <n v="0"/>
    <n v="0"/>
    <s v="performance"/>
    <n v="0"/>
    <s v="invoice_schedule"/>
    <n v="0"/>
    <n v="0"/>
    <n v="0"/>
    <m/>
    <m/>
    <d v="2026-06-10T00:00:00"/>
    <d v="2026-07-19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2320"/>
    <s v="DIO - MWC - Fox + Tubi - Original Content - SOV Single Title - Pre Roll - SOV"/>
    <d v="2026-06-11T00:00:00"/>
    <d v="2026-06-17T00:00:00"/>
    <s v="FOX 1st Party"/>
    <s v="CPM"/>
    <n v="30"/>
    <n v="8000000"/>
    <n v="240000"/>
    <s v="Impressions"/>
    <s v="performance"/>
    <n v="0"/>
    <n v="0"/>
    <s v="performance"/>
    <n v="0"/>
    <s v="invoice_schedule"/>
    <n v="0"/>
    <n v="0"/>
    <n v="0"/>
    <m/>
    <m/>
    <d v="2026-06-11T00:00:00"/>
    <d v="2026-06-17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3101"/>
    <s v="Lenovo-DIO - MWC - App Launcher - Updated"/>
    <d v="2026-06-12T00:00:00"/>
    <d v="2026-06-12T00:00:00"/>
    <s v="FOX 1st Party"/>
    <s v="CPM"/>
    <n v="30"/>
    <n v="8333334"/>
    <n v="250000.02"/>
    <s v="Impressions"/>
    <s v="performance"/>
    <n v="0"/>
    <n v="0"/>
    <s v="performance"/>
    <n v="0"/>
    <s v="invoice_schedule"/>
    <n v="0"/>
    <n v="0"/>
    <n v="0"/>
    <m/>
    <m/>
    <d v="2026-06-12T00:00:00"/>
    <d v="2026-06-12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3121"/>
    <s v="Lenovo-DIO - MWC - Sponsored Lockup - Row 1 - Updated"/>
    <d v="2026-06-12T00:00:00"/>
    <d v="2026-06-12T00:00:00"/>
    <s v="FOX 1st Party"/>
    <s v="CPM"/>
    <n v="30"/>
    <n v="7500000"/>
    <n v="225000"/>
    <s v="Impressions"/>
    <s v="performance"/>
    <n v="0"/>
    <n v="0"/>
    <s v="performance"/>
    <n v="6962050"/>
    <s v="invoice_schedule"/>
    <n v="208861.5"/>
    <n v="208861.5"/>
    <n v="208861.5"/>
    <n v="6962050"/>
    <m/>
    <d v="2026-06-12T00:00:00"/>
    <d v="2026-06-12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3122"/>
    <s v="Lenovo-DIO - MWC - Sponsored Lockup - Row 4 - Updated"/>
    <d v="2026-06-12T00:00:00"/>
    <d v="2026-06-12T00:00:00"/>
    <s v="FOX 1st Party"/>
    <s v="CPM"/>
    <n v="30"/>
    <n v="7500000"/>
    <n v="225000"/>
    <s v="Impressions"/>
    <s v="performance"/>
    <n v="0"/>
    <n v="0"/>
    <s v="performance"/>
    <n v="3436303"/>
    <s v="invoice_schedule"/>
    <n v="103089.09"/>
    <n v="103089.09"/>
    <n v="103089.09"/>
    <n v="3436303"/>
    <m/>
    <d v="2026-06-12T00:00:00"/>
    <d v="2026-06-12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3123"/>
    <s v="Lenovo-DIO - MWC - World Cup Hub Display Sponsorship - Updated"/>
    <d v="2026-06-12T00:00:00"/>
    <d v="2026-06-12T00:00:00"/>
    <s v="FOX 1st Party"/>
    <s v="CPM"/>
    <n v="30"/>
    <n v="25333334"/>
    <n v="760000.02"/>
    <s v="Impressions"/>
    <s v="performance"/>
    <n v="0"/>
    <n v="0"/>
    <s v="performance"/>
    <n v="1304990"/>
    <s v="invoice_schedule"/>
    <n v="39149.699999999997"/>
    <n v="39149.699999999997"/>
    <n v="39149.699999999997"/>
    <n v="1304990"/>
    <m/>
    <d v="2026-06-12T00:00:00"/>
    <d v="2026-06-12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3126"/>
    <s v="Lenovo-DIO - MWC - Pre Roll - Updated-6s"/>
    <d v="2026-06-09T00:00:00"/>
    <d v="2026-06-12T00:00:00"/>
    <s v="FOX 1st Party"/>
    <s v="CPM"/>
    <n v="30"/>
    <n v="10000000"/>
    <n v="300000"/>
    <s v="Impressions"/>
    <s v="performance"/>
    <n v="0"/>
    <n v="0"/>
    <s v="performance"/>
    <n v="0"/>
    <s v="invoice_schedule"/>
    <n v="0"/>
    <n v="0"/>
    <n v="0"/>
    <m/>
    <m/>
    <d v="2026-06-09T00:00:00"/>
    <d v="2026-06-12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s v="Run of AllFOX Video - Package"/>
    <n v="7998"/>
    <n v="593358"/>
    <s v="Lenovo - OMP - Run of AllFOX Video - AAT Soccer Fans - MWC 2026 Package"/>
    <d v="2026-06-10T00:00:00"/>
    <d v="2026-07-19T00:00:00"/>
    <s v="FOX 1st Party"/>
    <s v="CPM"/>
    <n v="20"/>
    <n v="22500000"/>
    <n v="450000"/>
    <s v="Impressions"/>
    <s v="performance"/>
    <n v="0"/>
    <n v="0"/>
    <s v="performance"/>
    <n v="14164194"/>
    <s v="invoice_schedule"/>
    <n v="283283.88"/>
    <n v="283283.88"/>
    <n v="283283.88"/>
    <n v="14164194"/>
    <n v="0"/>
    <d v="2026-06-10T00:00:00"/>
    <d v="2026-07-19T00:00:00"/>
    <s v="Matthew Vellardito"/>
    <s v="None"/>
    <s v="JUN'26"/>
    <n v="3000000.07"/>
    <n v="130767"/>
    <s v="Tom Cecil"/>
  </r>
  <r>
    <s v="AGC005759"/>
    <s v="LENOVO"/>
    <s v="ADV003788"/>
    <s v="Lenovo/OMP/Digital/Scatter/Sports/MWC"/>
    <x v="183"/>
    <m/>
    <m/>
    <n v="594798"/>
    <s v="Lenovo - OMP - Tubi Timeout - MWC Rotational Animated Pause Ad Inventory - 2026 MWC"/>
    <d v="2026-06-18T00:00:00"/>
    <d v="2026-07-19T00:00:00"/>
    <s v="FOX 1st Party"/>
    <s v="CPM"/>
    <n v="18"/>
    <n v="555556"/>
    <n v="10000.01"/>
    <s v="Impressions"/>
    <s v="performance"/>
    <n v="0"/>
    <n v="0"/>
    <s v="performance"/>
    <n v="0"/>
    <s v="invoice_schedule"/>
    <n v="0"/>
    <n v="0"/>
    <n v="0"/>
    <m/>
    <m/>
    <d v="2026-06-18T00:00:00"/>
    <d v="2026-07-19T00:00:00"/>
    <s v="Matthew Vellardito"/>
    <s v="None"/>
    <s v="JUN'26"/>
    <n v="3000000.07"/>
    <n v="130767"/>
    <s v="Tom Cecil"/>
  </r>
  <r>
    <s v="AGC003157"/>
    <s v="MICROSOFT"/>
    <s v="ADV006763"/>
    <s v="Microsoft/Digital/Scatter/World Cup/25-26"/>
    <x v="184"/>
    <s v="Run of World Cup Video - Package"/>
    <n v="8005"/>
    <n v="591380"/>
    <s v="Microsoft - Run of World Cup Video - Package"/>
    <d v="2026-06-05T00:00:00"/>
    <d v="2026-06-30T00:00:00"/>
    <s v="FOX DCM"/>
    <s v="CPM"/>
    <n v="44"/>
    <n v="3409091"/>
    <n v="150000.01"/>
    <s v="Impressions"/>
    <s v="performance"/>
    <n v="0"/>
    <n v="0"/>
    <s v="performance"/>
    <n v="3409091"/>
    <s v="invoice_schedule"/>
    <n v="150000.01"/>
    <n v="150000.01"/>
    <n v="150000.01"/>
    <n v="3505826"/>
    <n v="3626855"/>
    <d v="2026-06-05T00:00:00"/>
    <d v="2026-06-30T00:00:00"/>
    <s v="Jessica Lang"/>
    <s v="None"/>
    <s v="JUN'26"/>
    <n v="300000.01"/>
    <n v="130320"/>
    <s v="Mike Maresca"/>
  </r>
  <r>
    <s v="AGC003157"/>
    <s v="MICROSOFT"/>
    <s v="ADV006763"/>
    <s v="Microsoft/Digital/Scatter/World Cup/25-26"/>
    <x v="184"/>
    <s v="Run of AllFOX Video - Package"/>
    <n v="7998"/>
    <n v="591381"/>
    <s v="Microsoft - Run of AllFOX Video - Package - AAT 'Soccer Fan'"/>
    <d v="2026-06-05T00:00:00"/>
    <d v="2026-06-30T00:00:00"/>
    <m/>
    <s v="CPM"/>
    <n v="20"/>
    <n v="7500000"/>
    <n v="150000"/>
    <s v="Impressions"/>
    <s v="performance"/>
    <n v="0"/>
    <n v="0"/>
    <s v="performance"/>
    <n v="7500000"/>
    <s v="invoice_schedule"/>
    <n v="150000"/>
    <n v="150000"/>
    <n v="150000"/>
    <n v="7695101"/>
    <n v="8006876"/>
    <d v="2026-06-05T00:00:00"/>
    <d v="2026-06-30T00:00:00"/>
    <s v="Jessica Lang"/>
    <s v="None"/>
    <s v="JUN'26"/>
    <n v="300000.01"/>
    <n v="130320"/>
    <s v="Mike Maresca"/>
  </r>
  <r>
    <s v="AGC002767"/>
    <s v="AMERICAN AIRLINES"/>
    <s v="ADV001756"/>
    <s v="American Airlines/25-26/Digital/Scatter/Sports/MWC"/>
    <x v="185"/>
    <s v="Run of World Cup Video - Package"/>
    <n v="8005"/>
    <n v="591512"/>
    <s v="American Airlines - Run of World Cup Video - Package OMP"/>
    <d v="2026-06-01T00:00:00"/>
    <d v="2026-07-19T00:00:00"/>
    <s v="FOX 1st Party"/>
    <s v="CPM"/>
    <n v="44"/>
    <n v="5681819"/>
    <n v="250000.03"/>
    <s v="Impressions"/>
    <s v="publisher_performance"/>
    <n v="0"/>
    <n v="0"/>
    <s v="publisher_performance"/>
    <n v="4031708"/>
    <s v="invoice_schedule"/>
    <n v="177395.152"/>
    <n v="177395.152"/>
    <n v="177395.152"/>
    <n v="4031708"/>
    <n v="0"/>
    <d v="2026-06-01T00:00:00"/>
    <d v="2026-07-19T00:00:00"/>
    <s v="Grace Stryker"/>
    <s v="None"/>
    <s v="JUN'26"/>
    <n v="3000000.07"/>
    <n v="129814"/>
    <s v="Carly Sartwell"/>
  </r>
  <r>
    <s v="AGC002767"/>
    <s v="AMERICAN AIRLINES"/>
    <s v="ADV001756"/>
    <s v="American Airlines/25-26/Digital/Scatter/Sports/MWC"/>
    <x v="185"/>
    <s v="Run of AllFOX Video - Package"/>
    <n v="7998"/>
    <n v="591523"/>
    <s v="American Airlines - Run of AllFOX Video - Package OMP"/>
    <d v="2026-06-01T00:00:00"/>
    <d v="2026-07-19T00:00:00"/>
    <s v="FOX 1st Party"/>
    <s v="CPM"/>
    <n v="23"/>
    <n v="1086957"/>
    <n v="25000.01"/>
    <s v="Impressions"/>
    <s v="publisher_performance"/>
    <n v="0"/>
    <n v="0"/>
    <s v="publisher_performance"/>
    <n v="745851"/>
    <s v="invoice_schedule"/>
    <n v="17154.573"/>
    <n v="17154.573"/>
    <n v="17154.573"/>
    <n v="745851"/>
    <n v="0"/>
    <d v="2026-06-01T00:00:00"/>
    <d v="2026-07-19T00:00:00"/>
    <s v="Grace Stryker"/>
    <s v="None"/>
    <s v="JUN'26"/>
    <n v="3000000.07"/>
    <n v="129814"/>
    <s v="Carly Sartwell"/>
  </r>
  <r>
    <s v="AGC002767"/>
    <s v="AMERICAN AIRLINES"/>
    <s v="ADV001756"/>
    <s v="American Airlines/25-26/Digital/Scatter/Sports/MWC"/>
    <x v="185"/>
    <m/>
    <m/>
    <n v="591534"/>
    <s v="American Airlines - DIO - Custom Sponsorship - FOX Sports - Placeholder"/>
    <d v="2026-06-01T00:00:00"/>
    <d v="2026-07-19T00:00:00"/>
    <s v="FOX 1st Party"/>
    <s v="SOV-Flat Rate"/>
    <n v="2000000"/>
    <n v="0"/>
    <n v="2000000"/>
    <s v="n/a"/>
    <s v="prorated"/>
    <n v="0"/>
    <n v="1224489.7960000001"/>
    <s v="prorated"/>
    <n v="0"/>
    <s v="invoice_schedule"/>
    <n v="1224489.7960000001"/>
    <n v="1224489.7960000001"/>
    <n v="1224489.7960000001"/>
    <m/>
    <m/>
    <d v="2026-06-01T00:00:00"/>
    <d v="2026-07-19T00:00:00"/>
    <s v="Grace Stryker"/>
    <s v="None"/>
    <s v="JUN'26"/>
    <n v="3000000.07"/>
    <n v="129814"/>
    <s v="Carly Sartwell"/>
  </r>
  <r>
    <s v="AGC002767"/>
    <s v="AMERICAN AIRLINES"/>
    <s v="ADV001756"/>
    <s v="American Airlines/25-26/Digital/Scatter/Sports/MWC"/>
    <x v="185"/>
    <m/>
    <m/>
    <n v="592723"/>
    <s v="American Airlines DIO - MWC - Timeout - ROS - Rotational - Updated"/>
    <d v="2026-06-05T00:00:00"/>
    <d v="2026-07-19T00:00:00"/>
    <s v="FOX DCM"/>
    <s v="CPM"/>
    <n v="19"/>
    <n v="1210527"/>
    <n v="23000.01"/>
    <s v="Impressions"/>
    <s v="performance"/>
    <n v="0"/>
    <n v="0"/>
    <s v="performance"/>
    <n v="0"/>
    <s v="invoice_schedule"/>
    <n v="0"/>
    <n v="0"/>
    <n v="0"/>
    <m/>
    <m/>
    <d v="2026-06-05T00:00:00"/>
    <d v="2026-07-19T00:00:00"/>
    <s v="Grace Stryker"/>
    <s v="None"/>
    <s v="JUN'26"/>
    <n v="3000000.07"/>
    <n v="129814"/>
    <s v="Carly Sartwell"/>
  </r>
  <r>
    <s v="AGC002767"/>
    <s v="AMERICAN AIRLINES"/>
    <s v="ADV001756"/>
    <s v="American Airlines/25-26/Digital/Scatter/Sports/MWC"/>
    <x v="185"/>
    <m/>
    <m/>
    <n v="597663"/>
    <s v="American Airlines DIO - MWC - Timeout - ROS - Rotational - Updated - HUB"/>
    <d v="2026-06-26T00:00:00"/>
    <d v="2026-07-19T00:00:00"/>
    <s v="FOX DCM"/>
    <s v="CPM"/>
    <n v="19"/>
    <n v="105263"/>
    <n v="2000"/>
    <s v="Impressions"/>
    <s v="performance"/>
    <n v="0"/>
    <n v="0"/>
    <s v="performance"/>
    <n v="0"/>
    <s v="invoice_schedule"/>
    <n v="0"/>
    <n v="0"/>
    <n v="0"/>
    <m/>
    <m/>
    <d v="2026-06-26T00:00:00"/>
    <d v="2026-07-19T00:00:00"/>
    <s v="Grace Stryker"/>
    <s v="None"/>
    <s v="JUN'26"/>
    <n v="3000000.07"/>
    <n v="129814"/>
    <s v="Carly Sartwell"/>
  </r>
  <r>
    <s v="AGC002164"/>
    <s v="VERIZON"/>
    <s v="ADV006048"/>
    <s v="Verizon/2026 MWC/Digital/Scatter/VBG/Video"/>
    <x v="186"/>
    <s v="Run of World Cup Video - Package"/>
    <n v="8005"/>
    <n v="591925"/>
    <s v="Verizon - OMP - VBG - Run of World Cup Video - Package - 2026"/>
    <d v="2026-06-11T00:00:00"/>
    <d v="2026-07-19T00:00:00"/>
    <s v="FOX Innovid"/>
    <s v="CPM"/>
    <n v="40"/>
    <n v="22000000"/>
    <n v="880000"/>
    <s v="Impressions"/>
    <s v="performance"/>
    <n v="0"/>
    <n v="0"/>
    <s v="performance"/>
    <n v="14602843"/>
    <s v="invoice_schedule"/>
    <n v="584113.72"/>
    <n v="584113.72"/>
    <n v="584113.72"/>
    <n v="14139282"/>
    <n v="14602843"/>
    <d v="2026-06-11T00:00:00"/>
    <d v="2026-07-19T00:00:00"/>
    <s v="Megan Sileo"/>
    <s v="None"/>
    <s v="JUN'26"/>
    <n v="950000"/>
    <n v="130990"/>
    <s v="Tom Cecil"/>
  </r>
  <r>
    <s v="AGC002164"/>
    <s v="VERIZON"/>
    <s v="ADV006048"/>
    <s v="Verizon/2026 MWC/Digital/Scatter/VBG/Video"/>
    <x v="186"/>
    <s v="Run of World Cup Display - Package"/>
    <n v="8004"/>
    <n v="591932"/>
    <s v="Verizon - OMP - Run of World Cup Display - Package - 2026"/>
    <d v="2026-06-11T00:00:00"/>
    <d v="2026-07-19T00:00:00"/>
    <s v="FOX Innovid"/>
    <s v="CPM"/>
    <n v="6"/>
    <n v="11666667"/>
    <n v="70000"/>
    <s v="Impressions"/>
    <s v="performance"/>
    <n v="0"/>
    <n v="0"/>
    <s v="performance"/>
    <n v="5357072"/>
    <s v="invoice_schedule"/>
    <n v="32142.432000000001"/>
    <n v="32142.432000000001"/>
    <n v="32142.432000000001"/>
    <n v="5357072"/>
    <n v="0"/>
    <d v="2026-06-11T00:00:00"/>
    <d v="2026-07-19T00:00:00"/>
    <s v="Megan Sileo"/>
    <s v="None"/>
    <s v="JUN'26"/>
    <n v="950000"/>
    <n v="130990"/>
    <s v="Tom Cecil"/>
  </r>
  <r>
    <s v="AGC002164"/>
    <s v="VERIZON"/>
    <s v="ADV006048"/>
    <s v="Verizon/2026 MWC/Digital/Scatter/VBG/Video"/>
    <x v="186"/>
    <s v="Run of World Cup Video - Package"/>
    <n v="8005"/>
    <n v="595946"/>
    <s v="Verizon - OMP - VBG - Run of World Cup Video - Makegood Package - 2026"/>
    <d v="2026-06-24T00:00:00"/>
    <d v="2026-07-19T00:00:00"/>
    <s v="FOX Innovid"/>
    <s v="CPM"/>
    <n v="40"/>
    <n v="15986257"/>
    <n v="0"/>
    <s v="Impressions"/>
    <s v="performance"/>
    <n v="0"/>
    <n v="0"/>
    <s v="performance"/>
    <n v="6579736"/>
    <s v="invoice_schedule"/>
    <n v="0"/>
    <n v="0"/>
    <n v="0"/>
    <n v="6625905"/>
    <n v="6579736"/>
    <d v="2026-06-24T00:00:00"/>
    <d v="2026-07-19T00:00:00"/>
    <s v="Megan Sileo"/>
    <s v="None"/>
    <s v="JUN'26"/>
    <n v="950000"/>
    <n v="130990"/>
    <s v="Tom Cecil"/>
  </r>
  <r>
    <s v="AGC001080"/>
    <s v="UNIVERSITY OF PHOENIX"/>
    <s v="ADV000553"/>
    <s v="UOPX- MWC - Digital -25/26"/>
    <x v="187"/>
    <s v="Run of World Cup Video - Package"/>
    <n v="8005"/>
    <n v="592011"/>
    <s v="UOPX - Run of World Cup Video - Package"/>
    <d v="2026-06-03T00:00:00"/>
    <d v="2026-07-26T00:00:00"/>
    <s v="FOX DCM"/>
    <s v="CPM"/>
    <n v="44"/>
    <n v="1022728"/>
    <n v="45000.04"/>
    <s v="Impressions"/>
    <s v="prorated"/>
    <n v="530304"/>
    <n v="23333.3541"/>
    <s v="prorated"/>
    <n v="530304"/>
    <s v="invoice_schedule"/>
    <n v="23333.3541"/>
    <n v="23333.3541"/>
    <n v="23333.3541"/>
    <n v="688539"/>
    <n v="680931"/>
    <d v="2026-06-03T00:00:00"/>
    <d v="2026-07-26T00:00:00"/>
    <s v="Mia Bonvissuto"/>
    <s v="None"/>
    <s v="JUN'26"/>
    <n v="175000.07"/>
    <n v="130427"/>
    <s v="Leslie Lowenthal"/>
  </r>
  <r>
    <s v="AGC001080"/>
    <s v="UNIVERSITY OF PHOENIX"/>
    <s v="ADV000553"/>
    <s v="UOPX- MWC - Digital -25/26"/>
    <x v="187"/>
    <s v="Run of AllFOX Video - Package"/>
    <n v="7998"/>
    <n v="592019"/>
    <s v="UOPX - Run of AllFOX Video - Package"/>
    <d v="2026-06-03T00:00:00"/>
    <d v="2026-08-30T00:00:00"/>
    <s v="FOX DCM"/>
    <s v="CPM"/>
    <n v="20"/>
    <n v="1250000"/>
    <n v="25000"/>
    <s v="Impressions"/>
    <s v="straightline"/>
    <n v="393258"/>
    <n v="8333.3333999999995"/>
    <s v="prorated"/>
    <n v="393258"/>
    <s v="invoice_schedule"/>
    <n v="8333.3333999999995"/>
    <n v="8333.3333999999995"/>
    <n v="8333.3333999999995"/>
    <n v="412659"/>
    <n v="454083"/>
    <d v="2026-06-03T00:00:00"/>
    <d v="2026-08-30T00:00:00"/>
    <s v="Mia Bonvissuto"/>
    <s v="None"/>
    <s v="JUN'26"/>
    <n v="175000.07"/>
    <n v="130427"/>
    <s v="Leslie Lowenthal"/>
  </r>
  <r>
    <s v="AGC001080"/>
    <s v="UNIVERSITY OF PHOENIX"/>
    <s v="ADV000553"/>
    <s v="UOPX- MWC - Digital -25/26"/>
    <x v="187"/>
    <m/>
    <m/>
    <n v="592635"/>
    <s v="UOPX - DR - MWC - Timeout - ROS - Rotational - Updated"/>
    <d v="2026-06-05T00:00:00"/>
    <d v="2026-08-30T00:00:00"/>
    <s v="FOX DCM"/>
    <s v="CPM"/>
    <n v="17"/>
    <n v="5000001"/>
    <n v="85000.02"/>
    <s v="Impressions"/>
    <s v="performance"/>
    <n v="0"/>
    <n v="0"/>
    <s v="performance"/>
    <n v="177826"/>
    <s v="invoice_schedule"/>
    <n v="3023.0419999999999"/>
    <n v="3023.0419999999999"/>
    <n v="3023.0419999999999"/>
    <n v="177826"/>
    <m/>
    <d v="2026-06-05T00:00:00"/>
    <d v="2026-08-30T00:00:00"/>
    <s v="Mia Bonvissuto"/>
    <s v="None"/>
    <s v="JUN'26"/>
    <n v="175000.07"/>
    <n v="130427"/>
    <s v="Leslie Lowenthal"/>
  </r>
  <r>
    <s v="AGC001080"/>
    <s v="UNIVERSITY OF PHOENIX"/>
    <s v="ADV000553"/>
    <s v="UOPX- MWC - Digital -25/26"/>
    <x v="187"/>
    <m/>
    <m/>
    <n v="594419"/>
    <s v="UOPX - DR - MWC - Timeout - ROS - Rotational - Updated_Hub"/>
    <d v="2026-06-18T00:00:00"/>
    <d v="2026-08-30T00:00:00"/>
    <s v="FOX DCM"/>
    <s v="CPM"/>
    <n v="17"/>
    <n v="1176471"/>
    <n v="20000.009999999998"/>
    <s v="Impressions"/>
    <s v="performance"/>
    <n v="0"/>
    <n v="0"/>
    <s v="performance"/>
    <n v="0"/>
    <s v="invoice_schedule"/>
    <n v="0"/>
    <n v="0"/>
    <n v="0"/>
    <m/>
    <m/>
    <d v="2026-06-18T00:00:00"/>
    <d v="2026-08-30T00:00:00"/>
    <s v="Mia Bonvissuto"/>
    <s v="None"/>
    <s v="JUN'26"/>
    <n v="175000.07"/>
    <n v="130427"/>
    <s v="Leslie Lowenthal"/>
  </r>
  <r>
    <s v="AGC001080"/>
    <s v="UNIVERSITY OF PHOENIX"/>
    <s v="ADV000553"/>
    <s v="UOPX- MWC - Digital -25/26"/>
    <x v="187"/>
    <s v="Run of AllFOX Video - Package"/>
    <n v="7998"/>
    <n v="597160"/>
    <s v="UOPX - Run of AllFOX Video - Package - MG"/>
    <d v="2026-06-26T00:00:00"/>
    <d v="2026-08-30T00:00:00"/>
    <s v="FOX DCM"/>
    <s v="CPM"/>
    <n v="20"/>
    <n v="320493"/>
    <n v="0"/>
    <s v="Impressions"/>
    <s v="straightline"/>
    <n v="24279"/>
    <n v="0"/>
    <s v="prorated"/>
    <n v="24279"/>
    <s v="invoice_schedule"/>
    <n v="0"/>
    <n v="0"/>
    <n v="0"/>
    <m/>
    <m/>
    <d v="2026-06-26T00:00:00"/>
    <d v="2026-08-30T00:00:00"/>
    <s v="Mia Bonvissuto"/>
    <s v="None"/>
    <s v="JUN'26"/>
    <n v="175000.07"/>
    <n v="130427"/>
    <s v="Leslie Lowenthal"/>
  </r>
  <r>
    <s v="AGC001810"/>
    <s v="ELI LILLY"/>
    <s v="ADV002224"/>
    <s v="Lilly/2026/MWC/Digital/Scatter/Tubi/Ebglyss/NEW"/>
    <x v="188"/>
    <s v="Run of World Cup Video - Package"/>
    <n v="8005"/>
    <n v="591995"/>
    <s v="Eli Lilly - Ebglyss Run of World Cup Video - 2026 Package - Tubi - :60"/>
    <d v="2026-06-03T00:00:00"/>
    <d v="2026-06-30T00:00:00"/>
    <s v="FOX Innovid"/>
    <s v="CPM"/>
    <n v="40"/>
    <n v="990923"/>
    <n v="39636.92"/>
    <s v="Impressions"/>
    <s v="performance"/>
    <n v="0"/>
    <n v="0"/>
    <s v="performance"/>
    <n v="990923"/>
    <s v="invoice_schedule"/>
    <n v="39636.92"/>
    <n v="39636.92"/>
    <n v="39636.92"/>
    <n v="1049780"/>
    <n v="1042100"/>
    <d v="2026-06-03T00:00:00"/>
    <d v="2026-06-30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s v="Run of World Cup Video - Package"/>
    <n v="8005"/>
    <n v="592001"/>
    <s v="Eli Lilly - Ebglyss Run of World Cup Video - 2026 Package - Tubi - :30"/>
    <d v="2026-06-03T00:00:00"/>
    <d v="2026-06-26T00:00:00"/>
    <s v="FOX Innovid"/>
    <s v="CPM"/>
    <n v="40"/>
    <n v="571577"/>
    <n v="22863.08"/>
    <s v="Impressions"/>
    <s v="performance"/>
    <n v="0"/>
    <n v="0"/>
    <s v="performance"/>
    <n v="571577"/>
    <s v="invoice_schedule"/>
    <n v="22863.08"/>
    <n v="22863.08"/>
    <n v="22863.08"/>
    <n v="572875"/>
    <n v="572182"/>
    <d v="2026-06-03T00:00:00"/>
    <d v="2026-06-26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s v="Run of AllFOX Video - Package"/>
    <n v="7998"/>
    <n v="592004"/>
    <s v="Eli Lilly - Ebglyss - Run of AllFOX Video - 2026 Package - Tubi - :60"/>
    <d v="2026-06-03T00:00:00"/>
    <d v="2026-06-30T00:00:00"/>
    <s v="FOX Innovid"/>
    <s v="CPM"/>
    <n v="20"/>
    <n v="4354119"/>
    <n v="87082.38"/>
    <s v="Impressions"/>
    <s v="performance"/>
    <n v="0"/>
    <n v="0"/>
    <s v="performance"/>
    <n v="4354119"/>
    <s v="invoice_schedule"/>
    <n v="87082.38"/>
    <n v="87082.38"/>
    <n v="87082.38"/>
    <n v="4921762"/>
    <n v="0"/>
    <d v="2026-06-03T00:00:00"/>
    <d v="2026-06-30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s v="Run of AllFOX Video - Package"/>
    <n v="7998"/>
    <n v="592007"/>
    <s v="Eli Lilly - Ebglyss - Run of AllFox Video - 2026 Package - Tubi - :30"/>
    <d v="2026-06-03T00:00:00"/>
    <d v="2026-06-26T00:00:00"/>
    <s v="FOX Innovid"/>
    <s v="CPM"/>
    <n v="20"/>
    <n v="3310531"/>
    <n v="66210.62"/>
    <s v="Impressions"/>
    <s v="performance"/>
    <n v="0"/>
    <n v="0"/>
    <s v="performance"/>
    <n v="3310531"/>
    <s v="invoice_schedule"/>
    <n v="66210.62"/>
    <n v="66210.62"/>
    <n v="66210.62"/>
    <n v="3325194"/>
    <n v="0"/>
    <d v="2026-06-03T00:00:00"/>
    <d v="2026-06-26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2014"/>
    <s v="Eli Lilly - Ebglyss - DIO - 1A Takeover - Tubi - 6/18"/>
    <d v="2026-06-18T00:00:00"/>
    <d v="2026-06-18T00:00:00"/>
    <s v="FOX Innovid"/>
    <s v="CPM"/>
    <n v="28"/>
    <n v="6607143"/>
    <n v="185000"/>
    <s v="Impressions"/>
    <s v="performance"/>
    <n v="0"/>
    <n v="0"/>
    <s v="performance"/>
    <n v="5708749"/>
    <s v="invoice_schedule"/>
    <n v="159844.97200000001"/>
    <n v="159844.97200000001"/>
    <n v="159844.97200000001"/>
    <n v="5708749"/>
    <m/>
    <d v="2026-06-18T00:00:00"/>
    <d v="2026-06-18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2016"/>
    <s v="Eli Lilly - Ebglyss - DIO - 1A Takeover - Tubi - 6/21"/>
    <d v="2026-06-21T00:00:00"/>
    <d v="2026-06-21T00:00:00"/>
    <s v="FOX Innovid"/>
    <s v="CPM"/>
    <n v="28"/>
    <n v="6607143"/>
    <n v="185000"/>
    <s v="Impressions"/>
    <s v="performance"/>
    <n v="0"/>
    <n v="0"/>
    <s v="performance"/>
    <n v="6607143"/>
    <s v="invoice_schedule"/>
    <n v="185000"/>
    <n v="185000"/>
    <n v="185000"/>
    <n v="6608931"/>
    <m/>
    <d v="2026-06-21T00:00:00"/>
    <d v="2026-06-21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2017"/>
    <s v="Eli Lilly - Ebglyss - DIO - 1A Takeover - Tubi - 6/26"/>
    <d v="2026-06-26T00:00:00"/>
    <d v="2026-06-26T00:00:00"/>
    <s v="FOX Innovid"/>
    <s v="CPM"/>
    <n v="28"/>
    <n v="6607143"/>
    <n v="185000"/>
    <s v="Impressions"/>
    <s v="performance"/>
    <n v="0"/>
    <n v="0"/>
    <s v="performance"/>
    <n v="5141225"/>
    <s v="invoice_schedule"/>
    <n v="143954.29999999999"/>
    <n v="143954.29999999999"/>
    <n v="143954.29999999999"/>
    <n v="5141225"/>
    <m/>
    <d v="2026-06-26T00:00:00"/>
    <d v="2026-06-26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2018"/>
    <s v="Eli Lilly - Ebglyss - DIO - 1A Takeover - Tubi - 6/28"/>
    <d v="2026-06-28T00:00:00"/>
    <d v="2026-06-28T00:00:00"/>
    <s v="FOX Innovid"/>
    <s v="CPM"/>
    <n v="28"/>
    <n v="6607143"/>
    <n v="185000"/>
    <s v="Impressions"/>
    <s v="performance"/>
    <n v="0"/>
    <n v="0"/>
    <s v="performance"/>
    <n v="6607143"/>
    <s v="invoice_schedule"/>
    <n v="185000"/>
    <n v="185000"/>
    <n v="185000"/>
    <n v="6609125"/>
    <m/>
    <d v="2026-06-28T00:00:00"/>
    <d v="2026-06-28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2659"/>
    <s v="CANCELLED_Eli Lilly - Ebglyss - DIO - MWC - Fox + Tubi - Original Content - SOV Single Title - Pre Roll - 50% SOV - :60"/>
    <d v="2026-06-22T00:00:00"/>
    <d v="2026-06-28T00:00:00"/>
    <s v="FOX Innovid"/>
    <s v="Flat Rate"/>
    <n v="0"/>
    <n v="0"/>
    <n v="0"/>
    <s v="n/a"/>
    <s v="prorated"/>
    <n v="0"/>
    <n v="0"/>
    <s v="prorated"/>
    <n v="0"/>
    <s v="invoice_schedule"/>
    <n v="0"/>
    <n v="0"/>
    <n v="0"/>
    <m/>
    <m/>
    <d v="2026-06-22T00:00:00"/>
    <d v="2026-06-28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4420"/>
    <s v="Eli Lilly - Ebglyss :60 - DIO - MWC - Fox + Tubi - Original Content - SOV Single Title - Pre Roll - SOV - Updated"/>
    <d v="2026-06-22T00:00:00"/>
    <d v="2026-06-28T00:00:00"/>
    <s v="FOX Innovid"/>
    <s v="CPM"/>
    <n v="34"/>
    <n v="3676471"/>
    <n v="125000.01"/>
    <s v="Impressions"/>
    <s v="performance"/>
    <n v="0"/>
    <n v="0"/>
    <s v="performance"/>
    <n v="0"/>
    <s v="invoice_schedule"/>
    <n v="0"/>
    <n v="0"/>
    <n v="0"/>
    <m/>
    <m/>
    <d v="2026-06-22T00:00:00"/>
    <d v="2026-06-28T00:00:00"/>
    <s v="Megan Sileo"/>
    <s v="None"/>
    <s v="JUN'26"/>
    <n v="1205793.02"/>
    <n v="130099"/>
    <s v="Tom Cecil"/>
  </r>
  <r>
    <s v="AGC001810"/>
    <s v="ELI LILLY"/>
    <s v="ADV002224"/>
    <s v="Lilly/2026/MWC/Digital/Scatter/Tubi/Ebglyss/NEW"/>
    <x v="188"/>
    <m/>
    <m/>
    <n v="594421"/>
    <s v="Eli Lilly - Ebglyss :30 - DIO - MWC - Fox + Tubi - Original Content - SOV Single Title - Pre Roll - SOV - Updated"/>
    <d v="2026-06-22T00:00:00"/>
    <d v="2026-06-28T00:00:00"/>
    <s v="FOX Innovid"/>
    <s v="CPM"/>
    <n v="34"/>
    <n v="3676471"/>
    <n v="125000.01"/>
    <s v="Impressions"/>
    <s v="performance"/>
    <n v="0"/>
    <n v="0"/>
    <s v="performance"/>
    <n v="744294"/>
    <s v="invoice_schedule"/>
    <n v="25305.995999999999"/>
    <n v="25305.995999999999"/>
    <n v="25305.995999999999"/>
    <n v="744294"/>
    <m/>
    <d v="2026-06-22T00:00:00"/>
    <d v="2026-06-28T00:00:00"/>
    <s v="Megan Sileo"/>
    <s v="None"/>
    <s v="JUN'26"/>
    <n v="1205793.02"/>
    <n v="130099"/>
    <s v="Tom Cecil"/>
  </r>
  <r>
    <s v="AGC000898"/>
    <s v="UNIVERSAL PICTURES"/>
    <s v="ADV000562"/>
    <s v="Universal Pictures/Digital/Scatter/Sports/MWC 2026/One Night Only"/>
    <x v="189"/>
    <s v="Run of World Cup Video - Package"/>
    <n v="8005"/>
    <n v="592110"/>
    <s v="Universal- Run of World Cup Video - Package (One Night Only)"/>
    <d v="2026-06-22T00:00:00"/>
    <d v="2026-07-19T00:00:00"/>
    <s v="FOX DCM"/>
    <s v="CPM"/>
    <n v="40"/>
    <n v="7831625"/>
    <n v="313265"/>
    <s v="Impressions"/>
    <s v="performance"/>
    <n v="0"/>
    <n v="0"/>
    <s v="performance"/>
    <n v="5990892"/>
    <s v="invoice_schedule"/>
    <n v="239635.68"/>
    <n v="239635.68"/>
    <n v="239635.68"/>
    <n v="5992921"/>
    <n v="5990892"/>
    <d v="2026-06-22T00:00:00"/>
    <d v="2026-07-19T00:00:00"/>
    <s v="Marcela Miranda"/>
    <s v="None"/>
    <s v="JUN'26"/>
    <n v="313265"/>
    <n v="130236"/>
    <s v="Gina Rodarte"/>
  </r>
  <r>
    <s v="AGC000898"/>
    <s v="UNIVERSAL PICTURES"/>
    <s v="ADV000562"/>
    <s v="Universal Pictures/Digital/Scatter/Sports/MWC 2026/Forgotten Island"/>
    <x v="190"/>
    <s v="Run of World Cup Video - Package"/>
    <n v="8005"/>
    <n v="592113"/>
    <s v="Universal- Run of World Cup Video - Package (Forgotten Island)"/>
    <d v="2026-06-27T00:00:00"/>
    <d v="2026-07-19T00:00:00"/>
    <s v="FOX DCM"/>
    <s v="CPM"/>
    <n v="40"/>
    <n v="2785000"/>
    <n v="111400"/>
    <s v="Impressions"/>
    <s v="performance"/>
    <n v="0"/>
    <n v="0"/>
    <s v="performance"/>
    <n v="1388221"/>
    <s v="invoice_schedule"/>
    <n v="55528.84"/>
    <n v="55528.84"/>
    <n v="55528.84"/>
    <n v="1388053"/>
    <n v="1388221"/>
    <d v="2026-06-27T00:00:00"/>
    <d v="2026-07-19T00:00:00"/>
    <s v="Marcela Miranda"/>
    <s v="None"/>
    <s v="JUN'26"/>
    <n v="111400"/>
    <n v="130239"/>
    <s v="Gina Rodarte"/>
  </r>
  <r>
    <s v="AGC000865"/>
    <s v="GAMETIME"/>
    <s v="ADV005844"/>
    <s v="Gametime/2Q-3Q'26/Digital/Scatter"/>
    <x v="191"/>
    <s v="DIO - ROV - FS - Pre/Mid - ROS - DT/MB/CTV - Preemptible - Package"/>
    <n v="7964"/>
    <n v="592792"/>
    <s v="CANCELED - Gametime - DIO - ROV - FS - Pre/Mid - ROS - DT/MB/CTV - Preemptible - 2Q3Q26 - Baltimore"/>
    <d v="2026-06-24T00:00:00"/>
    <d v="2026-06-24T00:00:00"/>
    <m/>
    <s v="CPM"/>
    <n v="0"/>
    <n v="0"/>
    <n v="0"/>
    <s v="CoV Impressions"/>
    <s v="performance"/>
    <n v="0"/>
    <n v="0"/>
    <s v="performance"/>
    <n v="0"/>
    <s v="invoice_schedule"/>
    <n v="0"/>
    <n v="0"/>
    <n v="0"/>
    <m/>
    <m/>
    <d v="2026-06-24T00:00:00"/>
    <d v="2026-06-24T00:00:00"/>
    <s v="Anthony Gizzo"/>
    <s v="None"/>
    <s v="JUN'26"/>
    <n v="47171.13"/>
    <n v="130918"/>
    <s v="Dylan Giordano"/>
  </r>
  <r>
    <s v="AGC005026"/>
    <s v="GOOGLE"/>
    <s v="ADV005225"/>
    <s v="Google/2026/Scatter/Digital/MWC/Tubi &amp; FS"/>
    <x v="192"/>
    <s v="Run of World Cup Video - Package"/>
    <n v="8005"/>
    <n v="592925"/>
    <s v="Google Search (TUBI) Run of World Cup Video - Package - 2Q'26"/>
    <d v="2026-06-10T00:00:00"/>
    <d v="2026-06-30T00:00:00"/>
    <s v="FOX DCM"/>
    <s v="CPM"/>
    <n v="40"/>
    <n v="6666667"/>
    <n v="266666.68"/>
    <s v="Impressions"/>
    <s v="performance"/>
    <n v="0"/>
    <n v="0"/>
    <s v="performance"/>
    <n v="6666667"/>
    <s v="invoice_schedule"/>
    <n v="266666.68"/>
    <n v="266666.68"/>
    <n v="266666.68"/>
    <n v="6798037"/>
    <n v="7149756"/>
    <d v="2026-06-10T00:00:00"/>
    <d v="2026-06-30T00:00:00"/>
    <s v="Mia Bonvissuto"/>
    <s v="None"/>
    <s v="JUN'26"/>
    <n v="1500000.01"/>
    <n v="131257"/>
    <s v="Colleen Cahill"/>
  </r>
  <r>
    <s v="AGC005026"/>
    <s v="GOOGLE"/>
    <s v="ADV005225"/>
    <s v="Google/2026/Scatter/Digital/MWC/Tubi &amp; FS"/>
    <x v="192"/>
    <s v="Run of AllFOX Video - Package"/>
    <n v="7998"/>
    <n v="592969"/>
    <s v="Google Search (TUBI) Run of AllFOX Video - Package  - 2Q'26"/>
    <d v="2026-06-10T00:00:00"/>
    <d v="2026-06-30T00:00:00"/>
    <s v="FOX DCM"/>
    <s v="CPM"/>
    <n v="20"/>
    <n v="1666667"/>
    <n v="33333.339999999997"/>
    <s v="Impressions"/>
    <s v="performance"/>
    <n v="0"/>
    <n v="0"/>
    <s v="performance"/>
    <n v="1666667"/>
    <s v="invoice_schedule"/>
    <n v="33333.339999999997"/>
    <n v="33333.339999999997"/>
    <n v="33333.339999999997"/>
    <n v="1694831"/>
    <n v="1822191"/>
    <d v="2026-06-10T00:00:00"/>
    <d v="2026-06-30T00:00:00"/>
    <s v="Mia Bonvissuto"/>
    <s v="None"/>
    <s v="JUN'26"/>
    <n v="1500000.01"/>
    <n v="131257"/>
    <s v="Colleen Cahill"/>
  </r>
  <r>
    <s v="AGC005026"/>
    <s v="GOOGLE"/>
    <s v="ADV005225"/>
    <s v="Google/2026/Scatter/Digital/MWC/Tubi &amp; FS"/>
    <x v="192"/>
    <m/>
    <m/>
    <n v="592973"/>
    <s v="Google Search (TUBI) DIO - MWC - Tubi Moments - Rotational Video - Updated  - 2Q'26"/>
    <d v="2026-06-12T00:00:00"/>
    <d v="2026-06-30T00:00:00"/>
    <s v="FOX DCM"/>
    <s v="CPM"/>
    <n v="19.25"/>
    <n v="1731602"/>
    <n v="33333.339999999997"/>
    <s v="Impressions"/>
    <s v="performance"/>
    <n v="0"/>
    <n v="0"/>
    <s v="performance"/>
    <n v="227032"/>
    <s v="invoice_schedule"/>
    <n v="4370.366"/>
    <n v="4370.366"/>
    <n v="4370.366"/>
    <n v="227032"/>
    <m/>
    <d v="2026-06-12T00:00:00"/>
    <d v="2026-06-30T00:00:00"/>
    <s v="Mia Bonvissuto"/>
    <s v="None"/>
    <s v="JUN'26"/>
    <n v="1500000.01"/>
    <n v="131257"/>
    <s v="Colleen Cahill"/>
  </r>
  <r>
    <s v="AGC001249"/>
    <s v="NISSAN"/>
    <s v="ADV003484"/>
    <s v="NISSAN / DIGITAL / SCATTER  / SPORTS / MWC 2026/27"/>
    <x v="193"/>
    <s v="Run of World Cup Video - Package"/>
    <n v="8005"/>
    <n v="593133"/>
    <s v="Nissan - Run of World Cup Video - MWC'26"/>
    <d v="2026-06-11T00:00:00"/>
    <d v="2026-06-30T00:00:00"/>
    <s v="FOX Flashtalking"/>
    <s v="CPM"/>
    <n v="40"/>
    <n v="2500000"/>
    <n v="100000"/>
    <s v="Impressions"/>
    <s v="performance"/>
    <n v="0"/>
    <n v="0"/>
    <s v="performance"/>
    <n v="2449872"/>
    <s v="invoice_schedule"/>
    <n v="97994.880000000005"/>
    <n v="97994.880000000005"/>
    <n v="97994.880000000005"/>
    <n v="2612672"/>
    <n v="2449872"/>
    <d v="2026-06-11T00:00:00"/>
    <d v="2026-06-30T00:00:00"/>
    <s v="Anthony Gizzo"/>
    <s v="None"/>
    <s v="JUN'26"/>
    <n v="100000"/>
    <n v="131163"/>
    <s v="Adam Chardavoyne"/>
  </r>
  <r>
    <s v="AGC002070"/>
    <s v="META"/>
    <s v="ADV011978"/>
    <s v="META/DIGITAL/SCATTER/SPORTS/MWC/INSTAGRAM"/>
    <x v="194"/>
    <s v="Run of World Cup Video - Package"/>
    <n v="8005"/>
    <n v="594161"/>
    <s v="META - Instagram - Run of World Cup Video - 2026 MWC Package"/>
    <d v="2026-06-17T00:00:00"/>
    <d v="2026-07-19T00:00:00"/>
    <s v="FOX DCM"/>
    <s v="CPM"/>
    <n v="40"/>
    <n v="1250000"/>
    <n v="50000"/>
    <s v="Impressions"/>
    <s v="performance"/>
    <n v="0"/>
    <n v="0"/>
    <s v="performance"/>
    <n v="836055"/>
    <s v="invoice_schedule"/>
    <n v="33442.199999999997"/>
    <n v="33442.199999999997"/>
    <n v="33442.199999999997"/>
    <n v="827066"/>
    <n v="836055"/>
    <d v="2026-06-17T00:00:00"/>
    <d v="2026-07-19T00:00:00"/>
    <s v="Matthew Vellardito"/>
    <s v="None"/>
    <s v="JUN'26"/>
    <n v="767032.02"/>
    <n v="132247"/>
    <s v="Janna Goldstein"/>
  </r>
  <r>
    <s v="AGC002070"/>
    <s v="META"/>
    <s v="ADV011978"/>
    <s v="META/DIGITAL/SCATTER/SPORTS/MWC/INSTAGRAM"/>
    <x v="194"/>
    <s v="Run of FOX Sports Video - Package"/>
    <n v="8002"/>
    <n v="594168"/>
    <s v="META - Instagram - Run of FOX Sports Video - 2026 MWC Package"/>
    <d v="2026-06-17T00:00:00"/>
    <d v="2026-07-19T00:00:00"/>
    <s v="FOX DCM"/>
    <s v="CPM"/>
    <n v="27"/>
    <n v="925926"/>
    <n v="25000.01"/>
    <m/>
    <s v="performance"/>
    <n v="0"/>
    <n v="0"/>
    <s v="performance"/>
    <n v="17208"/>
    <s v="invoice_schedule"/>
    <n v="464.61599999999999"/>
    <n v="464.61599999999999"/>
    <n v="464.61599999999999"/>
    <n v="17428"/>
    <n v="17208"/>
    <d v="2026-06-17T00:00:00"/>
    <d v="2026-07-19T00:00:00"/>
    <s v="Matthew Vellardito"/>
    <s v="None"/>
    <s v="JUN'26"/>
    <n v="767032.02"/>
    <n v="132247"/>
    <s v="Janna Goldstein"/>
  </r>
  <r>
    <s v="AGC002070"/>
    <s v="META"/>
    <s v="ADV011978"/>
    <s v="META/DIGITAL/SCATTER/SPORTS/MWC/INSTAGRAM"/>
    <x v="194"/>
    <s v="Run of AllFOX Video - Package"/>
    <n v="7998"/>
    <n v="594170"/>
    <s v="META - Instagram - Run of AllFOX Video - AAT Soccer Fans - 2026 MWC Package"/>
    <d v="2026-06-17T00:00:00"/>
    <d v="2026-07-19T00:00:00"/>
    <s v="FOX DCM"/>
    <s v="CPM"/>
    <n v="23"/>
    <n v="16229652"/>
    <n v="373282"/>
    <s v="Impressions"/>
    <s v="performance"/>
    <n v="0"/>
    <n v="0"/>
    <s v="performance"/>
    <n v="5764185"/>
    <s v="invoice_schedule"/>
    <n v="132576.255"/>
    <n v="132576.255"/>
    <n v="132576.255"/>
    <n v="5745370"/>
    <n v="5764185"/>
    <d v="2026-06-17T00:00:00"/>
    <d v="2026-07-19T00:00:00"/>
    <s v="Matthew Vellardito"/>
    <s v="None"/>
    <s v="JUN'26"/>
    <n v="767032.02"/>
    <n v="132247"/>
    <s v="Janna Goldstein"/>
  </r>
  <r>
    <s v="AGC002070"/>
    <s v="META"/>
    <s v="ADV011978"/>
    <s v="META/DIGITAL/SCATTER/SPORTS/MWC/INSTAGRAM"/>
    <x v="194"/>
    <m/>
    <m/>
    <n v="594176"/>
    <s v="META - Instagram - Tubi Moments_DIO - 2026 MWC - Tubi Moments - Rotational Video"/>
    <d v="2026-06-25T00:00:00"/>
    <d v="2026-07-19T00:00:00"/>
    <s v="FOX DCM"/>
    <s v="CPM"/>
    <n v="19.25"/>
    <n v="6818182"/>
    <n v="131250"/>
    <s v="Impressions"/>
    <s v="performance"/>
    <n v="0"/>
    <n v="0"/>
    <s v="performance"/>
    <n v="592805"/>
    <s v="invoice_schedule"/>
    <n v="11411.496300000001"/>
    <n v="11411.496300000001"/>
    <n v="11411.496300000001"/>
    <n v="592805"/>
    <m/>
    <d v="2026-06-25T00:00:00"/>
    <d v="2026-07-19T00:00:00"/>
    <s v="Matthew Vellardito"/>
    <s v="None"/>
    <s v="JUN'26"/>
    <n v="767032.02"/>
    <n v="132247"/>
    <s v="Janna Goldstein"/>
  </r>
  <r>
    <s v="AGC002070"/>
    <s v="META"/>
    <s v="ADV011978"/>
    <s v="META/DIGITAL/SCATTER/SPORTS/MWC/INSTAGRAM"/>
    <x v="194"/>
    <m/>
    <m/>
    <n v="594619"/>
    <s v="META - Instagram - Tubi Premium Video - DIO - Tubi Prime - Rotational Video 2026 MWC"/>
    <d v="2026-06-25T00:00:00"/>
    <d v="2026-07-19T00:00:00"/>
    <s v="FOX DCM"/>
    <s v="CPM"/>
    <n v="19.25"/>
    <n v="9740260"/>
    <n v="187500.01"/>
    <s v="Impressions"/>
    <s v="performance"/>
    <n v="0"/>
    <n v="0"/>
    <s v="performance"/>
    <n v="278890"/>
    <s v="invoice_schedule"/>
    <n v="5368.6324999999997"/>
    <n v="5368.6324999999997"/>
    <n v="5368.6324999999997"/>
    <n v="278890"/>
    <m/>
    <d v="2026-06-25T00:00:00"/>
    <d v="2026-07-19T00:00:00"/>
    <s v="Matthew Vellardito"/>
    <s v="None"/>
    <s v="JUN'26"/>
    <n v="767032.02"/>
    <n v="132247"/>
    <s v="Janna Goldstein"/>
  </r>
  <r>
    <s v="AGC002070"/>
    <s v="META"/>
    <s v="ADV011978"/>
    <s v="META/DIGITAL/SCATTER/SPORTS/MWC/Wearables"/>
    <x v="195"/>
    <s v="Run of AllFOX Video - Package"/>
    <n v="7998"/>
    <n v="594390"/>
    <s v="META - Wearables - Run of AllFOX Video - AAT Soccer Fan Audience - 2026 MWC Package"/>
    <d v="2026-06-30T00:00:00"/>
    <d v="2026-07-19T00:00:00"/>
    <s v="FOX DCM"/>
    <s v="CPM"/>
    <n v="23"/>
    <n v="2607305"/>
    <n v="59968.02"/>
    <s v="Impressions"/>
    <s v="performance"/>
    <n v="0"/>
    <n v="0"/>
    <s v="performance"/>
    <n v="162174"/>
    <s v="invoice_schedule"/>
    <n v="3730.002"/>
    <n v="3730.002"/>
    <n v="3730.002"/>
    <n v="144885"/>
    <n v="162174"/>
    <d v="2026-06-30T00:00:00"/>
    <d v="2026-07-19T00:00:00"/>
    <s v="Matthew Vellardito"/>
    <s v="None"/>
    <s v="JUN'26"/>
    <n v="887968.02"/>
    <n v="133182"/>
    <s v="Janna Goldstein"/>
  </r>
  <r>
    <s v="AGC002070"/>
    <s v="META"/>
    <s v="ADV011978"/>
    <s v="META/DIGITAL/SCATTER/SPORTS/MWC/Wearables"/>
    <x v="195"/>
    <s v="World Cup Social Sponsorship Content - Package"/>
    <n v="8000"/>
    <n v="594394"/>
    <s v="META - Wearables - World Cup Social Sponsorship Content - 2026 MWC Package"/>
    <d v="2026-06-23T00:00:00"/>
    <d v="2026-07-19T00:00:00"/>
    <s v="FOX 1st Party"/>
    <s v="SOV-Flat Rate"/>
    <n v="373000"/>
    <n v="3"/>
    <n v="373000"/>
    <s v="n/a"/>
    <s v="prorated"/>
    <n v="0"/>
    <n v="110518.51850000001"/>
    <s v="prorated"/>
    <n v="0"/>
    <s v="invoice_schedule"/>
    <n v="110518.51850000001"/>
    <n v="110518.51850000001"/>
    <n v="110518.51850000001"/>
    <m/>
    <m/>
    <d v="2026-06-23T00:00:00"/>
    <d v="2026-07-19T00:00:00"/>
    <s v="Matthew Vellardito"/>
    <s v="None"/>
    <s v="JUN'26"/>
    <n v="887968.02"/>
    <n v="133182"/>
    <s v="Janna Goldstein"/>
  </r>
  <r>
    <s v="AGC002070"/>
    <s v="META"/>
    <s v="ADV011978"/>
    <s v="META/DIGITAL/SCATTER/SPORTS/MWC/Wearables"/>
    <x v="195"/>
    <s v="World Cup Social Sponsorship Content - Package"/>
    <n v="8000"/>
    <n v="598555"/>
    <s v="META - Wearables - World Cup Social Sponsorship Fee - 2026 MWC Package"/>
    <d v="2026-06-23T00:00:00"/>
    <d v="2026-07-19T00:00:00"/>
    <s v="FOX 1st Party"/>
    <s v="SOV-Flat Rate"/>
    <n v="455000"/>
    <n v="0"/>
    <n v="455000"/>
    <s v="n/a"/>
    <s v="prorated"/>
    <n v="0"/>
    <n v="134814.81479999999"/>
    <s v="prorated"/>
    <n v="0"/>
    <s v="invoice_schedule"/>
    <n v="134814.81479999999"/>
    <n v="134814.81479999999"/>
    <n v="134814.81479999999"/>
    <m/>
    <m/>
    <d v="2026-06-23T00:00:00"/>
    <d v="2026-07-19T00:00:00"/>
    <s v="Matthew Vellardito"/>
    <s v="None"/>
    <s v="JUN'26"/>
    <n v="887968.02"/>
    <n v="133182"/>
    <s v="Janna Goldstein"/>
  </r>
  <r>
    <s v="AGC002070"/>
    <s v="USAA INSURANCE"/>
    <s v="ADV000505"/>
    <s v="USAA/DIGITAL/UPFRONT/SOCIAL/UF 2025/26/3Q'26/MLB/NFL"/>
    <x v="196"/>
    <s v="DIO - SOC - FOX Sports - Package"/>
    <n v="7993"/>
    <n v="594755"/>
    <s v="USAA - FOX Sports - X MLB Social Sponsorship - 3Q'26 Package"/>
    <d v="2026-06-29T00:00:00"/>
    <d v="2026-09-27T00:00:00"/>
    <s v="FOX 1st Party"/>
    <s v="SOV-Flat Rate"/>
    <n v="250000"/>
    <n v="1"/>
    <n v="250000"/>
    <s v="n/a"/>
    <s v="prorated"/>
    <n v="0"/>
    <n v="5494.5054"/>
    <s v="prorated"/>
    <n v="0"/>
    <s v="invoice_schedule"/>
    <n v="5494.5054"/>
    <n v="5494.5054"/>
    <n v="5494.5054"/>
    <m/>
    <m/>
    <d v="2026-06-29T00:00:00"/>
    <d v="2026-09-27T00:00:00"/>
    <s v="Matthew Vellardito"/>
    <s v="None"/>
    <s v="JUN'26"/>
    <n v="450000.01"/>
    <n v="132891"/>
    <s v="Janna Goldstein"/>
  </r>
  <r>
    <s v="AGC001914"/>
    <s v="CAPITAL ONE"/>
    <s v="ADV004035"/>
    <s v="Capital One/Card/Digital/BYUF/Entertainment/UF2526_3Q'26"/>
    <x v="197"/>
    <s v="LFV - RON Ent - ROS - Pre/Mid - DT/MB/CTV/VOD - Package"/>
    <n v="3535"/>
    <n v="595073"/>
    <s v="Capital One - Consumer Card - LFV - RON Ent - ROS - Pre/Mid - DT/MB/CTV/VOD - 3Q'26"/>
    <d v="2026-06-29T00:00:00"/>
    <d v="2026-09-27T00:00:00"/>
    <s v="FOX Innovid"/>
    <s v="CPM"/>
    <n v="27.6"/>
    <n v="6230762"/>
    <n v="171969.03"/>
    <s v="CoV Impressions"/>
    <s v="straightline"/>
    <n v="1557690"/>
    <n v="42992.2575"/>
    <s v="straightline"/>
    <n v="1557691"/>
    <s v="invoice_schedule"/>
    <n v="42992.2575"/>
    <n v="42992.2575"/>
    <n v="42992.2575"/>
    <n v="66451"/>
    <n v="65814"/>
    <d v="2026-06-29T00:00:00"/>
    <d v="2026-09-27T00:00:00"/>
    <s v="Anthony Gizzo"/>
    <s v="None"/>
    <s v="JUN'26"/>
    <n v="171969.03"/>
    <n v="133943"/>
    <s v="Sydney Stipanovich"/>
  </r>
  <r>
    <s v="AGC002408"/>
    <s v="MARS INC"/>
    <s v="ADV002288"/>
    <s v="Mars/AllFOX/3Q26/DIO/Extra"/>
    <x v="198"/>
    <s v="Run of AllFOX Video - Package"/>
    <n v="7998"/>
    <n v="595803"/>
    <s v="Mars - Extra - Run of AllFOX Video - 3Q'26 Package"/>
    <d v="2026-06-29T00:00:00"/>
    <d v="2026-08-16T00:00:00"/>
    <s v="FOX DCM"/>
    <s v="CPM"/>
    <n v="14.46"/>
    <n v="1842080"/>
    <n v="26636.48"/>
    <s v="Impressions"/>
    <s v="performance"/>
    <n v="0"/>
    <n v="0"/>
    <s v="performance"/>
    <n v="193114"/>
    <s v="invoice_schedule"/>
    <n v="2792.4283999999998"/>
    <n v="2792.4283999999998"/>
    <n v="2792.4283999999998"/>
    <n v="192323"/>
    <n v="193114"/>
    <d v="2026-06-29T00:00:00"/>
    <d v="2026-08-16T00:00:00"/>
    <s v="Megan Sileo"/>
    <s v="None"/>
    <s v="JUN'26"/>
    <n v="26636.48"/>
    <n v="134065"/>
    <s v="Erin Ilchuk"/>
  </r>
  <r>
    <s v="AGC002241"/>
    <s v="OMAHA STEAKS"/>
    <s v="ADV003059"/>
    <s v="OmahaSteaks/MWC/Digital/DR"/>
    <x v="199"/>
    <s v="Run of World Cup Video - Package"/>
    <n v="8005"/>
    <n v="596793"/>
    <s v="Omaha Steaks - Run of World Cup Video - Package"/>
    <d v="2026-06-30T00:00:00"/>
    <d v="2026-07-19T00:00:00"/>
    <m/>
    <s v="CPM"/>
    <n v="55"/>
    <n v="4958728"/>
    <n v="272730.05"/>
    <s v="Impressions"/>
    <s v="performance"/>
    <n v="0"/>
    <n v="0"/>
    <s v="performance"/>
    <n v="233072"/>
    <s v="invoice_schedule"/>
    <n v="12818.96"/>
    <n v="12818.96"/>
    <n v="12818.96"/>
    <n v="234082"/>
    <n v="233072"/>
    <d v="2026-06-30T00:00:00"/>
    <d v="2026-07-19T00:00:00"/>
    <s v="John Michael Bogusz"/>
    <s v="None"/>
    <s v="JUN'26"/>
    <n v="272730.05"/>
    <n v="133902"/>
    <s v="Nunzio Belfiore"/>
  </r>
  <r>
    <s v="AGC000898"/>
    <s v="PEACOCK"/>
    <s v="ADV010649"/>
    <s v="Peacock/Digital/Upfront/Entertainment/UF 2025/26"/>
    <x v="200"/>
    <s v="Generic Flighted Bottom Up Package"/>
    <n v="1"/>
    <n v="537804"/>
    <s v="Peacock/Digital/Upfront/Entertainment/UF 2025/26/3Q'26"/>
    <d v="2026-06-29T00:00:00"/>
    <d v="2026-09-28T00:00:00"/>
    <s v="FOX DCM"/>
    <s v="CPM"/>
    <n v="25.14"/>
    <n v="1988863"/>
    <n v="50000.02"/>
    <s v="Impressions"/>
    <s v="performance"/>
    <n v="0"/>
    <n v="0"/>
    <s v="performance"/>
    <n v="0"/>
    <s v="invoice_schedule"/>
    <n v="0"/>
    <n v="0"/>
    <n v="0"/>
    <m/>
    <m/>
    <d v="2026-06-29T00:00:00"/>
    <d v="2026-09-28T00:00:00"/>
    <s v="Kelsey Brahms"/>
    <s v="None"/>
    <s v="JUN'26"/>
    <n v="50000.01"/>
    <n v="93934"/>
    <s v="Bridgid Antoniello"/>
  </r>
  <r>
    <s v="AGC001250"/>
    <s v="APPLE INC"/>
    <s v="ADV000467"/>
    <s v="Apple/Digital/Upfront/Direct/Entertainment/25-26/UPFTRES"/>
    <x v="201"/>
    <s v="Generic Flighted Bottom Up Package"/>
    <n v="1"/>
    <n v="536995"/>
    <s v="CANCELLED - Apple/Digital/Upfront/Direct/Entertainment/25-26 - ROS - 2Q'26 - UPFTRES"/>
    <d v="2026-06-15T00:00:00"/>
    <d v="2026-06-30T00:00:00"/>
    <s v="FOX Innovid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6-15T00:00:00"/>
    <d v="2026-06-30T00:00:00"/>
    <s v="Celia-Blake Kazan"/>
    <s v="None"/>
    <s v="JUN'26"/>
    <n v="279857"/>
    <n v="92854"/>
    <s v="Gina Rodarte"/>
  </r>
  <r>
    <s v="AGC001250"/>
    <s v="APPLE INC"/>
    <s v="ADV000467"/>
    <s v="Apple/Digital/Upfront/Direct/Entertainment/25-26/UPFTRES"/>
    <x v="201"/>
    <s v="Generic Flighted Bottom Up Package"/>
    <n v="1"/>
    <n v="536996"/>
    <s v="Apple/Digital/Upfront/Direct/Entertainment/25-26 -  A/Z - 2Q'26 - UPFTRES"/>
    <d v="2026-06-15T00:00:00"/>
    <d v="2026-06-30T00:00:00"/>
    <s v="FOX Innovid"/>
    <s v="CPM"/>
    <n v="18.62"/>
    <n v="725027"/>
    <n v="13500"/>
    <s v="Impressions"/>
    <s v="performance"/>
    <n v="0"/>
    <n v="0"/>
    <s v="performance"/>
    <n v="0"/>
    <s v="invoice_schedule"/>
    <n v="0"/>
    <n v="0"/>
    <n v="0"/>
    <m/>
    <m/>
    <d v="2026-06-15T00:00:00"/>
    <d v="2026-06-30T00:00:00"/>
    <s v="Celia-Blake Kazan"/>
    <s v="None"/>
    <s v="JUN'26"/>
    <n v="279857"/>
    <n v="92854"/>
    <s v="Gina Rodarte"/>
  </r>
  <r>
    <s v="AGC000524"/>
    <s v="WAYFAIR.COM"/>
    <s v="ADV006218"/>
    <s v="Wayfair/Digital/Upfront/ROS Video/25-26"/>
    <x v="202"/>
    <s v="LFV - Sports ROS P2+ - Package"/>
    <n v="1698"/>
    <n v="535444"/>
    <s v="Wayfair - LFV - Sports ROV P2+ - Package - 2Q'26"/>
    <d v="2026-03-30T00:00:00"/>
    <d v="2026-06-28T00:00:00"/>
    <s v="FOX 1st Party"/>
    <s v="CPM"/>
    <n v="25"/>
    <n v="6000000"/>
    <n v="150000.01"/>
    <m/>
    <s v="performance"/>
    <n v="0"/>
    <n v="0"/>
    <s v="performance"/>
    <n v="1213677"/>
    <s v="invoice_schedule"/>
    <n v="30342.01"/>
    <n v="30342.01"/>
    <n v="30342.01"/>
    <n v="1238528"/>
    <n v="0"/>
    <d v="2026-03-30T00:00:00"/>
    <d v="2026-06-28T00:00:00"/>
    <s v="Jessica Lang"/>
    <s v="None"/>
    <s v="JUN'26"/>
    <n v="1000000.04"/>
    <n v="94609"/>
    <s v="Mike Maresca"/>
  </r>
  <r>
    <s v="AGC000524"/>
    <s v="WAYFAIR.COM"/>
    <s v="ADV006218"/>
    <s v="Wayfair/Digital/Upfront/ROS Video/25-26"/>
    <x v="202"/>
    <s v="LFV - Sports ROS P2+ - Package"/>
    <n v="1698"/>
    <n v="535446"/>
    <s v="Wayfair - LFV - Sports ROV P2+ - Package - 3Q'26"/>
    <d v="2026-06-29T00:00:00"/>
    <d v="2026-09-27T00:00:00"/>
    <s v="FOX 1st Party"/>
    <s v="CPM"/>
    <n v="25"/>
    <n v="6000000"/>
    <n v="150000"/>
    <s v="CoV Impressions"/>
    <s v="performance"/>
    <n v="0"/>
    <n v="0"/>
    <s v="performance"/>
    <n v="3405"/>
    <s v="invoice_schedule"/>
    <n v="85.125"/>
    <n v="85.125"/>
    <n v="85.125"/>
    <n v="3405"/>
    <n v="0"/>
    <d v="2026-06-29T00:00:00"/>
    <d v="2026-09-27T00:00:00"/>
    <s v="Jessica Lang"/>
    <s v="None"/>
    <s v="JUN'26"/>
    <n v="1000000.04"/>
    <n v="94609"/>
    <s v="Mike Maresca"/>
  </r>
  <r>
    <s v="AGC000898"/>
    <s v="AIRBNB"/>
    <s v="ADV002417"/>
    <s v="Airbnb/MWC/Digital/SCT/25-26"/>
    <x v="203"/>
    <s v="Run of World Cup Video - Package"/>
    <n v="8005"/>
    <n v="583535"/>
    <s v="OMP - Airbnb - Run of World Cup Video - Package"/>
    <d v="2026-06-11T00:00:00"/>
    <d v="2026-07-19T00:00:00"/>
    <s v="FOX DCM"/>
    <s v="CPM"/>
    <n v="40"/>
    <n v="20625000"/>
    <n v="825000"/>
    <s v="Impressions"/>
    <s v="performance"/>
    <n v="0"/>
    <n v="0"/>
    <s v="performance"/>
    <n v="13760380"/>
    <s v="invoice_schedule"/>
    <n v="550415.19999999995"/>
    <n v="550415.19999999995"/>
    <n v="550415.19999999995"/>
    <n v="13775046"/>
    <n v="13760380"/>
    <d v="2026-06-11T00:00:00"/>
    <d v="2026-07-19T00:00:00"/>
    <s v="Mia Bonvissuto"/>
    <s v="None"/>
    <s v="JUN'26"/>
    <n v="1500000"/>
    <n v="127516"/>
    <s v="Nicole Joscelyn"/>
  </r>
  <r>
    <s v="AGC000898"/>
    <s v="AIRBNB"/>
    <s v="ADV002417"/>
    <s v="Airbnb/MWC/Digital/SCT/25-26"/>
    <x v="203"/>
    <s v="Run of World Cup Display - Package"/>
    <n v="8004"/>
    <n v="583538"/>
    <s v="OMP - Airbnb - Run of World Cup Display - Package"/>
    <d v="2026-06-11T00:00:00"/>
    <d v="2026-07-19T00:00:00"/>
    <s v="FOX DCM"/>
    <s v="CPM"/>
    <n v="6"/>
    <n v="16666667"/>
    <n v="100000"/>
    <s v="Impressions"/>
    <s v="performance"/>
    <n v="0"/>
    <n v="0"/>
    <s v="performance"/>
    <n v="9468655"/>
    <s v="invoice_schedule"/>
    <n v="56811.93"/>
    <n v="56811.93"/>
    <n v="56811.93"/>
    <n v="9469905"/>
    <n v="9468655"/>
    <d v="2026-06-11T00:00:00"/>
    <d v="2026-07-19T00:00:00"/>
    <s v="Mia Bonvissuto"/>
    <s v="None"/>
    <s v="JUN'26"/>
    <n v="1500000"/>
    <n v="127516"/>
    <s v="Nicole Joscelyn"/>
  </r>
  <r>
    <s v="AGC000898"/>
    <s v="AIRBNB"/>
    <s v="ADV002417"/>
    <s v="Airbnb/MWC/Digital/SCT/25-26"/>
    <x v="203"/>
    <s v="Run of FOX Sports Video - Package"/>
    <n v="8002"/>
    <n v="583540"/>
    <s v="OMP - Airbnb - Run of FOX Sports Video - Package"/>
    <d v="2026-06-11T00:00:00"/>
    <d v="2026-07-19T00:00:00"/>
    <s v="FOX DCM"/>
    <s v="CPM"/>
    <n v="20"/>
    <n v="10000000"/>
    <n v="200000"/>
    <m/>
    <s v="performance"/>
    <n v="0"/>
    <n v="0"/>
    <s v="performance"/>
    <n v="3035457"/>
    <s v="invoice_schedule"/>
    <n v="60709.14"/>
    <n v="60709.14"/>
    <n v="60709.14"/>
    <n v="3038472"/>
    <n v="3035457"/>
    <d v="2026-06-11T00:00:00"/>
    <d v="2026-07-19T00:00:00"/>
    <s v="Mia Bonvissuto"/>
    <s v="None"/>
    <s v="JUN'26"/>
    <n v="1500000"/>
    <n v="127516"/>
    <s v="Nicole Joscelyn"/>
  </r>
  <r>
    <s v="AGC002239"/>
    <s v="HALEON"/>
    <s v="ADV012399"/>
    <s v="Haleon/2026 MWC/Digital/Scatter"/>
    <x v="204"/>
    <s v="Run of World Cup Video - Package"/>
    <n v="8005"/>
    <n v="581853"/>
    <s v="Haleon - Advil - Run of World Cup Video - Package - 2026"/>
    <d v="2026-06-11T00:00:00"/>
    <d v="2026-07-19T00:00:00"/>
    <s v="FOX Innovid"/>
    <s v="CPM"/>
    <n v="40"/>
    <n v="2275000"/>
    <n v="91000"/>
    <s v="Impressions"/>
    <s v="performance"/>
    <n v="0"/>
    <n v="0"/>
    <s v="performance"/>
    <n v="1298868"/>
    <s v="invoice_schedule"/>
    <n v="51954.720000000001"/>
    <n v="51954.720000000001"/>
    <n v="51954.720000000001"/>
    <n v="1298490"/>
    <n v="1298868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Display - Package"/>
    <n v="8004"/>
    <n v="581856"/>
    <s v="Haleon - Advil - Run of World Cup Display - Package - 2026"/>
    <d v="2026-06-11T00:00:00"/>
    <d v="2026-07-19T00:00:00"/>
    <s v="FOX DCM"/>
    <s v="CPM"/>
    <n v="6"/>
    <n v="2166667"/>
    <n v="13000"/>
    <s v="Impressions"/>
    <s v="performance"/>
    <n v="0"/>
    <n v="0"/>
    <s v="performance"/>
    <n v="1631008"/>
    <s v="invoice_schedule"/>
    <n v="9786.0480000000007"/>
    <n v="9786.0480000000007"/>
    <n v="9786.0480000000007"/>
    <n v="1631333"/>
    <n v="1631008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FOX Sports Video - Package"/>
    <n v="8002"/>
    <n v="581858"/>
    <s v="Haleon - Advil - Run of FOX Sports Video - Package - 2026"/>
    <d v="2026-06-11T00:00:00"/>
    <d v="2026-07-19T00:00:00"/>
    <s v="FOX Innovid"/>
    <s v="CPM"/>
    <n v="25"/>
    <n v="1300000"/>
    <n v="32500"/>
    <s v="CoV Impressions"/>
    <s v="performance"/>
    <n v="0"/>
    <n v="0"/>
    <s v="performance"/>
    <n v="554379"/>
    <s v="invoice_schedule"/>
    <n v="13859.475"/>
    <n v="13859.475"/>
    <n v="13859.475"/>
    <n v="552510"/>
    <n v="554379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AllFOX Video - Package"/>
    <n v="7998"/>
    <n v="581860"/>
    <s v="Haleon - Advil - Run of AllFOX Video - Package -AAT- 2026"/>
    <d v="2026-06-11T00:00:00"/>
    <d v="2026-07-19T00:00:00"/>
    <s v="FOX Innovid"/>
    <s v="CPM"/>
    <n v="20"/>
    <n v="2535000"/>
    <n v="50700"/>
    <s v="Impressions"/>
    <s v="performance"/>
    <n v="0"/>
    <n v="0"/>
    <s v="performance"/>
    <n v="1401824"/>
    <s v="invoice_schedule"/>
    <n v="28036.48"/>
    <n v="28036.48"/>
    <n v="28036.48"/>
    <n v="1395191"/>
    <n v="1401824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World Cup Social Sponsorship Content - Package"/>
    <n v="8000"/>
    <n v="581863"/>
    <s v="Haleon - Advil - World Cup Social Sponsorship Content - Package - 2026"/>
    <d v="2026-06-11T00:00:00"/>
    <d v="2026-07-19T00:00:00"/>
    <s v="FOX 1st Party"/>
    <s v="SOV-Flat Rate"/>
    <n v="78000"/>
    <n v="3"/>
    <n v="78000"/>
    <s v="n/a"/>
    <s v="prorated"/>
    <n v="2"/>
    <n v="40000"/>
    <s v="prorated"/>
    <n v="2"/>
    <s v="invoice_schedule"/>
    <n v="40000"/>
    <n v="40000"/>
    <n v="40000"/>
    <m/>
    <m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Video - Package"/>
    <n v="8005"/>
    <n v="589549"/>
    <s v="Haleon - Centrum - Run of World Cup Video - Package - 2026"/>
    <d v="2026-06-11T00:00:00"/>
    <d v="2026-07-19T00:00:00"/>
    <s v="FOX Innovid"/>
    <s v="CPM"/>
    <n v="40"/>
    <n v="1225000"/>
    <n v="49000"/>
    <s v="Impressions"/>
    <s v="performance"/>
    <n v="0"/>
    <n v="0"/>
    <s v="performance"/>
    <n v="699890"/>
    <s v="invoice_schedule"/>
    <n v="27995.599999999999"/>
    <n v="27995.599999999999"/>
    <n v="27995.599999999999"/>
    <n v="697747"/>
    <n v="699890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Video - Package"/>
    <n v="8005"/>
    <n v="589552"/>
    <s v="Haleon - Pronamel - Run of World Cup Video - Package - 2026"/>
    <d v="2026-06-11T00:00:00"/>
    <d v="2026-07-19T00:00:00"/>
    <s v="FOX Innovid"/>
    <s v="CPM"/>
    <n v="40"/>
    <n v="1662500"/>
    <n v="66500"/>
    <s v="Impressions"/>
    <s v="performance"/>
    <n v="0"/>
    <n v="0"/>
    <s v="performance"/>
    <n v="949317"/>
    <s v="invoice_schedule"/>
    <n v="37972.68"/>
    <n v="37972.68"/>
    <n v="37972.68"/>
    <n v="947839"/>
    <n v="949317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Video - Package"/>
    <n v="8005"/>
    <n v="589555"/>
    <s v="Haleon - Sensodyne - Run of World Cup Video - Package - 2026"/>
    <d v="2026-06-11T00:00:00"/>
    <d v="2026-07-19T00:00:00"/>
    <s v="FOX Innovid"/>
    <s v="CPM"/>
    <n v="40"/>
    <n v="2712500"/>
    <n v="108500"/>
    <s v="Impressions"/>
    <s v="performance"/>
    <n v="0"/>
    <n v="0"/>
    <s v="performance"/>
    <n v="1548397"/>
    <s v="invoice_schedule"/>
    <n v="61935.88"/>
    <n v="61935.88"/>
    <n v="61935.88"/>
    <n v="1548654"/>
    <n v="1548397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Video - Package"/>
    <n v="8005"/>
    <n v="589558"/>
    <s v="Haleon - Tums - Run of World Cup Video - Package - 2026"/>
    <d v="2026-06-11T00:00:00"/>
    <d v="2026-07-19T00:00:00"/>
    <s v="FOX Innovid"/>
    <s v="CPM"/>
    <n v="40"/>
    <n v="875000"/>
    <n v="35000"/>
    <s v="Impressions"/>
    <s v="performance"/>
    <n v="0"/>
    <n v="0"/>
    <s v="performance"/>
    <n v="500159"/>
    <s v="invoice_schedule"/>
    <n v="20006.36"/>
    <n v="20006.36"/>
    <n v="20006.36"/>
    <n v="497497"/>
    <n v="500159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Display - Package"/>
    <n v="8004"/>
    <n v="589562"/>
    <s v="Haleon - Centrum - Run of World Cup Display - Package - 2026"/>
    <d v="2026-06-11T00:00:00"/>
    <d v="2026-07-19T00:00:00"/>
    <s v="FOX DCM"/>
    <s v="CPM"/>
    <n v="6"/>
    <n v="1166667"/>
    <n v="7000"/>
    <s v="Impressions"/>
    <s v="performance"/>
    <n v="0"/>
    <n v="0"/>
    <s v="performance"/>
    <n v="909885"/>
    <s v="invoice_schedule"/>
    <n v="5459.31"/>
    <n v="5459.31"/>
    <n v="5459.31"/>
    <n v="910108"/>
    <n v="909885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Display - Package"/>
    <n v="8004"/>
    <n v="589564"/>
    <s v="Haleon - Pronamel - Run of World Cup Display - Package - 2026"/>
    <d v="2026-06-11T00:00:00"/>
    <d v="2026-07-19T00:00:00"/>
    <s v="FOX DCM"/>
    <s v="CPM"/>
    <n v="6"/>
    <n v="1583334"/>
    <n v="9500"/>
    <s v="Impressions"/>
    <s v="performance"/>
    <n v="0"/>
    <n v="0"/>
    <s v="performance"/>
    <n v="1212889"/>
    <s v="invoice_schedule"/>
    <n v="7277.3339999999998"/>
    <n v="7277.3339999999998"/>
    <n v="7277.3339999999998"/>
    <n v="1213135"/>
    <n v="1212889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Display - Package"/>
    <n v="8004"/>
    <n v="589568"/>
    <s v="Haleon - Sensodyne - Run of World Cup Display - Package - 2026"/>
    <d v="2026-06-11T00:00:00"/>
    <d v="2026-07-19T00:00:00"/>
    <s v="FOX DCM"/>
    <s v="CPM"/>
    <n v="6"/>
    <n v="2583334"/>
    <n v="15500"/>
    <s v="Impressions"/>
    <s v="performance"/>
    <n v="0"/>
    <n v="0"/>
    <s v="performance"/>
    <n v="1642235"/>
    <s v="invoice_schedule"/>
    <n v="9853.41"/>
    <n v="9853.41"/>
    <n v="9853.41"/>
    <n v="1642606"/>
    <n v="1642235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World Cup Display - Package"/>
    <n v="8004"/>
    <n v="589571"/>
    <s v="Haleon - Tums - Run of World Cup Display - Package - 2026"/>
    <d v="2026-06-11T00:00:00"/>
    <d v="2026-07-19T00:00:00"/>
    <s v="FOX DCM"/>
    <s v="CPM"/>
    <n v="6"/>
    <n v="833334"/>
    <n v="5000"/>
    <s v="Impressions"/>
    <s v="performance"/>
    <n v="0"/>
    <n v="0"/>
    <s v="performance"/>
    <n v="660590"/>
    <s v="invoice_schedule"/>
    <n v="3963.54"/>
    <n v="3963.54"/>
    <n v="3963.54"/>
    <n v="660722"/>
    <n v="660590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FOX Sports Video - Package"/>
    <n v="8002"/>
    <n v="589573"/>
    <s v="Haleon - Centrum - Run of FOX Sports Video - Package - 2026"/>
    <d v="2026-06-11T00:00:00"/>
    <d v="2026-07-19T00:00:00"/>
    <s v="FOX Innovid"/>
    <s v="CPM"/>
    <n v="25"/>
    <n v="700000"/>
    <n v="17500"/>
    <s v="CoV Impressions"/>
    <s v="performance"/>
    <n v="0"/>
    <n v="0"/>
    <s v="performance"/>
    <n v="302556"/>
    <s v="invoice_schedule"/>
    <n v="7563.9"/>
    <n v="7563.9"/>
    <n v="7563.9"/>
    <n v="300984"/>
    <n v="302556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FOX Sports Video - Package"/>
    <n v="8002"/>
    <n v="589575"/>
    <s v="Haleon - Pronamel - Run of FOX Sports Video - Package - 2026"/>
    <d v="2026-06-11T00:00:00"/>
    <d v="2026-07-19T00:00:00"/>
    <s v="FOX Innovid"/>
    <s v="CPM"/>
    <n v="25"/>
    <n v="950000"/>
    <n v="23750"/>
    <s v="CoV Impressions"/>
    <s v="performance"/>
    <n v="0"/>
    <n v="0"/>
    <s v="performance"/>
    <n v="407670"/>
    <s v="invoice_schedule"/>
    <n v="10191.75"/>
    <n v="10191.75"/>
    <n v="10191.75"/>
    <n v="405492"/>
    <n v="407670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FOX Sports Video - Package"/>
    <n v="8002"/>
    <n v="589577"/>
    <s v="Haleon - Sensodyne - Run of FOX Sports Video - Package - 2026"/>
    <d v="2026-06-11T00:00:00"/>
    <d v="2026-07-19T00:00:00"/>
    <s v="FOX Innovid"/>
    <s v="CPM"/>
    <n v="25"/>
    <n v="1550000"/>
    <n v="38750"/>
    <s v="CoV Impressions"/>
    <s v="performance"/>
    <n v="0"/>
    <n v="0"/>
    <s v="performance"/>
    <n v="664562"/>
    <s v="invoice_schedule"/>
    <n v="16614.05"/>
    <n v="16614.05"/>
    <n v="16614.05"/>
    <n v="662203"/>
    <n v="664562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FOX Sports Video - Package"/>
    <n v="8002"/>
    <n v="589579"/>
    <s v="Haleon - Tums - Run of FOX Sports Video - Package - 2026"/>
    <d v="2026-06-11T00:00:00"/>
    <d v="2026-07-19T00:00:00"/>
    <s v="FOX Innovid"/>
    <s v="CPM"/>
    <n v="25"/>
    <n v="500000"/>
    <n v="12500"/>
    <s v="CoV Impressions"/>
    <s v="performance"/>
    <n v="0"/>
    <n v="0"/>
    <s v="performance"/>
    <n v="217758"/>
    <s v="invoice_schedule"/>
    <n v="5443.95"/>
    <n v="5443.95"/>
    <n v="5443.95"/>
    <n v="217055"/>
    <n v="217758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AllFOX Video - Package"/>
    <n v="7998"/>
    <n v="589581"/>
    <s v="Haleon - Centrum - Run of AllFOX Video - Package - AAT- 2026"/>
    <d v="2026-06-11T00:00:00"/>
    <d v="2026-07-19T00:00:00"/>
    <s v="FOX Innovid"/>
    <s v="CPM"/>
    <n v="20"/>
    <n v="1365000"/>
    <n v="27300"/>
    <s v="Impressions"/>
    <s v="performance"/>
    <n v="0"/>
    <n v="0"/>
    <s v="performance"/>
    <n v="753238"/>
    <s v="invoice_schedule"/>
    <n v="15064.76"/>
    <n v="15064.76"/>
    <n v="15064.76"/>
    <n v="740465"/>
    <n v="753238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AllFOX Video - Package"/>
    <n v="7998"/>
    <n v="589584"/>
    <s v="Haleon - Pronamel - Run of AllFOX Video - Package -AAT- 2026"/>
    <d v="2026-06-11T00:00:00"/>
    <d v="2026-07-19T00:00:00"/>
    <s v="FOX Innovid"/>
    <s v="CPM"/>
    <n v="20"/>
    <n v="1852500"/>
    <n v="37050"/>
    <s v="Impressions"/>
    <s v="performance"/>
    <n v="0"/>
    <n v="0"/>
    <s v="performance"/>
    <n v="1024821"/>
    <s v="invoice_schedule"/>
    <n v="20496.419999999998"/>
    <n v="20496.419999999998"/>
    <n v="20496.419999999998"/>
    <n v="1015168"/>
    <n v="1024821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AllFOX Video - Package"/>
    <n v="7998"/>
    <n v="589587"/>
    <s v="Haleon - Sensodyne - Run of AllFOX Video - Package -AAT- 2026"/>
    <d v="2026-06-11T00:00:00"/>
    <d v="2026-07-19T00:00:00"/>
    <s v="FOX Innovid"/>
    <s v="CPM"/>
    <n v="20"/>
    <n v="3022500"/>
    <n v="60450"/>
    <s v="Impressions"/>
    <s v="performance"/>
    <n v="0"/>
    <n v="0"/>
    <s v="performance"/>
    <n v="1669773"/>
    <s v="invoice_schedule"/>
    <n v="33395.46"/>
    <n v="33395.46"/>
    <n v="33395.46"/>
    <n v="1665859"/>
    <n v="1669773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Run of AllFOX Video - Package"/>
    <n v="7998"/>
    <n v="589590"/>
    <s v="Haleon - Tums - Run of AllFOX Video - Package -AAT- 2026"/>
    <d v="2026-06-11T00:00:00"/>
    <d v="2026-07-19T00:00:00"/>
    <s v="FOX Innovid"/>
    <s v="CPM"/>
    <n v="20"/>
    <n v="975000"/>
    <n v="19500"/>
    <s v="Impressions"/>
    <s v="performance"/>
    <n v="0"/>
    <n v="0"/>
    <s v="performance"/>
    <n v="539665"/>
    <s v="invoice_schedule"/>
    <n v="10793.3"/>
    <n v="10793.3"/>
    <n v="10793.3"/>
    <n v="525208"/>
    <n v="539665"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World Cup Social Sponsorship Content - Package"/>
    <n v="8000"/>
    <n v="589593"/>
    <s v="Haleon - Centrum - World Cup Social Sponsorship Content - Package - 2026"/>
    <d v="2026-06-11T00:00:00"/>
    <d v="2026-07-19T00:00:00"/>
    <s v="FOX 1st Party"/>
    <s v="SOV-Flat Rate"/>
    <n v="42000"/>
    <n v="3"/>
    <n v="42000"/>
    <s v="n/a"/>
    <s v="prorated"/>
    <n v="2"/>
    <n v="21538.461599999999"/>
    <s v="prorated"/>
    <n v="2"/>
    <s v="invoice_schedule"/>
    <n v="21538.461599999999"/>
    <n v="21538.461599999999"/>
    <n v="21538.461599999999"/>
    <m/>
    <m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World Cup Social Sponsorship Content - Package"/>
    <n v="8000"/>
    <n v="589597"/>
    <s v="Haleon - Pronamel - World Cup Social Sponsorship Content - Package - 2026"/>
    <d v="2026-06-11T00:00:00"/>
    <d v="2026-07-19T00:00:00"/>
    <s v="FOX 1st Party"/>
    <s v="SOV-Flat Rate"/>
    <n v="57000"/>
    <n v="3"/>
    <n v="57000"/>
    <s v="n/a"/>
    <s v="prorated"/>
    <n v="2"/>
    <n v="29230.7693"/>
    <s v="prorated"/>
    <n v="2"/>
    <s v="invoice_schedule"/>
    <n v="29230.7693"/>
    <n v="29230.7693"/>
    <n v="29230.7693"/>
    <m/>
    <m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World Cup Social Sponsorship Content - Package"/>
    <n v="8000"/>
    <n v="589601"/>
    <s v="Haleon - Sensodyne - World Cup Social Sponsorship Content - Package - 2026"/>
    <d v="2026-06-11T00:00:00"/>
    <d v="2026-07-19T00:00:00"/>
    <s v="FOX 1st Party"/>
    <s v="SOV-Flat Rate"/>
    <n v="93000"/>
    <n v="3"/>
    <n v="93000"/>
    <s v="n/a"/>
    <s v="prorated"/>
    <n v="2"/>
    <n v="47692.307699999998"/>
    <s v="prorated"/>
    <n v="2"/>
    <s v="invoice_schedule"/>
    <n v="47692.307699999998"/>
    <n v="47692.307699999998"/>
    <n v="47692.307699999998"/>
    <m/>
    <m/>
    <d v="2026-06-11T00:00:00"/>
    <d v="2026-07-19T00:00:00"/>
    <s v="Megan Sileo"/>
    <s v="None"/>
    <s v="JUN'26"/>
    <n v="1020000.01"/>
    <n v="128642"/>
    <s v="Tom Cecil"/>
  </r>
  <r>
    <s v="AGC002239"/>
    <s v="HALEON"/>
    <s v="ADV012399"/>
    <s v="Haleon/2026 MWC/Digital/Scatter"/>
    <x v="204"/>
    <s v="World Cup Social Sponsorship Content - Package"/>
    <n v="8000"/>
    <n v="589605"/>
    <s v="Haleon - Tums - World Cup Social Sponsorship Content - Package - 2026"/>
    <d v="2026-06-11T00:00:00"/>
    <d v="2026-07-19T00:00:00"/>
    <s v="FOX 1st Party"/>
    <s v="SOV-Flat Rate"/>
    <n v="30000"/>
    <n v="3"/>
    <n v="30000"/>
    <s v="n/a"/>
    <s v="prorated"/>
    <n v="2"/>
    <n v="15384.615400000001"/>
    <s v="prorated"/>
    <n v="2"/>
    <s v="invoice_schedule"/>
    <n v="15384.615400000001"/>
    <n v="15384.615400000001"/>
    <n v="15384.615400000001"/>
    <m/>
    <m/>
    <d v="2026-06-11T00:00:00"/>
    <d v="2026-07-19T00:00:00"/>
    <s v="Megan Sileo"/>
    <s v="None"/>
    <s v="JUN'26"/>
    <n v="1020000.01"/>
    <n v="128642"/>
    <s v="Tom Cecil"/>
  </r>
  <r>
    <s v="AGC001913"/>
    <s v="T-MOBILE"/>
    <s v="ADV003368"/>
    <s v="T-Mobile/2026/Scatter/Digital/MWC/2Q'26"/>
    <x v="205"/>
    <s v="Run of World Cup Video - Package"/>
    <n v="8005"/>
    <n v="582543"/>
    <s v="T-MOBILE/S/SPORTS/25-26/MWC/Run of WC Video/2Q'26/PrePaid"/>
    <d v="2026-06-01T00:00:00"/>
    <d v="2026-06-30T00:00:00"/>
    <s v="FOX DCM"/>
    <s v="CPM"/>
    <n v="30"/>
    <n v="3750000"/>
    <n v="112500"/>
    <s v="Impressions"/>
    <s v="performance"/>
    <n v="0"/>
    <n v="0"/>
    <s v="performance"/>
    <n v="3750000"/>
    <s v="invoice_schedule"/>
    <n v="112500"/>
    <n v="112500"/>
    <n v="112500"/>
    <n v="3832520"/>
    <n v="3823883"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World Cup Social Sponsorship Content - Package"/>
    <n v="8000"/>
    <n v="582735"/>
    <s v="T-MOBILE/S/SPORTS/25-26/MWC/SOCIAL/2Q'26/PostPaid"/>
    <d v="2026-06-01T00:00:00"/>
    <d v="2026-06-30T00:00:00"/>
    <s v="FOX 1st Party"/>
    <s v="SOV-Flat Rate"/>
    <n v="450000"/>
    <n v="3"/>
    <n v="450000"/>
    <s v="n/a"/>
    <s v="prorated"/>
    <n v="3"/>
    <n v="450000"/>
    <s v="prorated"/>
    <n v="3"/>
    <s v="invoice_schedule"/>
    <n v="450000"/>
    <n v="450000"/>
    <n v="450000"/>
    <m/>
    <m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World Cup Social Sponsorship Content - Package"/>
    <n v="8000"/>
    <n v="582741"/>
    <s v="T-MOBILE/S/SPORTS/25-26/MWC ON X/2Q'26/PostPaid"/>
    <d v="2026-06-01T00:00:00"/>
    <d v="2026-06-30T00:00:00"/>
    <s v="FOX 1st Party"/>
    <s v="SOV-Flat Rate"/>
    <n v="425000"/>
    <n v="1"/>
    <n v="425000"/>
    <s v="n/a"/>
    <s v="prorated"/>
    <n v="1"/>
    <n v="425000"/>
    <s v="prorated"/>
    <n v="1"/>
    <s v="invoice_schedule"/>
    <n v="425000"/>
    <n v="425000"/>
    <n v="425000"/>
    <m/>
    <m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Run of World Cup Video - Package"/>
    <n v="8005"/>
    <n v="582751"/>
    <s v="T-MOBILE/S/SPORTS/25-26/MWC/YOUTUBE/2Q'26/PrePaid"/>
    <d v="2026-06-01T00:00:00"/>
    <d v="2026-06-30T00:00:00"/>
    <s v="FOX DCM"/>
    <s v="CPM"/>
    <n v="28"/>
    <n v="1339286"/>
    <n v="37500.01"/>
    <s v="Impressions"/>
    <s v="performance"/>
    <n v="0"/>
    <n v="0"/>
    <s v="performance"/>
    <n v="1339286"/>
    <s v="invoice_schedule"/>
    <n v="37500.01"/>
    <n v="37500.01"/>
    <n v="37500.01"/>
    <n v="1348134"/>
    <n v="1344905"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Run of World Cup Video - Package"/>
    <n v="8005"/>
    <n v="587736"/>
    <s v="T-MOBILE/S/SPORTS/25-26/MWC/Run of WC Video/2Q'26/PostPaid"/>
    <d v="2026-06-01T00:00:00"/>
    <d v="2026-06-30T00:00:00"/>
    <s v="FOX DCM"/>
    <s v="CPM"/>
    <n v="30"/>
    <n v="6000000"/>
    <n v="180000"/>
    <s v="Impressions"/>
    <s v="performance"/>
    <n v="0"/>
    <n v="0"/>
    <s v="performance"/>
    <n v="6000000"/>
    <s v="invoice_schedule"/>
    <n v="180000"/>
    <n v="180000"/>
    <n v="180000"/>
    <n v="6130799"/>
    <n v="6113783"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Run of World Cup Video - Package"/>
    <n v="8005"/>
    <n v="587739"/>
    <s v="T-MOBILE/S/SPORTS/25-26/MWC/Run of WC Video/2Q'26/Broadband"/>
    <d v="2026-06-01T00:00:00"/>
    <d v="2026-06-30T00:00:00"/>
    <s v="FOX DCM"/>
    <s v="CPM"/>
    <n v="30"/>
    <n v="5250000"/>
    <n v="157500"/>
    <s v="Impressions"/>
    <s v="performance"/>
    <n v="0"/>
    <n v="0"/>
    <s v="performance"/>
    <n v="5250000"/>
    <s v="invoice_schedule"/>
    <n v="157500"/>
    <n v="157500"/>
    <n v="157500"/>
    <n v="5365342"/>
    <n v="5349751"/>
    <d v="2026-06-01T00:00:00"/>
    <d v="2026-06-30T00:00:00"/>
    <s v="John Hertman"/>
    <s v="None"/>
    <s v="JUN'26"/>
    <n v="1400000.02"/>
    <n v="128160"/>
    <s v="Colleen Cahill"/>
  </r>
  <r>
    <s v="AGC001913"/>
    <s v="T-MOBILE"/>
    <s v="ADV003368"/>
    <s v="T-Mobile/2026/Scatter/Digital/MWC/2Q'26"/>
    <x v="205"/>
    <s v="Run of World Cup Video - Package"/>
    <n v="8005"/>
    <n v="587885"/>
    <s v="T-MOBILE/S/SPORTS/25-26/MWC/YOUTUBE/2Q'26/Broadband"/>
    <d v="2026-06-01T00:00:00"/>
    <d v="2026-06-30T00:00:00"/>
    <s v="FOX DCM"/>
    <s v="CPM"/>
    <n v="28"/>
    <n v="1339286"/>
    <n v="37500.01"/>
    <s v="Impressions"/>
    <s v="performance"/>
    <n v="0"/>
    <n v="0"/>
    <s v="performance"/>
    <n v="1339286"/>
    <s v="invoice_schedule"/>
    <n v="37500.01"/>
    <n v="37500.01"/>
    <n v="37500.01"/>
    <n v="1348316"/>
    <n v="1345733"/>
    <d v="2026-06-01T00:00:00"/>
    <d v="2026-06-30T00:00:00"/>
    <s v="John Hertman"/>
    <s v="None"/>
    <s v="JUN'26"/>
    <n v="1400000.02"/>
    <n v="128160"/>
    <s v="Colleen Cahill"/>
  </r>
  <r>
    <s v="AGC002070"/>
    <s v="MARRIOTT"/>
    <s v="ADV005952"/>
    <s v="MARRIOTT/DIGITAL/SCATTER/SPORTS/MWC"/>
    <x v="206"/>
    <s v="Run of World Cup Video - Package"/>
    <n v="8005"/>
    <n v="581420"/>
    <s v="Marriott - Run of World Cup Video - OMP - 2026 MWC Package"/>
    <d v="2026-06-01T00:00:00"/>
    <d v="2026-07-19T00:00:00"/>
    <s v="FOX Extreme Reach"/>
    <s v="CPM"/>
    <n v="40"/>
    <n v="12500000"/>
    <n v="500000"/>
    <s v="Impressions"/>
    <s v="performance"/>
    <n v="0"/>
    <n v="0"/>
    <s v="performance"/>
    <n v="8000921"/>
    <s v="invoice_schedule"/>
    <n v="320036.84000000003"/>
    <n v="320036.84000000003"/>
    <n v="320036.84000000003"/>
    <n v="8315849"/>
    <n v="8000921"/>
    <d v="2026-06-01T00:00:00"/>
    <d v="2026-07-19T00:00:00"/>
    <s v="Matthew Vellardito"/>
    <s v="None"/>
    <s v="JUN'26"/>
    <n v="500000"/>
    <n v="128767"/>
    <s v="Janna Goldstein"/>
  </r>
  <r>
    <s v="AGC001386"/>
    <s v="BRISTOL MYERS SQUIBB"/>
    <s v="ADV003845"/>
    <s v="BMS/25-26/Upfront/Digital/ENT/COBENFY"/>
    <x v="207"/>
    <s v="DIO - LFV - Entertainment ROS - Package"/>
    <n v="2789"/>
    <n v="556624"/>
    <s v="BMS/UF/RON/25-26/AAT/2Q'26/COBENFY"/>
    <d v="2026-04-01T00:00:00"/>
    <d v="2026-06-30T00:00:00"/>
    <s v="FOX Flashtalking"/>
    <s v="CPM"/>
    <n v="42.4"/>
    <n v="1415095"/>
    <n v="60000.03"/>
    <s v="Impressions"/>
    <s v="performance"/>
    <n v="0"/>
    <n v="0"/>
    <s v="performance"/>
    <n v="0"/>
    <s v="invoice_schedule"/>
    <n v="0"/>
    <n v="0"/>
    <n v="0"/>
    <m/>
    <m/>
    <d v="2026-04-01T00:00:00"/>
    <d v="2026-06-30T00:00:00"/>
    <s v="John Hertman"/>
    <s v="None"/>
    <s v="JUN'26"/>
    <n v="180000.09"/>
    <n v="108718"/>
    <s v="Jeanne Feeley"/>
  </r>
  <r>
    <s v="AGC002164"/>
    <s v="VERIZON"/>
    <s v="ADV006048"/>
    <s v="Verizon/2026 MWC/Digital/Scatter/VBG/Display"/>
    <x v="208"/>
    <s v="World Cup FOX Sports Site &amp; App Takeover - Package"/>
    <n v="8003"/>
    <n v="582197"/>
    <s v="Verizon - OMP - World Cup FOX Sports Site &amp; App Takeover - Package - 6/19"/>
    <d v="2026-06-19T00:00:00"/>
    <d v="2026-06-19T00:00:00"/>
    <s v="FOX Innovid"/>
    <s v="Cost Per Day"/>
    <n v="133333.32999999999"/>
    <n v="6"/>
    <n v="800000"/>
    <s v="Days"/>
    <s v="prorated"/>
    <n v="6"/>
    <n v="800000"/>
    <s v="prorated"/>
    <n v="6"/>
    <s v="invoice_schedule"/>
    <n v="800000"/>
    <n v="800000"/>
    <n v="800000"/>
    <n v="0"/>
    <n v="0"/>
    <d v="2026-06-19T00:00:00"/>
    <d v="2026-06-19T00:00:00"/>
    <s v="Megan Sileo"/>
    <s v="None"/>
    <s v="JUN'26"/>
    <n v="800000"/>
    <n v="130400"/>
    <s v="Tom Cecil"/>
  </r>
  <r>
    <s v="AGC001804"/>
    <s v="ROCKET MORTGAGE"/>
    <s v="ADV002317"/>
    <s v="Rocket/MWC26/2Q3Q/Digital"/>
    <x v="209"/>
    <s v="Run of FOX Sports Video - Package"/>
    <n v="8002"/>
    <n v="582484"/>
    <s v="Rocket - Run of FOX Sports Video - Package"/>
    <d v="2026-06-01T00:00:00"/>
    <d v="2026-09-27T00:00:00"/>
    <s v="FOX DCM"/>
    <s v="CPM"/>
    <n v="25"/>
    <n v="4092600"/>
    <n v="102315"/>
    <s v="CoV Impressions"/>
    <s v="performance"/>
    <n v="0"/>
    <n v="0"/>
    <s v="performance"/>
    <n v="902465"/>
    <s v="invoice_schedule"/>
    <n v="22561.625"/>
    <n v="22561.625"/>
    <n v="22561.625"/>
    <n v="912754"/>
    <n v="902465"/>
    <d v="2026-06-01T00:00:00"/>
    <d v="2026-09-27T00:00:00"/>
    <s v="Marcela Miranda"/>
    <s v="None"/>
    <s v="JUN'26"/>
    <n v="1039572.18"/>
    <n v="127887"/>
    <s v="Kimberly Caraig"/>
  </r>
  <r>
    <s v="AGC001804"/>
    <s v="ROCKET MORTGAGE"/>
    <s v="ADV002317"/>
    <s v="Rocket/MWC26/2Q3Q/Digital"/>
    <x v="209"/>
    <s v="Run of World Cup Video - Package"/>
    <n v="8005"/>
    <n v="582486"/>
    <s v="Rocket - Run of World Cup Video - Package"/>
    <d v="2026-06-01T00:00:00"/>
    <d v="2026-07-19T00:00:00"/>
    <s v="FOX DCM"/>
    <s v="CPM"/>
    <n v="40"/>
    <n v="4720845"/>
    <n v="188833.8"/>
    <s v="Impressions"/>
    <s v="performance"/>
    <n v="0"/>
    <n v="0"/>
    <s v="performance"/>
    <n v="3161356"/>
    <s v="invoice_schedule"/>
    <n v="126454.24"/>
    <n v="126454.24"/>
    <n v="126454.24"/>
    <n v="3158959"/>
    <n v="3161356"/>
    <d v="2026-06-01T00:00:00"/>
    <d v="2026-07-19T00:00:00"/>
    <s v="Marcela Miranda"/>
    <s v="None"/>
    <s v="JUN'26"/>
    <n v="1039572.18"/>
    <n v="127887"/>
    <s v="Kimberly Caraig"/>
  </r>
  <r>
    <s v="AGC001804"/>
    <s v="ROCKET MORTGAGE"/>
    <s v="ADV002317"/>
    <s v="Rocket/MWC26/2Q3Q/Digital"/>
    <x v="209"/>
    <s v="Run of AllFOX Video - Package"/>
    <n v="7998"/>
    <n v="585346"/>
    <s v="Rocket - Run of AllFOX Video - Package (Targeting 'Soccer Fan') AAT"/>
    <d v="2026-06-01T00:00:00"/>
    <d v="2026-09-27T00:00:00"/>
    <s v="FOX DCM"/>
    <s v="CPM"/>
    <n v="20"/>
    <n v="37421169"/>
    <n v="748423.38"/>
    <s v="Impressions"/>
    <s v="performance"/>
    <n v="0"/>
    <n v="0"/>
    <s v="performance"/>
    <n v="10872412"/>
    <s v="invoice_schedule"/>
    <n v="217448.24"/>
    <n v="217448.24"/>
    <n v="217448.24"/>
    <n v="10906541"/>
    <n v="10872412"/>
    <d v="2026-06-01T00:00:00"/>
    <d v="2026-09-27T00:00:00"/>
    <s v="Marcela Miranda"/>
    <s v="None"/>
    <s v="JUN'26"/>
    <n v="1039572.18"/>
    <n v="127887"/>
    <s v="Kimberly Caraig"/>
  </r>
  <r>
    <s v="AGC005026"/>
    <s v="DURACELL"/>
    <s v="ADV006674"/>
    <s v="Duracell/2026/Scatter/Digital/MWC"/>
    <x v="210"/>
    <s v="Run of World Cup Video - Package"/>
    <n v="8005"/>
    <n v="582615"/>
    <s v="Duracell_Run of World Cup Video"/>
    <d v="2026-05-01T00:00:00"/>
    <d v="2026-07-19T00:00:00"/>
    <s v="FOX DCM"/>
    <s v="CPM"/>
    <n v="36"/>
    <n v="6573473"/>
    <n v="236645.03"/>
    <s v="Impressions"/>
    <s v="performance"/>
    <n v="0"/>
    <n v="0"/>
    <s v="performance"/>
    <n v="3559422"/>
    <s v="invoice_schedule"/>
    <n v="128139.192"/>
    <n v="128139.192"/>
    <n v="128139.192"/>
    <n v="3707575"/>
    <n v="3559422"/>
    <d v="2026-05-01T00:00:00"/>
    <d v="2026-07-19T00:00:00"/>
    <s v="Kelsey Brahms"/>
    <s v="None"/>
    <s v="JUN'26"/>
    <n v="498289.03"/>
    <n v="127274"/>
    <s v="Colleen Cahill"/>
  </r>
  <r>
    <s v="AGC005026"/>
    <s v="DURACELL"/>
    <s v="ADV006674"/>
    <s v="Duracell/2026/Scatter/Digital/MWC"/>
    <x v="210"/>
    <s v="Run of World Cup Display - Package"/>
    <n v="8004"/>
    <n v="582616"/>
    <s v="Duracell_Run of World Cup Display"/>
    <d v="2026-06-01T00:00:00"/>
    <d v="2026-07-19T00:00:00"/>
    <s v="FOX DCM"/>
    <s v="CPM"/>
    <n v="6"/>
    <n v="22774000"/>
    <n v="136644"/>
    <s v="Impressions"/>
    <s v="performance"/>
    <n v="0"/>
    <n v="0"/>
    <s v="performance"/>
    <n v="11393764"/>
    <s v="invoice_schedule"/>
    <n v="68362.584000000003"/>
    <n v="68362.584000000003"/>
    <n v="68362.584000000003"/>
    <n v="11364981"/>
    <n v="11393764"/>
    <d v="2026-06-01T00:00:00"/>
    <d v="2026-07-19T00:00:00"/>
    <s v="Kelsey Brahms"/>
    <s v="None"/>
    <s v="JUN'26"/>
    <n v="498289.03"/>
    <n v="127274"/>
    <s v="Colleen Cahill"/>
  </r>
  <r>
    <s v="AGC005026"/>
    <s v="DURACELL"/>
    <s v="ADV006674"/>
    <s v="Duracell/2026/Scatter/Digital/MWC"/>
    <x v="210"/>
    <s v="World Cup Social Sponsorship Content - Package"/>
    <n v="8000"/>
    <n v="582620"/>
    <s v="Duracell_World Cup Social Sponsorship Content"/>
    <d v="2026-06-01T00:00:00"/>
    <d v="2026-07-19T00:00:00"/>
    <s v="FOX 1st Party"/>
    <s v="SOV-Flat Rate"/>
    <n v="125000"/>
    <n v="3"/>
    <n v="125000"/>
    <s v="n/a"/>
    <s v="prorated"/>
    <n v="2"/>
    <n v="76530.612299999993"/>
    <s v="prorated"/>
    <n v="2"/>
    <s v="invoice_schedule"/>
    <n v="76530.612299999993"/>
    <n v="76530.612299999993"/>
    <n v="76530.612299999993"/>
    <m/>
    <m/>
    <d v="2026-06-01T00:00:00"/>
    <d v="2026-07-19T00:00:00"/>
    <s v="Kelsey Brahms"/>
    <s v="None"/>
    <s v="JUN'26"/>
    <n v="498289.03"/>
    <n v="127274"/>
    <s v="Colleen Cahill"/>
  </r>
  <r>
    <s v="AGC000639"/>
    <s v="5 HOUR ENERGY"/>
    <s v="ADV003715"/>
    <s v="5HR/Digital/Streaming/ENT/Scatter 2Q'26"/>
    <x v="211"/>
    <s v="DIO - LFV - Entertainment ROS - Package"/>
    <n v="2789"/>
    <n v="588773"/>
    <s v="5 Hour DIO - LFV - Entertainment ROS - Package - 2Q'26 A25-54 AAT"/>
    <d v="2026-05-14T00:00:00"/>
    <d v="2026-06-30T00:00:00"/>
    <m/>
    <s v="CPM"/>
    <n v="23"/>
    <n v="4347826"/>
    <n v="100000"/>
    <s v="Impressions"/>
    <s v="performance"/>
    <n v="0"/>
    <n v="0"/>
    <s v="performance"/>
    <n v="1801163"/>
    <s v="invoice_schedule"/>
    <n v="41426.75"/>
    <n v="41426.75"/>
    <n v="41426.75"/>
    <n v="1905506"/>
    <n v="1806273"/>
    <d v="2026-05-14T00:00:00"/>
    <d v="2026-06-30T00:00:00"/>
    <s v="Grace Stryker"/>
    <s v="None"/>
    <s v="JUN'26"/>
    <n v="100000"/>
    <n v="128332"/>
    <s v="Brittany O'Brien"/>
  </r>
  <r>
    <s v="AGC001810"/>
    <s v="VERIZON"/>
    <s v="ADV006048"/>
    <s v="Verizon/Dig/UF/25.26/Sports/2Q26/MG"/>
    <x v="212"/>
    <s v="DIO - ROV - FS - Pre/Mid - ROS - DT/MB/CTV - Package"/>
    <n v="7968"/>
    <n v="569527"/>
    <s v="Verizon - DIO - ROV - FS - Pre/Mid - ROS - DT/MB/CTV - Package - 2Q'26 MG"/>
    <d v="2026-04-01T00:00:00"/>
    <d v="2026-06-30T00:00:00"/>
    <s v="FOX Innovid"/>
    <s v="CPM"/>
    <n v="23"/>
    <n v="4713882"/>
    <n v="0"/>
    <s v="Impressions"/>
    <s v="performance"/>
    <n v="0"/>
    <n v="0"/>
    <s v="performance"/>
    <n v="1719768"/>
    <s v="invoice_schedule"/>
    <n v="0"/>
    <n v="0"/>
    <n v="0"/>
    <n v="1701182"/>
    <n v="1719768"/>
    <d v="2026-04-01T00:00:00"/>
    <d v="2026-06-30T00:00:00"/>
    <s v="Megan Sileo"/>
    <s v="None"/>
    <s v="JUN'26"/>
    <n v="0"/>
    <n v="123956"/>
    <s v="Tom Cecil"/>
  </r>
  <r>
    <s v="AGC001810"/>
    <s v="ELI LILLY"/>
    <s v="ADV002224"/>
    <s v="Eli Lilly/Dig/UF/25.26/Sports/Zepbound CWM/2Q'26"/>
    <x v="213"/>
    <s v="Run of AllFOX Sports Bundle Package"/>
    <n v="8038"/>
    <n v="591505"/>
    <s v="Eli Lilly - Zepbound CWM :60s Run of AllFOX Sports Bundle Package - 2Q'26"/>
    <d v="2026-05-29T00:00:00"/>
    <d v="2026-06-30T00:00:00"/>
    <s v="FOX Innovid"/>
    <s v="CPM"/>
    <n v="23.97"/>
    <n v="438909"/>
    <n v="10520.65"/>
    <s v="Impressions"/>
    <s v="performance"/>
    <n v="0"/>
    <n v="0"/>
    <s v="performance"/>
    <n v="390690"/>
    <s v="invoice_schedule"/>
    <n v="9364.84"/>
    <n v="9364.84"/>
    <n v="9364.84"/>
    <n v="403591"/>
    <n v="401791"/>
    <d v="2026-05-29T00:00:00"/>
    <d v="2026-06-30T00:00:00"/>
    <s v="Megan Sileo"/>
    <s v="None"/>
    <s v="JUN'26"/>
    <n v="25880.02"/>
    <n v="129712"/>
    <s v="Tom Cecil"/>
  </r>
  <r>
    <s v="AGC001810"/>
    <s v="ELI LILLY"/>
    <s v="ADV002224"/>
    <s v="Eli Lilly/Dig/UF/25.26/Sports/Zepbound CWM/2Q'26"/>
    <x v="213"/>
    <s v="Run of AllFOX Sports Bundle Package"/>
    <n v="8038"/>
    <n v="591610"/>
    <s v="Eli Lilly - Zepbound CWM :75s Run of AllFOX Sports Bundle Package - 2Q'26"/>
    <d v="2026-05-29T00:00:00"/>
    <d v="2026-06-30T00:00:00"/>
    <s v="FOX Innovid"/>
    <s v="CPM"/>
    <n v="23.97"/>
    <n v="513103"/>
    <n v="12299.08"/>
    <s v="Impressions"/>
    <s v="performance"/>
    <n v="0"/>
    <n v="0"/>
    <s v="performance"/>
    <n v="457112"/>
    <s v="invoice_schedule"/>
    <n v="10956.98"/>
    <n v="10956.98"/>
    <n v="10956.98"/>
    <n v="471812"/>
    <n v="469419"/>
    <d v="2026-05-29T00:00:00"/>
    <d v="2026-06-30T00:00:00"/>
    <s v="Megan Sileo"/>
    <s v="None"/>
    <s v="JUN'26"/>
    <n v="25880.02"/>
    <n v="129712"/>
    <s v="Tom Cecil"/>
  </r>
  <r>
    <s v="AGC000898"/>
    <s v="FOCUS FEATURES"/>
    <s v="ADV003073"/>
    <s v="FocusFeatures/Digital/25-26/SCT"/>
    <x v="214"/>
    <s v="DIO - ROV - FS - Pre/Mid - ROS - DT/MB/CTV - Package"/>
    <n v="7968"/>
    <n v="592162"/>
    <s v="FocusFeatures/Digital/Sports/Scatter/2Q'26/Pressure - EXTENDED"/>
    <d v="2026-06-03T00:00:00"/>
    <d v="2026-06-07T00:00:00"/>
    <s v="FOX DCM"/>
    <s v="CPM"/>
    <n v="25"/>
    <n v="111809"/>
    <n v="2795.23"/>
    <s v="Impressions"/>
    <s v="performance"/>
    <n v="0"/>
    <n v="0"/>
    <s v="performance"/>
    <n v="111523"/>
    <s v="invoice_schedule"/>
    <n v="2788.0749999999998"/>
    <n v="2788.0749999999998"/>
    <n v="2788.0749999999998"/>
    <n v="114384"/>
    <n v="111523"/>
    <d v="2026-06-03T00:00:00"/>
    <d v="2026-06-07T00:00:00"/>
    <s v="Mia Bonvissuto"/>
    <s v="None"/>
    <s v="JUN'26"/>
    <n v="71000.160000000003"/>
    <n v="130141"/>
    <s v="Nicole Joscelyn"/>
  </r>
  <r>
    <s v="AGC003068"/>
    <s v="UNILEVER"/>
    <s v="ADV000661"/>
    <s v="Unilever/MWC Digital/2026 - Dove SCL Bar"/>
    <x v="215"/>
    <s v="Run of World Cup Video - Package"/>
    <n v="8005"/>
    <n v="581180"/>
    <s v="OMP - Unilever - Dove SCL Bar - Run of World Cup Video - Package"/>
    <d v="2026-06-11T00:00:00"/>
    <d v="2026-07-19T00:00:00"/>
    <s v="FOX Flashtalking"/>
    <s v="CPM"/>
    <n v="40"/>
    <n v="4555950"/>
    <n v="182238"/>
    <s v="Impressions"/>
    <s v="prorated"/>
    <n v="2336385"/>
    <n v="93455.384699999995"/>
    <s v="prorated"/>
    <n v="2336385"/>
    <s v="invoice_schedule"/>
    <n v="93455.384699999995"/>
    <n v="93455.384699999995"/>
    <n v="93455.384699999995"/>
    <n v="3042417"/>
    <n v="3049013"/>
    <d v="2026-06-11T00:00:00"/>
    <d v="2026-07-19T00:00:00"/>
    <s v="Mia Bonvissuto"/>
    <s v="None"/>
    <s v="JUN'26"/>
    <n v="182238"/>
    <n v="126809"/>
    <s v="Leslie Lowenthal"/>
  </r>
  <r>
    <s v="AGC001336"/>
    <s v="OURARING"/>
    <s v="ADV011233"/>
    <s v="Oura Ring/Digital/Scatter/Sports/MWC/2Q-3Q26"/>
    <x v="216"/>
    <s v="Run of World Cup Video - Package"/>
    <n v="8005"/>
    <n v="582766"/>
    <s v="Oura Ring- Run of World Cup Video - Package"/>
    <d v="2026-06-01T00:00:00"/>
    <d v="2026-07-19T00:00:00"/>
    <s v="FOX DCM"/>
    <s v="CPM"/>
    <n v="42"/>
    <n v="5952382"/>
    <n v="250000.04"/>
    <s v="Impressions"/>
    <s v="performance"/>
    <n v="0"/>
    <n v="0"/>
    <s v="performance"/>
    <n v="4076614"/>
    <s v="invoice_schedule"/>
    <n v="171217.788"/>
    <n v="171217.788"/>
    <n v="171217.788"/>
    <n v="4070377"/>
    <n v="4076614"/>
    <d v="2026-06-01T00:00:00"/>
    <d v="2026-07-19T00:00:00"/>
    <s v="Marcela Miranda"/>
    <s v="None"/>
    <s v="JUN'26"/>
    <n v="900001.04"/>
    <n v="129171"/>
    <s v="Kimberly Caraig"/>
  </r>
  <r>
    <s v="AGC001336"/>
    <s v="OURARING"/>
    <s v="ADV011233"/>
    <s v="Oura Ring/Digital/Scatter/Sports/MWC/2Q-3Q26"/>
    <x v="216"/>
    <s v="World Cup FOX Sports Site &amp; App Takeover - Package"/>
    <n v="8003"/>
    <n v="582987"/>
    <s v="OMP- Oura Ring- World Cup FOX Sports Site &amp; App Takeover - Package (6/17)"/>
    <d v="2026-06-17T00:00:00"/>
    <d v="2026-06-17T00:00:00"/>
    <s v="FOX DCM"/>
    <s v="Cost Per Day"/>
    <n v="41666.67"/>
    <n v="6"/>
    <n v="250000"/>
    <s v="Days"/>
    <s v="prorated"/>
    <n v="6"/>
    <n v="250000"/>
    <s v="prorated"/>
    <n v="6"/>
    <s v="invoice_schedule"/>
    <n v="250000"/>
    <n v="250000"/>
    <n v="250000"/>
    <n v="0"/>
    <n v="0"/>
    <d v="2026-06-17T00:00:00"/>
    <d v="2026-06-17T00:00:00"/>
    <s v="Marcela Miranda"/>
    <s v="None"/>
    <s v="JUN'26"/>
    <n v="900001.04"/>
    <n v="129171"/>
    <s v="Kimberly Caraig"/>
  </r>
  <r>
    <s v="AGC001336"/>
    <s v="OURARING"/>
    <s v="ADV011233"/>
    <s v="Oura Ring/Digital/Scatter/Sports/MWC/2Q-3Q26"/>
    <x v="216"/>
    <s v="Run of AllFOX Video - Package"/>
    <n v="7998"/>
    <n v="583005"/>
    <s v="Oura Ring- Run of AllFOX Video - Package  - &quot;Soccer fan and A25-54 and Health &amp; Fitness Enthusiasts&quot; Audience Targeted"/>
    <d v="2026-06-01T00:00:00"/>
    <d v="2026-07-26T00:00:00"/>
    <s v="FOX DCM"/>
    <s v="CPM"/>
    <n v="20"/>
    <n v="10000000"/>
    <n v="200000"/>
    <s v="Impressions"/>
    <s v="performance"/>
    <n v="0"/>
    <n v="0"/>
    <s v="performance"/>
    <n v="5711617"/>
    <s v="invoice_schedule"/>
    <n v="114232.34"/>
    <n v="114232.34"/>
    <n v="114232.34"/>
    <n v="6068800"/>
    <n v="5711617"/>
    <d v="2026-06-01T00:00:00"/>
    <d v="2026-07-26T00:00:00"/>
    <s v="Marcela Miranda"/>
    <s v="None"/>
    <s v="JUN'26"/>
    <n v="900001.04"/>
    <n v="129171"/>
    <s v="Kimberly Caraig"/>
  </r>
  <r>
    <s v="AGC001336"/>
    <s v="OURARING"/>
    <s v="ADV011233"/>
    <s v="Oura Ring/Digital/Scatter/Sports/MWC/2Q-3Q26"/>
    <x v="216"/>
    <s v="World Cup Social Sponsorship Content - Package"/>
    <n v="8000"/>
    <n v="583008"/>
    <s v="Oura Ring- World Cup Social Sponsorship Content - Package"/>
    <d v="2026-06-01T00:00:00"/>
    <d v="2026-07-19T00:00:00"/>
    <s v="FOX 1st Party"/>
    <s v="SOV-Flat Rate"/>
    <n v="200001"/>
    <n v="0"/>
    <n v="200001"/>
    <s v="n/a"/>
    <s v="prorated"/>
    <n v="0"/>
    <n v="122449.5919"/>
    <s v="prorated"/>
    <n v="0"/>
    <s v="invoice_schedule"/>
    <n v="122449.5919"/>
    <n v="122449.5919"/>
    <n v="122449.5919"/>
    <m/>
    <m/>
    <d v="2026-06-01T00:00:00"/>
    <d v="2026-07-19T00:00:00"/>
    <s v="Marcela Miranda"/>
    <s v="None"/>
    <s v="JUN'26"/>
    <n v="900001.04"/>
    <n v="129171"/>
    <s v="Kimberly Caraig"/>
  </r>
  <r>
    <s v="AGC001336"/>
    <s v="OURARING"/>
    <s v="ADV011233"/>
    <s v="Oura Ring/Digital/Scatter/Sports/MWC/2Q-3Q26"/>
    <x v="216"/>
    <s v="Run of World Cup Video - Package"/>
    <n v="8005"/>
    <n v="596080"/>
    <s v="Oura Ring- Run of World Cup Video - Package (Makegood)"/>
    <d v="2026-06-23T00:00:00"/>
    <d v="2026-07-19T00:00:00"/>
    <s v="FOX DCM"/>
    <s v="CPM"/>
    <n v="0"/>
    <n v="687143"/>
    <n v="0"/>
    <s v="Impressions"/>
    <s v="performance"/>
    <n v="0"/>
    <n v="0"/>
    <s v="performance"/>
    <n v="217900"/>
    <s v="invoice_schedule"/>
    <n v="0"/>
    <n v="0"/>
    <n v="0"/>
    <n v="218587"/>
    <n v="217900"/>
    <d v="2026-06-23T00:00:00"/>
    <d v="2026-07-19T00:00:00"/>
    <s v="Marcela Miranda"/>
    <s v="None"/>
    <s v="JUN'26"/>
    <n v="900001.04"/>
    <n v="129171"/>
    <s v="Kimberly Caraig"/>
  </r>
  <r>
    <s v="AGC004925"/>
    <s v="EDWARDS LIFESCIENCES"/>
    <s v="ADV014977"/>
    <s v="Edwards Lifesciences/2026/Digital/Scatter/ROS"/>
    <x v="217"/>
    <s v="DIO - ROV - FS - Pre/Mid - ROS - DT/MB/CTV - Package"/>
    <n v="7968"/>
    <n v="583709"/>
    <s v="Edwards Lifesciences - DIO - ROV - FS - Pre/Mid - ROS - DT/MB/CTV - Package"/>
    <d v="2026-04-20T00:00:00"/>
    <d v="2026-08-31T00:00:00"/>
    <m/>
    <s v="CPM"/>
    <n v="25"/>
    <n v="7200000"/>
    <n v="180000"/>
    <s v="CoV Impressions"/>
    <s v="performance"/>
    <n v="0"/>
    <n v="0"/>
    <s v="performance"/>
    <n v="1000677"/>
    <s v="invoice_schedule"/>
    <n v="25016.924999999999"/>
    <n v="25016.924999999999"/>
    <n v="25016.924999999999"/>
    <n v="1008284"/>
    <n v="1000677"/>
    <d v="2026-04-20T00:00:00"/>
    <d v="2026-08-31T00:00:00"/>
    <s v="John Michael Bogusz"/>
    <s v="None"/>
    <s v="JUN'26"/>
    <n v="490000.04"/>
    <n v="126124"/>
    <s v="Meghan Courtney"/>
  </r>
  <r>
    <s v="AGC004925"/>
    <s v="EDWARDS LIFESCIENCES"/>
    <s v="ADV014977"/>
    <s v="Edwards Lifesciences/2026/Digital/Scatter/ROS"/>
    <x v="217"/>
    <s v="DIO - DIS - FS - Display - ROS - Package"/>
    <n v="7966"/>
    <n v="583729"/>
    <s v="Edwards Lifesciences - DIO - DIS - FS - Display - ROS - Package"/>
    <d v="2026-04-20T00:00:00"/>
    <d v="2026-08-31T00:00:00"/>
    <m/>
    <s v="CPM"/>
    <n v="4"/>
    <n v="26250000"/>
    <n v="105000"/>
    <s v="Impressions"/>
    <s v="performance"/>
    <n v="0"/>
    <n v="0"/>
    <s v="performance"/>
    <n v="6191813"/>
    <s v="invoice_schedule"/>
    <n v="24767.252"/>
    <n v="24767.252"/>
    <n v="24767.252"/>
    <n v="6193099"/>
    <n v="6191813"/>
    <d v="2026-04-20T00:00:00"/>
    <d v="2026-08-31T00:00:00"/>
    <s v="John Michael Bogusz"/>
    <s v="None"/>
    <s v="JUN'26"/>
    <n v="490000.04"/>
    <n v="126124"/>
    <s v="Meghan Courtney"/>
  </r>
  <r>
    <s v="AGC004925"/>
    <s v="EDWARDS LIFESCIENCES"/>
    <s v="ADV014977"/>
    <s v="Edwards Lifesciences/2026/Digital/Scatter/ROS"/>
    <x v="217"/>
    <m/>
    <m/>
    <n v="584253"/>
    <s v="CANCELLED - Edward Lifesciences - DIO - LFV - FSLS - Pre - INDY - DT/MB/CTV - SOV Sponsorship - 50% - CANCELLED"/>
    <d v="2026-04-20T00:00:00"/>
    <d v="2026-08-20T00:00:00"/>
    <s v="FOX DCM"/>
    <s v="Flat Rate"/>
    <n v="0"/>
    <n v="1"/>
    <n v="0"/>
    <s v="Impressions"/>
    <s v="prorated"/>
    <n v="0"/>
    <n v="0"/>
    <s v="prorated"/>
    <n v="0"/>
    <s v="invoice_schedule"/>
    <n v="0"/>
    <n v="0"/>
    <n v="0"/>
    <m/>
    <m/>
    <d v="2026-04-20T00:00:00"/>
    <d v="2026-08-20T00:00:00"/>
    <s v="John Michael Bogusz"/>
    <s v="None"/>
    <s v="JUN'26"/>
    <n v="490000.04"/>
    <n v="126124"/>
    <s v="Meghan Courtney"/>
  </r>
  <r>
    <s v="AGC001249"/>
    <s v="MICHELIN"/>
    <s v="ADV001182"/>
    <s v="Michelin/Digital/Scatter/AllFOX/2Q-3Q26 Scatter"/>
    <x v="218"/>
    <s v="Run of AllFOX Video - Package"/>
    <n v="7998"/>
    <n v="588070"/>
    <s v="Michelin - 2Q/3Q26- Run of AllFOX Video - Package"/>
    <d v="2026-05-15T00:00:00"/>
    <d v="2026-07-26T00:00:00"/>
    <s v="FOX DCM"/>
    <s v="CPM"/>
    <n v="21.49"/>
    <n v="20707306"/>
    <n v="445000.01"/>
    <s v="Impressions"/>
    <s v="performance"/>
    <n v="0"/>
    <n v="0"/>
    <s v="performance"/>
    <n v="9006996"/>
    <s v="invoice_schedule"/>
    <n v="193560.34409999999"/>
    <n v="193560.34409999999"/>
    <n v="193560.34409999999"/>
    <n v="9006996"/>
    <n v="0"/>
    <d v="2026-05-15T00:00:00"/>
    <d v="2026-07-26T00:00:00"/>
    <s v="Kailey McGinn"/>
    <s v="None"/>
    <s v="JUN'26"/>
    <n v="445000.03"/>
    <n v="128461"/>
    <s v="Matthew DiToro"/>
  </r>
  <r>
    <s v="AGC001810"/>
    <s v="ELI LILLY"/>
    <s v="ADV002224"/>
    <s v="Lilly/2026/MWC/Digital/Scatter/Tubi/OSADSE"/>
    <x v="219"/>
    <s v="Run of World Cup Video - Package"/>
    <n v="8005"/>
    <n v="585893"/>
    <s v="Eli Lilly - OSA DSE - Run of World Cup Video - 2026 Package - Tubi - :45"/>
    <d v="2026-06-01T00:00:00"/>
    <d v="2026-06-30T00:00:00"/>
    <s v="FOX Innovid"/>
    <s v="CPM"/>
    <n v="40"/>
    <n v="1562500"/>
    <n v="62500"/>
    <s v="Impressions"/>
    <s v="performance"/>
    <n v="0"/>
    <n v="0"/>
    <s v="performance"/>
    <n v="1562500"/>
    <s v="invoice_schedule"/>
    <n v="62500"/>
    <n v="62500"/>
    <n v="62500"/>
    <n v="1667030"/>
    <n v="1647519"/>
    <d v="2026-06-01T00:00:00"/>
    <d v="2026-06-30T00:00:00"/>
    <s v="Megan Sileo"/>
    <s v="None"/>
    <s v="JUN'26"/>
    <n v="174965"/>
    <n v="128048"/>
    <s v="Tom Cecil"/>
  </r>
  <r>
    <s v="AGC001810"/>
    <s v="ELI LILLY"/>
    <s v="ADV002224"/>
    <s v="Lilly/2026/MWC/Digital/Scatter/Tubi/OSADSE"/>
    <x v="219"/>
    <s v="Run of AllFOX Video - Package"/>
    <n v="7998"/>
    <n v="585896"/>
    <s v="Eli Lilly - OSA DSE - Run of AllFOX Video - 2026 Package - Tubi -AAT- :45"/>
    <d v="2026-05-12T00:00:00"/>
    <d v="2026-06-30T00:00:00"/>
    <s v="FOX Innovid"/>
    <s v="CPM"/>
    <n v="20"/>
    <n v="2811625"/>
    <n v="56232.5"/>
    <s v="Impressions"/>
    <s v="performance"/>
    <n v="0"/>
    <n v="0"/>
    <s v="performance"/>
    <n v="1272726"/>
    <s v="invoice_schedule"/>
    <n v="25454.52"/>
    <n v="25454.52"/>
    <n v="25454.52"/>
    <n v="1330973"/>
    <n v="1332135"/>
    <d v="2026-05-12T00:00:00"/>
    <d v="2026-06-30T00:00:00"/>
    <s v="Megan Sileo"/>
    <s v="None"/>
    <s v="JUN'26"/>
    <n v="174965"/>
    <n v="128048"/>
    <s v="Tom Cecil"/>
  </r>
  <r>
    <s v="AGC001353"/>
    <s v="TRAVEL TEXAS"/>
    <s v="ADV003102"/>
    <s v="Travel Texas/25-26/Digital/Scatter/Sports/MWC"/>
    <x v="220"/>
    <s v="Run of World Cup Video - Package"/>
    <n v="8005"/>
    <n v="587699"/>
    <s v="Travel Texas Run of World Cup Video - Package"/>
    <d v="2026-05-26T00:00:00"/>
    <d v="2026-07-19T00:00:00"/>
    <s v="FOX Flashtalking"/>
    <s v="CPM"/>
    <n v="44"/>
    <n v="1704546"/>
    <n v="75000.03"/>
    <s v="Impressions"/>
    <s v="performance"/>
    <n v="0"/>
    <n v="0"/>
    <s v="performance"/>
    <n v="848076"/>
    <s v="invoice_schedule"/>
    <n v="37315.343999999997"/>
    <n v="37315.343999999997"/>
    <n v="37315.343999999997"/>
    <n v="918988"/>
    <n v="848076"/>
    <d v="2026-05-26T00:00:00"/>
    <d v="2026-07-19T00:00:00"/>
    <s v="Grace Stryker"/>
    <s v="None"/>
    <s v="JUN'26"/>
    <n v="175000.04"/>
    <n v="129435"/>
    <s v="Carly Sartwell"/>
  </r>
  <r>
    <s v="AGC001353"/>
    <s v="TRAVEL TEXAS"/>
    <s v="ADV003102"/>
    <s v="Travel Texas/25-26/Digital/Scatter/Sports/MWC"/>
    <x v="220"/>
    <s v="Run of AllFOX Video - Package"/>
    <n v="7998"/>
    <n v="587708"/>
    <s v="Travel Texas Run of AllFOX Video - Package"/>
    <d v="2026-05-26T00:00:00"/>
    <d v="2026-07-19T00:00:00"/>
    <s v="FOX Flashtalking"/>
    <s v="CPM"/>
    <n v="20"/>
    <n v="3750000"/>
    <n v="75000"/>
    <s v="Impressions"/>
    <s v="performance"/>
    <n v="0"/>
    <n v="0"/>
    <s v="performance"/>
    <n v="2106552"/>
    <s v="invoice_schedule"/>
    <n v="42131.040000000001"/>
    <n v="42131.040000000001"/>
    <n v="42131.040000000001"/>
    <n v="2091382"/>
    <n v="2106552"/>
    <d v="2026-05-26T00:00:00"/>
    <d v="2026-07-19T00:00:00"/>
    <s v="Grace Stryker"/>
    <s v="None"/>
    <s v="JUN'26"/>
    <n v="175000.04"/>
    <n v="129435"/>
    <s v="Carly Sartwell"/>
  </r>
  <r>
    <s v="AGC001353"/>
    <s v="TRAVEL TEXAS"/>
    <s v="ADV003102"/>
    <s v="Travel Texas/25-26/Digital/Scatter/Sports/MWC"/>
    <x v="220"/>
    <m/>
    <m/>
    <n v="592708"/>
    <s v="Travel Texas DIO - MWC - Timeout - ROS - Rotational - Updated"/>
    <d v="2026-05-26T00:00:00"/>
    <d v="2026-07-19T00:00:00"/>
    <s v="FOX Flashtalking"/>
    <s v="CPM"/>
    <n v="17"/>
    <n v="1470588"/>
    <n v="25000"/>
    <s v="Impressions"/>
    <s v="performance"/>
    <n v="0"/>
    <n v="0"/>
    <s v="performance"/>
    <n v="0"/>
    <s v="invoice_schedule"/>
    <n v="0"/>
    <n v="0"/>
    <n v="0"/>
    <m/>
    <m/>
    <d v="2026-05-26T00:00:00"/>
    <d v="2026-07-19T00:00:00"/>
    <s v="Grace Stryker"/>
    <s v="None"/>
    <s v="JUN'26"/>
    <n v="175000.04"/>
    <n v="129435"/>
    <s v="Carly Sartwell"/>
  </r>
  <r>
    <s v="AGC002371"/>
    <s v="TURTLEBOX"/>
    <s v="ADV013846"/>
    <s v="TurtleBox/Tatari/Digital/25-26/SCT"/>
    <x v="221"/>
    <s v="DIO - LFV - FSLS - Pre/Mid - ROS - DT/MB/CTV - Preemptible - Package"/>
    <n v="7965"/>
    <n v="587030"/>
    <s v="Turtlebox - DIO - LFV - FSLS - Pre/Mid - ROS - DT/MB/CTV - Preemptible - Package"/>
    <d v="2026-05-04T00:00:00"/>
    <d v="2026-06-30T00:00:00"/>
    <s v="FOX Extreme Reach"/>
    <s v="CPM"/>
    <n v="15"/>
    <n v="1017667"/>
    <n v="15265.02"/>
    <s v="Impressions"/>
    <s v="performance"/>
    <n v="0"/>
    <n v="0"/>
    <s v="performance"/>
    <n v="138"/>
    <s v="invoice_schedule"/>
    <n v="2.0699999999999998"/>
    <n v="2.0699999999999998"/>
    <n v="2.0699999999999998"/>
    <n v="177"/>
    <n v="138"/>
    <d v="2026-05-04T00:00:00"/>
    <d v="2026-06-30T00:00:00"/>
    <s v="JohnMichael Bogusz"/>
    <s v="None"/>
    <s v="JUN'26"/>
    <n v="15265.02"/>
    <n v="129139"/>
    <s v="Nicole Joscelyn"/>
  </r>
  <r>
    <s v="AGC001336"/>
    <s v="CHIPOTLE"/>
    <s v="ADV006271"/>
    <s v="Chipotle/Digital/Scatter/World Cup/25-26"/>
    <x v="222"/>
    <s v="Run of World Cup Video - Package"/>
    <n v="8005"/>
    <n v="587429"/>
    <s v="Chipotle - Run of World Cup Video - Package"/>
    <d v="2026-06-11T00:00:00"/>
    <d v="2026-07-19T00:00:00"/>
    <s v="FOX Extreme Reach"/>
    <s v="CPM"/>
    <n v="44"/>
    <n v="15326706"/>
    <n v="674375.07"/>
    <s v="Impressions"/>
    <s v="performance"/>
    <n v="0"/>
    <n v="0"/>
    <s v="performance"/>
    <n v="9852809"/>
    <s v="invoice_schedule"/>
    <n v="433523.59600000002"/>
    <n v="433523.59600000002"/>
    <n v="433523.59600000002"/>
    <n v="10161654"/>
    <n v="9852809"/>
    <d v="2026-06-11T00:00:00"/>
    <d v="2026-07-19T00:00:00"/>
    <s v="JohnMichael Bogusz"/>
    <s v="None"/>
    <s v="JUN'26"/>
    <n v="1037500.08"/>
    <n v="128228"/>
    <s v="Mike Maresca"/>
  </r>
  <r>
    <s v="AGC001336"/>
    <s v="CHIPOTLE"/>
    <s v="ADV006271"/>
    <s v="Chipotle/Digital/Scatter/World Cup/25-26"/>
    <x v="222"/>
    <s v="Run of AllFOX Video - Package"/>
    <n v="7998"/>
    <n v="587454"/>
    <s v="Chipotle - Run of AllFOX Video - Package"/>
    <d v="2026-06-01T00:00:00"/>
    <d v="2026-07-31T00:00:00"/>
    <s v="FOX Extreme Reach"/>
    <s v="CPM"/>
    <n v="18.690000000000001"/>
    <n v="19428839"/>
    <n v="363125.01"/>
    <s v="Impressions"/>
    <s v="performance"/>
    <n v="0"/>
    <n v="0"/>
    <s v="performance"/>
    <n v="9250021"/>
    <s v="invoice_schedule"/>
    <n v="172882.89249999999"/>
    <n v="172882.89249999999"/>
    <n v="172882.89249999999"/>
    <n v="9563207"/>
    <n v="9250021"/>
    <d v="2026-06-01T00:00:00"/>
    <d v="2026-07-31T00:00:00"/>
    <s v="JohnMichael Bogusz"/>
    <s v="None"/>
    <s v="JUN'26"/>
    <n v="1037500.08"/>
    <n v="128228"/>
    <s v="Mike Maresca"/>
  </r>
  <r>
    <s v="AGC001035"/>
    <s v="DIAGEO"/>
    <s v="ADV005961"/>
    <s v="Diageo/GUINNESS/Digital/Direct/Scatter/Sports/MWC/2026/JUNE"/>
    <x v="223"/>
    <s v="Run of World Cup Display - Package"/>
    <n v="8004"/>
    <n v="588361"/>
    <s v="Diageo - Guinness - OMP -  Run of World Cup Display - Package - FY26"/>
    <d v="2026-06-01T00:00:00"/>
    <d v="2026-06-30T00:00:00"/>
    <s v="FOX DCM"/>
    <s v="CPM"/>
    <n v="6"/>
    <n v="3083333"/>
    <n v="18500"/>
    <s v="Impressions"/>
    <s v="performance"/>
    <n v="0"/>
    <n v="0"/>
    <s v="performance"/>
    <n v="3066524"/>
    <s v="invoice_schedule"/>
    <n v="18399.144"/>
    <n v="18399.144"/>
    <n v="18399.144"/>
    <n v="3119041"/>
    <n v="3066524"/>
    <d v="2026-06-01T00:00:00"/>
    <d v="2026-06-30T00:00:00"/>
    <s v="Kailey McGinn"/>
    <s v="None"/>
    <s v="JUN'26"/>
    <n v="74000.02"/>
    <n v="128343"/>
    <s v="Nicole Gamache"/>
  </r>
  <r>
    <s v="AGC001035"/>
    <s v="DIAGEO"/>
    <s v="ADV005961"/>
    <s v="Diageo/GUINNESS/Digital/Direct/Scatter/Sports/MWC/2026/JUNE"/>
    <x v="223"/>
    <s v="Run of World Cup Video - Package"/>
    <n v="8005"/>
    <n v="588363"/>
    <s v="Diageo - Guinness - OMP - Run of World Cup Video - Package - FY26"/>
    <d v="2026-06-01T00:00:00"/>
    <d v="2026-06-30T00:00:00"/>
    <s v="FOX DCM"/>
    <s v="CPM"/>
    <n v="32.5"/>
    <n v="1707693"/>
    <n v="55500.02"/>
    <s v="Impressions"/>
    <s v="performance"/>
    <n v="0"/>
    <n v="0"/>
    <s v="performance"/>
    <n v="1707693"/>
    <s v="invoice_schedule"/>
    <n v="55500.02"/>
    <n v="55500.02"/>
    <n v="55500.02"/>
    <n v="1757021"/>
    <n v="1752379"/>
    <d v="2026-06-01T00:00:00"/>
    <d v="2026-06-30T00:00:00"/>
    <s v="Kailey McGinn"/>
    <s v="None"/>
    <s v="JUN'26"/>
    <n v="74000.02"/>
    <n v="128343"/>
    <s v="Nicole Gamache"/>
  </r>
  <r>
    <s v="AGC002070"/>
    <s v="STARBUCKS"/>
    <s v="ADV005074"/>
    <s v="THE STARBUCKS COMPANY/DIGITAL/SCATTER/SPORTS/MWC/3Q'26"/>
    <x v="224"/>
    <s v="World Cup Social Sponsorship Content - Package"/>
    <n v="8000"/>
    <n v="589938"/>
    <s v="Starbucks - World Cup Social Sponsorship Content - 2026 MWC Package"/>
    <d v="2026-06-29T00:00:00"/>
    <d v="2026-07-19T00:00:00"/>
    <s v="FOX 1st Party"/>
    <s v="SOV-Flat Rate"/>
    <n v="99794"/>
    <n v="3"/>
    <n v="99794"/>
    <s v="n/a"/>
    <s v="prorated"/>
    <n v="0"/>
    <n v="9504.1903999999995"/>
    <s v="prorated"/>
    <n v="0"/>
    <s v="invoice_schedule"/>
    <n v="9504.1903999999995"/>
    <n v="9504.1903999999995"/>
    <n v="9504.1903999999995"/>
    <m/>
    <m/>
    <d v="2026-06-29T00:00:00"/>
    <d v="2026-07-19T00:00:00"/>
    <s v="Matthew Vellardito"/>
    <s v="None"/>
    <s v="JUN'26"/>
    <n v="398989"/>
    <n v="129462"/>
    <s v="Janna Goldstein"/>
  </r>
  <r>
    <s v="AGC002070"/>
    <s v="STARBUCKS"/>
    <s v="ADV005074"/>
    <s v="THE STARBUCKS COMPANY/DIGITAL/SCATTER/SPORTS/MWC/3Q'26"/>
    <x v="224"/>
    <s v="Run of World Cup Video - Package"/>
    <n v="8005"/>
    <n v="589942"/>
    <s v="Starbucks - Run of World Cup Video - 2026 MWC Package"/>
    <d v="2026-06-29T00:00:00"/>
    <d v="2026-07-19T00:00:00"/>
    <s v="FOX Innovid"/>
    <s v="CPM"/>
    <n v="40"/>
    <n v="5000000"/>
    <n v="200000"/>
    <s v="Impressions"/>
    <s v="performance"/>
    <n v="0"/>
    <n v="0"/>
    <s v="performance"/>
    <n v="512601"/>
    <s v="invoice_schedule"/>
    <n v="20504.04"/>
    <n v="20504.04"/>
    <n v="20504.04"/>
    <n v="509658"/>
    <n v="512601"/>
    <d v="2026-06-29T00:00:00"/>
    <d v="2026-07-19T00:00:00"/>
    <s v="Matthew Vellardito"/>
    <s v="None"/>
    <s v="JUN'26"/>
    <n v="398989"/>
    <n v="129462"/>
    <s v="Janna Goldstein"/>
  </r>
  <r>
    <s v="AGC002070"/>
    <s v="STARBUCKS"/>
    <s v="ADV005074"/>
    <s v="THE STARBUCKS COMPANY/DIGITAL/SCATTER/SPORTS/MWC/3Q'26"/>
    <x v="224"/>
    <s v="Run of FOX Sports Video - Package"/>
    <n v="8002"/>
    <n v="589945"/>
    <s v="Starbucks - Run of FOX Sports Video - 2026 MWC Package"/>
    <d v="2026-06-29T00:00:00"/>
    <d v="2026-07-19T00:00:00"/>
    <s v="FOX Innovid"/>
    <s v="CPM"/>
    <n v="25"/>
    <n v="3967800"/>
    <n v="99195"/>
    <s v="CoV Impressions"/>
    <s v="performance"/>
    <n v="0"/>
    <n v="0"/>
    <s v="performance"/>
    <n v="289363"/>
    <s v="invoice_schedule"/>
    <n v="7234.0749999999998"/>
    <n v="7234.0749999999998"/>
    <n v="7234.0749999999998"/>
    <n v="287109"/>
    <n v="289363"/>
    <d v="2026-06-29T00:00:00"/>
    <d v="2026-07-19T00:00:00"/>
    <s v="Matthew Vellardito"/>
    <s v="None"/>
    <s v="JUN'26"/>
    <n v="398989"/>
    <n v="129462"/>
    <s v="Janna Goldstein"/>
  </r>
  <r>
    <s v="AGC004827"/>
    <s v="TRIMBLE INC"/>
    <s v="ADV014926"/>
    <s v=" MWC Digital 2026/Trimble/Monks/26/Scatter"/>
    <x v="225"/>
    <s v="Run of World Cup Video - Package"/>
    <n v="8005"/>
    <n v="591515"/>
    <s v="Trimble - Run of World Cup Video - Package"/>
    <d v="2026-06-01T00:00:00"/>
    <d v="2026-07-19T00:00:00"/>
    <m/>
    <s v="CPM"/>
    <n v="44"/>
    <n v="5681819"/>
    <n v="250000.03"/>
    <s v="Impressions"/>
    <s v="performance"/>
    <n v="0"/>
    <n v="0"/>
    <s v="performance"/>
    <n v="3972159"/>
    <s v="invoice_schedule"/>
    <n v="174774.99600000001"/>
    <n v="174774.99600000001"/>
    <n v="174774.99600000001"/>
    <n v="3972159"/>
    <n v="0"/>
    <d v="2026-06-01T00:00:00"/>
    <d v="2026-07-19T00:00:00"/>
    <s v="John Michael Bogusz"/>
    <s v="None"/>
    <s v="JUN'26"/>
    <n v="500000.03"/>
    <n v="129764"/>
    <s v="Meghan Courtney"/>
  </r>
  <r>
    <s v="AGC004827"/>
    <s v="TRIMBLE INC"/>
    <s v="ADV014926"/>
    <s v=" MWC Digital 2026/Trimble/Monks/26/Scatter"/>
    <x v="225"/>
    <m/>
    <m/>
    <n v="591518"/>
    <s v="CANCELLED - Trimble - DIO - MWC - Timeout - ROS - Rotational - CANCELLED"/>
    <d v="2026-06-01T00:00:00"/>
    <d v="2026-06-05T00:00:00"/>
    <s v="FOX 1st Party"/>
    <s v="CPM"/>
    <n v="0"/>
    <n v="0"/>
    <n v="0"/>
    <s v="Impressions"/>
    <s v="performance"/>
    <n v="0"/>
    <n v="0"/>
    <s v="performance"/>
    <n v="0"/>
    <s v="invoice_schedule"/>
    <n v="0"/>
    <n v="0"/>
    <n v="0"/>
    <n v="398206"/>
    <m/>
    <d v="2026-06-01T00:00:00"/>
    <d v="2026-06-05T00:00:00"/>
    <s v="John Michael Bogusz"/>
    <s v="None"/>
    <s v="JUN'26"/>
    <n v="500000.03"/>
    <n v="129764"/>
    <s v="Meghan Courtney"/>
  </r>
  <r>
    <s v="AGC004827"/>
    <s v="TRIMBLE INC"/>
    <s v="ADV014926"/>
    <s v=" MWC Digital 2026/Trimble/Monks/26/Scatter"/>
    <x v="225"/>
    <m/>
    <m/>
    <n v="592636"/>
    <s v="Trimble - DIO - MWC - Timeout - ROS - Rotational - Updated"/>
    <d v="2026-06-05T00:00:00"/>
    <d v="2026-07-19T00:00:00"/>
    <m/>
    <s v="CPM"/>
    <n v="20"/>
    <n v="7500000"/>
    <n v="150000"/>
    <s v="Impressions"/>
    <s v="performance"/>
    <n v="0"/>
    <n v="0"/>
    <s v="performance"/>
    <n v="0"/>
    <s v="invoice_schedule"/>
    <n v="0"/>
    <n v="0"/>
    <n v="0"/>
    <m/>
    <m/>
    <d v="2026-06-05T00:00:00"/>
    <d v="2026-07-19T00:00:00"/>
    <s v="John Michael Bogusz"/>
    <s v="None"/>
    <s v="JUN'26"/>
    <n v="500000.03"/>
    <n v="129764"/>
    <s v="Meghan Courtney"/>
  </r>
  <r>
    <s v="AGC003453"/>
    <s v="POLYMARKET"/>
    <s v="ADV015069"/>
    <s v="Infinite Roar/Polymarket/Digital/MWC/Scatter/2025/26"/>
    <x v="226"/>
    <s v="Run of World Cup Display - Package"/>
    <n v="8004"/>
    <n v="591846"/>
    <s v="Polymarket - Run of World Cup Display - Package - 320x50, 300x250, 728x90"/>
    <d v="2026-06-12T00:00:00"/>
    <d v="2026-07-19T00:00:00"/>
    <s v="FOX 1st Party"/>
    <s v="CPM"/>
    <n v="6"/>
    <n v="6250000"/>
    <n v="37500"/>
    <s v="Impressions"/>
    <s v="performance"/>
    <n v="0"/>
    <n v="0"/>
    <s v="performance"/>
    <n v="3043014"/>
    <s v="invoice_schedule"/>
    <n v="18258.083999999999"/>
    <n v="18258.083999999999"/>
    <n v="18258.083999999999"/>
    <n v="3043014"/>
    <n v="0"/>
    <d v="2026-06-12T00:00:00"/>
    <d v="2026-07-19T00:00:00"/>
    <s v="Jessica Lang"/>
    <s v="None"/>
    <s v="JUN'26"/>
    <n v="750000.04"/>
    <n v="130472"/>
    <s v="Dylan Giordano"/>
  </r>
  <r>
    <s v="AGC003453"/>
    <s v="POLYMARKET"/>
    <s v="ADV015069"/>
    <s v="Infinite Roar/Polymarket/Digital/MWC/Scatter/2025/26"/>
    <x v="226"/>
    <s v="Run of World Cup Video - Package"/>
    <n v="8005"/>
    <n v="591847"/>
    <s v="Polymarket - Run of World Cup Video - Package"/>
    <d v="2026-06-12T00:00:00"/>
    <d v="2026-07-19T00:00:00"/>
    <s v="FOX DCM"/>
    <s v="CPM"/>
    <n v="44"/>
    <n v="5113637"/>
    <n v="225000.03"/>
    <s v="Impressions"/>
    <s v="performance"/>
    <n v="0"/>
    <n v="0"/>
    <s v="performance"/>
    <n v="1039067"/>
    <s v="invoice_schedule"/>
    <n v="45718.947999999997"/>
    <n v="45718.947999999997"/>
    <n v="45718.947999999997"/>
    <n v="1039067"/>
    <n v="0"/>
    <d v="2026-06-12T00:00:00"/>
    <d v="2026-07-19T00:00:00"/>
    <s v="Jessica Lang"/>
    <s v="None"/>
    <s v="JUN'26"/>
    <n v="750000.04"/>
    <n v="130472"/>
    <s v="Dylan Giordano"/>
  </r>
  <r>
    <s v="AGC003453"/>
    <s v="POLYMARKET"/>
    <s v="ADV015069"/>
    <s v="Infinite Roar/Polymarket/Digital/MWC/Scatter/2025/26"/>
    <x v="226"/>
    <s v="World Cup Social Sponsorship Content - Package"/>
    <n v="8000"/>
    <n v="591848"/>
    <s v="Polymarket - World Cup Social Sponsorship Content - Package"/>
    <d v="2026-06-12T00:00:00"/>
    <d v="2026-07-19T00:00:00"/>
    <s v="FOX 1st Party"/>
    <s v="Cost Per Unit"/>
    <n v="0.15"/>
    <n v="3250000"/>
    <n v="487500"/>
    <s v="Placements"/>
    <s v="straightline"/>
    <n v="1625000"/>
    <n v="243750"/>
    <s v="straightline"/>
    <n v="1625000"/>
    <s v="invoice_schedule"/>
    <n v="243750"/>
    <n v="243750"/>
    <n v="243750"/>
    <m/>
    <m/>
    <d v="2026-06-12T00:00:00"/>
    <d v="2026-07-19T00:00:00"/>
    <s v="Jessica Lang"/>
    <s v="None"/>
    <s v="JUN'26"/>
    <n v="750000.04"/>
    <n v="130472"/>
    <s v="Dylan Giordano"/>
  </r>
  <r>
    <s v="AGC004827"/>
    <s v="SHIPT"/>
    <s v="ADV001653"/>
    <s v="Shipt/MWC 2026/Digital/Scatter"/>
    <x v="227"/>
    <s v="Run of World Cup Video - Package"/>
    <n v="8005"/>
    <n v="592399"/>
    <s v="Shipt - Run of World Cup Video - Package"/>
    <d v="2026-06-08T00:00:00"/>
    <d v="2026-07-19T00:00:00"/>
    <m/>
    <s v="CPM"/>
    <n v="44"/>
    <n v="5681819"/>
    <n v="250000.03"/>
    <s v="Impressions"/>
    <s v="performance"/>
    <n v="0"/>
    <n v="0"/>
    <s v="performance"/>
    <n v="3799507"/>
    <s v="invoice_schedule"/>
    <n v="167178.30799999999"/>
    <n v="167178.30799999999"/>
    <n v="167178.30799999999"/>
    <n v="3799507"/>
    <n v="0"/>
    <d v="2026-06-08T00:00:00"/>
    <d v="2026-07-19T00:00:00"/>
    <s v="John Michael Bogusz"/>
    <s v="None"/>
    <s v="JUN'26"/>
    <n v="500000.04"/>
    <n v="130515"/>
    <s v="Meghan Courtney"/>
  </r>
  <r>
    <s v="AGC004827"/>
    <s v="SHIPT"/>
    <s v="ADV001653"/>
    <s v="Shipt/MWC 2026/Digital/Scatter"/>
    <x v="227"/>
    <s v="Run of FOX Sports Video - Package"/>
    <n v="8002"/>
    <n v="592407"/>
    <s v="Shipt - Run of FOX Sports Video - Package"/>
    <d v="2026-06-08T00:00:00"/>
    <d v="2026-09-30T00:00:00"/>
    <s v="FOX DCM"/>
    <s v="CPM"/>
    <n v="25"/>
    <n v="4000000"/>
    <n v="100000"/>
    <s v="Impressions"/>
    <s v="performance"/>
    <n v="0"/>
    <n v="0"/>
    <s v="performance"/>
    <n v="573806"/>
    <s v="invoice_schedule"/>
    <n v="14345.15"/>
    <n v="14345.15"/>
    <n v="14345.15"/>
    <n v="573806"/>
    <n v="0"/>
    <d v="2026-06-08T00:00:00"/>
    <d v="2026-09-30T00:00:00"/>
    <s v="John Michael Bogusz"/>
    <s v="None"/>
    <s v="JUN'26"/>
    <n v="500000.04"/>
    <n v="130515"/>
    <s v="Meghan Courtney"/>
  </r>
  <r>
    <s v="AGC004827"/>
    <s v="SHIPT"/>
    <s v="ADV001653"/>
    <s v="Shipt/MWC 2026/Digital/Scatter"/>
    <x v="227"/>
    <m/>
    <m/>
    <n v="592410"/>
    <s v="CANCELLED - Shipt - DIO - MWC - Timeout - ROS - Rotational"/>
    <d v="2026-06-08T00:00:00"/>
    <d v="2026-06-08T00:00:00"/>
    <s v="FOX 1st Party"/>
    <s v="CPM"/>
    <n v="0"/>
    <n v="0"/>
    <n v="0"/>
    <s v="Impressions"/>
    <s v="performance"/>
    <n v="0"/>
    <n v="0"/>
    <s v="performance"/>
    <n v="0"/>
    <s v="invoice_schedule"/>
    <n v="0"/>
    <n v="0"/>
    <n v="0"/>
    <m/>
    <m/>
    <d v="2026-06-08T00:00:00"/>
    <d v="2026-06-08T00:00:00"/>
    <s v="John Michael Bogusz"/>
    <s v="None"/>
    <s v="JUN'26"/>
    <n v="500000.04"/>
    <n v="130515"/>
    <s v="Meghan Courtney"/>
  </r>
  <r>
    <s v="AGC004827"/>
    <s v="SHIPT"/>
    <s v="ADV001653"/>
    <s v="Shipt/MWC 2026/Digital/Scatter"/>
    <x v="227"/>
    <m/>
    <m/>
    <n v="592638"/>
    <s v="Shipt - DIO - MWC - Timeout - ROS - Rotational - Updated"/>
    <d v="2026-06-08T00:00:00"/>
    <d v="2026-07-19T00:00:00"/>
    <s v="FOX DCM"/>
    <s v="CPM"/>
    <n v="20"/>
    <n v="7500000"/>
    <n v="150000"/>
    <s v="Impressions"/>
    <s v="performance"/>
    <n v="0"/>
    <n v="0"/>
    <s v="performance"/>
    <n v="0"/>
    <s v="invoice_schedule"/>
    <n v="0"/>
    <n v="0"/>
    <n v="0"/>
    <m/>
    <m/>
    <d v="2026-06-08T00:00:00"/>
    <d v="2026-07-19T00:00:00"/>
    <s v="John Michael Bogusz"/>
    <s v="None"/>
    <s v="JUN'26"/>
    <n v="500000.04"/>
    <n v="130515"/>
    <s v="Meghan Courtne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28EC5-EB71-AA47-9942-1133420067C3}" name="PivotTable5" cacheId="3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BAR">
  <location ref="A3:B215" firstHeaderRow="1" firstDataRow="1" firstDataCol="1"/>
  <pivotFields count="49">
    <pivotField showAll="0"/>
    <pivotField showAll="0"/>
    <pivotField showAll="0"/>
    <pivotField showAll="0"/>
    <pivotField showAll="0"/>
    <pivotField axis="axisRow" showAll="0">
      <items count="212">
        <item x="22"/>
        <item x="67"/>
        <item x="152"/>
        <item x="17"/>
        <item x="187"/>
        <item x="133"/>
        <item x="132"/>
        <item x="134"/>
        <item x="110"/>
        <item x="23"/>
        <item x="109"/>
        <item x="135"/>
        <item x="32"/>
        <item x="72"/>
        <item x="68"/>
        <item x="122"/>
        <item x="65"/>
        <item x="116"/>
        <item x="119"/>
        <item x="129"/>
        <item x="66"/>
        <item x="69"/>
        <item x="147"/>
        <item x="142"/>
        <item x="162"/>
        <item x="117"/>
        <item x="169"/>
        <item x="160"/>
        <item x="153"/>
        <item x="25"/>
        <item x="141"/>
        <item x="10"/>
        <item x="11"/>
        <item x="12"/>
        <item x="13"/>
        <item x="14"/>
        <item x="78"/>
        <item x="45"/>
        <item x="159"/>
        <item x="138"/>
        <item x="176"/>
        <item x="174"/>
        <item x="18"/>
        <item x="24"/>
        <item x="48"/>
        <item x="195"/>
        <item x="181"/>
        <item x="208"/>
        <item x="124"/>
        <item x="15"/>
        <item x="34"/>
        <item x="126"/>
        <item x="125"/>
        <item x="0"/>
        <item x="73"/>
        <item x="75"/>
        <item x="192"/>
        <item x="123"/>
        <item x="41"/>
        <item x="189"/>
        <item x="76"/>
        <item x="207"/>
        <item x="95"/>
        <item x="4"/>
        <item x="130"/>
        <item x="127"/>
        <item x="194"/>
        <item x="193"/>
        <item x="2"/>
        <item x="149"/>
        <item x="33"/>
        <item x="51"/>
        <item x="31"/>
        <item x="57"/>
        <item x="53"/>
        <item x="60"/>
        <item x="30"/>
        <item x="158"/>
        <item x="101"/>
        <item x="157"/>
        <item x="1"/>
        <item x="56"/>
        <item x="59"/>
        <item x="140"/>
        <item x="80"/>
        <item x="186"/>
        <item x="179"/>
        <item x="173"/>
        <item x="151"/>
        <item x="7"/>
        <item x="27"/>
        <item x="49"/>
        <item x="89"/>
        <item x="136"/>
        <item x="120"/>
        <item x="175"/>
        <item x="62"/>
        <item x="170"/>
        <item x="210"/>
        <item x="177"/>
        <item x="154"/>
        <item x="9"/>
        <item x="86"/>
        <item x="88"/>
        <item x="87"/>
        <item x="92"/>
        <item x="93"/>
        <item x="94"/>
        <item x="90"/>
        <item x="91"/>
        <item x="161"/>
        <item x="172"/>
        <item x="28"/>
        <item x="71"/>
        <item x="81"/>
        <item x="190"/>
        <item x="180"/>
        <item x="50"/>
        <item x="118"/>
        <item x="168"/>
        <item x="167"/>
        <item x="131"/>
        <item x="20"/>
        <item x="183"/>
        <item x="54"/>
        <item x="40"/>
        <item x="8"/>
        <item x="206"/>
        <item x="100"/>
        <item x="102"/>
        <item x="96"/>
        <item x="188"/>
        <item x="185"/>
        <item x="184"/>
        <item x="191"/>
        <item x="103"/>
        <item x="16"/>
        <item x="204"/>
        <item x="205"/>
        <item x="202"/>
        <item x="209"/>
        <item x="143"/>
        <item x="121"/>
        <item x="85"/>
        <item x="61"/>
        <item x="171"/>
        <item x="178"/>
        <item x="47"/>
        <item x="84"/>
        <item x="79"/>
        <item x="43"/>
        <item x="111"/>
        <item x="112"/>
        <item x="114"/>
        <item x="113"/>
        <item x="115"/>
        <item x="197"/>
        <item x="198"/>
        <item x="196"/>
        <item x="199"/>
        <item x="201"/>
        <item x="200"/>
        <item x="6"/>
        <item x="46"/>
        <item x="26"/>
        <item x="39"/>
        <item x="156"/>
        <item x="105"/>
        <item x="106"/>
        <item x="108"/>
        <item x="107"/>
        <item x="42"/>
        <item x="155"/>
        <item x="148"/>
        <item x="74"/>
        <item x="3"/>
        <item x="5"/>
        <item x="21"/>
        <item x="128"/>
        <item x="83"/>
        <item x="64"/>
        <item x="97"/>
        <item x="63"/>
        <item x="182"/>
        <item x="38"/>
        <item x="77"/>
        <item x="203"/>
        <item x="37"/>
        <item x="35"/>
        <item x="36"/>
        <item x="82"/>
        <item x="44"/>
        <item x="104"/>
        <item x="55"/>
        <item x="19"/>
        <item x="139"/>
        <item x="144"/>
        <item x="146"/>
        <item x="145"/>
        <item x="165"/>
        <item x="150"/>
        <item x="98"/>
        <item x="52"/>
        <item x="58"/>
        <item x="164"/>
        <item x="29"/>
        <item x="163"/>
        <item x="166"/>
        <item x="99"/>
        <item x="137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numFmtId="165" showAll="0"/>
  </pivotFields>
  <rowFields count="1">
    <field x="5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Items count="1">
    <i/>
  </colItems>
  <dataFields count="1">
    <dataField name="BAR Sum of Net Invoice Amount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CEDE2-E809-2147-A0C1-1D2C1C8C8BFE}" name="PivotTable5" cacheId="3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BAR">
  <location ref="A3:B215" firstHeaderRow="1" firstDataRow="1" firstDataCol="1"/>
  <pivotFields count="49">
    <pivotField showAll="0"/>
    <pivotField showAll="0"/>
    <pivotField showAll="0"/>
    <pivotField showAll="0"/>
    <pivotField showAll="0"/>
    <pivotField axis="axisRow" showAll="0">
      <items count="212">
        <item x="22"/>
        <item x="67"/>
        <item x="152"/>
        <item x="17"/>
        <item x="187"/>
        <item x="133"/>
        <item x="132"/>
        <item x="134"/>
        <item x="110"/>
        <item x="23"/>
        <item x="109"/>
        <item x="135"/>
        <item x="32"/>
        <item x="72"/>
        <item x="68"/>
        <item x="122"/>
        <item x="65"/>
        <item x="116"/>
        <item x="119"/>
        <item x="129"/>
        <item x="66"/>
        <item x="69"/>
        <item x="147"/>
        <item x="142"/>
        <item x="162"/>
        <item x="117"/>
        <item x="169"/>
        <item x="160"/>
        <item x="153"/>
        <item x="25"/>
        <item x="141"/>
        <item x="10"/>
        <item x="11"/>
        <item x="12"/>
        <item x="13"/>
        <item x="14"/>
        <item x="78"/>
        <item x="45"/>
        <item x="159"/>
        <item x="138"/>
        <item x="176"/>
        <item x="174"/>
        <item x="18"/>
        <item x="24"/>
        <item x="48"/>
        <item x="195"/>
        <item x="181"/>
        <item x="208"/>
        <item x="124"/>
        <item x="15"/>
        <item x="34"/>
        <item x="126"/>
        <item x="125"/>
        <item x="0"/>
        <item x="73"/>
        <item x="75"/>
        <item x="192"/>
        <item x="123"/>
        <item x="41"/>
        <item x="189"/>
        <item x="76"/>
        <item x="207"/>
        <item x="95"/>
        <item x="4"/>
        <item x="130"/>
        <item x="127"/>
        <item x="194"/>
        <item x="193"/>
        <item x="2"/>
        <item x="149"/>
        <item x="33"/>
        <item x="51"/>
        <item x="31"/>
        <item x="57"/>
        <item x="53"/>
        <item x="60"/>
        <item x="30"/>
        <item x="158"/>
        <item x="101"/>
        <item x="157"/>
        <item x="1"/>
        <item x="56"/>
        <item x="59"/>
        <item x="140"/>
        <item x="80"/>
        <item x="186"/>
        <item x="179"/>
        <item x="173"/>
        <item x="151"/>
        <item x="7"/>
        <item x="27"/>
        <item x="49"/>
        <item x="89"/>
        <item x="136"/>
        <item x="120"/>
        <item x="175"/>
        <item x="62"/>
        <item x="170"/>
        <item x="210"/>
        <item x="177"/>
        <item x="154"/>
        <item x="9"/>
        <item x="86"/>
        <item x="88"/>
        <item x="87"/>
        <item x="92"/>
        <item x="93"/>
        <item x="94"/>
        <item x="90"/>
        <item x="91"/>
        <item x="161"/>
        <item x="172"/>
        <item x="28"/>
        <item x="71"/>
        <item x="81"/>
        <item x="190"/>
        <item x="180"/>
        <item x="50"/>
        <item x="118"/>
        <item x="168"/>
        <item x="167"/>
        <item x="131"/>
        <item x="20"/>
        <item x="183"/>
        <item x="54"/>
        <item x="40"/>
        <item x="8"/>
        <item x="206"/>
        <item x="100"/>
        <item x="102"/>
        <item x="96"/>
        <item x="188"/>
        <item x="185"/>
        <item x="184"/>
        <item x="191"/>
        <item x="103"/>
        <item x="16"/>
        <item x="204"/>
        <item x="205"/>
        <item x="202"/>
        <item x="209"/>
        <item x="143"/>
        <item x="121"/>
        <item x="85"/>
        <item x="61"/>
        <item x="171"/>
        <item x="178"/>
        <item x="47"/>
        <item x="84"/>
        <item x="79"/>
        <item x="43"/>
        <item x="111"/>
        <item x="112"/>
        <item x="114"/>
        <item x="113"/>
        <item x="115"/>
        <item x="197"/>
        <item x="198"/>
        <item x="196"/>
        <item x="199"/>
        <item x="201"/>
        <item x="200"/>
        <item x="6"/>
        <item x="46"/>
        <item x="26"/>
        <item x="39"/>
        <item x="156"/>
        <item x="105"/>
        <item x="106"/>
        <item x="108"/>
        <item x="107"/>
        <item x="42"/>
        <item x="155"/>
        <item x="148"/>
        <item x="74"/>
        <item x="3"/>
        <item x="5"/>
        <item x="21"/>
        <item x="128"/>
        <item x="83"/>
        <item x="64"/>
        <item x="97"/>
        <item x="63"/>
        <item x="182"/>
        <item x="38"/>
        <item x="77"/>
        <item x="203"/>
        <item x="37"/>
        <item x="35"/>
        <item x="36"/>
        <item x="82"/>
        <item x="44"/>
        <item x="104"/>
        <item x="55"/>
        <item x="19"/>
        <item x="139"/>
        <item x="144"/>
        <item x="146"/>
        <item x="145"/>
        <item x="165"/>
        <item x="150"/>
        <item x="98"/>
        <item x="52"/>
        <item x="58"/>
        <item x="164"/>
        <item x="29"/>
        <item x="163"/>
        <item x="166"/>
        <item x="99"/>
        <item x="137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numFmtId="9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numFmtId="165" showAll="0"/>
  </pivotFields>
  <rowFields count="1">
    <field x="5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Items count="1">
    <i/>
  </colItems>
  <dataFields count="1">
    <dataField name="BAR Sum of Net Invoice Amount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88C03-8EA4-2C44-9D4C-86E308089E38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2" firstHeaderRow="1" firstDataRow="1" firstDataCol="1"/>
  <pivotFields count="36">
    <pivotField showAll="0"/>
    <pivotField showAll="0"/>
    <pivotField showAll="0"/>
    <pivotField showAll="0"/>
    <pivotField axis="axisRow" showAll="0">
      <items count="229">
        <item x="100"/>
        <item x="200"/>
        <item x="0"/>
        <item x="1"/>
        <item x="201"/>
        <item x="2"/>
        <item x="101"/>
        <item x="102"/>
        <item x="3"/>
        <item x="4"/>
        <item x="202"/>
        <item x="103"/>
        <item x="104"/>
        <item x="105"/>
        <item x="106"/>
        <item x="107"/>
        <item x="5"/>
        <item x="108"/>
        <item x="6"/>
        <item x="109"/>
        <item x="110"/>
        <item x="203"/>
        <item x="111"/>
        <item x="7"/>
        <item x="112"/>
        <item x="8"/>
        <item x="113"/>
        <item x="204"/>
        <item x="114"/>
        <item x="115"/>
        <item x="205"/>
        <item x="9"/>
        <item x="206"/>
        <item x="10"/>
        <item x="116"/>
        <item x="11"/>
        <item x="12"/>
        <item x="13"/>
        <item x="14"/>
        <item x="117"/>
        <item x="118"/>
        <item x="15"/>
        <item x="16"/>
        <item x="207"/>
        <item x="119"/>
        <item x="120"/>
        <item x="17"/>
        <item x="18"/>
        <item x="121"/>
        <item x="122"/>
        <item x="19"/>
        <item x="123"/>
        <item x="20"/>
        <item x="124"/>
        <item x="21"/>
        <item x="125"/>
        <item x="126"/>
        <item x="127"/>
        <item x="208"/>
        <item x="22"/>
        <item x="128"/>
        <item x="23"/>
        <item x="24"/>
        <item x="25"/>
        <item x="129"/>
        <item x="130"/>
        <item x="26"/>
        <item x="131"/>
        <item x="209"/>
        <item x="132"/>
        <item x="210"/>
        <item x="133"/>
        <item x="211"/>
        <item x="212"/>
        <item x="27"/>
        <item x="134"/>
        <item x="135"/>
        <item x="136"/>
        <item x="137"/>
        <item x="213"/>
        <item x="138"/>
        <item x="28"/>
        <item x="139"/>
        <item x="214"/>
        <item x="140"/>
        <item x="29"/>
        <item x="30"/>
        <item x="31"/>
        <item x="141"/>
        <item x="32"/>
        <item x="33"/>
        <item x="142"/>
        <item x="34"/>
        <item x="35"/>
        <item x="143"/>
        <item x="36"/>
        <item x="37"/>
        <item x="38"/>
        <item x="144"/>
        <item x="145"/>
        <item x="39"/>
        <item x="40"/>
        <item x="41"/>
        <item x="146"/>
        <item x="147"/>
        <item x="42"/>
        <item x="43"/>
        <item x="148"/>
        <item x="149"/>
        <item x="150"/>
        <item x="44"/>
        <item x="45"/>
        <item x="46"/>
        <item x="151"/>
        <item x="152"/>
        <item x="47"/>
        <item x="153"/>
        <item x="48"/>
        <item x="154"/>
        <item x="155"/>
        <item x="156"/>
        <item x="49"/>
        <item x="215"/>
        <item x="157"/>
        <item x="158"/>
        <item x="159"/>
        <item x="50"/>
        <item x="51"/>
        <item x="52"/>
        <item x="53"/>
        <item x="216"/>
        <item x="54"/>
        <item x="160"/>
        <item x="161"/>
        <item x="162"/>
        <item x="55"/>
        <item x="163"/>
        <item x="217"/>
        <item x="164"/>
        <item x="56"/>
        <item x="165"/>
        <item x="57"/>
        <item x="166"/>
        <item x="167"/>
        <item x="58"/>
        <item x="168"/>
        <item x="59"/>
        <item x="169"/>
        <item x="60"/>
        <item x="61"/>
        <item x="62"/>
        <item x="218"/>
        <item x="63"/>
        <item x="170"/>
        <item x="171"/>
        <item x="219"/>
        <item x="172"/>
        <item x="64"/>
        <item x="220"/>
        <item x="65"/>
        <item x="66"/>
        <item x="173"/>
        <item x="221"/>
        <item x="67"/>
        <item x="222"/>
        <item x="68"/>
        <item x="69"/>
        <item x="70"/>
        <item x="71"/>
        <item x="223"/>
        <item x="174"/>
        <item x="175"/>
        <item x="72"/>
        <item x="176"/>
        <item x="73"/>
        <item x="177"/>
        <item x="74"/>
        <item x="178"/>
        <item x="179"/>
        <item x="180"/>
        <item x="75"/>
        <item x="76"/>
        <item x="77"/>
        <item x="181"/>
        <item x="182"/>
        <item x="78"/>
        <item x="79"/>
        <item x="80"/>
        <item x="224"/>
        <item x="183"/>
        <item x="81"/>
        <item x="82"/>
        <item x="184"/>
        <item x="185"/>
        <item x="225"/>
        <item x="83"/>
        <item x="84"/>
        <item x="226"/>
        <item x="186"/>
        <item x="85"/>
        <item x="187"/>
        <item x="188"/>
        <item x="189"/>
        <item x="190"/>
        <item x="86"/>
        <item x="191"/>
        <item x="227"/>
        <item x="192"/>
        <item x="193"/>
        <item x="87"/>
        <item x="88"/>
        <item x="89"/>
        <item x="194"/>
        <item x="90"/>
        <item x="195"/>
        <item x="91"/>
        <item x="196"/>
        <item x="92"/>
        <item x="93"/>
        <item x="197"/>
        <item x="94"/>
        <item x="95"/>
        <item x="198"/>
        <item x="96"/>
        <item x="97"/>
        <item x="98"/>
        <item x="199"/>
        <item x="99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 t="grand">
      <x/>
    </i>
  </rowItems>
  <colItems count="1">
    <i/>
  </colItems>
  <dataFields count="1">
    <dataField name="Sum of Net Invoice Amoun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B9AD-9BB4-BA48-9D1F-29A9936F98B9}">
  <dimension ref="A3:D218"/>
  <sheetViews>
    <sheetView tabSelected="1" workbookViewId="0">
      <selection activeCell="D189" sqref="D189"/>
    </sheetView>
  </sheetViews>
  <sheetFormatPr baseColWidth="10" defaultRowHeight="15" x14ac:dyDescent="0.2"/>
  <cols>
    <col min="1" max="1" width="12.1640625" bestFit="1" customWidth="1"/>
    <col min="2" max="2" width="26" style="7" bestFit="1" customWidth="1"/>
    <col min="3" max="3" width="14.6640625" bestFit="1" customWidth="1"/>
    <col min="4" max="4" width="15.1640625" bestFit="1" customWidth="1"/>
  </cols>
  <sheetData>
    <row r="3" spans="1:4" x14ac:dyDescent="0.2">
      <c r="A3" t="s">
        <v>2534</v>
      </c>
      <c r="B3" s="7" t="s">
        <v>2535</v>
      </c>
      <c r="C3" s="13" t="s">
        <v>2537</v>
      </c>
      <c r="D3" s="13" t="s">
        <v>2536</v>
      </c>
    </row>
    <row r="4" spans="1:4" x14ac:dyDescent="0.2">
      <c r="A4" s="9">
        <v>250528</v>
      </c>
      <c r="B4" s="7">
        <v>0</v>
      </c>
      <c r="C4" s="7">
        <f>VLOOKUP(A4,'AOS Pivot'!A:B,2,FALSE)</f>
        <v>0</v>
      </c>
      <c r="D4" s="12">
        <f>(B4-C4)</f>
        <v>0</v>
      </c>
    </row>
    <row r="5" spans="1:4" x14ac:dyDescent="0.2">
      <c r="A5" s="9">
        <v>251886</v>
      </c>
      <c r="B5" s="7">
        <v>6741.1200000000008</v>
      </c>
      <c r="C5" s="7">
        <f>VLOOKUP(A5,'AOS Pivot'!A:B,2,FALSE)</f>
        <v>6741.12</v>
      </c>
      <c r="D5" s="12">
        <f t="shared" ref="D5:D68" si="0">(B5-C5)</f>
        <v>9.0949470177292824E-13</v>
      </c>
    </row>
    <row r="6" spans="1:4" x14ac:dyDescent="0.2">
      <c r="A6" s="9">
        <v>252135</v>
      </c>
      <c r="B6" s="7">
        <v>0</v>
      </c>
      <c r="C6" s="7">
        <f>VLOOKUP(A6,'AOS Pivot'!A:B,2,FALSE)</f>
        <v>0</v>
      </c>
      <c r="D6" s="12">
        <f t="shared" si="0"/>
        <v>0</v>
      </c>
    </row>
    <row r="7" spans="1:4" x14ac:dyDescent="0.2">
      <c r="A7" s="9">
        <v>252314</v>
      </c>
      <c r="B7" s="7">
        <v>0</v>
      </c>
      <c r="C7" s="7">
        <f>VLOOKUP(A7,'AOS Pivot'!A:B,2,FALSE)</f>
        <v>0</v>
      </c>
      <c r="D7" s="12">
        <f t="shared" si="0"/>
        <v>0</v>
      </c>
    </row>
    <row r="8" spans="1:4" x14ac:dyDescent="0.2">
      <c r="A8" s="9">
        <v>252340</v>
      </c>
      <c r="B8" s="7">
        <v>30427.14</v>
      </c>
      <c r="C8" s="7">
        <f>VLOOKUP(A8,'AOS Pivot'!A:B,2,FALSE)</f>
        <v>30427.134999999998</v>
      </c>
      <c r="D8" s="12">
        <f t="shared" si="0"/>
        <v>5.0000000010186341E-3</v>
      </c>
    </row>
    <row r="9" spans="1:4" x14ac:dyDescent="0.2">
      <c r="A9" s="9">
        <v>252732</v>
      </c>
      <c r="B9" s="7">
        <v>55223.11</v>
      </c>
      <c r="C9" s="7">
        <f>VLOOKUP(A9,'AOS Pivot'!A:B,2,FALSE)</f>
        <v>55218.55</v>
      </c>
      <c r="D9" s="12">
        <f t="shared" si="0"/>
        <v>4.5599999999976717</v>
      </c>
    </row>
    <row r="10" spans="1:4" x14ac:dyDescent="0.2">
      <c r="A10" s="9">
        <v>252733</v>
      </c>
      <c r="B10" s="7">
        <v>30355.25</v>
      </c>
      <c r="C10" s="7">
        <f>VLOOKUP(A10,'AOS Pivot'!A:B,2,FALSE)</f>
        <v>30351.205000000002</v>
      </c>
      <c r="D10" s="12">
        <f t="shared" si="0"/>
        <v>4.0449999999982538</v>
      </c>
    </row>
    <row r="11" spans="1:4" x14ac:dyDescent="0.2">
      <c r="A11" s="9">
        <v>252736</v>
      </c>
      <c r="B11" s="7">
        <v>40743.07</v>
      </c>
      <c r="C11" s="7">
        <f>VLOOKUP(A11,'AOS Pivot'!A:B,2,FALSE)</f>
        <v>40738.017999999996</v>
      </c>
      <c r="D11" s="12">
        <f t="shared" si="0"/>
        <v>5.0520000000033178</v>
      </c>
    </row>
    <row r="12" spans="1:4" x14ac:dyDescent="0.2">
      <c r="A12" s="9">
        <v>253348</v>
      </c>
      <c r="B12" s="7">
        <v>7190.0400000000009</v>
      </c>
      <c r="C12" s="7">
        <f>VLOOKUP(A12,'AOS Pivot'!A:B,2,FALSE)</f>
        <v>7189.9211000000005</v>
      </c>
      <c r="D12" s="12">
        <f t="shared" si="0"/>
        <v>0.11890000000039436</v>
      </c>
    </row>
    <row r="13" spans="1:4" x14ac:dyDescent="0.2">
      <c r="A13" s="9">
        <v>253612</v>
      </c>
      <c r="B13" s="7">
        <v>0</v>
      </c>
      <c r="C13" s="7">
        <f>VLOOKUP(A13,'AOS Pivot'!A:B,2,FALSE)</f>
        <v>0</v>
      </c>
      <c r="D13" s="12">
        <f t="shared" si="0"/>
        <v>0</v>
      </c>
    </row>
    <row r="14" spans="1:4" x14ac:dyDescent="0.2">
      <c r="A14" s="9">
        <v>254371</v>
      </c>
      <c r="B14" s="7">
        <v>965.55</v>
      </c>
      <c r="C14" s="7">
        <f>VLOOKUP(A14,'AOS Pivot'!A:B,2,FALSE)</f>
        <v>8689.4958000000006</v>
      </c>
      <c r="D14" s="12">
        <f t="shared" si="0"/>
        <v>-7723.9458000000004</v>
      </c>
    </row>
    <row r="15" spans="1:4" x14ac:dyDescent="0.2">
      <c r="A15" s="9">
        <v>256852</v>
      </c>
      <c r="B15" s="7">
        <v>165693.24</v>
      </c>
      <c r="C15" s="7">
        <f>VLOOKUP(A15,'AOS Pivot'!A:B,2,FALSE)</f>
        <v>331386.48</v>
      </c>
      <c r="D15" s="12">
        <f t="shared" si="0"/>
        <v>-165693.24</v>
      </c>
    </row>
    <row r="16" spans="1:4" x14ac:dyDescent="0.2">
      <c r="A16" s="9">
        <v>257222</v>
      </c>
      <c r="B16" s="7">
        <v>334073.21999999997</v>
      </c>
      <c r="C16" s="7">
        <f>VLOOKUP(A16,'AOS Pivot'!A:B,2,FALSE)</f>
        <v>667936.27</v>
      </c>
      <c r="D16" s="12">
        <f t="shared" si="0"/>
        <v>-333863.05000000005</v>
      </c>
    </row>
    <row r="17" spans="1:4" x14ac:dyDescent="0.2">
      <c r="A17" s="9">
        <v>257491</v>
      </c>
      <c r="B17" s="7">
        <v>674038.9</v>
      </c>
      <c r="C17" s="7">
        <f>VLOOKUP(A17,'AOS Pivot'!A:B,2,FALSE)</f>
        <v>1348077.8900000004</v>
      </c>
      <c r="D17" s="12">
        <f t="shared" si="0"/>
        <v>-674038.99000000034</v>
      </c>
    </row>
    <row r="18" spans="1:4" x14ac:dyDescent="0.2">
      <c r="A18" s="9">
        <v>257492</v>
      </c>
      <c r="B18" s="7">
        <v>35510.559999999998</v>
      </c>
      <c r="C18" s="7">
        <f>VLOOKUP(A18,'AOS Pivot'!A:B,2,FALSE)</f>
        <v>35510.553599999999</v>
      </c>
      <c r="D18" s="12">
        <f t="shared" si="0"/>
        <v>6.3999999983934686E-3</v>
      </c>
    </row>
    <row r="19" spans="1:4" x14ac:dyDescent="0.2">
      <c r="A19" s="9">
        <v>257531</v>
      </c>
      <c r="B19" s="7">
        <v>420215.61</v>
      </c>
      <c r="C19" s="7">
        <f>VLOOKUP(A19,'AOS Pivot'!A:B,2,FALSE)</f>
        <v>842179.49259999988</v>
      </c>
      <c r="D19" s="12">
        <f t="shared" si="0"/>
        <v>-421963.8825999999</v>
      </c>
    </row>
    <row r="20" spans="1:4" x14ac:dyDescent="0.2">
      <c r="A20" s="9">
        <v>257594</v>
      </c>
      <c r="B20" s="7">
        <v>172419.46000000002</v>
      </c>
      <c r="C20" s="7">
        <f>VLOOKUP(A20,'AOS Pivot'!A:B,2,FALSE)</f>
        <v>344838.9277</v>
      </c>
      <c r="D20" s="12">
        <f t="shared" si="0"/>
        <v>-172419.46769999998</v>
      </c>
    </row>
    <row r="21" spans="1:4" x14ac:dyDescent="0.2">
      <c r="A21" s="9">
        <v>257634</v>
      </c>
      <c r="B21" s="7">
        <v>775000.01</v>
      </c>
      <c r="C21" s="7">
        <f>VLOOKUP(A21,'AOS Pivot'!A:B,2,FALSE)</f>
        <v>1625000.02</v>
      </c>
      <c r="D21" s="12">
        <f t="shared" si="0"/>
        <v>-850000.01</v>
      </c>
    </row>
    <row r="22" spans="1:4" x14ac:dyDescent="0.2">
      <c r="A22" s="9">
        <v>257639</v>
      </c>
      <c r="B22" s="7">
        <v>275819.7099999999</v>
      </c>
      <c r="C22" s="7">
        <f>VLOOKUP(A22,'AOS Pivot'!A:B,2,FALSE)</f>
        <v>551510.58099999989</v>
      </c>
      <c r="D22" s="12">
        <f t="shared" si="0"/>
        <v>-275690.87099999998</v>
      </c>
    </row>
    <row r="23" spans="1:4" x14ac:dyDescent="0.2">
      <c r="A23" s="9">
        <v>257663</v>
      </c>
      <c r="B23" s="7">
        <v>136634.34</v>
      </c>
      <c r="C23" s="7">
        <f>VLOOKUP(A23,'AOS Pivot'!A:B,2,FALSE)</f>
        <v>136595.27119999999</v>
      </c>
      <c r="D23" s="12">
        <f t="shared" si="0"/>
        <v>39.068800000008196</v>
      </c>
    </row>
    <row r="24" spans="1:4" x14ac:dyDescent="0.2">
      <c r="A24" s="9">
        <v>258950</v>
      </c>
      <c r="B24" s="7">
        <v>275133.34999999998</v>
      </c>
      <c r="C24" s="7">
        <f>VLOOKUP(A24,'AOS Pivot'!A:B,2,FALSE)</f>
        <v>550164.58920000005</v>
      </c>
      <c r="D24" s="12">
        <f t="shared" si="0"/>
        <v>-275031.23920000007</v>
      </c>
    </row>
    <row r="25" spans="1:4" x14ac:dyDescent="0.2">
      <c r="A25" s="9">
        <v>258952</v>
      </c>
      <c r="B25" s="7">
        <v>700000.02</v>
      </c>
      <c r="C25" s="7">
        <f>VLOOKUP(A25,'AOS Pivot'!A:B,2,FALSE)</f>
        <v>1400000.02</v>
      </c>
      <c r="D25" s="12">
        <f t="shared" si="0"/>
        <v>-700000</v>
      </c>
    </row>
    <row r="26" spans="1:4" x14ac:dyDescent="0.2">
      <c r="A26" s="9">
        <v>259125</v>
      </c>
      <c r="B26" s="7">
        <v>267660.20999999996</v>
      </c>
      <c r="C26" s="7">
        <f>VLOOKUP(A26,'AOS Pivot'!A:B,2,FALSE)</f>
        <v>535320.42500000005</v>
      </c>
      <c r="D26" s="12">
        <f t="shared" si="0"/>
        <v>-267660.21500000008</v>
      </c>
    </row>
    <row r="27" spans="1:4" x14ac:dyDescent="0.2">
      <c r="A27" s="9">
        <v>259143</v>
      </c>
      <c r="B27" s="7">
        <v>160018.41999999998</v>
      </c>
      <c r="C27" s="7">
        <f>VLOOKUP(A27,'AOS Pivot'!A:B,2,FALSE)</f>
        <v>320036.84000000003</v>
      </c>
      <c r="D27" s="12">
        <f t="shared" si="0"/>
        <v>-160018.42000000004</v>
      </c>
    </row>
    <row r="28" spans="1:4" x14ac:dyDescent="0.2">
      <c r="A28" s="9">
        <v>259149</v>
      </c>
      <c r="B28" s="7">
        <v>419604.14999999997</v>
      </c>
      <c r="C28" s="7">
        <f>VLOOKUP(A28,'AOS Pivot'!A:B,2,FALSE)</f>
        <v>839208.29680000001</v>
      </c>
      <c r="D28" s="12">
        <f t="shared" si="0"/>
        <v>-419604.14680000005</v>
      </c>
    </row>
    <row r="29" spans="1:4" x14ac:dyDescent="0.2">
      <c r="A29" s="9">
        <v>259151</v>
      </c>
      <c r="B29" s="7">
        <v>434574.7</v>
      </c>
      <c r="C29" s="7">
        <f>VLOOKUP(A29,'AOS Pivot'!A:B,2,FALSE)</f>
        <v>869053.18409999995</v>
      </c>
      <c r="D29" s="12">
        <f t="shared" si="0"/>
        <v>-434478.48409999994</v>
      </c>
    </row>
    <row r="30" spans="1:4" x14ac:dyDescent="0.2">
      <c r="A30" s="9">
        <v>259155</v>
      </c>
      <c r="B30" s="7">
        <v>306122.44</v>
      </c>
      <c r="C30" s="7">
        <f>VLOOKUP(A30,'AOS Pivot'!A:B,2,FALSE)</f>
        <v>612244.89800000004</v>
      </c>
      <c r="D30" s="12">
        <f t="shared" si="0"/>
        <v>-306122.45800000004</v>
      </c>
    </row>
    <row r="31" spans="1:4" x14ac:dyDescent="0.2">
      <c r="A31" s="9">
        <v>259270</v>
      </c>
      <c r="B31" s="7">
        <v>445140</v>
      </c>
      <c r="C31" s="7">
        <f>VLOOKUP(A31,'AOS Pivot'!A:B,2,FALSE)</f>
        <v>890280</v>
      </c>
      <c r="D31" s="12">
        <f t="shared" si="0"/>
        <v>-445140</v>
      </c>
    </row>
    <row r="32" spans="1:4" x14ac:dyDescent="0.2">
      <c r="A32" s="9">
        <v>259301</v>
      </c>
      <c r="B32" s="7">
        <v>266049.76</v>
      </c>
      <c r="C32" s="7">
        <f>VLOOKUP(A32,'AOS Pivot'!A:B,2,FALSE)</f>
        <v>532099.52</v>
      </c>
      <c r="D32" s="12">
        <f t="shared" si="0"/>
        <v>-266049.76</v>
      </c>
    </row>
    <row r="33" spans="1:4" x14ac:dyDescent="0.2">
      <c r="A33" s="9">
        <v>259315</v>
      </c>
      <c r="B33" s="7">
        <v>181222.38</v>
      </c>
      <c r="C33" s="7">
        <f>VLOOKUP(A33,'AOS Pivot'!A:B,2,FALSE)</f>
        <v>362444.7683</v>
      </c>
      <c r="D33" s="12">
        <f t="shared" si="0"/>
        <v>-181222.38829999999</v>
      </c>
    </row>
    <row r="34" spans="1:4" x14ac:dyDescent="0.2">
      <c r="A34" s="9">
        <v>259384</v>
      </c>
      <c r="B34" s="7">
        <v>588704.08000000007</v>
      </c>
      <c r="C34" s="7">
        <f>VLOOKUP(A34,'AOS Pivot'!A:B,2,FALSE)</f>
        <v>1177408.1634</v>
      </c>
      <c r="D34" s="12">
        <f t="shared" si="0"/>
        <v>-588704.08339999989</v>
      </c>
    </row>
    <row r="35" spans="1:4" x14ac:dyDescent="0.2">
      <c r="A35" s="9">
        <v>259418</v>
      </c>
      <c r="B35" s="7">
        <v>9778.25</v>
      </c>
      <c r="C35" s="7">
        <f>VLOOKUP(A35,'AOS Pivot'!A:B,2,FALSE)</f>
        <v>9778.2456000000002</v>
      </c>
      <c r="D35" s="12">
        <f t="shared" si="0"/>
        <v>4.3999999998050043E-3</v>
      </c>
    </row>
    <row r="36" spans="1:4" x14ac:dyDescent="0.2">
      <c r="A36" s="9">
        <v>259419</v>
      </c>
      <c r="B36" s="7">
        <v>0</v>
      </c>
      <c r="C36" s="7">
        <f>VLOOKUP(A36,'AOS Pivot'!A:B,2,FALSE)</f>
        <v>0</v>
      </c>
      <c r="D36" s="12">
        <f t="shared" si="0"/>
        <v>0</v>
      </c>
    </row>
    <row r="37" spans="1:4" x14ac:dyDescent="0.2">
      <c r="A37" s="9">
        <v>259421</v>
      </c>
      <c r="B37" s="7">
        <v>0.05</v>
      </c>
      <c r="C37" s="7">
        <f>VLOOKUP(A37,'AOS Pivot'!A:B,2,FALSE)</f>
        <v>0.05</v>
      </c>
      <c r="D37" s="12">
        <f t="shared" si="0"/>
        <v>0</v>
      </c>
    </row>
    <row r="38" spans="1:4" x14ac:dyDescent="0.2">
      <c r="A38" s="9">
        <v>259423</v>
      </c>
      <c r="B38" s="7">
        <v>1731.34</v>
      </c>
      <c r="C38" s="7">
        <f>VLOOKUP(A38,'AOS Pivot'!A:B,2,FALSE)</f>
        <v>5454.8450000000003</v>
      </c>
      <c r="D38" s="12">
        <f t="shared" si="0"/>
        <v>-3723.5050000000001</v>
      </c>
    </row>
    <row r="39" spans="1:4" x14ac:dyDescent="0.2">
      <c r="A39" s="9">
        <v>259424</v>
      </c>
      <c r="B39" s="7">
        <v>1516.17</v>
      </c>
      <c r="C39" s="7">
        <f>VLOOKUP(A39,'AOS Pivot'!A:B,2,FALSE)</f>
        <v>3549.558</v>
      </c>
      <c r="D39" s="12">
        <f t="shared" si="0"/>
        <v>-2033.3879999999999</v>
      </c>
    </row>
    <row r="40" spans="1:4" x14ac:dyDescent="0.2">
      <c r="A40" s="9">
        <v>259461</v>
      </c>
      <c r="B40" s="7">
        <v>889557.54999999993</v>
      </c>
      <c r="C40" s="7">
        <f>VLOOKUP(A40,'AOS Pivot'!A:B,2,FALSE)</f>
        <v>1779115.1154</v>
      </c>
      <c r="D40" s="12">
        <f t="shared" si="0"/>
        <v>-889557.56540000008</v>
      </c>
    </row>
    <row r="41" spans="1:4" x14ac:dyDescent="0.2">
      <c r="A41" s="9">
        <v>259462</v>
      </c>
      <c r="B41" s="7">
        <v>300790.18</v>
      </c>
      <c r="C41" s="7">
        <f>VLOOKUP(A41,'AOS Pivot'!A:B,2,FALSE)</f>
        <v>601580.35970000003</v>
      </c>
      <c r="D41" s="12">
        <f t="shared" si="0"/>
        <v>-300790.17970000004</v>
      </c>
    </row>
    <row r="42" spans="1:4" x14ac:dyDescent="0.2">
      <c r="A42" s="9">
        <v>259726</v>
      </c>
      <c r="B42" s="7">
        <v>332242.36000000004</v>
      </c>
      <c r="C42" s="7">
        <f>VLOOKUP(A42,'AOS Pivot'!A:B,2,FALSE)</f>
        <v>664484.72</v>
      </c>
      <c r="D42" s="12">
        <f t="shared" si="0"/>
        <v>-332242.35999999993</v>
      </c>
    </row>
    <row r="43" spans="1:4" x14ac:dyDescent="0.2">
      <c r="A43" s="9">
        <v>259734</v>
      </c>
      <c r="B43" s="7">
        <v>222953.88</v>
      </c>
      <c r="C43" s="7">
        <f>VLOOKUP(A43,'AOS Pivot'!A:B,2,FALSE)</f>
        <v>445907.76489999995</v>
      </c>
      <c r="D43" s="12">
        <f t="shared" si="0"/>
        <v>-222953.88489999995</v>
      </c>
    </row>
    <row r="44" spans="1:4" x14ac:dyDescent="0.2">
      <c r="A44" s="9">
        <v>259933</v>
      </c>
      <c r="B44" s="7">
        <v>9373.7100000000009</v>
      </c>
      <c r="C44" s="7">
        <f>VLOOKUP(A44,'AOS Pivot'!A:B,2,FALSE)</f>
        <v>9373.7124999999996</v>
      </c>
      <c r="D44" s="12">
        <f t="shared" si="0"/>
        <v>-2.4999999986903276E-3</v>
      </c>
    </row>
    <row r="45" spans="1:4" x14ac:dyDescent="0.2">
      <c r="A45" s="9">
        <v>259968</v>
      </c>
      <c r="B45" s="7">
        <v>0.54</v>
      </c>
      <c r="C45" s="7">
        <f>VLOOKUP(A45,'AOS Pivot'!A:B,2,FALSE)</f>
        <v>0.54</v>
      </c>
      <c r="D45" s="12">
        <f t="shared" si="0"/>
        <v>0</v>
      </c>
    </row>
    <row r="46" spans="1:4" x14ac:dyDescent="0.2">
      <c r="A46" s="9">
        <v>260564</v>
      </c>
      <c r="B46" s="7">
        <v>1061946.92</v>
      </c>
      <c r="C46" s="7">
        <f>VLOOKUP(A46,'AOS Pivot'!A:B,2,FALSE)</f>
        <v>1061946.9025999999</v>
      </c>
      <c r="D46" s="12">
        <f t="shared" si="0"/>
        <v>1.74000000115484E-2</v>
      </c>
    </row>
    <row r="47" spans="1:4" x14ac:dyDescent="0.2">
      <c r="A47" s="9">
        <v>260800</v>
      </c>
      <c r="B47" s="7">
        <v>2345.3200000000002</v>
      </c>
      <c r="C47" s="7">
        <f>VLOOKUP(A47,'AOS Pivot'!A:B,2,FALSE)</f>
        <v>2345.3231000000001</v>
      </c>
      <c r="D47" s="12">
        <f t="shared" si="0"/>
        <v>-3.0999999999039574E-3</v>
      </c>
    </row>
    <row r="48" spans="1:4" x14ac:dyDescent="0.2">
      <c r="A48" s="9">
        <v>261387</v>
      </c>
      <c r="B48" s="7">
        <v>641041.55000000005</v>
      </c>
      <c r="C48" s="7">
        <f>VLOOKUP(A48,'AOS Pivot'!A:B,2,FALSE)</f>
        <v>1282083.094</v>
      </c>
      <c r="D48" s="12">
        <f t="shared" si="0"/>
        <v>-641041.54399999999</v>
      </c>
    </row>
    <row r="49" spans="1:4" x14ac:dyDescent="0.2">
      <c r="A49" s="9">
        <v>261759</v>
      </c>
      <c r="B49" s="7">
        <v>117825.06</v>
      </c>
      <c r="C49" s="7">
        <f>VLOOKUP(A49,'AOS Pivot'!A:B,2,FALSE)</f>
        <v>235650.11200000002</v>
      </c>
      <c r="D49" s="12">
        <f t="shared" si="0"/>
        <v>-117825.05200000003</v>
      </c>
    </row>
    <row r="50" spans="1:4" x14ac:dyDescent="0.2">
      <c r="A50" s="9">
        <v>261763</v>
      </c>
      <c r="B50" s="7">
        <v>400000</v>
      </c>
      <c r="C50" s="7">
        <f>VLOOKUP(A50,'AOS Pivot'!A:B,2,FALSE)</f>
        <v>800000</v>
      </c>
      <c r="D50" s="12">
        <f t="shared" si="0"/>
        <v>-400000</v>
      </c>
    </row>
    <row r="51" spans="1:4" x14ac:dyDescent="0.2">
      <c r="A51" s="9">
        <v>261764</v>
      </c>
      <c r="B51" s="7">
        <v>362877.4</v>
      </c>
      <c r="C51" s="7">
        <f>VLOOKUP(A51,'AOS Pivot'!A:B,2,FALSE)</f>
        <v>725754.83650000009</v>
      </c>
      <c r="D51" s="12">
        <f t="shared" si="0"/>
        <v>-362877.43650000007</v>
      </c>
    </row>
    <row r="52" spans="1:4" x14ac:dyDescent="0.2">
      <c r="A52" s="9">
        <v>261931</v>
      </c>
      <c r="B52" s="7">
        <v>753598.74000000011</v>
      </c>
      <c r="C52" s="7">
        <f>VLOOKUP(A52,'AOS Pivot'!A:B,2,FALSE)</f>
        <v>1507197.4816999999</v>
      </c>
      <c r="D52" s="12">
        <f t="shared" si="0"/>
        <v>-753598.74169999978</v>
      </c>
    </row>
    <row r="53" spans="1:4" x14ac:dyDescent="0.2">
      <c r="A53" s="9">
        <v>261946</v>
      </c>
      <c r="B53" s="7">
        <v>139635.30000000002</v>
      </c>
      <c r="C53" s="7">
        <f>VLOOKUP(A53,'AOS Pivot'!A:B,2,FALSE)</f>
        <v>386553.21100000001</v>
      </c>
      <c r="D53" s="12">
        <f t="shared" si="0"/>
        <v>-246917.91099999999</v>
      </c>
    </row>
    <row r="54" spans="1:4" x14ac:dyDescent="0.2">
      <c r="A54" s="9">
        <v>261965</v>
      </c>
      <c r="B54" s="7">
        <v>10783.84</v>
      </c>
      <c r="C54" s="7">
        <f>VLOOKUP(A54,'AOS Pivot'!A:B,2,FALSE)</f>
        <v>21567.68</v>
      </c>
      <c r="D54" s="12">
        <f t="shared" si="0"/>
        <v>-10783.84</v>
      </c>
    </row>
    <row r="55" spans="1:4" x14ac:dyDescent="0.2">
      <c r="A55" s="9">
        <v>262032</v>
      </c>
      <c r="B55" s="7">
        <v>126089.63</v>
      </c>
      <c r="C55" s="7">
        <f>VLOOKUP(A55,'AOS Pivot'!A:B,2,FALSE)</f>
        <v>252179.25270000001</v>
      </c>
      <c r="D55" s="12">
        <f t="shared" si="0"/>
        <v>-126089.62270000001</v>
      </c>
    </row>
    <row r="56" spans="1:4" x14ac:dyDescent="0.2">
      <c r="A56" s="9">
        <v>262034</v>
      </c>
      <c r="B56" s="7">
        <v>56639.62</v>
      </c>
      <c r="C56" s="7">
        <f>VLOOKUP(A56,'AOS Pivot'!A:B,2,FALSE)</f>
        <v>113279.24900000001</v>
      </c>
      <c r="D56" s="12">
        <f t="shared" si="0"/>
        <v>-56639.629000000008</v>
      </c>
    </row>
    <row r="57" spans="1:4" x14ac:dyDescent="0.2">
      <c r="A57" s="9">
        <v>262385</v>
      </c>
      <c r="B57" s="7">
        <v>138993.25</v>
      </c>
      <c r="C57" s="7">
        <f>VLOOKUP(A57,'AOS Pivot'!A:B,2,FALSE)</f>
        <v>243993.25</v>
      </c>
      <c r="D57" s="12">
        <f t="shared" si="0"/>
        <v>-105000</v>
      </c>
    </row>
    <row r="58" spans="1:4" x14ac:dyDescent="0.2">
      <c r="A58" s="9">
        <v>262498</v>
      </c>
      <c r="B58" s="7">
        <v>7142.78</v>
      </c>
      <c r="C58" s="7">
        <f>VLOOKUP(A58,'AOS Pivot'!A:B,2,FALSE)</f>
        <v>14285.55</v>
      </c>
      <c r="D58" s="12">
        <f t="shared" si="0"/>
        <v>-7142.7699999999995</v>
      </c>
    </row>
    <row r="59" spans="1:4" x14ac:dyDescent="0.2">
      <c r="A59" s="9">
        <v>262576</v>
      </c>
      <c r="B59" s="7">
        <v>526401.94999999995</v>
      </c>
      <c r="C59" s="7">
        <f>VLOOKUP(A59,'AOS Pivot'!A:B,2,FALSE)</f>
        <v>1052766.564</v>
      </c>
      <c r="D59" s="12">
        <f t="shared" si="0"/>
        <v>-526364.61400000006</v>
      </c>
    </row>
    <row r="60" spans="1:4" x14ac:dyDescent="0.2">
      <c r="A60" s="9">
        <v>262833</v>
      </c>
      <c r="B60" s="7">
        <v>183304.86</v>
      </c>
      <c r="C60" s="7">
        <f>VLOOKUP(A60,'AOS Pivot'!A:B,2,FALSE)</f>
        <v>366464.10499999998</v>
      </c>
      <c r="D60" s="12">
        <f t="shared" si="0"/>
        <v>-183159.245</v>
      </c>
    </row>
    <row r="61" spans="1:4" x14ac:dyDescent="0.2">
      <c r="A61" s="9">
        <v>262910</v>
      </c>
      <c r="B61" s="7">
        <v>4545.46</v>
      </c>
      <c r="C61" s="7">
        <f>VLOOKUP(A61,'AOS Pivot'!A:B,2,FALSE)</f>
        <v>9090.9143000000004</v>
      </c>
      <c r="D61" s="12">
        <f t="shared" si="0"/>
        <v>-4545.4543000000003</v>
      </c>
    </row>
    <row r="62" spans="1:4" x14ac:dyDescent="0.2">
      <c r="A62" s="9">
        <v>262938</v>
      </c>
      <c r="B62" s="7">
        <v>136516.21000000002</v>
      </c>
      <c r="C62" s="7">
        <f>VLOOKUP(A62,'AOS Pivot'!A:B,2,FALSE)</f>
        <v>273032.38829999999</v>
      </c>
      <c r="D62" s="12">
        <f t="shared" si="0"/>
        <v>-136516.17829999997</v>
      </c>
    </row>
    <row r="63" spans="1:4" x14ac:dyDescent="0.2">
      <c r="A63" s="9">
        <v>263026</v>
      </c>
      <c r="B63" s="7">
        <v>121864.69999999998</v>
      </c>
      <c r="C63" s="7">
        <f>VLOOKUP(A63,'AOS Pivot'!A:B,2,FALSE)</f>
        <v>243729.39120000001</v>
      </c>
      <c r="D63" s="12">
        <f t="shared" si="0"/>
        <v>-121864.69120000003</v>
      </c>
    </row>
    <row r="64" spans="1:4" x14ac:dyDescent="0.2">
      <c r="A64" s="9">
        <v>263588</v>
      </c>
      <c r="B64" s="7">
        <v>41426.75</v>
      </c>
      <c r="C64" s="7">
        <f>VLOOKUP(A64,'AOS Pivot'!A:B,2,FALSE)</f>
        <v>41426.75</v>
      </c>
      <c r="D64" s="12">
        <f t="shared" si="0"/>
        <v>0</v>
      </c>
    </row>
    <row r="65" spans="1:4" x14ac:dyDescent="0.2">
      <c r="A65" s="9">
        <v>263599</v>
      </c>
      <c r="B65" s="7">
        <v>0</v>
      </c>
      <c r="C65" s="7">
        <f>VLOOKUP(A65,'AOS Pivot'!A:B,2,FALSE)</f>
        <v>0</v>
      </c>
      <c r="D65" s="12">
        <f t="shared" si="0"/>
        <v>0</v>
      </c>
    </row>
    <row r="66" spans="1:4" x14ac:dyDescent="0.2">
      <c r="A66" s="9">
        <v>263735</v>
      </c>
      <c r="B66" s="7">
        <v>6387.15</v>
      </c>
      <c r="C66" s="7">
        <f>VLOOKUP(A66,'AOS Pivot'!A:B,2,FALSE)</f>
        <v>12774.3</v>
      </c>
      <c r="D66" s="12">
        <f t="shared" si="0"/>
        <v>-6387.15</v>
      </c>
    </row>
    <row r="67" spans="1:4" x14ac:dyDescent="0.2">
      <c r="A67" s="9">
        <v>264043</v>
      </c>
      <c r="B67" s="7">
        <v>79594.92</v>
      </c>
      <c r="C67" s="7">
        <f>VLOOKUP(A67,'AOS Pivot'!A:B,2,FALSE)</f>
        <v>79594.924799999993</v>
      </c>
      <c r="D67" s="12">
        <f t="shared" si="0"/>
        <v>-4.7999999951571226E-3</v>
      </c>
    </row>
    <row r="68" spans="1:4" x14ac:dyDescent="0.2">
      <c r="A68" s="9">
        <v>264071</v>
      </c>
      <c r="B68" s="7">
        <v>334147.57</v>
      </c>
      <c r="C68" s="7">
        <f>VLOOKUP(A68,'AOS Pivot'!A:B,2,FALSE)</f>
        <v>334147.56599999999</v>
      </c>
      <c r="D68" s="12">
        <f t="shared" si="0"/>
        <v>4.0000000153668225E-3</v>
      </c>
    </row>
    <row r="69" spans="1:4" x14ac:dyDescent="0.2">
      <c r="A69" s="9">
        <v>264255</v>
      </c>
      <c r="B69" s="7">
        <v>9580.77</v>
      </c>
      <c r="C69" s="7">
        <f>VLOOKUP(A69,'AOS Pivot'!A:B,2,FALSE)</f>
        <v>9580.77</v>
      </c>
      <c r="D69" s="12">
        <f t="shared" ref="D69:D132" si="1">(B69-C69)</f>
        <v>0</v>
      </c>
    </row>
    <row r="70" spans="1:4" x14ac:dyDescent="0.2">
      <c r="A70" s="9">
        <v>264415</v>
      </c>
      <c r="B70" s="7">
        <v>10160.91</v>
      </c>
      <c r="C70" s="7">
        <f>VLOOKUP(A70,'AOS Pivot'!A:B,2,FALSE)</f>
        <v>20321.82</v>
      </c>
      <c r="D70" s="12">
        <f t="shared" si="1"/>
        <v>-10160.91</v>
      </c>
    </row>
    <row r="71" spans="1:4" x14ac:dyDescent="0.2">
      <c r="A71" s="9">
        <v>264419</v>
      </c>
      <c r="B71" s="7">
        <v>9947.36</v>
      </c>
      <c r="C71" s="7">
        <f>VLOOKUP(A71,'AOS Pivot'!A:B,2,FALSE)</f>
        <v>19894.72</v>
      </c>
      <c r="D71" s="12">
        <f t="shared" si="1"/>
        <v>-9947.36</v>
      </c>
    </row>
    <row r="72" spans="1:4" x14ac:dyDescent="0.2">
      <c r="A72" s="9">
        <v>264662</v>
      </c>
      <c r="B72" s="7">
        <v>1666</v>
      </c>
      <c r="C72" s="7">
        <f>VLOOKUP(A72,'AOS Pivot'!A:B,2,FALSE)</f>
        <v>1666</v>
      </c>
      <c r="D72" s="12">
        <f t="shared" si="1"/>
        <v>0</v>
      </c>
    </row>
    <row r="73" spans="1:4" x14ac:dyDescent="0.2">
      <c r="A73" s="9">
        <v>264707</v>
      </c>
      <c r="B73" s="7">
        <v>76923.08</v>
      </c>
      <c r="C73" s="7">
        <f>VLOOKUP(A73,'AOS Pivot'!A:B,2,FALSE)</f>
        <v>153846.16</v>
      </c>
      <c r="D73" s="12">
        <f t="shared" si="1"/>
        <v>-76923.08</v>
      </c>
    </row>
    <row r="74" spans="1:4" x14ac:dyDescent="0.2">
      <c r="A74" s="9">
        <v>264794</v>
      </c>
      <c r="B74" s="7">
        <v>1394.04</v>
      </c>
      <c r="C74" s="7">
        <f>VLOOKUP(A74,'AOS Pivot'!A:B,2,FALSE)</f>
        <v>2788.0749999999998</v>
      </c>
      <c r="D74" s="12">
        <f t="shared" si="1"/>
        <v>-1394.0349999999999</v>
      </c>
    </row>
    <row r="75" spans="1:4" x14ac:dyDescent="0.2">
      <c r="A75" s="9">
        <v>264809</v>
      </c>
      <c r="B75" s="7">
        <v>114375.67999999999</v>
      </c>
      <c r="C75" s="7">
        <f>VLOOKUP(A75,'AOS Pivot'!A:B,2,FALSE)</f>
        <v>114375.6776</v>
      </c>
      <c r="D75" s="12">
        <f t="shared" si="1"/>
        <v>2.3999999975785613E-3</v>
      </c>
    </row>
    <row r="76" spans="1:4" x14ac:dyDescent="0.2">
      <c r="A76" s="9">
        <v>264810</v>
      </c>
      <c r="B76" s="7">
        <v>29198.32</v>
      </c>
      <c r="C76" s="7">
        <f>VLOOKUP(A76,'AOS Pivot'!A:B,2,FALSE)</f>
        <v>29198.32</v>
      </c>
      <c r="D76" s="12">
        <f t="shared" si="1"/>
        <v>0</v>
      </c>
    </row>
    <row r="77" spans="1:4" x14ac:dyDescent="0.2">
      <c r="A77" s="9">
        <v>264814</v>
      </c>
      <c r="B77" s="7">
        <v>100391.18999999999</v>
      </c>
      <c r="C77" s="7">
        <f>VLOOKUP(A77,'AOS Pivot'!A:B,2,FALSE)</f>
        <v>100391.19500000001</v>
      </c>
      <c r="D77" s="12">
        <f t="shared" si="1"/>
        <v>-5.0000000192085281E-3</v>
      </c>
    </row>
    <row r="78" spans="1:4" x14ac:dyDescent="0.2">
      <c r="A78" s="9">
        <v>264953</v>
      </c>
      <c r="B78" s="7">
        <v>618.78</v>
      </c>
      <c r="C78" s="7">
        <f>VLOOKUP(A78,'AOS Pivot'!A:B,2,FALSE)</f>
        <v>1237.5574999999999</v>
      </c>
      <c r="D78" s="12">
        <f t="shared" si="1"/>
        <v>-618.77749999999992</v>
      </c>
    </row>
    <row r="79" spans="1:4" x14ac:dyDescent="0.2">
      <c r="A79" s="9">
        <v>264954</v>
      </c>
      <c r="B79" s="7">
        <v>11.54</v>
      </c>
      <c r="C79" s="7">
        <f>VLOOKUP(A79,'AOS Pivot'!A:B,2,FALSE)</f>
        <v>23.086300000000001</v>
      </c>
      <c r="D79" s="12">
        <f t="shared" si="1"/>
        <v>-11.546300000000002</v>
      </c>
    </row>
    <row r="80" spans="1:4" x14ac:dyDescent="0.2">
      <c r="A80" s="9">
        <v>264956</v>
      </c>
      <c r="B80" s="7">
        <v>8752.58</v>
      </c>
      <c r="C80" s="7">
        <f>VLOOKUP(A80,'AOS Pivot'!A:B,2,FALSE)</f>
        <v>30861.52</v>
      </c>
      <c r="D80" s="12">
        <f t="shared" si="1"/>
        <v>-22108.940000000002</v>
      </c>
    </row>
    <row r="81" spans="1:4" x14ac:dyDescent="0.2">
      <c r="A81" s="9">
        <v>265056</v>
      </c>
      <c r="B81" s="7">
        <v>49019.71</v>
      </c>
      <c r="C81" s="7">
        <f>VLOOKUP(A81,'AOS Pivot'!A:B,2,FALSE)</f>
        <v>49019.705900000001</v>
      </c>
      <c r="D81" s="12">
        <f t="shared" si="1"/>
        <v>4.0999999982886948E-3</v>
      </c>
    </row>
    <row r="82" spans="1:4" x14ac:dyDescent="0.2">
      <c r="A82" s="9">
        <v>265065</v>
      </c>
      <c r="B82" s="7">
        <v>495987.07000000007</v>
      </c>
      <c r="C82" s="7">
        <f>VLOOKUP(A82,'AOS Pivot'!A:B,2,FALSE)</f>
        <v>991974.11579999991</v>
      </c>
      <c r="D82" s="12">
        <f t="shared" si="1"/>
        <v>-495987.04579999985</v>
      </c>
    </row>
    <row r="83" spans="1:4" x14ac:dyDescent="0.2">
      <c r="A83" s="9">
        <v>265069</v>
      </c>
      <c r="B83" s="7">
        <v>153061.22</v>
      </c>
      <c r="C83" s="7">
        <f>VLOOKUP(A83,'AOS Pivot'!A:B,2,FALSE)</f>
        <v>306122.44900000002</v>
      </c>
      <c r="D83" s="12">
        <f t="shared" si="1"/>
        <v>-153061.22900000002</v>
      </c>
    </row>
    <row r="84" spans="1:4" x14ac:dyDescent="0.2">
      <c r="A84" s="9">
        <v>265136</v>
      </c>
      <c r="B84" s="7">
        <v>0</v>
      </c>
      <c r="C84" s="7">
        <f>VLOOKUP(A84,'AOS Pivot'!A:B,2,FALSE)</f>
        <v>0</v>
      </c>
      <c r="D84" s="12">
        <f t="shared" si="1"/>
        <v>0</v>
      </c>
    </row>
    <row r="85" spans="1:4" x14ac:dyDescent="0.2">
      <c r="A85" s="9">
        <v>265145</v>
      </c>
      <c r="B85" s="7">
        <v>3.37</v>
      </c>
      <c r="C85" s="7">
        <f>VLOOKUP(A85,'AOS Pivot'!A:B,2,FALSE)</f>
        <v>6.7403000000000004</v>
      </c>
      <c r="D85" s="12">
        <f t="shared" si="1"/>
        <v>-3.3703000000000003</v>
      </c>
    </row>
    <row r="86" spans="1:4" x14ac:dyDescent="0.2">
      <c r="A86" s="9">
        <v>265310</v>
      </c>
      <c r="B86" s="7">
        <v>15162.18</v>
      </c>
      <c r="C86" s="7">
        <f>VLOOKUP(A86,'AOS Pivot'!A:B,2,FALSE)</f>
        <v>15162.177799999999</v>
      </c>
      <c r="D86" s="12">
        <f t="shared" si="1"/>
        <v>2.2000000008119969E-3</v>
      </c>
    </row>
    <row r="87" spans="1:4" x14ac:dyDescent="0.2">
      <c r="A87" s="9">
        <v>265377</v>
      </c>
      <c r="B87" s="7">
        <v>12304.86</v>
      </c>
      <c r="C87" s="7">
        <f>VLOOKUP(A87,'AOS Pivot'!A:B,2,FALSE)</f>
        <v>12304.861999999999</v>
      </c>
      <c r="D87" s="12">
        <f t="shared" si="1"/>
        <v>-1.9999999985884642E-3</v>
      </c>
    </row>
    <row r="88" spans="1:4" x14ac:dyDescent="0.2">
      <c r="A88" s="9">
        <v>265472</v>
      </c>
      <c r="B88" s="7">
        <v>301370.80000000005</v>
      </c>
      <c r="C88" s="7">
        <f>VLOOKUP(A88,'AOS Pivot'!A:B,2,FALSE)</f>
        <v>602741.60000000009</v>
      </c>
      <c r="D88" s="12">
        <f t="shared" si="1"/>
        <v>-301370.80000000005</v>
      </c>
    </row>
    <row r="89" spans="1:4" x14ac:dyDescent="0.2">
      <c r="A89" s="9">
        <v>265595</v>
      </c>
      <c r="B89" s="7">
        <v>54303.68</v>
      </c>
      <c r="C89" s="7">
        <f>VLOOKUP(A89,'AOS Pivot'!A:B,2,FALSE)</f>
        <v>108607.36</v>
      </c>
      <c r="D89" s="12">
        <f t="shared" si="1"/>
        <v>-54303.68</v>
      </c>
    </row>
    <row r="90" spans="1:4" x14ac:dyDescent="0.2">
      <c r="A90" s="9">
        <v>265747</v>
      </c>
      <c r="B90" s="7">
        <v>703461.4</v>
      </c>
      <c r="C90" s="7">
        <f>VLOOKUP(A90,'AOS Pivot'!A:B,2,FALSE)</f>
        <v>1406922.8206</v>
      </c>
      <c r="D90" s="12">
        <f t="shared" si="1"/>
        <v>-703461.42059999995</v>
      </c>
    </row>
    <row r="91" spans="1:4" x14ac:dyDescent="0.2">
      <c r="A91" s="9">
        <v>265754</v>
      </c>
      <c r="B91" s="7">
        <v>1703.46</v>
      </c>
      <c r="C91" s="7">
        <f>VLOOKUP(A91,'AOS Pivot'!A:B,2,FALSE)</f>
        <v>6194.3374999999996</v>
      </c>
      <c r="D91" s="12">
        <f t="shared" si="1"/>
        <v>-4490.8774999999996</v>
      </c>
    </row>
    <row r="92" spans="1:4" x14ac:dyDescent="0.2">
      <c r="A92" s="9">
        <v>265769</v>
      </c>
      <c r="B92" s="7">
        <v>56551.92</v>
      </c>
      <c r="C92" s="7">
        <f>VLOOKUP(A92,'AOS Pivot'!A:B,2,FALSE)</f>
        <v>112674.03880000001</v>
      </c>
      <c r="D92" s="12">
        <f t="shared" si="1"/>
        <v>-56122.118800000011</v>
      </c>
    </row>
    <row r="93" spans="1:4" x14ac:dyDescent="0.2">
      <c r="A93" s="9">
        <v>265792</v>
      </c>
      <c r="B93" s="7">
        <v>4707.66</v>
      </c>
      <c r="C93" s="7">
        <f>VLOOKUP(A93,'AOS Pivot'!A:B,2,FALSE)</f>
        <v>9415.3320000000003</v>
      </c>
      <c r="D93" s="12">
        <f t="shared" si="1"/>
        <v>-4707.6720000000005</v>
      </c>
    </row>
    <row r="94" spans="1:4" x14ac:dyDescent="0.2">
      <c r="A94" s="9">
        <v>265809</v>
      </c>
      <c r="B94" s="7">
        <v>12072.57</v>
      </c>
      <c r="C94" s="7">
        <f>VLOOKUP(A94,'AOS Pivot'!A:B,2,FALSE)</f>
        <v>12072.572</v>
      </c>
      <c r="D94" s="12">
        <f t="shared" si="1"/>
        <v>-2.0000000004074536E-3</v>
      </c>
    </row>
    <row r="95" spans="1:4" x14ac:dyDescent="0.2">
      <c r="A95" s="9">
        <v>265850</v>
      </c>
      <c r="B95" s="7">
        <v>6666.7</v>
      </c>
      <c r="C95" s="7">
        <f>VLOOKUP(A95,'AOS Pivot'!A:B,2,FALSE)</f>
        <v>6666.7</v>
      </c>
      <c r="D95" s="12">
        <f t="shared" si="1"/>
        <v>0</v>
      </c>
    </row>
    <row r="96" spans="1:4" x14ac:dyDescent="0.2">
      <c r="A96" s="9">
        <v>265853</v>
      </c>
      <c r="B96" s="7">
        <v>148351.54999999999</v>
      </c>
      <c r="C96" s="7">
        <f>VLOOKUP(A96,'AOS Pivot'!A:B,2,FALSE)</f>
        <v>296703.1349</v>
      </c>
      <c r="D96" s="12">
        <f t="shared" si="1"/>
        <v>-148351.58490000002</v>
      </c>
    </row>
    <row r="97" spans="1:4" x14ac:dyDescent="0.2">
      <c r="A97" s="9">
        <v>266090</v>
      </c>
      <c r="B97" s="7">
        <v>129073.88</v>
      </c>
      <c r="C97" s="7">
        <f>VLOOKUP(A97,'AOS Pivot'!A:B,2,FALSE)</f>
        <v>129073.88</v>
      </c>
      <c r="D97" s="12">
        <f t="shared" si="1"/>
        <v>0</v>
      </c>
    </row>
    <row r="98" spans="1:4" x14ac:dyDescent="0.2">
      <c r="A98" s="9">
        <v>266094</v>
      </c>
      <c r="B98" s="7">
        <v>14418.589999999998</v>
      </c>
      <c r="C98" s="7">
        <f>VLOOKUP(A98,'AOS Pivot'!A:B,2,FALSE)</f>
        <v>28837.191999999999</v>
      </c>
      <c r="D98" s="12">
        <f t="shared" si="1"/>
        <v>-14418.602000000001</v>
      </c>
    </row>
    <row r="99" spans="1:4" x14ac:dyDescent="0.2">
      <c r="A99" s="9">
        <v>266130</v>
      </c>
      <c r="B99" s="7">
        <v>152.56</v>
      </c>
      <c r="C99" s="7">
        <f>VLOOKUP(A99,'AOS Pivot'!A:B,2,FALSE)</f>
        <v>2868.17</v>
      </c>
      <c r="D99" s="12">
        <f t="shared" si="1"/>
        <v>-2715.61</v>
      </c>
    </row>
    <row r="100" spans="1:4" x14ac:dyDescent="0.2">
      <c r="A100" s="9">
        <v>266239</v>
      </c>
      <c r="B100" s="7">
        <v>67528.53</v>
      </c>
      <c r="C100" s="7">
        <f>VLOOKUP(A100,'AOS Pivot'!A:B,2,FALSE)</f>
        <v>67528.53</v>
      </c>
      <c r="D100" s="12">
        <f t="shared" si="1"/>
        <v>0</v>
      </c>
    </row>
    <row r="101" spans="1:4" x14ac:dyDescent="0.2">
      <c r="A101" s="9">
        <v>266368</v>
      </c>
      <c r="B101" s="7">
        <v>25829.22</v>
      </c>
      <c r="C101" s="7">
        <f>VLOOKUP(A101,'AOS Pivot'!A:B,2,FALSE)</f>
        <v>75284.350000000006</v>
      </c>
      <c r="D101" s="12">
        <f t="shared" si="1"/>
        <v>-49455.130000000005</v>
      </c>
    </row>
    <row r="102" spans="1:4" x14ac:dyDescent="0.2">
      <c r="A102" s="9">
        <v>266431</v>
      </c>
      <c r="B102" s="7">
        <v>26864.05</v>
      </c>
      <c r="C102" s="7">
        <f>VLOOKUP(A102,'AOS Pivot'!A:B,2,FALSE)</f>
        <v>53728.1</v>
      </c>
      <c r="D102" s="12">
        <f t="shared" si="1"/>
        <v>-26864.05</v>
      </c>
    </row>
    <row r="103" spans="1:4" x14ac:dyDescent="0.2">
      <c r="A103" s="9">
        <v>266630</v>
      </c>
      <c r="B103" s="7">
        <v>872.74</v>
      </c>
      <c r="C103" s="7">
        <f>VLOOKUP(A103,'AOS Pivot'!A:B,2,FALSE)</f>
        <v>5236.4875000000002</v>
      </c>
      <c r="D103" s="12">
        <f t="shared" si="1"/>
        <v>-4363.7475000000004</v>
      </c>
    </row>
    <row r="104" spans="1:4" x14ac:dyDescent="0.2">
      <c r="A104" s="9">
        <v>266666</v>
      </c>
      <c r="B104" s="7">
        <v>17.55</v>
      </c>
      <c r="C104" s="7">
        <f>VLOOKUP(A104,'AOS Pivot'!A:B,2,FALSE)</f>
        <v>35.093499999999999</v>
      </c>
      <c r="D104" s="12">
        <f t="shared" si="1"/>
        <v>-17.543499999999998</v>
      </c>
    </row>
    <row r="105" spans="1:4" x14ac:dyDescent="0.2">
      <c r="A105" s="9">
        <v>266692</v>
      </c>
      <c r="B105" s="7">
        <v>900.9899999999999</v>
      </c>
      <c r="C105" s="7">
        <f>VLOOKUP(A105,'AOS Pivot'!A:B,2,FALSE)</f>
        <v>1801.9638</v>
      </c>
      <c r="D105" s="12">
        <f t="shared" si="1"/>
        <v>-900.9738000000001</v>
      </c>
    </row>
    <row r="106" spans="1:4" x14ac:dyDescent="0.2">
      <c r="A106" s="9">
        <v>266704</v>
      </c>
      <c r="B106" s="7">
        <v>199136.12000000002</v>
      </c>
      <c r="C106" s="7">
        <f>VLOOKUP(A106,'AOS Pivot'!A:B,2,FALSE)</f>
        <v>398272.2671</v>
      </c>
      <c r="D106" s="12">
        <f t="shared" si="1"/>
        <v>-199136.14709999997</v>
      </c>
    </row>
    <row r="107" spans="1:4" x14ac:dyDescent="0.2">
      <c r="A107" s="9">
        <v>266710</v>
      </c>
      <c r="B107" s="7">
        <v>167387.13999999998</v>
      </c>
      <c r="C107" s="7">
        <f>VLOOKUP(A107,'AOS Pivot'!A:B,2,FALSE)</f>
        <v>334774.29009999998</v>
      </c>
      <c r="D107" s="12">
        <f t="shared" si="1"/>
        <v>-167387.1501</v>
      </c>
    </row>
    <row r="108" spans="1:4" x14ac:dyDescent="0.2">
      <c r="A108" s="9">
        <v>266711</v>
      </c>
      <c r="B108" s="7">
        <v>96270.03</v>
      </c>
      <c r="C108" s="7">
        <f>VLOOKUP(A108,'AOS Pivot'!A:B,2,FALSE)</f>
        <v>193237.46950000001</v>
      </c>
      <c r="D108" s="12">
        <f t="shared" si="1"/>
        <v>-96967.439500000008</v>
      </c>
    </row>
    <row r="109" spans="1:4" x14ac:dyDescent="0.2">
      <c r="A109" s="9">
        <v>266866</v>
      </c>
      <c r="B109" s="7">
        <v>30747.690000000002</v>
      </c>
      <c r="C109" s="7">
        <f>VLOOKUP(A109,'AOS Pivot'!A:B,2,FALSE)</f>
        <v>61495.384700000002</v>
      </c>
      <c r="D109" s="12">
        <f t="shared" si="1"/>
        <v>-30747.6947</v>
      </c>
    </row>
    <row r="110" spans="1:4" x14ac:dyDescent="0.2">
      <c r="A110" s="9">
        <v>266869</v>
      </c>
      <c r="B110" s="7">
        <v>46727.69</v>
      </c>
      <c r="C110" s="7">
        <f>VLOOKUP(A110,'AOS Pivot'!A:B,2,FALSE)</f>
        <v>93455.384699999995</v>
      </c>
      <c r="D110" s="12">
        <f t="shared" si="1"/>
        <v>-46727.694699999993</v>
      </c>
    </row>
    <row r="111" spans="1:4" x14ac:dyDescent="0.2">
      <c r="A111" s="9">
        <v>266871</v>
      </c>
      <c r="B111" s="7">
        <v>14767.449999999999</v>
      </c>
      <c r="C111" s="7">
        <f>VLOOKUP(A111,'AOS Pivot'!A:B,2,FALSE)</f>
        <v>29534.892400000001</v>
      </c>
      <c r="D111" s="12">
        <f t="shared" si="1"/>
        <v>-14767.442400000002</v>
      </c>
    </row>
    <row r="112" spans="1:4" x14ac:dyDescent="0.2">
      <c r="A112" s="9">
        <v>266872</v>
      </c>
      <c r="B112" s="7">
        <v>30747.690000000002</v>
      </c>
      <c r="C112" s="7">
        <f>VLOOKUP(A112,'AOS Pivot'!A:B,2,FALSE)</f>
        <v>61495.384700000002</v>
      </c>
      <c r="D112" s="12">
        <f t="shared" si="1"/>
        <v>-30747.6947</v>
      </c>
    </row>
    <row r="113" spans="1:4" x14ac:dyDescent="0.2">
      <c r="A113" s="9">
        <v>266874</v>
      </c>
      <c r="B113" s="7">
        <v>30747.449999999997</v>
      </c>
      <c r="C113" s="7">
        <f>VLOOKUP(A113,'AOS Pivot'!A:B,2,FALSE)</f>
        <v>61494.892399999997</v>
      </c>
      <c r="D113" s="12">
        <f t="shared" si="1"/>
        <v>-30747.4424</v>
      </c>
    </row>
    <row r="114" spans="1:4" x14ac:dyDescent="0.2">
      <c r="A114" s="9">
        <v>266911</v>
      </c>
      <c r="B114" s="7">
        <v>153061.22</v>
      </c>
      <c r="C114" s="7">
        <f>VLOOKUP(A114,'AOS Pivot'!A:B,2,FALSE)</f>
        <v>306122.44900000002</v>
      </c>
      <c r="D114" s="12">
        <f t="shared" si="1"/>
        <v>-153061.22900000002</v>
      </c>
    </row>
    <row r="115" spans="1:4" x14ac:dyDescent="0.2">
      <c r="A115" s="9">
        <v>266929</v>
      </c>
      <c r="B115" s="7">
        <v>8672.2999999999993</v>
      </c>
      <c r="C115" s="7">
        <f>VLOOKUP(A115,'AOS Pivot'!A:B,2,FALSE)</f>
        <v>24282.424999999999</v>
      </c>
      <c r="D115" s="12">
        <f t="shared" si="1"/>
        <v>-15610.125</v>
      </c>
    </row>
    <row r="116" spans="1:4" x14ac:dyDescent="0.2">
      <c r="A116" s="9">
        <v>266966</v>
      </c>
      <c r="B116" s="7">
        <v>292893.28000000003</v>
      </c>
      <c r="C116" s="7">
        <f>VLOOKUP(A116,'AOS Pivot'!A:B,2,FALSE)</f>
        <v>585786.54570000002</v>
      </c>
      <c r="D116" s="12">
        <f t="shared" si="1"/>
        <v>-292893.26569999999</v>
      </c>
    </row>
    <row r="117" spans="1:4" x14ac:dyDescent="0.2">
      <c r="A117" s="9">
        <v>267002</v>
      </c>
      <c r="B117" s="7">
        <v>506606.22000000015</v>
      </c>
      <c r="C117" s="7">
        <f>VLOOKUP(A117,'AOS Pivot'!A:B,2,FALSE)</f>
        <v>1013212.4336999999</v>
      </c>
      <c r="D117" s="12">
        <f t="shared" si="1"/>
        <v>-506606.21369999979</v>
      </c>
    </row>
    <row r="118" spans="1:4" x14ac:dyDescent="0.2">
      <c r="A118" s="9">
        <v>267088</v>
      </c>
      <c r="B118" s="7">
        <v>328949.87000000011</v>
      </c>
      <c r="C118" s="7">
        <f>VLOOKUP(A118,'AOS Pivot'!A:B,2,FALSE)</f>
        <v>657899.71990000003</v>
      </c>
      <c r="D118" s="12">
        <f t="shared" si="1"/>
        <v>-328949.84989999991</v>
      </c>
    </row>
    <row r="119" spans="1:4" x14ac:dyDescent="0.2">
      <c r="A119" s="9">
        <v>267090</v>
      </c>
      <c r="B119" s="7">
        <v>285600.02</v>
      </c>
      <c r="C119" s="7">
        <f>VLOOKUP(A119,'AOS Pivot'!A:B,2,FALSE)</f>
        <v>571200.03</v>
      </c>
      <c r="D119" s="12">
        <f t="shared" si="1"/>
        <v>-285600.01</v>
      </c>
    </row>
    <row r="120" spans="1:4" x14ac:dyDescent="0.2">
      <c r="A120" s="9">
        <v>267105</v>
      </c>
      <c r="B120" s="7">
        <v>229591.83000000002</v>
      </c>
      <c r="C120" s="7">
        <f>VLOOKUP(A120,'AOS Pivot'!A:B,2,FALSE)</f>
        <v>459183.67349999998</v>
      </c>
      <c r="D120" s="12">
        <f t="shared" si="1"/>
        <v>-229591.84349999996</v>
      </c>
    </row>
    <row r="121" spans="1:4" x14ac:dyDescent="0.2">
      <c r="A121" s="9">
        <v>267136</v>
      </c>
      <c r="B121" s="7">
        <v>17659.75</v>
      </c>
      <c r="C121" s="7">
        <f>VLOOKUP(A121,'AOS Pivot'!A:B,2,FALSE)</f>
        <v>35319.502399999998</v>
      </c>
      <c r="D121" s="12">
        <f t="shared" si="1"/>
        <v>-17659.752399999998</v>
      </c>
    </row>
    <row r="122" spans="1:4" x14ac:dyDescent="0.2">
      <c r="A122" s="9">
        <v>267191</v>
      </c>
      <c r="B122" s="7">
        <v>57541.610000000008</v>
      </c>
      <c r="C122" s="7">
        <f>VLOOKUP(A122,'AOS Pivot'!A:B,2,FALSE)</f>
        <v>114978.11499999999</v>
      </c>
      <c r="D122" s="12">
        <f t="shared" si="1"/>
        <v>-57436.504999999983</v>
      </c>
    </row>
    <row r="123" spans="1:4" x14ac:dyDescent="0.2">
      <c r="A123" s="9">
        <v>267395</v>
      </c>
      <c r="B123" s="7">
        <v>331094.76</v>
      </c>
      <c r="C123" s="7">
        <f>VLOOKUP(A123,'AOS Pivot'!A:B,2,FALSE)</f>
        <v>662189.52</v>
      </c>
      <c r="D123" s="12">
        <f t="shared" si="1"/>
        <v>-331094.76</v>
      </c>
    </row>
    <row r="124" spans="1:4" x14ac:dyDescent="0.2">
      <c r="A124" s="9">
        <v>267432</v>
      </c>
      <c r="B124" s="7">
        <v>76938.820000000007</v>
      </c>
      <c r="C124" s="7">
        <f>VLOOKUP(A124,'AOS Pivot'!A:B,2,FALSE)</f>
        <v>153877.64000000001</v>
      </c>
      <c r="D124" s="12">
        <f t="shared" si="1"/>
        <v>-76938.820000000007</v>
      </c>
    </row>
    <row r="125" spans="1:4" x14ac:dyDescent="0.2">
      <c r="A125" s="9">
        <v>267453</v>
      </c>
      <c r="B125" s="7">
        <v>24891.489999999998</v>
      </c>
      <c r="C125" s="7">
        <f>VLOOKUP(A125,'AOS Pivot'!A:B,2,FALSE)</f>
        <v>49784.176999999996</v>
      </c>
      <c r="D125" s="12">
        <f t="shared" si="1"/>
        <v>-24892.686999999998</v>
      </c>
    </row>
    <row r="126" spans="1:4" x14ac:dyDescent="0.2">
      <c r="A126" s="9">
        <v>267640</v>
      </c>
      <c r="B126" s="7">
        <v>3604.4</v>
      </c>
      <c r="C126" s="7">
        <f>VLOOKUP(A126,'AOS Pivot'!A:B,2,FALSE)</f>
        <v>7209.0145000000002</v>
      </c>
      <c r="D126" s="12">
        <f t="shared" si="1"/>
        <v>-3604.6145000000001</v>
      </c>
    </row>
    <row r="127" spans="1:4" x14ac:dyDescent="0.2">
      <c r="A127" s="9">
        <v>267694</v>
      </c>
      <c r="B127" s="7">
        <v>51318.95</v>
      </c>
      <c r="C127" s="7">
        <f>VLOOKUP(A127,'AOS Pivot'!A:B,2,FALSE)</f>
        <v>102637.9035</v>
      </c>
      <c r="D127" s="12">
        <f t="shared" si="1"/>
        <v>-51318.953500000003</v>
      </c>
    </row>
    <row r="128" spans="1:4" x14ac:dyDescent="0.2">
      <c r="A128" s="9">
        <v>267744</v>
      </c>
      <c r="B128" s="7">
        <v>76849.38</v>
      </c>
      <c r="C128" s="7">
        <f>VLOOKUP(A128,'AOS Pivot'!A:B,2,FALSE)</f>
        <v>76849.483300000007</v>
      </c>
      <c r="D128" s="12">
        <f t="shared" si="1"/>
        <v>-0.10330000000249129</v>
      </c>
    </row>
    <row r="129" spans="1:4" x14ac:dyDescent="0.2">
      <c r="A129" s="9">
        <v>267764</v>
      </c>
      <c r="B129" s="7">
        <v>32586.05</v>
      </c>
      <c r="C129" s="7">
        <f>VLOOKUP(A129,'AOS Pivot'!A:B,2,FALSE)</f>
        <v>31454.595000000001</v>
      </c>
      <c r="D129" s="12">
        <f t="shared" si="1"/>
        <v>1131.4549999999981</v>
      </c>
    </row>
    <row r="130" spans="1:4" x14ac:dyDescent="0.2">
      <c r="A130" s="9">
        <v>267803</v>
      </c>
      <c r="B130" s="7">
        <v>374864.33</v>
      </c>
      <c r="C130" s="7">
        <f>VLOOKUP(A130,'AOS Pivot'!A:B,2,FALSE)</f>
        <v>749728.6614000001</v>
      </c>
      <c r="D130" s="12">
        <f t="shared" si="1"/>
        <v>-374864.33140000008</v>
      </c>
    </row>
    <row r="131" spans="1:4" x14ac:dyDescent="0.2">
      <c r="A131" s="9">
        <v>267883</v>
      </c>
      <c r="B131" s="7">
        <v>102326.11</v>
      </c>
      <c r="C131" s="7">
        <f>VLOOKUP(A131,'AOS Pivot'!A:B,2,FALSE)</f>
        <v>503583.636</v>
      </c>
      <c r="D131" s="12">
        <f t="shared" si="1"/>
        <v>-401257.52600000001</v>
      </c>
    </row>
    <row r="132" spans="1:4" x14ac:dyDescent="0.2">
      <c r="A132" s="9">
        <v>267884</v>
      </c>
      <c r="B132" s="7">
        <v>146194.78</v>
      </c>
      <c r="C132" s="7">
        <f>VLOOKUP(A132,'AOS Pivot'!A:B,2,FALSE)</f>
        <v>292389.55379999999</v>
      </c>
      <c r="D132" s="12">
        <f t="shared" si="1"/>
        <v>-146194.7738</v>
      </c>
    </row>
    <row r="133" spans="1:4" x14ac:dyDescent="0.2">
      <c r="A133" s="9">
        <v>267903</v>
      </c>
      <c r="B133" s="7">
        <v>40515.39</v>
      </c>
      <c r="C133" s="7">
        <f>VLOOKUP(A133,'AOS Pivot'!A:B,2,FALSE)</f>
        <v>85566.448000000004</v>
      </c>
      <c r="D133" s="12">
        <f t="shared" ref="D133:D196" si="2">(B133-C133)</f>
        <v>-45051.058000000005</v>
      </c>
    </row>
    <row r="134" spans="1:4" x14ac:dyDescent="0.2">
      <c r="A134" s="9">
        <v>267910</v>
      </c>
      <c r="B134" s="7">
        <v>157062.92000000001</v>
      </c>
      <c r="C134" s="7">
        <f>VLOOKUP(A134,'AOS Pivot'!A:B,2,FALSE)</f>
        <v>314125.84030000004</v>
      </c>
      <c r="D134" s="12">
        <f t="shared" si="2"/>
        <v>-157062.92030000003</v>
      </c>
    </row>
    <row r="135" spans="1:4" x14ac:dyDescent="0.2">
      <c r="A135" s="9">
        <v>267935</v>
      </c>
      <c r="B135" s="7">
        <v>1809.1000000000001</v>
      </c>
      <c r="C135" s="7">
        <f>VLOOKUP(A135,'AOS Pivot'!A:B,2,FALSE)</f>
        <v>3618.18</v>
      </c>
      <c r="D135" s="12">
        <f t="shared" si="2"/>
        <v>-1809.0799999999997</v>
      </c>
    </row>
    <row r="136" spans="1:4" x14ac:dyDescent="0.2">
      <c r="A136" s="9">
        <v>267962</v>
      </c>
      <c r="B136" s="7">
        <v>316492.38</v>
      </c>
      <c r="C136" s="7">
        <f>VLOOKUP(A136,'AOS Pivot'!A:B,2,FALSE)</f>
        <v>632984.77</v>
      </c>
      <c r="D136" s="12">
        <f t="shared" si="2"/>
        <v>-316492.39</v>
      </c>
    </row>
    <row r="137" spans="1:4" x14ac:dyDescent="0.2">
      <c r="A137" s="9">
        <v>267963</v>
      </c>
      <c r="B137" s="7">
        <v>99950.86</v>
      </c>
      <c r="C137" s="7">
        <f>VLOOKUP(A137,'AOS Pivot'!A:B,2,FALSE)</f>
        <v>199918.46000000002</v>
      </c>
      <c r="D137" s="12">
        <f t="shared" si="2"/>
        <v>-99967.60000000002</v>
      </c>
    </row>
    <row r="138" spans="1:4" x14ac:dyDescent="0.2">
      <c r="A138" s="9">
        <v>267967</v>
      </c>
      <c r="B138" s="7">
        <v>71264.990000000005</v>
      </c>
      <c r="C138" s="7">
        <f>VLOOKUP(A138,'AOS Pivot'!A:B,2,FALSE)</f>
        <v>142529.97999999998</v>
      </c>
      <c r="D138" s="12">
        <f t="shared" si="2"/>
        <v>-71264.989999999976</v>
      </c>
    </row>
    <row r="139" spans="1:4" x14ac:dyDescent="0.2">
      <c r="A139" s="9">
        <v>267992</v>
      </c>
      <c r="B139" s="7">
        <v>96780.17</v>
      </c>
      <c r="C139" s="7">
        <f>VLOOKUP(A139,'AOS Pivot'!A:B,2,FALSE)</f>
        <v>193560.34409999999</v>
      </c>
      <c r="D139" s="12">
        <f t="shared" si="2"/>
        <v>-96780.174099999989</v>
      </c>
    </row>
    <row r="140" spans="1:4" x14ac:dyDescent="0.2">
      <c r="A140" s="9">
        <v>268009</v>
      </c>
      <c r="B140" s="7">
        <v>185643.5</v>
      </c>
      <c r="C140" s="7">
        <f>VLOOKUP(A140,'AOS Pivot'!A:B,2,FALSE)</f>
        <v>492852.89</v>
      </c>
      <c r="D140" s="12">
        <f t="shared" si="2"/>
        <v>-307209.39</v>
      </c>
    </row>
    <row r="141" spans="1:4" x14ac:dyDescent="0.2">
      <c r="A141" s="9">
        <v>268012</v>
      </c>
      <c r="B141" s="7">
        <v>85765</v>
      </c>
      <c r="C141" s="7">
        <f>VLOOKUP(A141,'AOS Pivot'!A:B,2,FALSE)</f>
        <v>426254.42799999996</v>
      </c>
      <c r="D141" s="12">
        <f t="shared" si="2"/>
        <v>-340489.42799999996</v>
      </c>
    </row>
    <row r="142" spans="1:4" x14ac:dyDescent="0.2">
      <c r="A142" s="9">
        <v>268014</v>
      </c>
      <c r="B142" s="7">
        <v>43977.26</v>
      </c>
      <c r="C142" s="7">
        <f>VLOOKUP(A142,'AOS Pivot'!A:B,2,FALSE)</f>
        <v>87954.52</v>
      </c>
      <c r="D142" s="12">
        <f t="shared" si="2"/>
        <v>-43977.26</v>
      </c>
    </row>
    <row r="143" spans="1:4" x14ac:dyDescent="0.2">
      <c r="A143" s="9">
        <v>268015</v>
      </c>
      <c r="B143" s="7">
        <v>0</v>
      </c>
      <c r="C143" s="7" t="e">
        <f>VLOOKUP(A143,'AOS Pivot'!A:B,2,FALSE)</f>
        <v>#N/A</v>
      </c>
      <c r="D143" s="12" t="e">
        <f t="shared" si="2"/>
        <v>#N/A</v>
      </c>
    </row>
    <row r="144" spans="1:4" x14ac:dyDescent="0.2">
      <c r="A144" s="9">
        <v>268021</v>
      </c>
      <c r="B144" s="7">
        <v>62500</v>
      </c>
      <c r="C144" s="7">
        <f>VLOOKUP(A144,'AOS Pivot'!A:B,2,FALSE)</f>
        <v>125000</v>
      </c>
      <c r="D144" s="12">
        <f t="shared" si="2"/>
        <v>-62500</v>
      </c>
    </row>
    <row r="145" spans="1:4" x14ac:dyDescent="0.2">
      <c r="A145" s="9">
        <v>268091</v>
      </c>
      <c r="B145" s="7">
        <v>75640.62</v>
      </c>
      <c r="C145" s="7">
        <f>VLOOKUP(A145,'AOS Pivot'!A:B,2,FALSE)</f>
        <v>151281.24</v>
      </c>
      <c r="D145" s="12">
        <f t="shared" si="2"/>
        <v>-75640.62</v>
      </c>
    </row>
    <row r="146" spans="1:4" x14ac:dyDescent="0.2">
      <c r="A146" s="9">
        <v>268132</v>
      </c>
      <c r="B146" s="7">
        <v>39723.19</v>
      </c>
      <c r="C146" s="7">
        <f>VLOOKUP(A146,'AOS Pivot'!A:B,2,FALSE)</f>
        <v>79446.383999999991</v>
      </c>
      <c r="D146" s="12">
        <f t="shared" si="2"/>
        <v>-39723.193999999989</v>
      </c>
    </row>
    <row r="147" spans="1:4" x14ac:dyDescent="0.2">
      <c r="A147" s="9">
        <v>268217</v>
      </c>
      <c r="B147" s="7">
        <v>98694.87</v>
      </c>
      <c r="C147" s="7">
        <f>VLOOKUP(A147,'AOS Pivot'!A:B,2,FALSE)</f>
        <v>197389.74</v>
      </c>
      <c r="D147" s="12">
        <f t="shared" si="2"/>
        <v>-98694.87</v>
      </c>
    </row>
    <row r="148" spans="1:4" x14ac:dyDescent="0.2">
      <c r="A148" s="9">
        <v>268218</v>
      </c>
      <c r="B148" s="7">
        <v>14891.9</v>
      </c>
      <c r="C148" s="7">
        <f>VLOOKUP(A148,'AOS Pivot'!A:B,2,FALSE)</f>
        <v>29780.574999999997</v>
      </c>
      <c r="D148" s="12">
        <f t="shared" si="2"/>
        <v>-14888.674999999997</v>
      </c>
    </row>
    <row r="149" spans="1:4" x14ac:dyDescent="0.2">
      <c r="A149" s="9">
        <v>268274</v>
      </c>
      <c r="B149" s="7">
        <v>0.3</v>
      </c>
      <c r="C149" s="7">
        <f>VLOOKUP(A149,'AOS Pivot'!A:B,2,FALSE)</f>
        <v>1.05</v>
      </c>
      <c r="D149" s="12">
        <f t="shared" si="2"/>
        <v>-0.75</v>
      </c>
    </row>
    <row r="150" spans="1:4" x14ac:dyDescent="0.2">
      <c r="A150" s="9">
        <v>268353</v>
      </c>
      <c r="B150" s="7">
        <v>0.69000000000000006</v>
      </c>
      <c r="C150" s="7">
        <f>VLOOKUP(A150,'AOS Pivot'!A:B,2,FALSE)</f>
        <v>2.0699999999999998</v>
      </c>
      <c r="D150" s="12">
        <f t="shared" si="2"/>
        <v>-1.38</v>
      </c>
    </row>
    <row r="151" spans="1:4" x14ac:dyDescent="0.2">
      <c r="A151" s="9">
        <v>268444</v>
      </c>
      <c r="B151" s="7">
        <v>0</v>
      </c>
      <c r="C151" s="7">
        <f>VLOOKUP(A151,'AOS Pivot'!A:B,2,FALSE)</f>
        <v>0</v>
      </c>
      <c r="D151" s="12">
        <f t="shared" si="2"/>
        <v>0</v>
      </c>
    </row>
    <row r="152" spans="1:4" x14ac:dyDescent="0.2">
      <c r="A152" s="9">
        <v>268838</v>
      </c>
      <c r="B152" s="7">
        <v>0</v>
      </c>
      <c r="C152" s="7" t="e">
        <f>VLOOKUP(A152,'AOS Pivot'!A:B,2,FALSE)</f>
        <v>#N/A</v>
      </c>
      <c r="D152" s="12" t="e">
        <f t="shared" si="2"/>
        <v>#N/A</v>
      </c>
    </row>
    <row r="153" spans="1:4" x14ac:dyDescent="0.2">
      <c r="A153" s="9">
        <v>269003</v>
      </c>
      <c r="B153" s="7">
        <v>303203.25</v>
      </c>
      <c r="C153" s="7">
        <f>VLOOKUP(A153,'AOS Pivot'!A:B,2,FALSE)</f>
        <v>606406.48849999998</v>
      </c>
      <c r="D153" s="12">
        <f t="shared" si="2"/>
        <v>-303203.23849999998</v>
      </c>
    </row>
    <row r="154" spans="1:4" x14ac:dyDescent="0.2">
      <c r="A154" s="9">
        <v>269280</v>
      </c>
      <c r="B154" s="7">
        <v>290647</v>
      </c>
      <c r="C154" s="7">
        <f>VLOOKUP(A154,'AOS Pivot'!A:B,2,FALSE)</f>
        <v>581293.98469999991</v>
      </c>
      <c r="D154" s="12">
        <f t="shared" si="2"/>
        <v>-290646.98469999991</v>
      </c>
    </row>
    <row r="155" spans="1:4" x14ac:dyDescent="0.2">
      <c r="A155" s="9">
        <v>269478</v>
      </c>
      <c r="B155" s="7">
        <v>338500.06</v>
      </c>
      <c r="C155" s="7">
        <f>VLOOKUP(A155,'AOS Pivot'!A:B,2,FALSE)</f>
        <v>677000.1</v>
      </c>
      <c r="D155" s="12">
        <f t="shared" si="2"/>
        <v>-338500.04</v>
      </c>
    </row>
    <row r="156" spans="1:4" x14ac:dyDescent="0.2">
      <c r="A156" s="9">
        <v>269479</v>
      </c>
      <c r="B156" s="7">
        <v>79512.299999999988</v>
      </c>
      <c r="C156" s="7">
        <f>VLOOKUP(A156,'AOS Pivot'!A:B,2,FALSE)</f>
        <v>159024.59</v>
      </c>
      <c r="D156" s="12">
        <f t="shared" si="2"/>
        <v>-79512.290000000008</v>
      </c>
    </row>
    <row r="157" spans="1:4" x14ac:dyDescent="0.2">
      <c r="A157" s="9">
        <v>269480</v>
      </c>
      <c r="B157" s="7">
        <v>46041.819999999992</v>
      </c>
      <c r="C157" s="7">
        <f>VLOOKUP(A157,'AOS Pivot'!A:B,2,FALSE)</f>
        <v>92083.627999999997</v>
      </c>
      <c r="D157" s="12">
        <f t="shared" si="2"/>
        <v>-46041.808000000005</v>
      </c>
    </row>
    <row r="158" spans="1:4" x14ac:dyDescent="0.2">
      <c r="A158" s="9">
        <v>269482</v>
      </c>
      <c r="B158" s="7">
        <v>36949.58</v>
      </c>
      <c r="C158" s="7">
        <f>VLOOKUP(A158,'AOS Pivot'!A:B,2,FALSE)</f>
        <v>73899.16399999999</v>
      </c>
      <c r="D158" s="12">
        <f t="shared" si="2"/>
        <v>-36949.583999999988</v>
      </c>
    </row>
    <row r="159" spans="1:4" x14ac:dyDescent="0.2">
      <c r="A159" s="9">
        <v>269483</v>
      </c>
      <c r="B159" s="7">
        <v>63896.44</v>
      </c>
      <c r="C159" s="7">
        <f>VLOOKUP(A159,'AOS Pivot'!A:B,2,FALSE)</f>
        <v>127792.86199999999</v>
      </c>
      <c r="D159" s="12">
        <f t="shared" si="2"/>
        <v>-63896.421999999991</v>
      </c>
    </row>
    <row r="160" spans="1:4" x14ac:dyDescent="0.2">
      <c r="A160" s="9">
        <v>269582</v>
      </c>
      <c r="B160" s="7">
        <v>15128.109999999999</v>
      </c>
      <c r="C160" s="7">
        <f>VLOOKUP(A160,'AOS Pivot'!A:B,2,FALSE)</f>
        <v>30193.073000000004</v>
      </c>
      <c r="D160" s="12">
        <f t="shared" si="2"/>
        <v>-15064.963000000005</v>
      </c>
    </row>
    <row r="161" spans="1:4" x14ac:dyDescent="0.2">
      <c r="A161" s="9">
        <v>269583</v>
      </c>
      <c r="B161" s="7">
        <v>54264.360000000008</v>
      </c>
      <c r="C161" s="7">
        <f>VLOOKUP(A161,'AOS Pivot'!A:B,2,FALSE)</f>
        <v>108528.71799999999</v>
      </c>
      <c r="D161" s="12">
        <f t="shared" si="2"/>
        <v>-54264.357999999986</v>
      </c>
    </row>
    <row r="162" spans="1:4" x14ac:dyDescent="0.2">
      <c r="A162" s="9">
        <v>269584</v>
      </c>
      <c r="B162" s="7">
        <v>17515.850000000002</v>
      </c>
      <c r="C162" s="7">
        <f>VLOOKUP(A162,'AOS Pivot'!A:B,2,FALSE)</f>
        <v>35031.718000000001</v>
      </c>
      <c r="D162" s="12">
        <f t="shared" si="2"/>
        <v>-17515.867999999999</v>
      </c>
    </row>
    <row r="163" spans="1:4" x14ac:dyDescent="0.2">
      <c r="A163" s="9">
        <v>269585</v>
      </c>
      <c r="B163" s="7">
        <v>41757.21</v>
      </c>
      <c r="C163" s="7">
        <f>VLOOKUP(A163,'AOS Pivot'!A:B,2,FALSE)</f>
        <v>83514.429999999993</v>
      </c>
      <c r="D163" s="12">
        <f t="shared" si="2"/>
        <v>-41757.219999999994</v>
      </c>
    </row>
    <row r="164" spans="1:4" x14ac:dyDescent="0.2">
      <c r="A164" s="9">
        <v>269586</v>
      </c>
      <c r="B164" s="7">
        <v>72746.09</v>
      </c>
      <c r="C164" s="7">
        <f>VLOOKUP(A164,'AOS Pivot'!A:B,2,FALSE)</f>
        <v>145492.17600000001</v>
      </c>
      <c r="D164" s="12">
        <f t="shared" si="2"/>
        <v>-72746.08600000001</v>
      </c>
    </row>
    <row r="165" spans="1:4" x14ac:dyDescent="0.2">
      <c r="A165" s="9">
        <v>269587</v>
      </c>
      <c r="B165" s="7">
        <v>54795.62000000001</v>
      </c>
      <c r="C165" s="7">
        <f>VLOOKUP(A165,'AOS Pivot'!A:B,2,FALSE)</f>
        <v>109591.226</v>
      </c>
      <c r="D165" s="12">
        <f t="shared" si="2"/>
        <v>-54795.605999999985</v>
      </c>
    </row>
    <row r="166" spans="1:4" x14ac:dyDescent="0.2">
      <c r="A166" s="9">
        <v>269597</v>
      </c>
      <c r="B166" s="7">
        <v>13568.16</v>
      </c>
      <c r="C166" s="7">
        <f>VLOOKUP(A166,'AOS Pivot'!A:B,2,FALSE)</f>
        <v>13568.16</v>
      </c>
      <c r="D166" s="12">
        <f t="shared" si="2"/>
        <v>0</v>
      </c>
    </row>
    <row r="167" spans="1:4" x14ac:dyDescent="0.2">
      <c r="A167" s="9">
        <v>269600</v>
      </c>
      <c r="B167" s="7">
        <v>93287.88</v>
      </c>
      <c r="C167" s="7">
        <f>VLOOKUP(A167,'AOS Pivot'!A:B,2,FALSE)</f>
        <v>186575.75400000002</v>
      </c>
      <c r="D167" s="12">
        <f t="shared" si="2"/>
        <v>-93287.874000000011</v>
      </c>
    </row>
    <row r="168" spans="1:4" x14ac:dyDescent="0.2">
      <c r="A168" s="9">
        <v>269662</v>
      </c>
      <c r="B168" s="7">
        <v>114417.12</v>
      </c>
      <c r="C168" s="7">
        <f>VLOOKUP(A168,'AOS Pivot'!A:B,2,FALSE)</f>
        <v>228834.24829999998</v>
      </c>
      <c r="D168" s="12">
        <f t="shared" si="2"/>
        <v>-114417.12829999998</v>
      </c>
    </row>
    <row r="169" spans="1:4" x14ac:dyDescent="0.2">
      <c r="A169" s="9">
        <v>269710</v>
      </c>
      <c r="B169" s="7">
        <v>13150.02</v>
      </c>
      <c r="C169" s="7">
        <f>VLOOKUP(A169,'AOS Pivot'!A:B,2,FALSE)</f>
        <v>13150.02</v>
      </c>
      <c r="D169" s="12">
        <f t="shared" si="2"/>
        <v>0</v>
      </c>
    </row>
    <row r="170" spans="1:4" x14ac:dyDescent="0.2">
      <c r="A170" s="9">
        <v>269719</v>
      </c>
      <c r="B170" s="7">
        <v>74194.61</v>
      </c>
      <c r="C170" s="7">
        <f>VLOOKUP(A170,'AOS Pivot'!A:B,2,FALSE)</f>
        <v>106603.5478</v>
      </c>
      <c r="D170" s="12">
        <f t="shared" si="2"/>
        <v>-32408.9378</v>
      </c>
    </row>
    <row r="171" spans="1:4" x14ac:dyDescent="0.2">
      <c r="A171" s="9">
        <v>269721</v>
      </c>
      <c r="B171" s="7">
        <v>183467.52000000002</v>
      </c>
      <c r="C171" s="7">
        <f>VLOOKUP(A171,'AOS Pivot'!A:B,2,FALSE)</f>
        <v>366935.03940000001</v>
      </c>
      <c r="D171" s="12">
        <f t="shared" si="2"/>
        <v>-183467.51939999999</v>
      </c>
    </row>
    <row r="172" spans="1:4" x14ac:dyDescent="0.2">
      <c r="A172" s="9">
        <v>269736</v>
      </c>
      <c r="B172" s="7">
        <v>58637.16</v>
      </c>
      <c r="C172" s="7">
        <f>VLOOKUP(A172,'AOS Pivot'!A:B,2,FALSE)</f>
        <v>117274.32</v>
      </c>
      <c r="D172" s="12">
        <f t="shared" si="2"/>
        <v>-58637.16</v>
      </c>
    </row>
    <row r="173" spans="1:4" x14ac:dyDescent="0.2">
      <c r="A173" s="9">
        <v>269737</v>
      </c>
      <c r="B173" s="7">
        <v>76530.61</v>
      </c>
      <c r="C173" s="7">
        <f>VLOOKUP(A173,'AOS Pivot'!A:B,2,FALSE)</f>
        <v>153061.22450000001</v>
      </c>
      <c r="D173" s="12">
        <f t="shared" si="2"/>
        <v>-76530.614500000011</v>
      </c>
    </row>
    <row r="174" spans="1:4" x14ac:dyDescent="0.2">
      <c r="A174" s="9">
        <v>269740</v>
      </c>
      <c r="B174" s="7">
        <v>98724.52</v>
      </c>
      <c r="C174" s="7">
        <f>VLOOKUP(A174,'AOS Pivot'!A:B,2,FALSE)</f>
        <v>197449.0509</v>
      </c>
      <c r="D174" s="12">
        <f t="shared" si="2"/>
        <v>-98724.530899999998</v>
      </c>
    </row>
    <row r="175" spans="1:4" x14ac:dyDescent="0.2">
      <c r="A175" s="9">
        <v>269909</v>
      </c>
      <c r="B175" s="7">
        <v>942047.9099999998</v>
      </c>
      <c r="C175" s="7">
        <f>VLOOKUP(A175,'AOS Pivot'!A:B,2,FALSE)</f>
        <v>1884095.8373999998</v>
      </c>
      <c r="D175" s="12">
        <f t="shared" si="2"/>
        <v>-942047.92740000004</v>
      </c>
    </row>
    <row r="176" spans="1:4" x14ac:dyDescent="0.2">
      <c r="A176" s="9">
        <v>269931</v>
      </c>
      <c r="B176" s="7">
        <v>9115.92</v>
      </c>
      <c r="C176" s="7">
        <f>VLOOKUP(A176,'AOS Pivot'!A:B,2,FALSE)</f>
        <v>18231.8423</v>
      </c>
      <c r="D176" s="12">
        <f t="shared" si="2"/>
        <v>-9115.9223000000002</v>
      </c>
    </row>
    <row r="177" spans="1:4" x14ac:dyDescent="0.2">
      <c r="A177" s="9">
        <v>269943</v>
      </c>
      <c r="B177" s="7">
        <v>18579.100000000002</v>
      </c>
      <c r="C177" s="7">
        <f>VLOOKUP(A177,'AOS Pivot'!A:B,2,FALSE)</f>
        <v>37242.305399999997</v>
      </c>
      <c r="D177" s="12">
        <f t="shared" si="2"/>
        <v>-18663.205399999995</v>
      </c>
    </row>
    <row r="178" spans="1:4" x14ac:dyDescent="0.2">
      <c r="A178" s="9">
        <v>269990</v>
      </c>
      <c r="B178" s="7">
        <v>307719.25</v>
      </c>
      <c r="C178" s="7">
        <f>VLOOKUP(A178,'AOS Pivot'!A:B,2,FALSE)</f>
        <v>966538.80599999987</v>
      </c>
      <c r="D178" s="12">
        <f t="shared" si="2"/>
        <v>-658819.55599999987</v>
      </c>
    </row>
    <row r="179" spans="1:4" x14ac:dyDescent="0.2">
      <c r="A179" s="9">
        <v>270111</v>
      </c>
      <c r="B179" s="7">
        <v>136919.29</v>
      </c>
      <c r="C179" s="7">
        <f>VLOOKUP(A179,'AOS Pivot'!A:B,2,FALSE)</f>
        <v>273838.5821</v>
      </c>
      <c r="D179" s="12">
        <f t="shared" si="2"/>
        <v>-136919.29209999999</v>
      </c>
    </row>
    <row r="180" spans="1:4" x14ac:dyDescent="0.2">
      <c r="A180" s="9">
        <v>270352</v>
      </c>
      <c r="B180" s="7">
        <v>60000</v>
      </c>
      <c r="C180" s="7">
        <f>VLOOKUP(A180,'AOS Pivot'!A:B,2,FALSE)</f>
        <v>60000</v>
      </c>
      <c r="D180" s="12">
        <f t="shared" si="2"/>
        <v>0</v>
      </c>
    </row>
    <row r="181" spans="1:4" x14ac:dyDescent="0.2">
      <c r="A181" s="9">
        <v>270359</v>
      </c>
      <c r="B181" s="7">
        <v>150000.01</v>
      </c>
      <c r="C181" s="7">
        <f>VLOOKUP(A181,'AOS Pivot'!A:B,2,FALSE)</f>
        <v>300000.01</v>
      </c>
      <c r="D181" s="12">
        <f t="shared" si="2"/>
        <v>-150000</v>
      </c>
    </row>
    <row r="182" spans="1:4" x14ac:dyDescent="0.2">
      <c r="A182" s="9">
        <v>270419</v>
      </c>
      <c r="B182" s="7">
        <v>1321764.67</v>
      </c>
      <c r="C182" s="7">
        <f>VLOOKUP(A182,'AOS Pivot'!A:B,2,FALSE)</f>
        <v>1419039.5210000002</v>
      </c>
      <c r="D182" s="12">
        <f t="shared" si="2"/>
        <v>-97274.851000000257</v>
      </c>
    </row>
    <row r="183" spans="1:4" x14ac:dyDescent="0.2">
      <c r="A183" s="9">
        <v>270425</v>
      </c>
      <c r="B183" s="7">
        <v>87387.489999999991</v>
      </c>
      <c r="C183" s="7">
        <f>VLOOKUP(A183,'AOS Pivot'!A:B,2,FALSE)</f>
        <v>174774.99600000001</v>
      </c>
      <c r="D183" s="12">
        <f t="shared" si="2"/>
        <v>-87387.506000000023</v>
      </c>
    </row>
    <row r="184" spans="1:4" x14ac:dyDescent="0.2">
      <c r="A184" s="9">
        <v>270436</v>
      </c>
      <c r="B184" s="7">
        <v>107834.94</v>
      </c>
      <c r="C184" s="7">
        <f>VLOOKUP(A184,'AOS Pivot'!A:B,2,FALSE)</f>
        <v>215669.87400000001</v>
      </c>
      <c r="D184" s="12">
        <f t="shared" si="2"/>
        <v>-107834.93400000001</v>
      </c>
    </row>
    <row r="185" spans="1:4" x14ac:dyDescent="0.2">
      <c r="A185" s="9">
        <v>270448</v>
      </c>
      <c r="B185" s="7">
        <v>101180.37</v>
      </c>
      <c r="C185" s="7">
        <f>VLOOKUP(A185,'AOS Pivot'!A:B,2,FALSE)</f>
        <v>101180.37239999999</v>
      </c>
      <c r="D185" s="12">
        <f t="shared" si="2"/>
        <v>-2.3999999975785613E-3</v>
      </c>
    </row>
    <row r="186" spans="1:4" x14ac:dyDescent="0.2">
      <c r="A186" s="9">
        <v>270497</v>
      </c>
      <c r="B186" s="7">
        <v>153863.53</v>
      </c>
      <c r="C186" s="7">
        <f>VLOOKUP(A186,'AOS Pivot'!A:B,2,FALSE)</f>
        <v>307727.03200000001</v>
      </c>
      <c r="D186" s="12">
        <f t="shared" si="2"/>
        <v>-153863.50200000001</v>
      </c>
    </row>
    <row r="187" spans="1:4" x14ac:dyDescent="0.2">
      <c r="A187" s="9">
        <v>270546</v>
      </c>
      <c r="B187" s="7">
        <v>308128.07999999996</v>
      </c>
      <c r="C187" s="7">
        <f>VLOOKUP(A187,'AOS Pivot'!A:B,2,FALSE)</f>
        <v>616256.152</v>
      </c>
      <c r="D187" s="12">
        <f t="shared" si="2"/>
        <v>-308128.07200000004</v>
      </c>
    </row>
    <row r="188" spans="1:4" x14ac:dyDescent="0.2">
      <c r="A188" s="9">
        <v>270547</v>
      </c>
      <c r="B188" s="7">
        <v>107095.94</v>
      </c>
      <c r="C188" s="7">
        <f>VLOOKUP(A188,'AOS Pivot'!A:B,2,FALSE)</f>
        <v>214725.655</v>
      </c>
      <c r="D188" s="12">
        <f t="shared" si="2"/>
        <v>-107629.715</v>
      </c>
    </row>
    <row r="189" spans="1:4" x14ac:dyDescent="0.2">
      <c r="A189" s="9">
        <v>270566</v>
      </c>
      <c r="B189" s="7">
        <v>15833.35</v>
      </c>
      <c r="C189" s="7">
        <f>VLOOKUP(A189,'AOS Pivot'!A:B,2,FALSE)</f>
        <v>34689.729500000001</v>
      </c>
      <c r="D189" s="12">
        <f t="shared" si="2"/>
        <v>-18856.379500000003</v>
      </c>
    </row>
    <row r="190" spans="1:4" x14ac:dyDescent="0.2">
      <c r="A190" s="9">
        <v>270573</v>
      </c>
      <c r="B190" s="7">
        <v>107896.5</v>
      </c>
      <c r="C190" s="7">
        <f>VLOOKUP(A190,'AOS Pivot'!A:B,2,FALSE)</f>
        <v>914898.26800000016</v>
      </c>
      <c r="D190" s="12">
        <f t="shared" si="2"/>
        <v>-807001.76800000016</v>
      </c>
    </row>
    <row r="191" spans="1:4" x14ac:dyDescent="0.2">
      <c r="A191" s="9">
        <v>270641</v>
      </c>
      <c r="B191" s="7">
        <v>119817.84</v>
      </c>
      <c r="C191" s="7">
        <f>VLOOKUP(A191,'AOS Pivot'!A:B,2,FALSE)</f>
        <v>239635.68</v>
      </c>
      <c r="D191" s="12">
        <f t="shared" si="2"/>
        <v>-119817.84</v>
      </c>
    </row>
    <row r="192" spans="1:4" x14ac:dyDescent="0.2">
      <c r="A192" s="9">
        <v>270643</v>
      </c>
      <c r="B192" s="7">
        <v>27764.42</v>
      </c>
      <c r="C192" s="7">
        <f>VLOOKUP(A192,'AOS Pivot'!A:B,2,FALSE)</f>
        <v>55528.84</v>
      </c>
      <c r="D192" s="12">
        <f t="shared" si="2"/>
        <v>-27764.42</v>
      </c>
    </row>
    <row r="193" spans="1:4" x14ac:dyDescent="0.2">
      <c r="A193" s="9">
        <v>270734</v>
      </c>
      <c r="B193" s="7">
        <v>49532.36</v>
      </c>
      <c r="C193" s="7">
        <f>VLOOKUP(A193,'AOS Pivot'!A:B,2,FALSE)</f>
        <v>99064.72</v>
      </c>
      <c r="D193" s="12">
        <f t="shared" si="2"/>
        <v>-49532.36</v>
      </c>
    </row>
    <row r="194" spans="1:4" x14ac:dyDescent="0.2">
      <c r="A194" s="9">
        <v>270752</v>
      </c>
      <c r="B194" s="7">
        <v>90761.73</v>
      </c>
      <c r="C194" s="7">
        <f>VLOOKUP(A194,'AOS Pivot'!A:B,2,FALSE)</f>
        <v>181523.45799999998</v>
      </c>
      <c r="D194" s="12">
        <f t="shared" si="2"/>
        <v>-90761.727999999988</v>
      </c>
    </row>
    <row r="195" spans="1:4" x14ac:dyDescent="0.2">
      <c r="A195" s="9">
        <v>270775</v>
      </c>
      <c r="B195" s="7">
        <v>150000.00999999998</v>
      </c>
      <c r="C195" s="7">
        <f>VLOOKUP(A195,'AOS Pivot'!A:B,2,FALSE)</f>
        <v>304370.386</v>
      </c>
      <c r="D195" s="12">
        <f t="shared" si="2"/>
        <v>-154370.37600000002</v>
      </c>
    </row>
    <row r="196" spans="1:4" x14ac:dyDescent="0.2">
      <c r="A196" s="9">
        <v>270964</v>
      </c>
      <c r="B196" s="7">
        <v>48997.440000000002</v>
      </c>
      <c r="C196" s="7">
        <f>VLOOKUP(A196,'AOS Pivot'!A:B,2,FALSE)</f>
        <v>97994.880000000005</v>
      </c>
      <c r="D196" s="12">
        <f t="shared" si="2"/>
        <v>-48997.440000000002</v>
      </c>
    </row>
    <row r="197" spans="1:4" x14ac:dyDescent="0.2">
      <c r="A197" s="9">
        <v>271008</v>
      </c>
      <c r="B197" s="7">
        <v>1420.28</v>
      </c>
      <c r="C197" s="7">
        <f>VLOOKUP(A197,'AOS Pivot'!A:B,2,FALSE)</f>
        <v>1421.4658999999999</v>
      </c>
      <c r="D197" s="12">
        <f t="shared" ref="D197:D215" si="3">(B197-C197)</f>
        <v>-1.1858999999999469</v>
      </c>
    </row>
    <row r="198" spans="1:4" x14ac:dyDescent="0.2">
      <c r="A198" s="9">
        <v>271227</v>
      </c>
      <c r="B198" s="7">
        <v>0</v>
      </c>
      <c r="C198" s="7">
        <f>VLOOKUP(A198,'AOS Pivot'!A:B,2,FALSE)</f>
        <v>0</v>
      </c>
      <c r="D198" s="12">
        <f t="shared" si="3"/>
        <v>0</v>
      </c>
    </row>
    <row r="199" spans="1:4" x14ac:dyDescent="0.2">
      <c r="A199" s="9">
        <v>271381</v>
      </c>
      <c r="B199" s="7">
        <v>253.3</v>
      </c>
      <c r="C199" s="7">
        <f>VLOOKUP(A199,'AOS Pivot'!A:B,2,FALSE)</f>
        <v>253.29900000000001</v>
      </c>
      <c r="D199" s="12">
        <f t="shared" si="3"/>
        <v>1.0000000000047748E-3</v>
      </c>
    </row>
    <row r="200" spans="1:4" x14ac:dyDescent="0.2">
      <c r="A200" s="9">
        <v>271386</v>
      </c>
      <c r="B200" s="7">
        <v>88610.040000000008</v>
      </c>
      <c r="C200" s="7">
        <f>VLOOKUP(A200,'AOS Pivot'!A:B,2,FALSE)</f>
        <v>183263.1998</v>
      </c>
      <c r="D200" s="12">
        <f t="shared" si="3"/>
        <v>-94653.159799999994</v>
      </c>
    </row>
    <row r="201" spans="1:4" x14ac:dyDescent="0.2">
      <c r="A201" s="9">
        <v>271405</v>
      </c>
      <c r="B201" s="7">
        <v>267079.19</v>
      </c>
      <c r="C201" s="7">
        <f>VLOOKUP(A201,'AOS Pivot'!A:B,2,FALSE)</f>
        <v>534157.65399999998</v>
      </c>
      <c r="D201" s="12">
        <f t="shared" si="3"/>
        <v>-267078.46399999998</v>
      </c>
    </row>
    <row r="202" spans="1:4" x14ac:dyDescent="0.2">
      <c r="A202" s="9">
        <v>271465</v>
      </c>
      <c r="B202" s="7">
        <v>124531.68</v>
      </c>
      <c r="C202" s="7">
        <f>VLOOKUP(A202,'AOS Pivot'!A:B,2,FALSE)</f>
        <v>249063.33529999998</v>
      </c>
      <c r="D202" s="12">
        <f t="shared" si="3"/>
        <v>-124531.65529999998</v>
      </c>
    </row>
    <row r="203" spans="1:4" x14ac:dyDescent="0.2">
      <c r="A203" s="9">
        <v>271496</v>
      </c>
      <c r="B203" s="7">
        <v>1812.67</v>
      </c>
      <c r="C203" s="7">
        <f>VLOOKUP(A203,'AOS Pivot'!A:B,2,FALSE)</f>
        <v>3625.3389000000002</v>
      </c>
      <c r="D203" s="12">
        <f t="shared" si="3"/>
        <v>-1812.6689000000001</v>
      </c>
    </row>
    <row r="204" spans="1:4" x14ac:dyDescent="0.2">
      <c r="A204" s="9">
        <v>271544</v>
      </c>
      <c r="B204" s="7">
        <v>2747.25</v>
      </c>
      <c r="C204" s="7">
        <f>VLOOKUP(A204,'AOS Pivot'!A:B,2,FALSE)</f>
        <v>5494.5054</v>
      </c>
      <c r="D204" s="12">
        <f t="shared" si="3"/>
        <v>-2747.2554</v>
      </c>
    </row>
    <row r="205" spans="1:4" x14ac:dyDescent="0.2">
      <c r="A205" s="9">
        <v>271603</v>
      </c>
      <c r="B205" s="7">
        <v>5772.6</v>
      </c>
      <c r="C205" s="7">
        <f>VLOOKUP(A205,'AOS Pivot'!A:B,2,FALSE)</f>
        <v>5772.5910999999996</v>
      </c>
      <c r="D205" s="12">
        <f t="shared" si="3"/>
        <v>8.900000000721775E-3</v>
      </c>
    </row>
    <row r="206" spans="1:4" x14ac:dyDescent="0.2">
      <c r="A206" s="9">
        <v>271670</v>
      </c>
      <c r="B206" s="7">
        <v>1201.81</v>
      </c>
      <c r="C206" s="7">
        <f>VLOOKUP(A206,'AOS Pivot'!A:B,2,FALSE)</f>
        <v>604.7627</v>
      </c>
      <c r="D206" s="12">
        <f t="shared" si="3"/>
        <v>597.04729999999995</v>
      </c>
    </row>
    <row r="207" spans="1:4" x14ac:dyDescent="0.2">
      <c r="A207" s="9">
        <v>271686</v>
      </c>
      <c r="B207" s="7">
        <v>42992.25</v>
      </c>
      <c r="C207" s="7">
        <f>VLOOKUP(A207,'AOS Pivot'!A:B,2,FALSE)</f>
        <v>42992.2575</v>
      </c>
      <c r="D207" s="12">
        <f t="shared" si="3"/>
        <v>-7.4999999997089617E-3</v>
      </c>
    </row>
    <row r="208" spans="1:4" x14ac:dyDescent="0.2">
      <c r="A208" s="9">
        <v>271861</v>
      </c>
      <c r="B208" s="7">
        <v>1395.78</v>
      </c>
      <c r="C208" s="7">
        <f>VLOOKUP(A208,'AOS Pivot'!A:B,2,FALSE)</f>
        <v>2791.5608000000002</v>
      </c>
      <c r="D208" s="12">
        <f t="shared" si="3"/>
        <v>-1395.7808000000002</v>
      </c>
    </row>
    <row r="209" spans="1:4" x14ac:dyDescent="0.2">
      <c r="A209" s="9">
        <v>272050</v>
      </c>
      <c r="B209" s="7">
        <v>14.17</v>
      </c>
      <c r="C209" s="7">
        <f>VLOOKUP(A209,'AOS Pivot'!A:B,2,FALSE)</f>
        <v>28.34</v>
      </c>
      <c r="D209" s="12">
        <f t="shared" si="3"/>
        <v>-14.17</v>
      </c>
    </row>
    <row r="210" spans="1:4" x14ac:dyDescent="0.2">
      <c r="A210" s="9">
        <v>272062</v>
      </c>
      <c r="B210" s="7">
        <v>1396.22</v>
      </c>
      <c r="C210" s="7">
        <f>VLOOKUP(A210,'AOS Pivot'!A:B,2,FALSE)</f>
        <v>2792.4283999999998</v>
      </c>
      <c r="D210" s="12">
        <f t="shared" si="3"/>
        <v>-1396.2083999999998</v>
      </c>
    </row>
    <row r="211" spans="1:4" x14ac:dyDescent="0.2">
      <c r="A211" s="9">
        <v>272063</v>
      </c>
      <c r="B211" s="7">
        <v>2777.48</v>
      </c>
      <c r="C211" s="7">
        <f>VLOOKUP(A211,'AOS Pivot'!A:B,2,FALSE)</f>
        <v>5554.9681</v>
      </c>
      <c r="D211" s="12">
        <f t="shared" si="3"/>
        <v>-2777.4881</v>
      </c>
    </row>
    <row r="212" spans="1:4" x14ac:dyDescent="0.2">
      <c r="A212" s="9">
        <v>272138</v>
      </c>
      <c r="B212" s="7">
        <v>34116.020000000004</v>
      </c>
      <c r="C212" s="7">
        <f>VLOOKUP(A212,'AOS Pivot'!A:B,2,FALSE)</f>
        <v>68232.03</v>
      </c>
      <c r="D212" s="12">
        <f t="shared" si="3"/>
        <v>-34116.009999999995</v>
      </c>
    </row>
    <row r="213" spans="1:4" x14ac:dyDescent="0.2">
      <c r="A213" s="9">
        <v>272146</v>
      </c>
      <c r="B213" s="7">
        <v>7465.33</v>
      </c>
      <c r="C213" s="7">
        <f>VLOOKUP(A213,'AOS Pivot'!A:B,2,FALSE)</f>
        <v>4606.0998</v>
      </c>
      <c r="D213" s="12">
        <f t="shared" si="3"/>
        <v>2859.2302</v>
      </c>
    </row>
    <row r="214" spans="1:4" x14ac:dyDescent="0.2">
      <c r="A214" s="9">
        <v>272533</v>
      </c>
      <c r="B214" s="7">
        <v>6409.4800000000005</v>
      </c>
      <c r="C214" s="7">
        <f>VLOOKUP(A214,'AOS Pivot'!A:B,2,FALSE)</f>
        <v>12818.96</v>
      </c>
      <c r="D214" s="12">
        <f t="shared" si="3"/>
        <v>-6409.4799999999987</v>
      </c>
    </row>
    <row r="215" spans="1:4" x14ac:dyDescent="0.2">
      <c r="A215" s="9" t="s">
        <v>2139</v>
      </c>
      <c r="B215" s="7">
        <v>29131399.920000024</v>
      </c>
      <c r="C215" s="21">
        <f>VLOOKUP(A215,'AOS Pivot'!A:B,2,FALSE)</f>
        <v>56204190.942600027</v>
      </c>
      <c r="D215" s="21">
        <f t="shared" si="3"/>
        <v>-27072791.022600003</v>
      </c>
    </row>
    <row r="218" spans="1:4" x14ac:dyDescent="0.2">
      <c r="C218" s="12"/>
    </row>
  </sheetData>
  <autoFilter ref="A3:D215" xr:uid="{1D39B9AD-9BB4-BA48-9D1F-29A9936F98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F9E5-5B71-F54E-ACD7-459B3470B32B}">
  <dimension ref="A3:B215"/>
  <sheetViews>
    <sheetView workbookViewId="0">
      <selection activeCell="C3" sqref="C3"/>
    </sheetView>
  </sheetViews>
  <sheetFormatPr baseColWidth="10" defaultRowHeight="15" x14ac:dyDescent="0.2"/>
  <cols>
    <col min="1" max="1" width="12.1640625" bestFit="1" customWidth="1"/>
    <col min="2" max="2" width="26" style="7" bestFit="1" customWidth="1"/>
  </cols>
  <sheetData>
    <row r="3" spans="1:2" x14ac:dyDescent="0.2">
      <c r="A3" s="8" t="s">
        <v>2534</v>
      </c>
      <c r="B3" s="7" t="s">
        <v>2535</v>
      </c>
    </row>
    <row r="4" spans="1:2" x14ac:dyDescent="0.2">
      <c r="A4" s="9">
        <v>250528</v>
      </c>
      <c r="B4" s="7">
        <v>0</v>
      </c>
    </row>
    <row r="5" spans="1:2" x14ac:dyDescent="0.2">
      <c r="A5" s="9">
        <v>251886</v>
      </c>
      <c r="B5" s="7">
        <v>6741.1200000000008</v>
      </c>
    </row>
    <row r="6" spans="1:2" x14ac:dyDescent="0.2">
      <c r="A6" s="9">
        <v>252135</v>
      </c>
      <c r="B6" s="7">
        <v>0</v>
      </c>
    </row>
    <row r="7" spans="1:2" x14ac:dyDescent="0.2">
      <c r="A7" s="9">
        <v>252314</v>
      </c>
      <c r="B7" s="7">
        <v>0</v>
      </c>
    </row>
    <row r="8" spans="1:2" x14ac:dyDescent="0.2">
      <c r="A8" s="9">
        <v>252340</v>
      </c>
      <c r="B8" s="7">
        <v>30427.14</v>
      </c>
    </row>
    <row r="9" spans="1:2" x14ac:dyDescent="0.2">
      <c r="A9" s="9">
        <v>252732</v>
      </c>
      <c r="B9" s="7">
        <v>55223.11</v>
      </c>
    </row>
    <row r="10" spans="1:2" x14ac:dyDescent="0.2">
      <c r="A10" s="9">
        <v>252733</v>
      </c>
      <c r="B10" s="7">
        <v>30355.25</v>
      </c>
    </row>
    <row r="11" spans="1:2" x14ac:dyDescent="0.2">
      <c r="A11" s="9">
        <v>252736</v>
      </c>
      <c r="B11" s="7">
        <v>40743.07</v>
      </c>
    </row>
    <row r="12" spans="1:2" x14ac:dyDescent="0.2">
      <c r="A12" s="9">
        <v>253348</v>
      </c>
      <c r="B12" s="7">
        <v>7190.0400000000009</v>
      </c>
    </row>
    <row r="13" spans="1:2" x14ac:dyDescent="0.2">
      <c r="A13" s="9">
        <v>253612</v>
      </c>
      <c r="B13" s="7">
        <v>0</v>
      </c>
    </row>
    <row r="14" spans="1:2" x14ac:dyDescent="0.2">
      <c r="A14" s="9">
        <v>254371</v>
      </c>
      <c r="B14" s="7">
        <v>965.55</v>
      </c>
    </row>
    <row r="15" spans="1:2" x14ac:dyDescent="0.2">
      <c r="A15" s="9">
        <v>256852</v>
      </c>
      <c r="B15" s="7">
        <v>165693.24</v>
      </c>
    </row>
    <row r="16" spans="1:2" x14ac:dyDescent="0.2">
      <c r="A16" s="9">
        <v>257222</v>
      </c>
      <c r="B16" s="7">
        <v>334073.21999999997</v>
      </c>
    </row>
    <row r="17" spans="1:2" x14ac:dyDescent="0.2">
      <c r="A17" s="9">
        <v>257491</v>
      </c>
      <c r="B17" s="7">
        <v>674038.9</v>
      </c>
    </row>
    <row r="18" spans="1:2" x14ac:dyDescent="0.2">
      <c r="A18" s="9">
        <v>257492</v>
      </c>
      <c r="B18" s="7">
        <v>35510.559999999998</v>
      </c>
    </row>
    <row r="19" spans="1:2" x14ac:dyDescent="0.2">
      <c r="A19" s="9">
        <v>257531</v>
      </c>
      <c r="B19" s="7">
        <v>420215.61</v>
      </c>
    </row>
    <row r="20" spans="1:2" x14ac:dyDescent="0.2">
      <c r="A20" s="9">
        <v>257594</v>
      </c>
      <c r="B20" s="7">
        <v>172419.46000000002</v>
      </c>
    </row>
    <row r="21" spans="1:2" x14ac:dyDescent="0.2">
      <c r="A21" s="9">
        <v>257634</v>
      </c>
      <c r="B21" s="7">
        <v>775000.01</v>
      </c>
    </row>
    <row r="22" spans="1:2" x14ac:dyDescent="0.2">
      <c r="A22" s="9">
        <v>257639</v>
      </c>
      <c r="B22" s="7">
        <v>275819.7099999999</v>
      </c>
    </row>
    <row r="23" spans="1:2" x14ac:dyDescent="0.2">
      <c r="A23" s="9">
        <v>257663</v>
      </c>
      <c r="B23" s="7">
        <v>136634.34</v>
      </c>
    </row>
    <row r="24" spans="1:2" x14ac:dyDescent="0.2">
      <c r="A24" s="9">
        <v>258950</v>
      </c>
      <c r="B24" s="7">
        <v>275133.34999999998</v>
      </c>
    </row>
    <row r="25" spans="1:2" x14ac:dyDescent="0.2">
      <c r="A25" s="9">
        <v>258952</v>
      </c>
      <c r="B25" s="7">
        <v>700000.02</v>
      </c>
    </row>
    <row r="26" spans="1:2" x14ac:dyDescent="0.2">
      <c r="A26" s="9">
        <v>259125</v>
      </c>
      <c r="B26" s="7">
        <v>267660.20999999996</v>
      </c>
    </row>
    <row r="27" spans="1:2" x14ac:dyDescent="0.2">
      <c r="A27" s="9">
        <v>259143</v>
      </c>
      <c r="B27" s="7">
        <v>160018.41999999998</v>
      </c>
    </row>
    <row r="28" spans="1:2" x14ac:dyDescent="0.2">
      <c r="A28" s="9">
        <v>259149</v>
      </c>
      <c r="B28" s="7">
        <v>419604.14999999997</v>
      </c>
    </row>
    <row r="29" spans="1:2" x14ac:dyDescent="0.2">
      <c r="A29" s="9">
        <v>259151</v>
      </c>
      <c r="B29" s="7">
        <v>434574.7</v>
      </c>
    </row>
    <row r="30" spans="1:2" x14ac:dyDescent="0.2">
      <c r="A30" s="9">
        <v>259155</v>
      </c>
      <c r="B30" s="7">
        <v>306122.44</v>
      </c>
    </row>
    <row r="31" spans="1:2" x14ac:dyDescent="0.2">
      <c r="A31" s="9">
        <v>259270</v>
      </c>
      <c r="B31" s="7">
        <v>445140</v>
      </c>
    </row>
    <row r="32" spans="1:2" x14ac:dyDescent="0.2">
      <c r="A32" s="9">
        <v>259301</v>
      </c>
      <c r="B32" s="7">
        <v>266049.76</v>
      </c>
    </row>
    <row r="33" spans="1:2" x14ac:dyDescent="0.2">
      <c r="A33" s="9">
        <v>259315</v>
      </c>
      <c r="B33" s="7">
        <v>181222.38</v>
      </c>
    </row>
    <row r="34" spans="1:2" x14ac:dyDescent="0.2">
      <c r="A34" s="9">
        <v>259384</v>
      </c>
      <c r="B34" s="7">
        <v>588704.08000000007</v>
      </c>
    </row>
    <row r="35" spans="1:2" x14ac:dyDescent="0.2">
      <c r="A35" s="9">
        <v>259418</v>
      </c>
      <c r="B35" s="7">
        <v>9778.25</v>
      </c>
    </row>
    <row r="36" spans="1:2" x14ac:dyDescent="0.2">
      <c r="A36" s="9">
        <v>259419</v>
      </c>
      <c r="B36" s="7">
        <v>0</v>
      </c>
    </row>
    <row r="37" spans="1:2" x14ac:dyDescent="0.2">
      <c r="A37" s="9">
        <v>259421</v>
      </c>
      <c r="B37" s="7">
        <v>0.05</v>
      </c>
    </row>
    <row r="38" spans="1:2" x14ac:dyDescent="0.2">
      <c r="A38" s="9">
        <v>259423</v>
      </c>
      <c r="B38" s="7">
        <v>1731.34</v>
      </c>
    </row>
    <row r="39" spans="1:2" x14ac:dyDescent="0.2">
      <c r="A39" s="9">
        <v>259424</v>
      </c>
      <c r="B39" s="7">
        <v>1516.17</v>
      </c>
    </row>
    <row r="40" spans="1:2" x14ac:dyDescent="0.2">
      <c r="A40" s="9">
        <v>259461</v>
      </c>
      <c r="B40" s="7">
        <v>889557.54999999993</v>
      </c>
    </row>
    <row r="41" spans="1:2" x14ac:dyDescent="0.2">
      <c r="A41" s="9">
        <v>259462</v>
      </c>
      <c r="B41" s="7">
        <v>300790.18</v>
      </c>
    </row>
    <row r="42" spans="1:2" x14ac:dyDescent="0.2">
      <c r="A42" s="9">
        <v>259726</v>
      </c>
      <c r="B42" s="7">
        <v>332242.36000000004</v>
      </c>
    </row>
    <row r="43" spans="1:2" x14ac:dyDescent="0.2">
      <c r="A43" s="9">
        <v>259734</v>
      </c>
      <c r="B43" s="7">
        <v>222953.88</v>
      </c>
    </row>
    <row r="44" spans="1:2" x14ac:dyDescent="0.2">
      <c r="A44" s="9">
        <v>259933</v>
      </c>
      <c r="B44" s="7">
        <v>9373.7100000000009</v>
      </c>
    </row>
    <row r="45" spans="1:2" x14ac:dyDescent="0.2">
      <c r="A45" s="9">
        <v>259968</v>
      </c>
      <c r="B45" s="7">
        <v>0.54</v>
      </c>
    </row>
    <row r="46" spans="1:2" x14ac:dyDescent="0.2">
      <c r="A46" s="9">
        <v>260564</v>
      </c>
      <c r="B46" s="7">
        <v>1061946.92</v>
      </c>
    </row>
    <row r="47" spans="1:2" x14ac:dyDescent="0.2">
      <c r="A47" s="9">
        <v>260800</v>
      </c>
      <c r="B47" s="7">
        <v>2345.3200000000002</v>
      </c>
    </row>
    <row r="48" spans="1:2" x14ac:dyDescent="0.2">
      <c r="A48" s="9">
        <v>261387</v>
      </c>
      <c r="B48" s="7">
        <v>641041.55000000005</v>
      </c>
    </row>
    <row r="49" spans="1:2" x14ac:dyDescent="0.2">
      <c r="A49" s="9">
        <v>261759</v>
      </c>
      <c r="B49" s="7">
        <v>117825.06</v>
      </c>
    </row>
    <row r="50" spans="1:2" x14ac:dyDescent="0.2">
      <c r="A50" s="9">
        <v>261763</v>
      </c>
      <c r="B50" s="7">
        <v>400000</v>
      </c>
    </row>
    <row r="51" spans="1:2" x14ac:dyDescent="0.2">
      <c r="A51" s="9">
        <v>261764</v>
      </c>
      <c r="B51" s="7">
        <v>362877.4</v>
      </c>
    </row>
    <row r="52" spans="1:2" x14ac:dyDescent="0.2">
      <c r="A52" s="9">
        <v>261931</v>
      </c>
      <c r="B52" s="7">
        <v>753598.74000000011</v>
      </c>
    </row>
    <row r="53" spans="1:2" x14ac:dyDescent="0.2">
      <c r="A53" s="9">
        <v>261946</v>
      </c>
      <c r="B53" s="7">
        <v>139635.30000000002</v>
      </c>
    </row>
    <row r="54" spans="1:2" x14ac:dyDescent="0.2">
      <c r="A54" s="9">
        <v>261965</v>
      </c>
      <c r="B54" s="7">
        <v>10783.84</v>
      </c>
    </row>
    <row r="55" spans="1:2" x14ac:dyDescent="0.2">
      <c r="A55" s="9">
        <v>262032</v>
      </c>
      <c r="B55" s="7">
        <v>126089.63</v>
      </c>
    </row>
    <row r="56" spans="1:2" x14ac:dyDescent="0.2">
      <c r="A56" s="9">
        <v>262034</v>
      </c>
      <c r="B56" s="7">
        <v>56639.62</v>
      </c>
    </row>
    <row r="57" spans="1:2" x14ac:dyDescent="0.2">
      <c r="A57" s="9">
        <v>262385</v>
      </c>
      <c r="B57" s="7">
        <v>138993.25</v>
      </c>
    </row>
    <row r="58" spans="1:2" x14ac:dyDescent="0.2">
      <c r="A58" s="9">
        <v>262498</v>
      </c>
      <c r="B58" s="7">
        <v>7142.78</v>
      </c>
    </row>
    <row r="59" spans="1:2" x14ac:dyDescent="0.2">
      <c r="A59" s="9">
        <v>262576</v>
      </c>
      <c r="B59" s="7">
        <v>526401.94999999995</v>
      </c>
    </row>
    <row r="60" spans="1:2" x14ac:dyDescent="0.2">
      <c r="A60" s="9">
        <v>262833</v>
      </c>
      <c r="B60" s="7">
        <v>183304.86</v>
      </c>
    </row>
    <row r="61" spans="1:2" x14ac:dyDescent="0.2">
      <c r="A61" s="9">
        <v>262910</v>
      </c>
      <c r="B61" s="7">
        <v>4545.46</v>
      </c>
    </row>
    <row r="62" spans="1:2" x14ac:dyDescent="0.2">
      <c r="A62" s="9">
        <v>262938</v>
      </c>
      <c r="B62" s="7">
        <v>136516.21000000002</v>
      </c>
    </row>
    <row r="63" spans="1:2" x14ac:dyDescent="0.2">
      <c r="A63" s="9">
        <v>263026</v>
      </c>
      <c r="B63" s="7">
        <v>121864.69999999998</v>
      </c>
    </row>
    <row r="64" spans="1:2" x14ac:dyDescent="0.2">
      <c r="A64" s="9">
        <v>263588</v>
      </c>
      <c r="B64" s="7">
        <v>41426.75</v>
      </c>
    </row>
    <row r="65" spans="1:2" x14ac:dyDescent="0.2">
      <c r="A65" s="9">
        <v>263599</v>
      </c>
      <c r="B65" s="7">
        <v>0</v>
      </c>
    </row>
    <row r="66" spans="1:2" x14ac:dyDescent="0.2">
      <c r="A66" s="9">
        <v>263735</v>
      </c>
      <c r="B66" s="7">
        <v>6387.15</v>
      </c>
    </row>
    <row r="67" spans="1:2" x14ac:dyDescent="0.2">
      <c r="A67" s="9">
        <v>264043</v>
      </c>
      <c r="B67" s="7">
        <v>79594.92</v>
      </c>
    </row>
    <row r="68" spans="1:2" x14ac:dyDescent="0.2">
      <c r="A68" s="9">
        <v>264071</v>
      </c>
      <c r="B68" s="7">
        <v>334147.57</v>
      </c>
    </row>
    <row r="69" spans="1:2" x14ac:dyDescent="0.2">
      <c r="A69" s="9">
        <v>264255</v>
      </c>
      <c r="B69" s="7">
        <v>9580.77</v>
      </c>
    </row>
    <row r="70" spans="1:2" x14ac:dyDescent="0.2">
      <c r="A70" s="9">
        <v>264415</v>
      </c>
      <c r="B70" s="7">
        <v>10160.91</v>
      </c>
    </row>
    <row r="71" spans="1:2" x14ac:dyDescent="0.2">
      <c r="A71" s="9">
        <v>264419</v>
      </c>
      <c r="B71" s="7">
        <v>9947.36</v>
      </c>
    </row>
    <row r="72" spans="1:2" x14ac:dyDescent="0.2">
      <c r="A72" s="9">
        <v>264662</v>
      </c>
      <c r="B72" s="7">
        <v>1666</v>
      </c>
    </row>
    <row r="73" spans="1:2" x14ac:dyDescent="0.2">
      <c r="A73" s="9">
        <v>264707</v>
      </c>
      <c r="B73" s="7">
        <v>76923.08</v>
      </c>
    </row>
    <row r="74" spans="1:2" x14ac:dyDescent="0.2">
      <c r="A74" s="9">
        <v>264794</v>
      </c>
      <c r="B74" s="7">
        <v>1394.04</v>
      </c>
    </row>
    <row r="75" spans="1:2" x14ac:dyDescent="0.2">
      <c r="A75" s="9">
        <v>264809</v>
      </c>
      <c r="B75" s="7">
        <v>114375.67999999999</v>
      </c>
    </row>
    <row r="76" spans="1:2" x14ac:dyDescent="0.2">
      <c r="A76" s="9">
        <v>264810</v>
      </c>
      <c r="B76" s="7">
        <v>29198.32</v>
      </c>
    </row>
    <row r="77" spans="1:2" x14ac:dyDescent="0.2">
      <c r="A77" s="9">
        <v>264814</v>
      </c>
      <c r="B77" s="7">
        <v>100391.18999999999</v>
      </c>
    </row>
    <row r="78" spans="1:2" x14ac:dyDescent="0.2">
      <c r="A78" s="9">
        <v>264953</v>
      </c>
      <c r="B78" s="7">
        <v>618.78</v>
      </c>
    </row>
    <row r="79" spans="1:2" x14ac:dyDescent="0.2">
      <c r="A79" s="9">
        <v>264954</v>
      </c>
      <c r="B79" s="7">
        <v>11.54</v>
      </c>
    </row>
    <row r="80" spans="1:2" x14ac:dyDescent="0.2">
      <c r="A80" s="9">
        <v>264956</v>
      </c>
      <c r="B80" s="7">
        <v>8752.58</v>
      </c>
    </row>
    <row r="81" spans="1:2" x14ac:dyDescent="0.2">
      <c r="A81" s="9">
        <v>265056</v>
      </c>
      <c r="B81" s="7">
        <v>49019.71</v>
      </c>
    </row>
    <row r="82" spans="1:2" x14ac:dyDescent="0.2">
      <c r="A82" s="9">
        <v>265065</v>
      </c>
      <c r="B82" s="7">
        <v>495987.07000000007</v>
      </c>
    </row>
    <row r="83" spans="1:2" x14ac:dyDescent="0.2">
      <c r="A83" s="9">
        <v>265069</v>
      </c>
      <c r="B83" s="7">
        <v>153061.22</v>
      </c>
    </row>
    <row r="84" spans="1:2" x14ac:dyDescent="0.2">
      <c r="A84" s="9">
        <v>265136</v>
      </c>
      <c r="B84" s="7">
        <v>0</v>
      </c>
    </row>
    <row r="85" spans="1:2" x14ac:dyDescent="0.2">
      <c r="A85" s="9">
        <v>265145</v>
      </c>
      <c r="B85" s="7">
        <v>3.37</v>
      </c>
    </row>
    <row r="86" spans="1:2" x14ac:dyDescent="0.2">
      <c r="A86" s="9">
        <v>265310</v>
      </c>
      <c r="B86" s="7">
        <v>15162.18</v>
      </c>
    </row>
    <row r="87" spans="1:2" x14ac:dyDescent="0.2">
      <c r="A87" s="9">
        <v>265377</v>
      </c>
      <c r="B87" s="7">
        <v>12304.86</v>
      </c>
    </row>
    <row r="88" spans="1:2" x14ac:dyDescent="0.2">
      <c r="A88" s="9">
        <v>265472</v>
      </c>
      <c r="B88" s="7">
        <v>301370.80000000005</v>
      </c>
    </row>
    <row r="89" spans="1:2" x14ac:dyDescent="0.2">
      <c r="A89" s="9">
        <v>265595</v>
      </c>
      <c r="B89" s="7">
        <v>54303.68</v>
      </c>
    </row>
    <row r="90" spans="1:2" x14ac:dyDescent="0.2">
      <c r="A90" s="9">
        <v>265747</v>
      </c>
      <c r="B90" s="7">
        <v>703461.4</v>
      </c>
    </row>
    <row r="91" spans="1:2" x14ac:dyDescent="0.2">
      <c r="A91" s="9">
        <v>265754</v>
      </c>
      <c r="B91" s="7">
        <v>1703.46</v>
      </c>
    </row>
    <row r="92" spans="1:2" x14ac:dyDescent="0.2">
      <c r="A92" s="9">
        <v>265769</v>
      </c>
      <c r="B92" s="7">
        <v>56551.92</v>
      </c>
    </row>
    <row r="93" spans="1:2" x14ac:dyDescent="0.2">
      <c r="A93" s="9">
        <v>265792</v>
      </c>
      <c r="B93" s="7">
        <v>4707.66</v>
      </c>
    </row>
    <row r="94" spans="1:2" x14ac:dyDescent="0.2">
      <c r="A94" s="9">
        <v>265809</v>
      </c>
      <c r="B94" s="7">
        <v>12072.57</v>
      </c>
    </row>
    <row r="95" spans="1:2" x14ac:dyDescent="0.2">
      <c r="A95" s="9">
        <v>265850</v>
      </c>
      <c r="B95" s="7">
        <v>6666.7</v>
      </c>
    </row>
    <row r="96" spans="1:2" x14ac:dyDescent="0.2">
      <c r="A96" s="9">
        <v>265853</v>
      </c>
      <c r="B96" s="7">
        <v>148351.54999999999</v>
      </c>
    </row>
    <row r="97" spans="1:2" x14ac:dyDescent="0.2">
      <c r="A97" s="9">
        <v>266090</v>
      </c>
      <c r="B97" s="7">
        <v>129073.88</v>
      </c>
    </row>
    <row r="98" spans="1:2" x14ac:dyDescent="0.2">
      <c r="A98" s="9">
        <v>266094</v>
      </c>
      <c r="B98" s="7">
        <v>14418.589999999998</v>
      </c>
    </row>
    <row r="99" spans="1:2" x14ac:dyDescent="0.2">
      <c r="A99" s="9">
        <v>266130</v>
      </c>
      <c r="B99" s="7">
        <v>152.56</v>
      </c>
    </row>
    <row r="100" spans="1:2" x14ac:dyDescent="0.2">
      <c r="A100" s="9">
        <v>266239</v>
      </c>
      <c r="B100" s="7">
        <v>67528.53</v>
      </c>
    </row>
    <row r="101" spans="1:2" x14ac:dyDescent="0.2">
      <c r="A101" s="9">
        <v>266368</v>
      </c>
      <c r="B101" s="7">
        <v>25829.22</v>
      </c>
    </row>
    <row r="102" spans="1:2" x14ac:dyDescent="0.2">
      <c r="A102" s="9">
        <v>266431</v>
      </c>
      <c r="B102" s="7">
        <v>26864.05</v>
      </c>
    </row>
    <row r="103" spans="1:2" x14ac:dyDescent="0.2">
      <c r="A103" s="9">
        <v>266630</v>
      </c>
      <c r="B103" s="7">
        <v>872.74</v>
      </c>
    </row>
    <row r="104" spans="1:2" x14ac:dyDescent="0.2">
      <c r="A104" s="9">
        <v>266666</v>
      </c>
      <c r="B104" s="7">
        <v>17.55</v>
      </c>
    </row>
    <row r="105" spans="1:2" x14ac:dyDescent="0.2">
      <c r="A105" s="9">
        <v>266692</v>
      </c>
      <c r="B105" s="7">
        <v>900.9899999999999</v>
      </c>
    </row>
    <row r="106" spans="1:2" x14ac:dyDescent="0.2">
      <c r="A106" s="9">
        <v>266704</v>
      </c>
      <c r="B106" s="7">
        <v>199136.12000000002</v>
      </c>
    </row>
    <row r="107" spans="1:2" x14ac:dyDescent="0.2">
      <c r="A107" s="9">
        <v>266710</v>
      </c>
      <c r="B107" s="7">
        <v>167387.13999999998</v>
      </c>
    </row>
    <row r="108" spans="1:2" x14ac:dyDescent="0.2">
      <c r="A108" s="9">
        <v>266711</v>
      </c>
      <c r="B108" s="7">
        <v>96270.03</v>
      </c>
    </row>
    <row r="109" spans="1:2" x14ac:dyDescent="0.2">
      <c r="A109" s="9">
        <v>266866</v>
      </c>
      <c r="B109" s="7">
        <v>30747.690000000002</v>
      </c>
    </row>
    <row r="110" spans="1:2" x14ac:dyDescent="0.2">
      <c r="A110" s="9">
        <v>266869</v>
      </c>
      <c r="B110" s="7">
        <v>46727.69</v>
      </c>
    </row>
    <row r="111" spans="1:2" x14ac:dyDescent="0.2">
      <c r="A111" s="9">
        <v>266871</v>
      </c>
      <c r="B111" s="7">
        <v>14767.449999999999</v>
      </c>
    </row>
    <row r="112" spans="1:2" x14ac:dyDescent="0.2">
      <c r="A112" s="9">
        <v>266872</v>
      </c>
      <c r="B112" s="7">
        <v>30747.690000000002</v>
      </c>
    </row>
    <row r="113" spans="1:2" x14ac:dyDescent="0.2">
      <c r="A113" s="9">
        <v>266874</v>
      </c>
      <c r="B113" s="7">
        <v>30747.449999999997</v>
      </c>
    </row>
    <row r="114" spans="1:2" x14ac:dyDescent="0.2">
      <c r="A114" s="9">
        <v>266911</v>
      </c>
      <c r="B114" s="7">
        <v>153061.22</v>
      </c>
    </row>
    <row r="115" spans="1:2" x14ac:dyDescent="0.2">
      <c r="A115" s="9">
        <v>266929</v>
      </c>
      <c r="B115" s="7">
        <v>8672.2999999999993</v>
      </c>
    </row>
    <row r="116" spans="1:2" x14ac:dyDescent="0.2">
      <c r="A116" s="9">
        <v>266966</v>
      </c>
      <c r="B116" s="7">
        <v>292893.28000000003</v>
      </c>
    </row>
    <row r="117" spans="1:2" x14ac:dyDescent="0.2">
      <c r="A117" s="9">
        <v>267002</v>
      </c>
      <c r="B117" s="7">
        <v>506606.22000000015</v>
      </c>
    </row>
    <row r="118" spans="1:2" x14ac:dyDescent="0.2">
      <c r="A118" s="9">
        <v>267088</v>
      </c>
      <c r="B118" s="7">
        <v>328949.87000000011</v>
      </c>
    </row>
    <row r="119" spans="1:2" x14ac:dyDescent="0.2">
      <c r="A119" s="9">
        <v>267090</v>
      </c>
      <c r="B119" s="7">
        <v>285600.02</v>
      </c>
    </row>
    <row r="120" spans="1:2" x14ac:dyDescent="0.2">
      <c r="A120" s="9">
        <v>267105</v>
      </c>
      <c r="B120" s="7">
        <v>229591.83000000002</v>
      </c>
    </row>
    <row r="121" spans="1:2" x14ac:dyDescent="0.2">
      <c r="A121" s="9">
        <v>267136</v>
      </c>
      <c r="B121" s="7">
        <v>17659.75</v>
      </c>
    </row>
    <row r="122" spans="1:2" x14ac:dyDescent="0.2">
      <c r="A122" s="9">
        <v>267191</v>
      </c>
      <c r="B122" s="7">
        <v>57541.610000000008</v>
      </c>
    </row>
    <row r="123" spans="1:2" x14ac:dyDescent="0.2">
      <c r="A123" s="9">
        <v>267395</v>
      </c>
      <c r="B123" s="7">
        <v>331094.76</v>
      </c>
    </row>
    <row r="124" spans="1:2" x14ac:dyDescent="0.2">
      <c r="A124" s="9">
        <v>267432</v>
      </c>
      <c r="B124" s="7">
        <v>76938.820000000007</v>
      </c>
    </row>
    <row r="125" spans="1:2" x14ac:dyDescent="0.2">
      <c r="A125" s="9">
        <v>267453</v>
      </c>
      <c r="B125" s="7">
        <v>24891.489999999998</v>
      </c>
    </row>
    <row r="126" spans="1:2" x14ac:dyDescent="0.2">
      <c r="A126" s="9">
        <v>267640</v>
      </c>
      <c r="B126" s="7">
        <v>3604.4</v>
      </c>
    </row>
    <row r="127" spans="1:2" x14ac:dyDescent="0.2">
      <c r="A127" s="9">
        <v>267694</v>
      </c>
      <c r="B127" s="7">
        <v>51318.95</v>
      </c>
    </row>
    <row r="128" spans="1:2" x14ac:dyDescent="0.2">
      <c r="A128" s="9">
        <v>267744</v>
      </c>
      <c r="B128" s="7">
        <v>76849.38</v>
      </c>
    </row>
    <row r="129" spans="1:2" x14ac:dyDescent="0.2">
      <c r="A129" s="9">
        <v>267764</v>
      </c>
      <c r="B129" s="7">
        <v>32586.05</v>
      </c>
    </row>
    <row r="130" spans="1:2" x14ac:dyDescent="0.2">
      <c r="A130" s="9">
        <v>267803</v>
      </c>
      <c r="B130" s="7">
        <v>374864.33</v>
      </c>
    </row>
    <row r="131" spans="1:2" x14ac:dyDescent="0.2">
      <c r="A131" s="9">
        <v>267883</v>
      </c>
      <c r="B131" s="7">
        <v>102326.11</v>
      </c>
    </row>
    <row r="132" spans="1:2" x14ac:dyDescent="0.2">
      <c r="A132" s="9">
        <v>267884</v>
      </c>
      <c r="B132" s="7">
        <v>146194.78</v>
      </c>
    </row>
    <row r="133" spans="1:2" x14ac:dyDescent="0.2">
      <c r="A133" s="9">
        <v>267903</v>
      </c>
      <c r="B133" s="7">
        <v>40515.39</v>
      </c>
    </row>
    <row r="134" spans="1:2" x14ac:dyDescent="0.2">
      <c r="A134" s="9">
        <v>267910</v>
      </c>
      <c r="B134" s="7">
        <v>157062.92000000001</v>
      </c>
    </row>
    <row r="135" spans="1:2" x14ac:dyDescent="0.2">
      <c r="A135" s="9">
        <v>267935</v>
      </c>
      <c r="B135" s="7">
        <v>1809.1000000000001</v>
      </c>
    </row>
    <row r="136" spans="1:2" x14ac:dyDescent="0.2">
      <c r="A136" s="9">
        <v>267962</v>
      </c>
      <c r="B136" s="7">
        <v>316492.38</v>
      </c>
    </row>
    <row r="137" spans="1:2" x14ac:dyDescent="0.2">
      <c r="A137" s="9">
        <v>267963</v>
      </c>
      <c r="B137" s="7">
        <v>99950.86</v>
      </c>
    </row>
    <row r="138" spans="1:2" x14ac:dyDescent="0.2">
      <c r="A138" s="9">
        <v>267967</v>
      </c>
      <c r="B138" s="7">
        <v>71264.990000000005</v>
      </c>
    </row>
    <row r="139" spans="1:2" x14ac:dyDescent="0.2">
      <c r="A139" s="9">
        <v>267992</v>
      </c>
      <c r="B139" s="7">
        <v>96780.17</v>
      </c>
    </row>
    <row r="140" spans="1:2" x14ac:dyDescent="0.2">
      <c r="A140" s="9">
        <v>268009</v>
      </c>
      <c r="B140" s="7">
        <v>185643.5</v>
      </c>
    </row>
    <row r="141" spans="1:2" x14ac:dyDescent="0.2">
      <c r="A141" s="9">
        <v>268012</v>
      </c>
      <c r="B141" s="7">
        <v>85765</v>
      </c>
    </row>
    <row r="142" spans="1:2" x14ac:dyDescent="0.2">
      <c r="A142" s="9">
        <v>268014</v>
      </c>
      <c r="B142" s="7">
        <v>43977.26</v>
      </c>
    </row>
    <row r="143" spans="1:2" x14ac:dyDescent="0.2">
      <c r="A143" s="9">
        <v>268015</v>
      </c>
      <c r="B143" s="7">
        <v>0</v>
      </c>
    </row>
    <row r="144" spans="1:2" x14ac:dyDescent="0.2">
      <c r="A144" s="9">
        <v>268021</v>
      </c>
      <c r="B144" s="7">
        <v>62500</v>
      </c>
    </row>
    <row r="145" spans="1:2" x14ac:dyDescent="0.2">
      <c r="A145" s="9">
        <v>268091</v>
      </c>
      <c r="B145" s="7">
        <v>75640.62</v>
      </c>
    </row>
    <row r="146" spans="1:2" x14ac:dyDescent="0.2">
      <c r="A146" s="9">
        <v>268132</v>
      </c>
      <c r="B146" s="7">
        <v>39723.19</v>
      </c>
    </row>
    <row r="147" spans="1:2" x14ac:dyDescent="0.2">
      <c r="A147" s="9">
        <v>268217</v>
      </c>
      <c r="B147" s="7">
        <v>98694.87</v>
      </c>
    </row>
    <row r="148" spans="1:2" x14ac:dyDescent="0.2">
      <c r="A148" s="9">
        <v>268218</v>
      </c>
      <c r="B148" s="7">
        <v>14891.9</v>
      </c>
    </row>
    <row r="149" spans="1:2" x14ac:dyDescent="0.2">
      <c r="A149" s="9">
        <v>268274</v>
      </c>
      <c r="B149" s="7">
        <v>0.3</v>
      </c>
    </row>
    <row r="150" spans="1:2" x14ac:dyDescent="0.2">
      <c r="A150" s="9">
        <v>268353</v>
      </c>
      <c r="B150" s="7">
        <v>0.69000000000000006</v>
      </c>
    </row>
    <row r="151" spans="1:2" x14ac:dyDescent="0.2">
      <c r="A151" s="9">
        <v>268444</v>
      </c>
      <c r="B151" s="7">
        <v>0</v>
      </c>
    </row>
    <row r="152" spans="1:2" x14ac:dyDescent="0.2">
      <c r="A152" s="9">
        <v>268838</v>
      </c>
      <c r="B152" s="7">
        <v>0</v>
      </c>
    </row>
    <row r="153" spans="1:2" x14ac:dyDescent="0.2">
      <c r="A153" s="9">
        <v>269003</v>
      </c>
      <c r="B153" s="7">
        <v>303203.25</v>
      </c>
    </row>
    <row r="154" spans="1:2" x14ac:dyDescent="0.2">
      <c r="A154" s="9">
        <v>269280</v>
      </c>
      <c r="B154" s="7">
        <v>290647</v>
      </c>
    </row>
    <row r="155" spans="1:2" x14ac:dyDescent="0.2">
      <c r="A155" s="9">
        <v>269478</v>
      </c>
      <c r="B155" s="7">
        <v>338500.06</v>
      </c>
    </row>
    <row r="156" spans="1:2" x14ac:dyDescent="0.2">
      <c r="A156" s="9">
        <v>269479</v>
      </c>
      <c r="B156" s="7">
        <v>79512.299999999988</v>
      </c>
    </row>
    <row r="157" spans="1:2" x14ac:dyDescent="0.2">
      <c r="A157" s="9">
        <v>269480</v>
      </c>
      <c r="B157" s="7">
        <v>46041.819999999992</v>
      </c>
    </row>
    <row r="158" spans="1:2" x14ac:dyDescent="0.2">
      <c r="A158" s="9">
        <v>269482</v>
      </c>
      <c r="B158" s="7">
        <v>36949.58</v>
      </c>
    </row>
    <row r="159" spans="1:2" x14ac:dyDescent="0.2">
      <c r="A159" s="9">
        <v>269483</v>
      </c>
      <c r="B159" s="7">
        <v>63896.44</v>
      </c>
    </row>
    <row r="160" spans="1:2" x14ac:dyDescent="0.2">
      <c r="A160" s="9">
        <v>269582</v>
      </c>
      <c r="B160" s="7">
        <v>15128.109999999999</v>
      </c>
    </row>
    <row r="161" spans="1:2" x14ac:dyDescent="0.2">
      <c r="A161" s="9">
        <v>269583</v>
      </c>
      <c r="B161" s="7">
        <v>54264.360000000008</v>
      </c>
    </row>
    <row r="162" spans="1:2" x14ac:dyDescent="0.2">
      <c r="A162" s="9">
        <v>269584</v>
      </c>
      <c r="B162" s="7">
        <v>17515.850000000002</v>
      </c>
    </row>
    <row r="163" spans="1:2" x14ac:dyDescent="0.2">
      <c r="A163" s="9">
        <v>269585</v>
      </c>
      <c r="B163" s="7">
        <v>41757.21</v>
      </c>
    </row>
    <row r="164" spans="1:2" x14ac:dyDescent="0.2">
      <c r="A164" s="9">
        <v>269586</v>
      </c>
      <c r="B164" s="7">
        <v>72746.09</v>
      </c>
    </row>
    <row r="165" spans="1:2" x14ac:dyDescent="0.2">
      <c r="A165" s="9">
        <v>269587</v>
      </c>
      <c r="B165" s="7">
        <v>54795.62000000001</v>
      </c>
    </row>
    <row r="166" spans="1:2" x14ac:dyDescent="0.2">
      <c r="A166" s="9">
        <v>269597</v>
      </c>
      <c r="B166" s="7">
        <v>13568.16</v>
      </c>
    </row>
    <row r="167" spans="1:2" x14ac:dyDescent="0.2">
      <c r="A167" s="9">
        <v>269600</v>
      </c>
      <c r="B167" s="7">
        <v>93287.88</v>
      </c>
    </row>
    <row r="168" spans="1:2" x14ac:dyDescent="0.2">
      <c r="A168" s="9">
        <v>269662</v>
      </c>
      <c r="B168" s="7">
        <v>114417.12</v>
      </c>
    </row>
    <row r="169" spans="1:2" x14ac:dyDescent="0.2">
      <c r="A169" s="9">
        <v>269710</v>
      </c>
      <c r="B169" s="7">
        <v>13150.02</v>
      </c>
    </row>
    <row r="170" spans="1:2" x14ac:dyDescent="0.2">
      <c r="A170" s="9">
        <v>269719</v>
      </c>
      <c r="B170" s="7">
        <v>74194.61</v>
      </c>
    </row>
    <row r="171" spans="1:2" x14ac:dyDescent="0.2">
      <c r="A171" s="9">
        <v>269721</v>
      </c>
      <c r="B171" s="7">
        <v>183467.52000000002</v>
      </c>
    </row>
    <row r="172" spans="1:2" x14ac:dyDescent="0.2">
      <c r="A172" s="9">
        <v>269736</v>
      </c>
      <c r="B172" s="7">
        <v>58637.16</v>
      </c>
    </row>
    <row r="173" spans="1:2" x14ac:dyDescent="0.2">
      <c r="A173" s="9">
        <v>269737</v>
      </c>
      <c r="B173" s="7">
        <v>76530.61</v>
      </c>
    </row>
    <row r="174" spans="1:2" x14ac:dyDescent="0.2">
      <c r="A174" s="9">
        <v>269740</v>
      </c>
      <c r="B174" s="7">
        <v>98724.52</v>
      </c>
    </row>
    <row r="175" spans="1:2" x14ac:dyDescent="0.2">
      <c r="A175" s="9">
        <v>269909</v>
      </c>
      <c r="B175" s="7">
        <v>942047.9099999998</v>
      </c>
    </row>
    <row r="176" spans="1:2" x14ac:dyDescent="0.2">
      <c r="A176" s="9">
        <v>269931</v>
      </c>
      <c r="B176" s="7">
        <v>9115.92</v>
      </c>
    </row>
    <row r="177" spans="1:2" x14ac:dyDescent="0.2">
      <c r="A177" s="9">
        <v>269943</v>
      </c>
      <c r="B177" s="7">
        <v>18579.100000000002</v>
      </c>
    </row>
    <row r="178" spans="1:2" x14ac:dyDescent="0.2">
      <c r="A178" s="9">
        <v>269990</v>
      </c>
      <c r="B178" s="7">
        <v>307719.25</v>
      </c>
    </row>
    <row r="179" spans="1:2" x14ac:dyDescent="0.2">
      <c r="A179" s="9">
        <v>270111</v>
      </c>
      <c r="B179" s="7">
        <v>136919.29</v>
      </c>
    </row>
    <row r="180" spans="1:2" x14ac:dyDescent="0.2">
      <c r="A180" s="9">
        <v>270352</v>
      </c>
      <c r="B180" s="7">
        <v>60000</v>
      </c>
    </row>
    <row r="181" spans="1:2" x14ac:dyDescent="0.2">
      <c r="A181" s="9">
        <v>270359</v>
      </c>
      <c r="B181" s="7">
        <v>150000.01</v>
      </c>
    </row>
    <row r="182" spans="1:2" x14ac:dyDescent="0.2">
      <c r="A182" s="9">
        <v>270419</v>
      </c>
      <c r="B182" s="7">
        <v>1321764.67</v>
      </c>
    </row>
    <row r="183" spans="1:2" x14ac:dyDescent="0.2">
      <c r="A183" s="9">
        <v>270425</v>
      </c>
      <c r="B183" s="7">
        <v>87387.489999999991</v>
      </c>
    </row>
    <row r="184" spans="1:2" x14ac:dyDescent="0.2">
      <c r="A184" s="9">
        <v>270436</v>
      </c>
      <c r="B184" s="7">
        <v>107834.94</v>
      </c>
    </row>
    <row r="185" spans="1:2" x14ac:dyDescent="0.2">
      <c r="A185" s="9">
        <v>270448</v>
      </c>
      <c r="B185" s="7">
        <v>101180.37</v>
      </c>
    </row>
    <row r="186" spans="1:2" x14ac:dyDescent="0.2">
      <c r="A186" s="9">
        <v>270497</v>
      </c>
      <c r="B186" s="7">
        <v>153863.53</v>
      </c>
    </row>
    <row r="187" spans="1:2" x14ac:dyDescent="0.2">
      <c r="A187" s="9">
        <v>270546</v>
      </c>
      <c r="B187" s="7">
        <v>308128.07999999996</v>
      </c>
    </row>
    <row r="188" spans="1:2" x14ac:dyDescent="0.2">
      <c r="A188" s="9">
        <v>270547</v>
      </c>
      <c r="B188" s="7">
        <v>107095.94</v>
      </c>
    </row>
    <row r="189" spans="1:2" x14ac:dyDescent="0.2">
      <c r="A189" s="9">
        <v>270566</v>
      </c>
      <c r="B189" s="7">
        <v>15833.35</v>
      </c>
    </row>
    <row r="190" spans="1:2" x14ac:dyDescent="0.2">
      <c r="A190" s="9">
        <v>270573</v>
      </c>
      <c r="B190" s="7">
        <v>107896.5</v>
      </c>
    </row>
    <row r="191" spans="1:2" x14ac:dyDescent="0.2">
      <c r="A191" s="9">
        <v>270641</v>
      </c>
      <c r="B191" s="7">
        <v>119817.84</v>
      </c>
    </row>
    <row r="192" spans="1:2" x14ac:dyDescent="0.2">
      <c r="A192" s="9">
        <v>270643</v>
      </c>
      <c r="B192" s="7">
        <v>27764.42</v>
      </c>
    </row>
    <row r="193" spans="1:2" x14ac:dyDescent="0.2">
      <c r="A193" s="9">
        <v>270734</v>
      </c>
      <c r="B193" s="7">
        <v>49532.36</v>
      </c>
    </row>
    <row r="194" spans="1:2" x14ac:dyDescent="0.2">
      <c r="A194" s="9">
        <v>270752</v>
      </c>
      <c r="B194" s="7">
        <v>90761.73</v>
      </c>
    </row>
    <row r="195" spans="1:2" x14ac:dyDescent="0.2">
      <c r="A195" s="9">
        <v>270775</v>
      </c>
      <c r="B195" s="7">
        <v>150000.00999999998</v>
      </c>
    </row>
    <row r="196" spans="1:2" x14ac:dyDescent="0.2">
      <c r="A196" s="9">
        <v>270964</v>
      </c>
      <c r="B196" s="7">
        <v>48997.440000000002</v>
      </c>
    </row>
    <row r="197" spans="1:2" x14ac:dyDescent="0.2">
      <c r="A197" s="9">
        <v>271008</v>
      </c>
      <c r="B197" s="7">
        <v>1420.28</v>
      </c>
    </row>
    <row r="198" spans="1:2" x14ac:dyDescent="0.2">
      <c r="A198" s="9">
        <v>271227</v>
      </c>
      <c r="B198" s="7">
        <v>0</v>
      </c>
    </row>
    <row r="199" spans="1:2" x14ac:dyDescent="0.2">
      <c r="A199" s="9">
        <v>271381</v>
      </c>
      <c r="B199" s="7">
        <v>253.3</v>
      </c>
    </row>
    <row r="200" spans="1:2" x14ac:dyDescent="0.2">
      <c r="A200" s="9">
        <v>271386</v>
      </c>
      <c r="B200" s="7">
        <v>88610.040000000008</v>
      </c>
    </row>
    <row r="201" spans="1:2" x14ac:dyDescent="0.2">
      <c r="A201" s="9">
        <v>271405</v>
      </c>
      <c r="B201" s="7">
        <v>267079.19</v>
      </c>
    </row>
    <row r="202" spans="1:2" x14ac:dyDescent="0.2">
      <c r="A202" s="9">
        <v>271465</v>
      </c>
      <c r="B202" s="7">
        <v>124531.68</v>
      </c>
    </row>
    <row r="203" spans="1:2" x14ac:dyDescent="0.2">
      <c r="A203" s="9">
        <v>271496</v>
      </c>
      <c r="B203" s="7">
        <v>1812.67</v>
      </c>
    </row>
    <row r="204" spans="1:2" x14ac:dyDescent="0.2">
      <c r="A204" s="9">
        <v>271544</v>
      </c>
      <c r="B204" s="7">
        <v>2747.25</v>
      </c>
    </row>
    <row r="205" spans="1:2" x14ac:dyDescent="0.2">
      <c r="A205" s="9">
        <v>271603</v>
      </c>
      <c r="B205" s="7">
        <v>5772.6</v>
      </c>
    </row>
    <row r="206" spans="1:2" x14ac:dyDescent="0.2">
      <c r="A206" s="9">
        <v>271670</v>
      </c>
      <c r="B206" s="7">
        <v>1201.81</v>
      </c>
    </row>
    <row r="207" spans="1:2" x14ac:dyDescent="0.2">
      <c r="A207" s="9">
        <v>271686</v>
      </c>
      <c r="B207" s="7">
        <v>42992.25</v>
      </c>
    </row>
    <row r="208" spans="1:2" x14ac:dyDescent="0.2">
      <c r="A208" s="9">
        <v>271861</v>
      </c>
      <c r="B208" s="7">
        <v>1395.78</v>
      </c>
    </row>
    <row r="209" spans="1:2" x14ac:dyDescent="0.2">
      <c r="A209" s="9">
        <v>272050</v>
      </c>
      <c r="B209" s="7">
        <v>14.17</v>
      </c>
    </row>
    <row r="210" spans="1:2" x14ac:dyDescent="0.2">
      <c r="A210" s="9">
        <v>272062</v>
      </c>
      <c r="B210" s="7">
        <v>1396.22</v>
      </c>
    </row>
    <row r="211" spans="1:2" x14ac:dyDescent="0.2">
      <c r="A211" s="9">
        <v>272063</v>
      </c>
      <c r="B211" s="7">
        <v>2777.48</v>
      </c>
    </row>
    <row r="212" spans="1:2" x14ac:dyDescent="0.2">
      <c r="A212" s="9">
        <v>272138</v>
      </c>
      <c r="B212" s="7">
        <v>34116.020000000004</v>
      </c>
    </row>
    <row r="213" spans="1:2" x14ac:dyDescent="0.2">
      <c r="A213" s="9">
        <v>272146</v>
      </c>
      <c r="B213" s="7">
        <v>7465.33</v>
      </c>
    </row>
    <row r="214" spans="1:2" x14ac:dyDescent="0.2">
      <c r="A214" s="9">
        <v>272533</v>
      </c>
      <c r="B214" s="7">
        <v>6409.4800000000005</v>
      </c>
    </row>
    <row r="215" spans="1:2" x14ac:dyDescent="0.2">
      <c r="A215" s="9" t="s">
        <v>2139</v>
      </c>
      <c r="B215" s="7">
        <v>29131399.920000024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964"/>
  <sheetViews>
    <sheetView topLeftCell="G1" workbookViewId="0">
      <selection activeCell="AF232" sqref="AF232:AF234"/>
    </sheetView>
  </sheetViews>
  <sheetFormatPr baseColWidth="10" defaultColWidth="8.83203125" defaultRowHeight="15" x14ac:dyDescent="0.2"/>
  <cols>
    <col min="1" max="1" width="34.6640625" bestFit="1" customWidth="1"/>
    <col min="2" max="2" width="9.1640625" bestFit="1" customWidth="1"/>
    <col min="3" max="3" width="11.6640625" bestFit="1" customWidth="1"/>
    <col min="4" max="4" width="40.6640625" bestFit="1" customWidth="1"/>
    <col min="5" max="5" width="64.83203125" bestFit="1" customWidth="1"/>
    <col min="6" max="6" width="12.83203125" bestFit="1" customWidth="1"/>
    <col min="7" max="7" width="100.83203125" bestFit="1" customWidth="1"/>
    <col min="8" max="8" width="17" bestFit="1" customWidth="1"/>
    <col min="9" max="9" width="114" bestFit="1" customWidth="1"/>
    <col min="10" max="10" width="13.5" bestFit="1" customWidth="1"/>
    <col min="11" max="11" width="26.33203125" bestFit="1" customWidth="1"/>
    <col min="12" max="12" width="11.5" bestFit="1" customWidth="1"/>
    <col min="13" max="13" width="12.6640625" style="1" customWidth="1"/>
    <col min="14" max="14" width="15.5" bestFit="1" customWidth="1"/>
    <col min="15" max="15" width="17.83203125" bestFit="1" customWidth="1"/>
    <col min="16" max="16" width="14.83203125" style="1" bestFit="1" customWidth="1"/>
    <col min="17" max="17" width="5.1640625" bestFit="1" customWidth="1"/>
    <col min="18" max="18" width="23.33203125" bestFit="1" customWidth="1"/>
    <col min="19" max="19" width="20.33203125" style="7" bestFit="1" customWidth="1"/>
    <col min="20" max="20" width="22.5" style="7" bestFit="1" customWidth="1"/>
    <col min="21" max="21" width="17.5" bestFit="1" customWidth="1"/>
    <col min="22" max="22" width="23" bestFit="1" customWidth="1"/>
    <col min="23" max="24" width="9.1640625" bestFit="1" customWidth="1"/>
    <col min="25" max="26" width="13" bestFit="1" customWidth="1"/>
    <col min="27" max="27" width="10.33203125" style="2" bestFit="1" customWidth="1"/>
    <col min="28" max="28" width="11.1640625" style="2" bestFit="1" customWidth="1"/>
    <col min="29" max="29" width="18.33203125" style="2" bestFit="1" customWidth="1"/>
    <col min="30" max="30" width="14.83203125" bestFit="1" customWidth="1"/>
    <col min="31" max="31" width="30.5" bestFit="1" customWidth="1"/>
    <col min="32" max="32" width="17.5" bestFit="1" customWidth="1"/>
    <col min="33" max="33" width="9.1640625" bestFit="1" customWidth="1"/>
    <col min="34" max="34" width="10.1640625" bestFit="1" customWidth="1"/>
    <col min="35" max="35" width="64.83203125" style="1" bestFit="1" customWidth="1"/>
    <col min="36" max="36" width="11.5" bestFit="1" customWidth="1"/>
    <col min="37" max="37" width="13.1640625" style="1" bestFit="1" customWidth="1"/>
    <col min="38" max="38" width="14.33203125" bestFit="1" customWidth="1"/>
    <col min="39" max="39" width="11.6640625" bestFit="1" customWidth="1"/>
    <col min="40" max="40" width="18" bestFit="1" customWidth="1"/>
    <col min="41" max="41" width="18.1640625" bestFit="1" customWidth="1"/>
    <col min="42" max="42" width="56.6640625" bestFit="1" customWidth="1"/>
    <col min="43" max="43" width="9" bestFit="1" customWidth="1"/>
    <col min="44" max="44" width="20" bestFit="1" customWidth="1"/>
    <col min="45" max="45" width="23.83203125" bestFit="1" customWidth="1"/>
    <col min="46" max="46" width="22.83203125" bestFit="1" customWidth="1"/>
    <col min="47" max="47" width="21.6640625" bestFit="1" customWidth="1"/>
    <col min="48" max="48" width="14.5" bestFit="1" customWidth="1"/>
    <col min="49" max="49" width="11" bestFit="1" customWidth="1"/>
  </cols>
  <sheetData>
    <row r="1" spans="1:49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 ht="16" hidden="1" x14ac:dyDescent="0.2">
      <c r="A2" t="s">
        <v>99</v>
      </c>
      <c r="B2">
        <v>20096</v>
      </c>
      <c r="C2">
        <v>12011</v>
      </c>
      <c r="D2" t="s">
        <v>99</v>
      </c>
      <c r="E2" t="s">
        <v>370</v>
      </c>
      <c r="F2">
        <v>262385</v>
      </c>
      <c r="G2" t="s">
        <v>689</v>
      </c>
      <c r="H2">
        <v>565285</v>
      </c>
      <c r="I2" t="s">
        <v>1335</v>
      </c>
      <c r="J2">
        <v>94341364</v>
      </c>
      <c r="K2" t="s">
        <v>1839</v>
      </c>
      <c r="L2" t="s">
        <v>1850</v>
      </c>
      <c r="M2" s="1">
        <v>21.25</v>
      </c>
      <c r="N2" t="s">
        <v>1859</v>
      </c>
      <c r="O2">
        <v>4071061</v>
      </c>
      <c r="P2" s="1">
        <v>84000</v>
      </c>
      <c r="S2" s="6" t="str">
        <f>IF(ISBLANK(R2)," ",ROUND(R2*(IF(ISBLANK(Q2),(M2/1000),(Q2/1000))),2))</f>
        <v xml:space="preserve"> </v>
      </c>
      <c r="T2" s="6">
        <f>IF(IF(COUNTIF(H$2:$H2,H2)=1,1,"")=1,SUMIF($H$2:$H$7997,H2,$S$2:$S$7997),"")</f>
        <v>0</v>
      </c>
      <c r="W2">
        <v>4071061</v>
      </c>
      <c r="X2">
        <v>4071061</v>
      </c>
      <c r="Y2">
        <v>0</v>
      </c>
      <c r="Z2">
        <v>0</v>
      </c>
      <c r="AA2" s="2">
        <v>1</v>
      </c>
      <c r="AB2" s="2">
        <v>0</v>
      </c>
      <c r="AC2" s="2">
        <v>0</v>
      </c>
      <c r="AD2">
        <v>0</v>
      </c>
      <c r="AE2" t="s">
        <v>1862</v>
      </c>
      <c r="AF2">
        <v>42000</v>
      </c>
      <c r="AG2">
        <v>3952941</v>
      </c>
      <c r="AH2">
        <v>84000</v>
      </c>
      <c r="AI2" s="1" t="s">
        <v>370</v>
      </c>
      <c r="AJ2">
        <v>94341361</v>
      </c>
      <c r="AK2" s="1" t="s">
        <v>1868</v>
      </c>
      <c r="AL2" t="s">
        <v>1987</v>
      </c>
      <c r="AN2" t="s">
        <v>2062</v>
      </c>
      <c r="AO2" t="s">
        <v>2067</v>
      </c>
      <c r="AP2" t="s">
        <v>2093</v>
      </c>
      <c r="AQ2">
        <v>129821</v>
      </c>
      <c r="AR2" s="3">
        <v>46203</v>
      </c>
      <c r="AS2" s="3">
        <v>46174</v>
      </c>
      <c r="AT2" s="3">
        <v>46201</v>
      </c>
      <c r="AU2" t="s">
        <v>2124</v>
      </c>
      <c r="AW2" s="3">
        <v>46208.53701449134</v>
      </c>
    </row>
    <row r="3" spans="1:49" ht="16" hidden="1" x14ac:dyDescent="0.2">
      <c r="A3" t="s">
        <v>99</v>
      </c>
      <c r="B3">
        <v>20096</v>
      </c>
      <c r="C3">
        <v>12011</v>
      </c>
      <c r="D3" t="s">
        <v>99</v>
      </c>
      <c r="E3" t="s">
        <v>370</v>
      </c>
      <c r="F3">
        <v>262385</v>
      </c>
      <c r="G3" t="s">
        <v>689</v>
      </c>
      <c r="H3">
        <v>565285</v>
      </c>
      <c r="I3" t="s">
        <v>1336</v>
      </c>
      <c r="J3">
        <v>94341367</v>
      </c>
      <c r="K3" t="s">
        <v>1840</v>
      </c>
      <c r="L3" t="s">
        <v>1850</v>
      </c>
      <c r="M3" s="1">
        <v>21.25</v>
      </c>
      <c r="N3" t="s">
        <v>1859</v>
      </c>
      <c r="O3">
        <v>6037472</v>
      </c>
      <c r="P3" s="1">
        <v>126000.01</v>
      </c>
      <c r="S3" s="6" t="str">
        <f t="shared" ref="S3:S66" si="0">IF(ISBLANK(R3)," ",ROUND(R3*(IF(ISBLANK(Q3),(M3/1000),(Q3/1000))),2))</f>
        <v xml:space="preserve"> </v>
      </c>
      <c r="T3" s="6" t="str">
        <f>IF(IF(COUNTIF(H$2:$H3,H3)=1,1,"")=1,SUMIF($H$2:$H$7997,H3,$S$2:$S$7997),"")</f>
        <v/>
      </c>
      <c r="W3">
        <v>6037472</v>
      </c>
      <c r="X3">
        <v>6037472</v>
      </c>
      <c r="Y3">
        <v>0</v>
      </c>
      <c r="Z3">
        <v>0</v>
      </c>
      <c r="AA3" s="2">
        <v>1</v>
      </c>
      <c r="AB3" s="2">
        <v>0</v>
      </c>
      <c r="AC3" s="2">
        <v>0</v>
      </c>
      <c r="AD3">
        <v>0</v>
      </c>
      <c r="AE3" t="s">
        <v>1862</v>
      </c>
      <c r="AF3">
        <v>63000.01</v>
      </c>
      <c r="AG3">
        <v>5929412</v>
      </c>
      <c r="AH3">
        <v>126000.01</v>
      </c>
      <c r="AI3" s="1" t="s">
        <v>370</v>
      </c>
      <c r="AJ3">
        <v>94341361</v>
      </c>
      <c r="AK3" s="1" t="s">
        <v>1868</v>
      </c>
      <c r="AL3" t="s">
        <v>1987</v>
      </c>
      <c r="AN3" t="s">
        <v>2062</v>
      </c>
      <c r="AO3" t="s">
        <v>2067</v>
      </c>
      <c r="AP3" t="s">
        <v>2083</v>
      </c>
      <c r="AQ3">
        <v>129821</v>
      </c>
      <c r="AR3" s="3">
        <v>46203</v>
      </c>
      <c r="AS3" s="3">
        <v>46174</v>
      </c>
      <c r="AT3" s="3">
        <v>46201</v>
      </c>
      <c r="AU3" t="s">
        <v>2123</v>
      </c>
      <c r="AW3" s="3">
        <v>46208.53701449134</v>
      </c>
    </row>
    <row r="4" spans="1:49" ht="16" hidden="1" x14ac:dyDescent="0.2">
      <c r="A4" t="s">
        <v>99</v>
      </c>
      <c r="B4">
        <v>20096</v>
      </c>
      <c r="C4">
        <v>12011</v>
      </c>
      <c r="D4" t="s">
        <v>99</v>
      </c>
      <c r="E4" t="s">
        <v>370</v>
      </c>
      <c r="F4">
        <v>262385</v>
      </c>
      <c r="G4" t="s">
        <v>690</v>
      </c>
      <c r="H4">
        <v>565482</v>
      </c>
      <c r="I4" t="s">
        <v>690</v>
      </c>
      <c r="J4">
        <v>94341371</v>
      </c>
      <c r="K4" t="s">
        <v>1836</v>
      </c>
      <c r="L4" t="s">
        <v>1850</v>
      </c>
      <c r="M4" s="1">
        <v>30</v>
      </c>
      <c r="N4" t="s">
        <v>1856</v>
      </c>
      <c r="O4">
        <v>1359729</v>
      </c>
      <c r="P4" s="1">
        <v>40000.019999999997</v>
      </c>
      <c r="S4" s="6" t="str">
        <f t="shared" si="0"/>
        <v xml:space="preserve"> </v>
      </c>
      <c r="T4" s="6">
        <f>IF(IF(COUNTIF(H$2:$H4,H4)=1,1,"")=1,SUMIF($H$2:$H$7997,H4,$S$2:$S$7997),"")</f>
        <v>0</v>
      </c>
      <c r="W4">
        <v>1133108</v>
      </c>
      <c r="X4">
        <v>1133108</v>
      </c>
      <c r="Y4">
        <v>1359729</v>
      </c>
      <c r="Z4">
        <v>1359729</v>
      </c>
      <c r="AA4" s="2">
        <v>1</v>
      </c>
      <c r="AB4" s="2">
        <v>1.2</v>
      </c>
      <c r="AC4" s="2">
        <v>0</v>
      </c>
      <c r="AD4">
        <v>0</v>
      </c>
      <c r="AE4" t="s">
        <v>1862</v>
      </c>
      <c r="AF4">
        <v>33993.24</v>
      </c>
      <c r="AG4">
        <v>1333334</v>
      </c>
      <c r="AH4">
        <v>40000.019999999997</v>
      </c>
      <c r="AI4" s="1" t="s">
        <v>370</v>
      </c>
      <c r="AJ4">
        <v>94341361</v>
      </c>
      <c r="AK4" s="1" t="s">
        <v>1867</v>
      </c>
      <c r="AL4" t="s">
        <v>1987</v>
      </c>
      <c r="AN4" t="s">
        <v>2062</v>
      </c>
      <c r="AO4" t="s">
        <v>2067</v>
      </c>
      <c r="AP4" t="s">
        <v>2096</v>
      </c>
      <c r="AQ4">
        <v>129821</v>
      </c>
      <c r="AR4" s="3">
        <v>46203</v>
      </c>
      <c r="AS4" s="3">
        <v>46174</v>
      </c>
      <c r="AT4" s="3">
        <v>46201</v>
      </c>
      <c r="AU4" t="s">
        <v>2124</v>
      </c>
      <c r="AW4" s="3">
        <v>46208.53701449134</v>
      </c>
    </row>
    <row r="5" spans="1:49" ht="16" hidden="1" x14ac:dyDescent="0.2">
      <c r="A5" t="s">
        <v>61</v>
      </c>
      <c r="B5">
        <v>11885</v>
      </c>
      <c r="C5">
        <v>1148</v>
      </c>
      <c r="D5" t="s">
        <v>61</v>
      </c>
      <c r="E5" t="s">
        <v>243</v>
      </c>
      <c r="F5">
        <v>265136</v>
      </c>
      <c r="G5" t="s">
        <v>456</v>
      </c>
      <c r="H5">
        <v>574526</v>
      </c>
      <c r="I5" t="s">
        <v>946</v>
      </c>
      <c r="J5">
        <v>92762829</v>
      </c>
      <c r="K5" t="s">
        <v>1840</v>
      </c>
      <c r="L5" t="s">
        <v>1850</v>
      </c>
      <c r="M5" s="1">
        <v>25</v>
      </c>
      <c r="N5" t="s">
        <v>23</v>
      </c>
      <c r="O5">
        <v>1043604</v>
      </c>
      <c r="P5" s="1">
        <v>0</v>
      </c>
      <c r="S5" s="6" t="str">
        <f t="shared" si="0"/>
        <v xml:space="preserve"> </v>
      </c>
      <c r="T5" s="6">
        <f>IF(IF(COUNTIF(H$2:$H5,H5)=1,1,"")=1,SUMIF($H$2:$H$7997,H5,$S$2:$S$7997),"")</f>
        <v>0</v>
      </c>
      <c r="W5">
        <v>737435</v>
      </c>
      <c r="X5">
        <v>1043604</v>
      </c>
      <c r="Y5">
        <v>0</v>
      </c>
      <c r="Z5">
        <v>0</v>
      </c>
      <c r="AA5" s="2">
        <v>1</v>
      </c>
      <c r="AB5" s="2">
        <v>0</v>
      </c>
      <c r="AC5" s="2">
        <v>0</v>
      </c>
      <c r="AD5">
        <v>0</v>
      </c>
      <c r="AE5" t="s">
        <v>1862</v>
      </c>
      <c r="AF5">
        <v>0</v>
      </c>
      <c r="AG5">
        <v>3000000</v>
      </c>
      <c r="AH5">
        <v>0</v>
      </c>
      <c r="AI5" s="1" t="s">
        <v>243</v>
      </c>
      <c r="AJ5">
        <v>92762823</v>
      </c>
      <c r="AK5" s="1" t="s">
        <v>1867</v>
      </c>
      <c r="AN5" t="s">
        <v>2051</v>
      </c>
      <c r="AO5" t="s">
        <v>2067</v>
      </c>
      <c r="AP5" t="s">
        <v>2083</v>
      </c>
      <c r="AQ5">
        <v>121448</v>
      </c>
      <c r="AR5" s="3">
        <v>46203</v>
      </c>
      <c r="AS5" s="3">
        <v>46113</v>
      </c>
      <c r="AT5" s="3">
        <v>46203</v>
      </c>
      <c r="AU5" t="s">
        <v>2123</v>
      </c>
      <c r="AW5" s="3">
        <v>46208.53701449134</v>
      </c>
    </row>
    <row r="6" spans="1:49" ht="16" hidden="1" x14ac:dyDescent="0.2">
      <c r="A6" t="s">
        <v>61</v>
      </c>
      <c r="B6">
        <v>11885</v>
      </c>
      <c r="C6">
        <v>1148</v>
      </c>
      <c r="D6" t="s">
        <v>61</v>
      </c>
      <c r="E6" t="s">
        <v>243</v>
      </c>
      <c r="F6">
        <v>265136</v>
      </c>
      <c r="G6" t="s">
        <v>456</v>
      </c>
      <c r="H6">
        <v>574526</v>
      </c>
      <c r="I6" t="s">
        <v>945</v>
      </c>
      <c r="J6">
        <v>92762826</v>
      </c>
      <c r="K6" t="s">
        <v>1839</v>
      </c>
      <c r="L6" t="s">
        <v>1850</v>
      </c>
      <c r="M6" s="1">
        <v>25</v>
      </c>
      <c r="N6" t="s">
        <v>23</v>
      </c>
      <c r="O6">
        <v>1017750</v>
      </c>
      <c r="P6" s="1">
        <v>0</v>
      </c>
      <c r="S6" s="6" t="str">
        <f t="shared" si="0"/>
        <v xml:space="preserve"> </v>
      </c>
      <c r="T6" s="6" t="str">
        <f>IF(IF(COUNTIF(H$2:$H6,H6)=1,1,"")=1,SUMIF($H$2:$H$7997,H6,$S$2:$S$7997),"")</f>
        <v/>
      </c>
      <c r="W6">
        <v>741825</v>
      </c>
      <c r="X6">
        <v>1017750</v>
      </c>
      <c r="Y6">
        <v>0</v>
      </c>
      <c r="Z6">
        <v>0</v>
      </c>
      <c r="AA6" s="2">
        <v>1</v>
      </c>
      <c r="AB6" s="2">
        <v>0</v>
      </c>
      <c r="AC6" s="2">
        <v>0</v>
      </c>
      <c r="AD6">
        <v>0</v>
      </c>
      <c r="AE6" t="s">
        <v>1862</v>
      </c>
      <c r="AF6">
        <v>0</v>
      </c>
      <c r="AG6">
        <v>3000000</v>
      </c>
      <c r="AH6">
        <v>0</v>
      </c>
      <c r="AI6" s="1" t="s">
        <v>243</v>
      </c>
      <c r="AJ6">
        <v>92762823</v>
      </c>
      <c r="AK6" s="1" t="s">
        <v>1867</v>
      </c>
      <c r="AN6" t="s">
        <v>2051</v>
      </c>
      <c r="AO6" t="s">
        <v>2067</v>
      </c>
      <c r="AP6" t="s">
        <v>2082</v>
      </c>
      <c r="AQ6">
        <v>121448</v>
      </c>
      <c r="AR6" s="3">
        <v>46203</v>
      </c>
      <c r="AS6" s="3">
        <v>46113</v>
      </c>
      <c r="AT6" s="3">
        <v>46203</v>
      </c>
      <c r="AU6" t="s">
        <v>2124</v>
      </c>
      <c r="AW6" s="3">
        <v>46208.53701449134</v>
      </c>
    </row>
    <row r="7" spans="1:49" ht="16" hidden="1" x14ac:dyDescent="0.2">
      <c r="A7" t="s">
        <v>63</v>
      </c>
      <c r="B7">
        <v>11309</v>
      </c>
      <c r="C7">
        <v>8106</v>
      </c>
      <c r="D7" t="s">
        <v>126</v>
      </c>
      <c r="E7" t="s">
        <v>246</v>
      </c>
      <c r="F7">
        <v>264662</v>
      </c>
      <c r="G7" t="s">
        <v>458</v>
      </c>
      <c r="H7">
        <v>572919</v>
      </c>
      <c r="I7" t="s">
        <v>1447</v>
      </c>
      <c r="J7">
        <v>94782838</v>
      </c>
      <c r="K7" t="s">
        <v>1843</v>
      </c>
      <c r="L7" t="s">
        <v>1851</v>
      </c>
      <c r="M7" s="1">
        <v>27.92</v>
      </c>
      <c r="N7" t="s">
        <v>1858</v>
      </c>
      <c r="O7">
        <v>53006</v>
      </c>
      <c r="P7" s="1">
        <v>1479.94</v>
      </c>
      <c r="S7" s="6" t="str">
        <f t="shared" si="0"/>
        <v xml:space="preserve"> </v>
      </c>
      <c r="T7" s="6">
        <f>IF(IF(COUNTIF(H$2:$H7,H7)=1,1,"")=1,SUMIF($H$2:$H$7997,H7,$S$2:$S$7997),"")</f>
        <v>0</v>
      </c>
      <c r="W7">
        <v>325960</v>
      </c>
      <c r="X7">
        <v>325960</v>
      </c>
      <c r="Y7">
        <v>133244</v>
      </c>
      <c r="Z7">
        <v>133244</v>
      </c>
      <c r="AA7" s="2">
        <v>1</v>
      </c>
      <c r="AB7" s="2">
        <v>0.40877502207043598</v>
      </c>
      <c r="AC7" s="2">
        <v>0</v>
      </c>
      <c r="AD7">
        <v>0</v>
      </c>
      <c r="AE7" t="s">
        <v>1864</v>
      </c>
      <c r="AF7">
        <v>1479.94</v>
      </c>
      <c r="AG7">
        <v>159083</v>
      </c>
      <c r="AH7">
        <v>4441.6000000000004</v>
      </c>
      <c r="AI7" s="1" t="s">
        <v>246</v>
      </c>
      <c r="AJ7">
        <v>92798069</v>
      </c>
      <c r="AK7" s="1" t="s">
        <v>1871</v>
      </c>
      <c r="AL7" t="s">
        <v>1886</v>
      </c>
      <c r="AN7" t="s">
        <v>2043</v>
      </c>
      <c r="AO7" t="s">
        <v>2067</v>
      </c>
      <c r="AP7" t="s">
        <v>2099</v>
      </c>
      <c r="AQ7">
        <v>121258</v>
      </c>
      <c r="AR7" s="3">
        <v>46203</v>
      </c>
      <c r="AS7" s="3">
        <v>46113</v>
      </c>
      <c r="AT7" s="3">
        <v>46203</v>
      </c>
      <c r="AU7" t="s">
        <v>2125</v>
      </c>
      <c r="AW7" s="3">
        <v>46208.53701449134</v>
      </c>
    </row>
    <row r="8" spans="1:49" ht="16" hidden="1" x14ac:dyDescent="0.2">
      <c r="A8" t="s">
        <v>63</v>
      </c>
      <c r="B8">
        <v>11309</v>
      </c>
      <c r="C8">
        <v>8106</v>
      </c>
      <c r="D8" t="s">
        <v>126</v>
      </c>
      <c r="E8" t="s">
        <v>246</v>
      </c>
      <c r="F8">
        <v>264662</v>
      </c>
      <c r="G8" t="s">
        <v>458</v>
      </c>
      <c r="H8">
        <v>572919</v>
      </c>
      <c r="I8" t="s">
        <v>948</v>
      </c>
      <c r="J8">
        <v>92798072</v>
      </c>
      <c r="K8" t="s">
        <v>1837</v>
      </c>
      <c r="L8" t="s">
        <v>1850</v>
      </c>
      <c r="M8" s="1">
        <v>27.92</v>
      </c>
      <c r="N8" t="s">
        <v>1853</v>
      </c>
      <c r="O8">
        <v>8570</v>
      </c>
      <c r="P8" s="1">
        <v>186.06</v>
      </c>
      <c r="S8" s="6" t="str">
        <f t="shared" si="0"/>
        <v xml:space="preserve"> </v>
      </c>
      <c r="T8" s="6" t="str">
        <f>IF(IF(COUNTIF(H$2:$H8,H8)=1,1,"")=1,SUMIF($H$2:$H$7997,H8,$S$2:$S$7997),"")</f>
        <v/>
      </c>
      <c r="V8" t="s">
        <v>1860</v>
      </c>
      <c r="W8">
        <v>18547</v>
      </c>
      <c r="X8">
        <v>11410</v>
      </c>
      <c r="Y8">
        <v>13931</v>
      </c>
      <c r="Z8">
        <v>8570</v>
      </c>
      <c r="AA8" s="2">
        <v>1</v>
      </c>
      <c r="AB8" s="2">
        <v>0.75111877931740978</v>
      </c>
      <c r="AC8" s="2">
        <v>0</v>
      </c>
      <c r="AD8">
        <v>0</v>
      </c>
      <c r="AE8" t="s">
        <v>1864</v>
      </c>
      <c r="AF8">
        <v>186.06</v>
      </c>
      <c r="AG8">
        <v>20000</v>
      </c>
      <c r="AH8">
        <v>558.4</v>
      </c>
      <c r="AI8" s="1" t="s">
        <v>246</v>
      </c>
      <c r="AJ8">
        <v>92798069</v>
      </c>
      <c r="AK8" s="1" t="s">
        <v>1871</v>
      </c>
      <c r="AL8" t="s">
        <v>1886</v>
      </c>
      <c r="AN8" t="s">
        <v>2043</v>
      </c>
      <c r="AO8" t="s">
        <v>2067</v>
      </c>
      <c r="AP8" t="s">
        <v>2075</v>
      </c>
      <c r="AQ8">
        <v>121258</v>
      </c>
      <c r="AR8" s="3">
        <v>46203</v>
      </c>
      <c r="AS8" s="3">
        <v>46113</v>
      </c>
      <c r="AT8" s="3">
        <v>46203</v>
      </c>
      <c r="AU8" t="s">
        <v>2124</v>
      </c>
      <c r="AW8" s="3">
        <v>46208.53701449134</v>
      </c>
    </row>
    <row r="9" spans="1:49" ht="16" hidden="1" x14ac:dyDescent="0.2">
      <c r="A9" t="s">
        <v>63</v>
      </c>
      <c r="B9">
        <v>11309</v>
      </c>
      <c r="C9">
        <v>8106</v>
      </c>
      <c r="D9" t="s">
        <v>126</v>
      </c>
      <c r="E9" t="s">
        <v>375</v>
      </c>
      <c r="F9">
        <v>270111</v>
      </c>
      <c r="G9" t="s">
        <v>696</v>
      </c>
      <c r="H9">
        <v>590783</v>
      </c>
      <c r="I9" t="s">
        <v>1348</v>
      </c>
      <c r="J9">
        <v>94404208</v>
      </c>
      <c r="K9" t="s">
        <v>1839</v>
      </c>
      <c r="L9" t="s">
        <v>1850</v>
      </c>
      <c r="M9" s="1">
        <v>40</v>
      </c>
      <c r="N9" t="s">
        <v>1855</v>
      </c>
      <c r="O9">
        <v>2037014</v>
      </c>
      <c r="P9" s="1">
        <v>81480.56</v>
      </c>
      <c r="S9" s="6" t="str">
        <f t="shared" si="0"/>
        <v xml:space="preserve"> </v>
      </c>
      <c r="T9" s="6">
        <f>IF(IF(COUNTIF(H$2:$H9,H9)=1,1,"")=1,SUMIF($H$2:$H$7997,H9,$S$2:$S$7997),"")</f>
        <v>0</v>
      </c>
      <c r="W9">
        <v>2037014</v>
      </c>
      <c r="X9">
        <v>2037014</v>
      </c>
      <c r="Y9">
        <v>0</v>
      </c>
      <c r="Z9">
        <v>0</v>
      </c>
      <c r="AA9" s="2">
        <v>1</v>
      </c>
      <c r="AB9" s="2">
        <v>0</v>
      </c>
      <c r="AC9" s="2">
        <v>0</v>
      </c>
      <c r="AD9">
        <v>0</v>
      </c>
      <c r="AE9" t="s">
        <v>1862</v>
      </c>
      <c r="AF9">
        <v>47629.22</v>
      </c>
      <c r="AG9">
        <v>3062500</v>
      </c>
      <c r="AH9">
        <v>122500</v>
      </c>
      <c r="AI9" s="1" t="s">
        <v>375</v>
      </c>
      <c r="AJ9">
        <v>94404205</v>
      </c>
      <c r="AK9" s="1" t="s">
        <v>1868</v>
      </c>
      <c r="AL9" t="s">
        <v>1992</v>
      </c>
      <c r="AN9" t="s">
        <v>2043</v>
      </c>
      <c r="AO9" t="s">
        <v>2067</v>
      </c>
      <c r="AP9" t="s">
        <v>2094</v>
      </c>
      <c r="AQ9">
        <v>129870</v>
      </c>
      <c r="AR9" s="3">
        <v>46203</v>
      </c>
      <c r="AS9" s="3">
        <v>46174</v>
      </c>
      <c r="AT9" s="3">
        <v>46222</v>
      </c>
      <c r="AU9" t="s">
        <v>2124</v>
      </c>
      <c r="AW9" s="3">
        <v>46208.53701449134</v>
      </c>
    </row>
    <row r="10" spans="1:49" ht="16" hidden="1" x14ac:dyDescent="0.2">
      <c r="A10" t="s">
        <v>63</v>
      </c>
      <c r="B10">
        <v>11309</v>
      </c>
      <c r="C10">
        <v>8106</v>
      </c>
      <c r="D10" t="s">
        <v>126</v>
      </c>
      <c r="E10" t="s">
        <v>375</v>
      </c>
      <c r="F10">
        <v>270111</v>
      </c>
      <c r="G10" t="s">
        <v>696</v>
      </c>
      <c r="H10">
        <v>590783</v>
      </c>
      <c r="I10" t="s">
        <v>1349</v>
      </c>
      <c r="J10">
        <v>94404211</v>
      </c>
      <c r="K10" t="s">
        <v>1835</v>
      </c>
      <c r="L10" t="s">
        <v>1850</v>
      </c>
      <c r="M10" s="1">
        <v>40</v>
      </c>
      <c r="N10" t="s">
        <v>1855</v>
      </c>
      <c r="O10">
        <v>890204</v>
      </c>
      <c r="P10" s="1">
        <v>35608.160000000003</v>
      </c>
      <c r="S10" s="6" t="str">
        <f t="shared" si="0"/>
        <v xml:space="preserve"> </v>
      </c>
      <c r="T10" s="6" t="str">
        <f>IF(IF(COUNTIF(H$2:$H10,H10)=1,1,"")=1,SUMIF($H$2:$H$7997,H10,$S$2:$S$7997),"")</f>
        <v/>
      </c>
      <c r="W10">
        <v>890204</v>
      </c>
      <c r="X10">
        <v>890204</v>
      </c>
      <c r="Y10">
        <v>0</v>
      </c>
      <c r="Z10">
        <v>0</v>
      </c>
      <c r="AA10" s="2">
        <v>1</v>
      </c>
      <c r="AB10" s="2">
        <v>0</v>
      </c>
      <c r="AC10" s="2">
        <v>0</v>
      </c>
      <c r="AD10">
        <v>0</v>
      </c>
      <c r="AE10" t="s">
        <v>1862</v>
      </c>
      <c r="AF10">
        <v>20412.52</v>
      </c>
      <c r="AG10">
        <v>1312500</v>
      </c>
      <c r="AH10">
        <v>52500</v>
      </c>
      <c r="AI10" s="1" t="s">
        <v>375</v>
      </c>
      <c r="AJ10">
        <v>94404205</v>
      </c>
      <c r="AK10" s="1" t="s">
        <v>1868</v>
      </c>
      <c r="AL10" t="s">
        <v>1992</v>
      </c>
      <c r="AN10" t="s">
        <v>2043</v>
      </c>
      <c r="AO10" t="s">
        <v>2067</v>
      </c>
      <c r="AP10" t="s">
        <v>2092</v>
      </c>
      <c r="AQ10">
        <v>129870</v>
      </c>
      <c r="AR10" s="3">
        <v>46203</v>
      </c>
      <c r="AS10" s="3">
        <v>46174</v>
      </c>
      <c r="AT10" s="3">
        <v>46222</v>
      </c>
      <c r="AU10" t="s">
        <v>2123</v>
      </c>
      <c r="AW10" s="3">
        <v>46208.53701449134</v>
      </c>
    </row>
    <row r="11" spans="1:49" ht="16" hidden="1" x14ac:dyDescent="0.2">
      <c r="A11" t="s">
        <v>63</v>
      </c>
      <c r="B11">
        <v>11309</v>
      </c>
      <c r="C11">
        <v>8106</v>
      </c>
      <c r="D11" t="s">
        <v>126</v>
      </c>
      <c r="E11" t="s">
        <v>375</v>
      </c>
      <c r="F11">
        <v>270111</v>
      </c>
      <c r="G11" t="s">
        <v>895</v>
      </c>
      <c r="H11">
        <v>590855</v>
      </c>
      <c r="I11" t="s">
        <v>1724</v>
      </c>
      <c r="J11">
        <v>590857</v>
      </c>
      <c r="K11" t="s">
        <v>1847</v>
      </c>
      <c r="L11" t="s">
        <v>1851</v>
      </c>
      <c r="M11" s="1">
        <v>225000</v>
      </c>
      <c r="N11" t="s">
        <v>1858</v>
      </c>
      <c r="O11">
        <v>0</v>
      </c>
      <c r="P11" s="1">
        <v>68877.55</v>
      </c>
      <c r="S11" s="6" t="str">
        <f t="shared" si="0"/>
        <v xml:space="preserve"> </v>
      </c>
      <c r="T11" s="6">
        <f>IF(IF(COUNTIF(H$2:$H11,H11)=1,1,"")=1,SUMIF($H$2:$H$7997,H11,$S$2:$S$7997),"")</f>
        <v>0</v>
      </c>
      <c r="W11">
        <v>0</v>
      </c>
      <c r="X11">
        <v>0</v>
      </c>
      <c r="Y11">
        <v>0</v>
      </c>
      <c r="Z11">
        <v>0</v>
      </c>
      <c r="AA11" s="2">
        <v>1</v>
      </c>
      <c r="AB11" s="2">
        <v>0</v>
      </c>
      <c r="AC11" s="2">
        <v>0</v>
      </c>
      <c r="AD11">
        <v>0</v>
      </c>
      <c r="AE11" t="s">
        <v>1863</v>
      </c>
      <c r="AF11">
        <v>68877.55</v>
      </c>
      <c r="AG11">
        <v>225000</v>
      </c>
      <c r="AH11">
        <v>225000</v>
      </c>
      <c r="AI11" s="1" t="s">
        <v>375</v>
      </c>
      <c r="AJ11">
        <v>270111</v>
      </c>
      <c r="AK11" s="1" t="s">
        <v>1867</v>
      </c>
      <c r="AL11" t="s">
        <v>1992</v>
      </c>
      <c r="AN11" t="s">
        <v>2043</v>
      </c>
      <c r="AO11" t="s">
        <v>2067</v>
      </c>
      <c r="AP11" t="s">
        <v>2112</v>
      </c>
      <c r="AQ11">
        <v>129870</v>
      </c>
      <c r="AR11" s="3">
        <v>46203</v>
      </c>
      <c r="AS11" s="3">
        <v>46174</v>
      </c>
      <c r="AT11" s="3">
        <v>46222</v>
      </c>
      <c r="AU11" t="s">
        <v>2130</v>
      </c>
      <c r="AW11" s="3">
        <v>46208.53701449134</v>
      </c>
    </row>
    <row r="12" spans="1:49" ht="16" hidden="1" x14ac:dyDescent="0.2">
      <c r="A12" t="s">
        <v>68</v>
      </c>
      <c r="B12">
        <v>10564</v>
      </c>
      <c r="C12">
        <v>8880</v>
      </c>
      <c r="D12" t="s">
        <v>114</v>
      </c>
      <c r="E12" t="s">
        <v>254</v>
      </c>
      <c r="F12">
        <v>264043</v>
      </c>
      <c r="G12" t="s">
        <v>468</v>
      </c>
      <c r="H12">
        <v>578383</v>
      </c>
      <c r="I12" t="s">
        <v>959</v>
      </c>
      <c r="J12">
        <v>92973566</v>
      </c>
      <c r="K12" t="s">
        <v>1836</v>
      </c>
      <c r="L12" t="s">
        <v>1850</v>
      </c>
      <c r="M12" s="1">
        <v>13.6</v>
      </c>
      <c r="N12" t="s">
        <v>1853</v>
      </c>
      <c r="O12">
        <v>4309974</v>
      </c>
      <c r="P12" s="1">
        <v>53169.23</v>
      </c>
      <c r="S12" s="6" t="str">
        <f t="shared" si="0"/>
        <v xml:space="preserve"> </v>
      </c>
      <c r="T12" s="6">
        <f>IF(IF(COUNTIF(H$2:$H12,H12)=1,1,"")=1,SUMIF($H$2:$H$7997,H12,$S$2:$S$7997),"")</f>
        <v>0</v>
      </c>
      <c r="V12" t="s">
        <v>1860</v>
      </c>
      <c r="W12">
        <v>3390322</v>
      </c>
      <c r="X12">
        <v>3390322</v>
      </c>
      <c r="Y12">
        <v>4309974</v>
      </c>
      <c r="Z12">
        <v>4309974</v>
      </c>
      <c r="AA12" s="2">
        <v>1</v>
      </c>
      <c r="AB12" s="2">
        <v>1.2712582225200311</v>
      </c>
      <c r="AC12" s="2">
        <v>0</v>
      </c>
      <c r="AD12">
        <v>0</v>
      </c>
      <c r="AE12" t="s">
        <v>1862</v>
      </c>
      <c r="AF12">
        <v>50940.75</v>
      </c>
      <c r="AG12">
        <v>3909502</v>
      </c>
      <c r="AH12">
        <v>53169.23</v>
      </c>
      <c r="AI12" s="1" t="s">
        <v>254</v>
      </c>
      <c r="AJ12">
        <v>92973560</v>
      </c>
      <c r="AK12" s="1" t="s">
        <v>1867</v>
      </c>
      <c r="AL12" t="s">
        <v>1893</v>
      </c>
      <c r="AN12" t="s">
        <v>2042</v>
      </c>
      <c r="AO12" t="s">
        <v>2067</v>
      </c>
      <c r="AP12" t="s">
        <v>2074</v>
      </c>
      <c r="AQ12">
        <v>123490</v>
      </c>
      <c r="AR12" s="3">
        <v>46203</v>
      </c>
      <c r="AS12" s="3">
        <v>46113</v>
      </c>
      <c r="AT12" s="3">
        <v>46203</v>
      </c>
      <c r="AU12" t="s">
        <v>2124</v>
      </c>
      <c r="AW12" s="3">
        <v>46208.53701449134</v>
      </c>
    </row>
    <row r="13" spans="1:49" ht="16" hidden="1" x14ac:dyDescent="0.2">
      <c r="A13" t="s">
        <v>68</v>
      </c>
      <c r="B13">
        <v>10564</v>
      </c>
      <c r="C13">
        <v>8880</v>
      </c>
      <c r="D13" t="s">
        <v>114</v>
      </c>
      <c r="E13" t="s">
        <v>254</v>
      </c>
      <c r="F13">
        <v>264043</v>
      </c>
      <c r="G13" t="s">
        <v>468</v>
      </c>
      <c r="H13">
        <v>578383</v>
      </c>
      <c r="I13" t="s">
        <v>960</v>
      </c>
      <c r="J13">
        <v>92973575</v>
      </c>
      <c r="K13" t="s">
        <v>1836</v>
      </c>
      <c r="L13" t="s">
        <v>1850</v>
      </c>
      <c r="M13" s="1">
        <v>13.6</v>
      </c>
      <c r="N13" t="s">
        <v>23</v>
      </c>
      <c r="O13">
        <v>1526883</v>
      </c>
      <c r="P13" s="1">
        <v>20765.61</v>
      </c>
      <c r="S13" s="6" t="str">
        <f t="shared" si="0"/>
        <v xml:space="preserve"> </v>
      </c>
      <c r="T13" s="6" t="str">
        <f>IF(IF(COUNTIF(H$2:$H13,H13)=1,1,"")=1,SUMIF($H$2:$H$7997,H13,$S$2:$S$7997),"")</f>
        <v/>
      </c>
      <c r="W13">
        <v>1526883</v>
      </c>
      <c r="X13">
        <v>1526883</v>
      </c>
      <c r="Y13">
        <v>0</v>
      </c>
      <c r="Z13">
        <v>0</v>
      </c>
      <c r="AA13" s="2">
        <v>1</v>
      </c>
      <c r="AB13" s="2">
        <v>0</v>
      </c>
      <c r="AC13" s="2">
        <v>0</v>
      </c>
      <c r="AD13">
        <v>0</v>
      </c>
      <c r="AE13" t="s">
        <v>1862</v>
      </c>
      <c r="AF13">
        <v>28654.17</v>
      </c>
      <c r="AG13">
        <v>2199095</v>
      </c>
      <c r="AH13">
        <v>29907.69</v>
      </c>
      <c r="AI13" s="1" t="s">
        <v>254</v>
      </c>
      <c r="AJ13">
        <v>92973560</v>
      </c>
      <c r="AK13" s="1" t="s">
        <v>1867</v>
      </c>
      <c r="AL13" t="s">
        <v>1893</v>
      </c>
      <c r="AN13" t="s">
        <v>2042</v>
      </c>
      <c r="AO13" t="s">
        <v>2067</v>
      </c>
      <c r="AP13" t="s">
        <v>2074</v>
      </c>
      <c r="AQ13">
        <v>123490</v>
      </c>
      <c r="AR13" s="3">
        <v>46203</v>
      </c>
      <c r="AS13" s="3">
        <v>46113</v>
      </c>
      <c r="AT13" s="3">
        <v>46203</v>
      </c>
      <c r="AU13" t="s">
        <v>2124</v>
      </c>
      <c r="AW13" s="3">
        <v>46208.53701449134</v>
      </c>
    </row>
    <row r="14" spans="1:49" ht="16" hidden="1" x14ac:dyDescent="0.2">
      <c r="A14" t="s">
        <v>68</v>
      </c>
      <c r="B14">
        <v>10564</v>
      </c>
      <c r="C14">
        <v>7472</v>
      </c>
      <c r="D14" t="s">
        <v>171</v>
      </c>
      <c r="E14" t="s">
        <v>362</v>
      </c>
      <c r="F14">
        <v>270352</v>
      </c>
      <c r="G14" t="s">
        <v>666</v>
      </c>
      <c r="H14">
        <v>591418</v>
      </c>
      <c r="I14" t="s">
        <v>1293</v>
      </c>
      <c r="J14">
        <v>94320519</v>
      </c>
      <c r="K14" t="s">
        <v>1836</v>
      </c>
      <c r="L14" t="s">
        <v>1850</v>
      </c>
      <c r="M14" s="1">
        <v>20</v>
      </c>
      <c r="N14" t="s">
        <v>1855</v>
      </c>
      <c r="O14">
        <v>3041031</v>
      </c>
      <c r="P14" s="1">
        <v>60000</v>
      </c>
      <c r="S14" s="6" t="str">
        <f t="shared" si="0"/>
        <v xml:space="preserve"> </v>
      </c>
      <c r="T14" s="6">
        <f>IF(IF(COUNTIF(H$2:$H14,H14)=1,1,"")=1,SUMIF($H$2:$H$7997,H14,$S$2:$S$7997),"")</f>
        <v>0</v>
      </c>
      <c r="V14" t="s">
        <v>1860</v>
      </c>
      <c r="W14">
        <v>3041031</v>
      </c>
      <c r="X14">
        <v>3041031</v>
      </c>
      <c r="Y14">
        <v>0</v>
      </c>
      <c r="Z14">
        <v>0</v>
      </c>
      <c r="AA14" s="2">
        <v>1</v>
      </c>
      <c r="AB14" s="2">
        <v>0</v>
      </c>
      <c r="AC14" s="2">
        <v>0</v>
      </c>
      <c r="AD14">
        <v>0</v>
      </c>
      <c r="AE14" t="s">
        <v>1862</v>
      </c>
      <c r="AF14">
        <v>60000</v>
      </c>
      <c r="AG14">
        <v>3000000</v>
      </c>
      <c r="AH14">
        <v>60000</v>
      </c>
      <c r="AI14" s="1" t="s">
        <v>362</v>
      </c>
      <c r="AJ14">
        <v>94320445</v>
      </c>
      <c r="AK14" s="1" t="s">
        <v>1868</v>
      </c>
      <c r="AL14" t="s">
        <v>1981</v>
      </c>
      <c r="AN14" t="s">
        <v>2046</v>
      </c>
      <c r="AO14" t="s">
        <v>2067</v>
      </c>
      <c r="AP14" t="s">
        <v>2074</v>
      </c>
      <c r="AQ14">
        <v>129661</v>
      </c>
      <c r="AR14" s="3">
        <v>46203</v>
      </c>
      <c r="AS14" s="3">
        <v>46174</v>
      </c>
      <c r="AT14" s="3">
        <v>46201</v>
      </c>
      <c r="AU14" t="s">
        <v>2124</v>
      </c>
      <c r="AW14" s="3">
        <v>46208.53701449134</v>
      </c>
    </row>
    <row r="15" spans="1:49" ht="16" hidden="1" x14ac:dyDescent="0.2">
      <c r="A15" t="s">
        <v>68</v>
      </c>
      <c r="B15">
        <v>10564</v>
      </c>
      <c r="C15">
        <v>7472</v>
      </c>
      <c r="D15" t="s">
        <v>171</v>
      </c>
      <c r="E15" t="s">
        <v>317</v>
      </c>
      <c r="F15">
        <v>269597</v>
      </c>
      <c r="G15" t="s">
        <v>589</v>
      </c>
      <c r="H15">
        <v>588711</v>
      </c>
      <c r="I15" t="s">
        <v>1155</v>
      </c>
      <c r="J15">
        <v>93993815</v>
      </c>
      <c r="K15" t="s">
        <v>1836</v>
      </c>
      <c r="L15" t="s">
        <v>1850</v>
      </c>
      <c r="M15" s="1">
        <v>20</v>
      </c>
      <c r="N15" t="s">
        <v>1855</v>
      </c>
      <c r="O15">
        <v>2321592</v>
      </c>
      <c r="P15" s="1">
        <v>46431.839999999997</v>
      </c>
      <c r="S15" s="6" t="str">
        <f t="shared" si="0"/>
        <v xml:space="preserve"> </v>
      </c>
      <c r="T15" s="6">
        <f>IF(IF(COUNTIF(H$2:$H15,H15)=1,1,"")=1,SUMIF($H$2:$H$7997,H15,$S$2:$S$7997),"")</f>
        <v>0</v>
      </c>
      <c r="V15" t="s">
        <v>1860</v>
      </c>
      <c r="W15">
        <v>698080</v>
      </c>
      <c r="X15">
        <v>2321592</v>
      </c>
      <c r="Y15">
        <v>0</v>
      </c>
      <c r="Z15">
        <v>0</v>
      </c>
      <c r="AA15" s="2">
        <v>1</v>
      </c>
      <c r="AB15" s="2">
        <v>0</v>
      </c>
      <c r="AC15" s="2">
        <v>0</v>
      </c>
      <c r="AD15">
        <v>0</v>
      </c>
      <c r="AE15" t="s">
        <v>1862</v>
      </c>
      <c r="AF15">
        <v>13568.16</v>
      </c>
      <c r="AG15">
        <v>3000000</v>
      </c>
      <c r="AH15">
        <v>60000</v>
      </c>
      <c r="AI15" s="1" t="s">
        <v>317</v>
      </c>
      <c r="AJ15">
        <v>93993360</v>
      </c>
      <c r="AK15" s="1" t="s">
        <v>1868</v>
      </c>
      <c r="AL15" t="s">
        <v>1947</v>
      </c>
      <c r="AN15" t="s">
        <v>2046</v>
      </c>
      <c r="AO15" t="s">
        <v>2067</v>
      </c>
      <c r="AP15" t="s">
        <v>2074</v>
      </c>
      <c r="AQ15">
        <v>128349</v>
      </c>
      <c r="AR15" s="3">
        <v>46203</v>
      </c>
      <c r="AS15" s="3">
        <v>46155</v>
      </c>
      <c r="AT15" s="3">
        <v>46180</v>
      </c>
      <c r="AU15" t="s">
        <v>2124</v>
      </c>
      <c r="AW15" s="3">
        <v>46208.53701449134</v>
      </c>
    </row>
    <row r="16" spans="1:49" ht="16" hidden="1" x14ac:dyDescent="0.2">
      <c r="A16" t="s">
        <v>93</v>
      </c>
      <c r="B16">
        <v>10966</v>
      </c>
      <c r="C16">
        <v>5472</v>
      </c>
      <c r="D16" t="s">
        <v>192</v>
      </c>
      <c r="E16" t="s">
        <v>357</v>
      </c>
      <c r="F16">
        <v>265792</v>
      </c>
      <c r="G16" t="s">
        <v>661</v>
      </c>
      <c r="H16">
        <v>591110</v>
      </c>
      <c r="I16" t="s">
        <v>1287</v>
      </c>
      <c r="J16">
        <v>94295266</v>
      </c>
      <c r="K16" t="s">
        <v>1839</v>
      </c>
      <c r="L16" t="s">
        <v>1850</v>
      </c>
      <c r="M16" s="1">
        <v>17</v>
      </c>
      <c r="N16" t="s">
        <v>23</v>
      </c>
      <c r="O16">
        <v>45614</v>
      </c>
      <c r="P16" s="1">
        <v>750.18</v>
      </c>
      <c r="S16" s="6" t="str">
        <f t="shared" si="0"/>
        <v xml:space="preserve"> </v>
      </c>
      <c r="T16" s="6">
        <f>IF(IF(COUNTIF(H$2:$H16,H16)=1,1,"")=1,SUMIF($H$2:$H$7997,H16,$S$2:$S$7997),"")</f>
        <v>0</v>
      </c>
      <c r="W16">
        <v>45614</v>
      </c>
      <c r="X16">
        <v>45614</v>
      </c>
      <c r="Y16">
        <v>0</v>
      </c>
      <c r="Z16">
        <v>0</v>
      </c>
      <c r="AA16" s="2">
        <v>1</v>
      </c>
      <c r="AB16" s="2">
        <v>0</v>
      </c>
      <c r="AC16" s="2">
        <v>0</v>
      </c>
      <c r="AD16">
        <v>0</v>
      </c>
      <c r="AE16" t="s">
        <v>1862</v>
      </c>
      <c r="AF16">
        <v>304.7</v>
      </c>
      <c r="AG16">
        <v>44128</v>
      </c>
      <c r="AH16">
        <v>750.18</v>
      </c>
      <c r="AI16" s="1" t="s">
        <v>357</v>
      </c>
      <c r="AJ16">
        <v>93089294</v>
      </c>
      <c r="AK16" s="1" t="s">
        <v>1867</v>
      </c>
      <c r="AL16">
        <v>43091.1</v>
      </c>
      <c r="AN16" t="s">
        <v>2050</v>
      </c>
      <c r="AO16" t="s">
        <v>2067</v>
      </c>
      <c r="AP16" t="s">
        <v>2093</v>
      </c>
      <c r="AQ16">
        <v>129468</v>
      </c>
      <c r="AR16" s="3">
        <v>46203</v>
      </c>
      <c r="AS16" s="3">
        <v>46174</v>
      </c>
      <c r="AT16" s="3">
        <v>46180</v>
      </c>
      <c r="AU16" t="s">
        <v>2124</v>
      </c>
      <c r="AW16" s="3">
        <v>46208.53701449134</v>
      </c>
    </row>
    <row r="17" spans="1:49" ht="16" hidden="1" x14ac:dyDescent="0.2">
      <c r="A17" t="s">
        <v>93</v>
      </c>
      <c r="B17">
        <v>10966</v>
      </c>
      <c r="C17">
        <v>5472</v>
      </c>
      <c r="D17" t="s">
        <v>192</v>
      </c>
      <c r="E17" t="s">
        <v>357</v>
      </c>
      <c r="F17">
        <v>265792</v>
      </c>
      <c r="G17" t="s">
        <v>661</v>
      </c>
      <c r="H17">
        <v>591110</v>
      </c>
      <c r="I17" t="s">
        <v>1286</v>
      </c>
      <c r="J17">
        <v>94295272</v>
      </c>
      <c r="K17" t="s">
        <v>1840</v>
      </c>
      <c r="L17" t="s">
        <v>1850</v>
      </c>
      <c r="M17" s="1">
        <v>17</v>
      </c>
      <c r="N17" t="s">
        <v>23</v>
      </c>
      <c r="O17">
        <v>105965</v>
      </c>
      <c r="P17" s="1">
        <v>1749.9</v>
      </c>
      <c r="S17" s="6" t="str">
        <f t="shared" si="0"/>
        <v xml:space="preserve"> </v>
      </c>
      <c r="T17" s="6" t="str">
        <f>IF(IF(COUNTIF(H$2:$H17,H17)=1,1,"")=1,SUMIF($H$2:$H$7997,H17,$S$2:$S$7997),"")</f>
        <v/>
      </c>
      <c r="W17">
        <v>105965</v>
      </c>
      <c r="X17">
        <v>105965</v>
      </c>
      <c r="Y17">
        <v>0</v>
      </c>
      <c r="Z17">
        <v>0</v>
      </c>
      <c r="AA17" s="2">
        <v>1</v>
      </c>
      <c r="AB17" s="2">
        <v>0</v>
      </c>
      <c r="AC17" s="2">
        <v>0</v>
      </c>
      <c r="AD17">
        <v>0</v>
      </c>
      <c r="AE17" t="s">
        <v>1862</v>
      </c>
      <c r="AF17">
        <v>710.76</v>
      </c>
      <c r="AG17">
        <v>102935</v>
      </c>
      <c r="AH17">
        <v>1749.9</v>
      </c>
      <c r="AI17" s="1" t="s">
        <v>357</v>
      </c>
      <c r="AJ17">
        <v>93089294</v>
      </c>
      <c r="AK17" s="1" t="s">
        <v>1867</v>
      </c>
      <c r="AL17">
        <v>43091.1</v>
      </c>
      <c r="AN17" t="s">
        <v>2050</v>
      </c>
      <c r="AO17" t="s">
        <v>2067</v>
      </c>
      <c r="AP17" t="s">
        <v>2083</v>
      </c>
      <c r="AQ17">
        <v>129468</v>
      </c>
      <c r="AR17" s="3">
        <v>46203</v>
      </c>
      <c r="AS17" s="3">
        <v>46174</v>
      </c>
      <c r="AT17" s="3">
        <v>46180</v>
      </c>
      <c r="AU17" t="s">
        <v>2123</v>
      </c>
      <c r="AW17" s="3">
        <v>46208.53701449134</v>
      </c>
    </row>
    <row r="18" spans="1:49" ht="16" hidden="1" x14ac:dyDescent="0.2">
      <c r="A18" t="s">
        <v>93</v>
      </c>
      <c r="B18">
        <v>10966</v>
      </c>
      <c r="C18">
        <v>5472</v>
      </c>
      <c r="D18" t="s">
        <v>192</v>
      </c>
      <c r="E18" t="s">
        <v>357</v>
      </c>
      <c r="F18">
        <v>265792</v>
      </c>
      <c r="G18" t="s">
        <v>661</v>
      </c>
      <c r="H18">
        <v>591123</v>
      </c>
      <c r="I18" t="s">
        <v>1287</v>
      </c>
      <c r="J18">
        <v>94295269</v>
      </c>
      <c r="K18" t="s">
        <v>1839</v>
      </c>
      <c r="L18" t="s">
        <v>1850</v>
      </c>
      <c r="M18" s="1">
        <v>17</v>
      </c>
      <c r="N18" t="s">
        <v>23</v>
      </c>
      <c r="O18">
        <v>45803</v>
      </c>
      <c r="P18" s="1">
        <v>750.18</v>
      </c>
      <c r="S18" s="6" t="str">
        <f t="shared" si="0"/>
        <v xml:space="preserve"> </v>
      </c>
      <c r="T18" s="6">
        <f>IF(IF(COUNTIF(H$2:$H18,H18)=1,1,"")=1,SUMIF($H$2:$H$7997,H18,$S$2:$S$7997),"")</f>
        <v>0</v>
      </c>
      <c r="W18">
        <v>45803</v>
      </c>
      <c r="X18">
        <v>45803</v>
      </c>
      <c r="Y18">
        <v>0</v>
      </c>
      <c r="Z18">
        <v>0</v>
      </c>
      <c r="AA18" s="2">
        <v>1</v>
      </c>
      <c r="AB18" s="2">
        <v>0</v>
      </c>
      <c r="AC18" s="2">
        <v>0</v>
      </c>
      <c r="AD18">
        <v>0</v>
      </c>
      <c r="AE18" t="s">
        <v>1862</v>
      </c>
      <c r="AF18">
        <v>357.71</v>
      </c>
      <c r="AG18">
        <v>44128</v>
      </c>
      <c r="AH18">
        <v>750.18</v>
      </c>
      <c r="AI18" s="1" t="s">
        <v>357</v>
      </c>
      <c r="AJ18">
        <v>93089294</v>
      </c>
      <c r="AK18" s="1" t="s">
        <v>1867</v>
      </c>
      <c r="AL18">
        <v>43091.1</v>
      </c>
      <c r="AN18" t="s">
        <v>2050</v>
      </c>
      <c r="AO18" t="s">
        <v>2067</v>
      </c>
      <c r="AP18" t="s">
        <v>2093</v>
      </c>
      <c r="AQ18">
        <v>129468</v>
      </c>
      <c r="AR18" s="3">
        <v>46203</v>
      </c>
      <c r="AS18" s="3">
        <v>46181</v>
      </c>
      <c r="AT18" s="3">
        <v>46187</v>
      </c>
      <c r="AU18" t="s">
        <v>2124</v>
      </c>
      <c r="AW18" s="3">
        <v>46208.53701449134</v>
      </c>
    </row>
    <row r="19" spans="1:49" ht="16" hidden="1" x14ac:dyDescent="0.2">
      <c r="A19" t="s">
        <v>93</v>
      </c>
      <c r="B19">
        <v>10966</v>
      </c>
      <c r="C19">
        <v>5472</v>
      </c>
      <c r="D19" t="s">
        <v>192</v>
      </c>
      <c r="E19" t="s">
        <v>357</v>
      </c>
      <c r="F19">
        <v>265792</v>
      </c>
      <c r="G19" t="s">
        <v>661</v>
      </c>
      <c r="H19">
        <v>591123</v>
      </c>
      <c r="I19" t="s">
        <v>1286</v>
      </c>
      <c r="J19">
        <v>94295262</v>
      </c>
      <c r="K19" t="s">
        <v>1840</v>
      </c>
      <c r="L19" t="s">
        <v>1850</v>
      </c>
      <c r="M19" s="1">
        <v>17</v>
      </c>
      <c r="N19" t="s">
        <v>23</v>
      </c>
      <c r="O19">
        <v>106238</v>
      </c>
      <c r="P19" s="1">
        <v>1749.9</v>
      </c>
      <c r="S19" s="6" t="str">
        <f t="shared" si="0"/>
        <v xml:space="preserve"> </v>
      </c>
      <c r="T19" s="6" t="str">
        <f>IF(IF(COUNTIF(H$2:$H19,H19)=1,1,"")=1,SUMIF($H$2:$H$7997,H19,$S$2:$S$7997),"")</f>
        <v/>
      </c>
      <c r="W19">
        <v>106238</v>
      </c>
      <c r="X19">
        <v>106238</v>
      </c>
      <c r="Y19">
        <v>0</v>
      </c>
      <c r="Z19">
        <v>0</v>
      </c>
      <c r="AA19" s="2">
        <v>1</v>
      </c>
      <c r="AB19" s="2">
        <v>0</v>
      </c>
      <c r="AC19" s="2">
        <v>0</v>
      </c>
      <c r="AD19">
        <v>0</v>
      </c>
      <c r="AE19" t="s">
        <v>1862</v>
      </c>
      <c r="AF19">
        <v>834.41</v>
      </c>
      <c r="AG19">
        <v>102935</v>
      </c>
      <c r="AH19">
        <v>1749.9</v>
      </c>
      <c r="AI19" s="1" t="s">
        <v>357</v>
      </c>
      <c r="AJ19">
        <v>93089294</v>
      </c>
      <c r="AK19" s="1" t="s">
        <v>1867</v>
      </c>
      <c r="AL19">
        <v>43091.1</v>
      </c>
      <c r="AN19" t="s">
        <v>2050</v>
      </c>
      <c r="AO19" t="s">
        <v>2067</v>
      </c>
      <c r="AP19" t="s">
        <v>2083</v>
      </c>
      <c r="AQ19">
        <v>129468</v>
      </c>
      <c r="AR19" s="3">
        <v>46203</v>
      </c>
      <c r="AS19" s="3">
        <v>46181</v>
      </c>
      <c r="AT19" s="3">
        <v>46187</v>
      </c>
      <c r="AU19" t="s">
        <v>2123</v>
      </c>
      <c r="AW19" s="3">
        <v>46208.53701449134</v>
      </c>
    </row>
    <row r="20" spans="1:49" ht="16" hidden="1" x14ac:dyDescent="0.2">
      <c r="A20" t="s">
        <v>93</v>
      </c>
      <c r="B20">
        <v>10966</v>
      </c>
      <c r="C20">
        <v>5472</v>
      </c>
      <c r="D20" t="s">
        <v>192</v>
      </c>
      <c r="E20" t="s">
        <v>357</v>
      </c>
      <c r="F20">
        <v>265792</v>
      </c>
      <c r="G20" t="s">
        <v>661</v>
      </c>
      <c r="H20">
        <v>591126</v>
      </c>
      <c r="I20" t="s">
        <v>1287</v>
      </c>
      <c r="J20">
        <v>94295284</v>
      </c>
      <c r="K20" t="s">
        <v>1839</v>
      </c>
      <c r="L20" t="s">
        <v>1850</v>
      </c>
      <c r="M20" s="1">
        <v>17</v>
      </c>
      <c r="N20" t="s">
        <v>23</v>
      </c>
      <c r="O20">
        <v>46061</v>
      </c>
      <c r="P20" s="1">
        <v>750.18</v>
      </c>
      <c r="S20" s="6" t="str">
        <f t="shared" si="0"/>
        <v xml:space="preserve"> </v>
      </c>
      <c r="T20" s="6">
        <f>IF(IF(COUNTIF(H$2:$H20,H20)=1,1,"")=1,SUMIF($H$2:$H$7997,H20,$S$2:$S$7997),"")</f>
        <v>0</v>
      </c>
      <c r="W20">
        <v>46061</v>
      </c>
      <c r="X20">
        <v>46061</v>
      </c>
      <c r="Y20">
        <v>0</v>
      </c>
      <c r="Z20">
        <v>0</v>
      </c>
      <c r="AA20" s="2">
        <v>1</v>
      </c>
      <c r="AB20" s="2">
        <v>0</v>
      </c>
      <c r="AC20" s="2">
        <v>0</v>
      </c>
      <c r="AD20">
        <v>0</v>
      </c>
      <c r="AE20" t="s">
        <v>1862</v>
      </c>
      <c r="AF20">
        <v>375.09</v>
      </c>
      <c r="AG20">
        <v>44128</v>
      </c>
      <c r="AH20">
        <v>750.18</v>
      </c>
      <c r="AI20" s="1" t="s">
        <v>357</v>
      </c>
      <c r="AJ20">
        <v>93089294</v>
      </c>
      <c r="AK20" s="1" t="s">
        <v>1867</v>
      </c>
      <c r="AL20">
        <v>43091.1</v>
      </c>
      <c r="AN20" t="s">
        <v>2050</v>
      </c>
      <c r="AO20" t="s">
        <v>2067</v>
      </c>
      <c r="AP20" t="s">
        <v>2093</v>
      </c>
      <c r="AQ20">
        <v>129468</v>
      </c>
      <c r="AR20" s="3">
        <v>46203</v>
      </c>
      <c r="AS20" s="3">
        <v>46188</v>
      </c>
      <c r="AT20" s="3">
        <v>46194</v>
      </c>
      <c r="AU20" t="s">
        <v>2124</v>
      </c>
      <c r="AW20" s="3">
        <v>46208.53701449134</v>
      </c>
    </row>
    <row r="21" spans="1:49" ht="16" hidden="1" x14ac:dyDescent="0.2">
      <c r="A21" t="s">
        <v>93</v>
      </c>
      <c r="B21">
        <v>10966</v>
      </c>
      <c r="C21">
        <v>5472</v>
      </c>
      <c r="D21" t="s">
        <v>192</v>
      </c>
      <c r="E21" t="s">
        <v>357</v>
      </c>
      <c r="F21">
        <v>265792</v>
      </c>
      <c r="G21" t="s">
        <v>661</v>
      </c>
      <c r="H21">
        <v>591126</v>
      </c>
      <c r="I21" t="s">
        <v>1286</v>
      </c>
      <c r="J21">
        <v>94295295</v>
      </c>
      <c r="K21" t="s">
        <v>1840</v>
      </c>
      <c r="L21" t="s">
        <v>1850</v>
      </c>
      <c r="M21" s="1">
        <v>17</v>
      </c>
      <c r="N21" t="s">
        <v>23</v>
      </c>
      <c r="O21">
        <v>106022</v>
      </c>
      <c r="P21" s="1">
        <v>1749.9</v>
      </c>
      <c r="S21" s="6" t="str">
        <f t="shared" si="0"/>
        <v xml:space="preserve"> </v>
      </c>
      <c r="T21" s="6" t="str">
        <f>IF(IF(COUNTIF(H$2:$H21,H21)=1,1,"")=1,SUMIF($H$2:$H$7997,H21,$S$2:$S$7997),"")</f>
        <v/>
      </c>
      <c r="W21">
        <v>106022</v>
      </c>
      <c r="X21">
        <v>106022</v>
      </c>
      <c r="Y21">
        <v>0</v>
      </c>
      <c r="Z21">
        <v>0</v>
      </c>
      <c r="AA21" s="2">
        <v>1</v>
      </c>
      <c r="AB21" s="2">
        <v>0</v>
      </c>
      <c r="AC21" s="2">
        <v>0</v>
      </c>
      <c r="AD21">
        <v>0</v>
      </c>
      <c r="AE21" t="s">
        <v>1862</v>
      </c>
      <c r="AF21">
        <v>874.95</v>
      </c>
      <c r="AG21">
        <v>102935</v>
      </c>
      <c r="AH21">
        <v>1749.9</v>
      </c>
      <c r="AI21" s="1" t="s">
        <v>357</v>
      </c>
      <c r="AJ21">
        <v>93089294</v>
      </c>
      <c r="AK21" s="1" t="s">
        <v>1867</v>
      </c>
      <c r="AL21">
        <v>43091.1</v>
      </c>
      <c r="AN21" t="s">
        <v>2050</v>
      </c>
      <c r="AO21" t="s">
        <v>2067</v>
      </c>
      <c r="AP21" t="s">
        <v>2083</v>
      </c>
      <c r="AQ21">
        <v>129468</v>
      </c>
      <c r="AR21" s="3">
        <v>46203</v>
      </c>
      <c r="AS21" s="3">
        <v>46188</v>
      </c>
      <c r="AT21" s="3">
        <v>46194</v>
      </c>
      <c r="AU21" t="s">
        <v>2123</v>
      </c>
      <c r="AW21" s="3">
        <v>46208.53701449134</v>
      </c>
    </row>
    <row r="22" spans="1:49" ht="16" hidden="1" x14ac:dyDescent="0.2">
      <c r="A22" t="s">
        <v>93</v>
      </c>
      <c r="B22">
        <v>10966</v>
      </c>
      <c r="C22">
        <v>5472</v>
      </c>
      <c r="D22" t="s">
        <v>192</v>
      </c>
      <c r="E22" t="s">
        <v>357</v>
      </c>
      <c r="F22">
        <v>265792</v>
      </c>
      <c r="G22" t="s">
        <v>661</v>
      </c>
      <c r="H22">
        <v>591129</v>
      </c>
      <c r="I22" t="s">
        <v>1287</v>
      </c>
      <c r="J22">
        <v>94295278</v>
      </c>
      <c r="K22" t="s">
        <v>1839</v>
      </c>
      <c r="L22" t="s">
        <v>1850</v>
      </c>
      <c r="M22" s="1">
        <v>17</v>
      </c>
      <c r="N22" t="s">
        <v>23</v>
      </c>
      <c r="O22">
        <v>45961</v>
      </c>
      <c r="P22" s="1">
        <v>750.18</v>
      </c>
      <c r="S22" s="6" t="str">
        <f t="shared" si="0"/>
        <v xml:space="preserve"> </v>
      </c>
      <c r="T22" s="6">
        <f>IF(IF(COUNTIF(H$2:$H22,H22)=1,1,"")=1,SUMIF($H$2:$H$7997,H22,$S$2:$S$7997),"")</f>
        <v>0</v>
      </c>
      <c r="W22">
        <v>45961</v>
      </c>
      <c r="X22">
        <v>45961</v>
      </c>
      <c r="Y22">
        <v>0</v>
      </c>
      <c r="Z22">
        <v>0</v>
      </c>
      <c r="AA22" s="2">
        <v>1</v>
      </c>
      <c r="AB22" s="2">
        <v>0</v>
      </c>
      <c r="AC22" s="2">
        <v>0</v>
      </c>
      <c r="AD22">
        <v>0</v>
      </c>
      <c r="AE22" t="s">
        <v>1862</v>
      </c>
      <c r="AF22">
        <v>375.09</v>
      </c>
      <c r="AG22">
        <v>44128</v>
      </c>
      <c r="AH22">
        <v>750.18</v>
      </c>
      <c r="AI22" s="1" t="s">
        <v>357</v>
      </c>
      <c r="AJ22">
        <v>93089294</v>
      </c>
      <c r="AK22" s="1" t="s">
        <v>1867</v>
      </c>
      <c r="AL22">
        <v>43091.1</v>
      </c>
      <c r="AN22" t="s">
        <v>2050</v>
      </c>
      <c r="AO22" t="s">
        <v>2067</v>
      </c>
      <c r="AP22" t="s">
        <v>2093</v>
      </c>
      <c r="AQ22">
        <v>129468</v>
      </c>
      <c r="AR22" s="3">
        <v>46203</v>
      </c>
      <c r="AS22" s="3">
        <v>46195</v>
      </c>
      <c r="AT22" s="3">
        <v>46201</v>
      </c>
      <c r="AU22" t="s">
        <v>2124</v>
      </c>
      <c r="AW22" s="3">
        <v>46208.53701449134</v>
      </c>
    </row>
    <row r="23" spans="1:49" ht="16" hidden="1" x14ac:dyDescent="0.2">
      <c r="A23" t="s">
        <v>93</v>
      </c>
      <c r="B23">
        <v>10966</v>
      </c>
      <c r="C23">
        <v>5472</v>
      </c>
      <c r="D23" t="s">
        <v>192</v>
      </c>
      <c r="E23" t="s">
        <v>357</v>
      </c>
      <c r="F23">
        <v>265792</v>
      </c>
      <c r="G23" t="s">
        <v>661</v>
      </c>
      <c r="H23">
        <v>591129</v>
      </c>
      <c r="I23" t="s">
        <v>1286</v>
      </c>
      <c r="J23">
        <v>94295291</v>
      </c>
      <c r="K23" t="s">
        <v>1840</v>
      </c>
      <c r="L23" t="s">
        <v>1850</v>
      </c>
      <c r="M23" s="1">
        <v>17</v>
      </c>
      <c r="N23" t="s">
        <v>23</v>
      </c>
      <c r="O23">
        <v>97068</v>
      </c>
      <c r="P23" s="1">
        <v>1650.16</v>
      </c>
      <c r="S23" s="6" t="str">
        <f t="shared" si="0"/>
        <v xml:space="preserve"> </v>
      </c>
      <c r="T23" s="6" t="str">
        <f>IF(IF(COUNTIF(H$2:$H23,H23)=1,1,"")=1,SUMIF($H$2:$H$7997,H23,$S$2:$S$7997),"")</f>
        <v/>
      </c>
      <c r="W23">
        <v>97068</v>
      </c>
      <c r="X23">
        <v>97068</v>
      </c>
      <c r="Y23">
        <v>0</v>
      </c>
      <c r="Z23">
        <v>0</v>
      </c>
      <c r="AA23" s="2">
        <v>1</v>
      </c>
      <c r="AB23" s="2">
        <v>0</v>
      </c>
      <c r="AC23" s="2">
        <v>0</v>
      </c>
      <c r="AD23">
        <v>0</v>
      </c>
      <c r="AE23" t="s">
        <v>1862</v>
      </c>
      <c r="AF23">
        <v>874.95</v>
      </c>
      <c r="AG23">
        <v>102935</v>
      </c>
      <c r="AH23">
        <v>1749.9</v>
      </c>
      <c r="AI23" s="1" t="s">
        <v>357</v>
      </c>
      <c r="AJ23">
        <v>93089294</v>
      </c>
      <c r="AK23" s="1" t="s">
        <v>1867</v>
      </c>
      <c r="AL23">
        <v>43091.1</v>
      </c>
      <c r="AN23" t="s">
        <v>2050</v>
      </c>
      <c r="AO23" t="s">
        <v>2067</v>
      </c>
      <c r="AP23" t="s">
        <v>2083</v>
      </c>
      <c r="AQ23">
        <v>129468</v>
      </c>
      <c r="AR23" s="3">
        <v>46203</v>
      </c>
      <c r="AS23" s="3">
        <v>46195</v>
      </c>
      <c r="AT23" s="3">
        <v>46201</v>
      </c>
      <c r="AU23" t="s">
        <v>2123</v>
      </c>
      <c r="AW23" s="3">
        <v>46208.53701449134</v>
      </c>
    </row>
    <row r="24" spans="1:49" ht="16" hidden="1" x14ac:dyDescent="0.2">
      <c r="A24" t="s">
        <v>93</v>
      </c>
      <c r="B24">
        <v>10966</v>
      </c>
      <c r="C24">
        <v>19872</v>
      </c>
      <c r="D24" t="s">
        <v>179</v>
      </c>
      <c r="E24" t="s">
        <v>331</v>
      </c>
      <c r="F24">
        <v>267803</v>
      </c>
      <c r="G24" t="s">
        <v>619</v>
      </c>
      <c r="H24">
        <v>585576</v>
      </c>
      <c r="I24" t="s">
        <v>1209</v>
      </c>
      <c r="J24">
        <v>94169082</v>
      </c>
      <c r="K24" t="s">
        <v>1839</v>
      </c>
      <c r="L24" t="s">
        <v>1850</v>
      </c>
      <c r="M24" s="1">
        <v>44</v>
      </c>
      <c r="N24" t="s">
        <v>23</v>
      </c>
      <c r="O24">
        <v>7048008</v>
      </c>
      <c r="P24" s="1">
        <v>310112.34999999998</v>
      </c>
      <c r="S24" s="6" t="str">
        <f t="shared" si="0"/>
        <v xml:space="preserve"> </v>
      </c>
      <c r="T24" s="6">
        <f>IF(IF(COUNTIF(H$2:$H24,H24)=1,1,"")=1,SUMIF($H$2:$H$7997,H24,$S$2:$S$7997),"")</f>
        <v>0</v>
      </c>
      <c r="W24">
        <v>7048008</v>
      </c>
      <c r="X24">
        <v>7048008</v>
      </c>
      <c r="Y24">
        <v>0</v>
      </c>
      <c r="Z24">
        <v>0</v>
      </c>
      <c r="AA24" s="2">
        <v>1</v>
      </c>
      <c r="AB24" s="2">
        <v>0</v>
      </c>
      <c r="AC24" s="2">
        <v>0</v>
      </c>
      <c r="AD24">
        <v>0</v>
      </c>
      <c r="AE24" t="s">
        <v>1862</v>
      </c>
      <c r="AF24">
        <v>155241.82999999999</v>
      </c>
      <c r="AG24">
        <v>10698864</v>
      </c>
      <c r="AH24">
        <v>470750.02</v>
      </c>
      <c r="AI24" s="1" t="s">
        <v>331</v>
      </c>
      <c r="AJ24">
        <v>94169055</v>
      </c>
      <c r="AK24" s="1" t="s">
        <v>1867</v>
      </c>
      <c r="AL24">
        <v>43543.4</v>
      </c>
      <c r="AN24" t="s">
        <v>2060</v>
      </c>
      <c r="AO24" t="s">
        <v>2067</v>
      </c>
      <c r="AP24" t="s">
        <v>2094</v>
      </c>
      <c r="AQ24">
        <v>128876</v>
      </c>
      <c r="AR24" s="3">
        <v>46203</v>
      </c>
      <c r="AS24" s="3">
        <v>46174</v>
      </c>
      <c r="AT24" s="3">
        <v>46222</v>
      </c>
      <c r="AU24" t="s">
        <v>2124</v>
      </c>
      <c r="AW24" s="3">
        <v>46208.53701449134</v>
      </c>
    </row>
    <row r="25" spans="1:49" ht="16" hidden="1" x14ac:dyDescent="0.2">
      <c r="A25" t="s">
        <v>93</v>
      </c>
      <c r="B25">
        <v>10966</v>
      </c>
      <c r="C25">
        <v>19872</v>
      </c>
      <c r="D25" t="s">
        <v>179</v>
      </c>
      <c r="E25" t="s">
        <v>331</v>
      </c>
      <c r="F25">
        <v>267803</v>
      </c>
      <c r="G25" t="s">
        <v>619</v>
      </c>
      <c r="H25">
        <v>585576</v>
      </c>
      <c r="I25" t="s">
        <v>1208</v>
      </c>
      <c r="J25">
        <v>94169070</v>
      </c>
      <c r="K25" t="s">
        <v>1835</v>
      </c>
      <c r="L25" t="s">
        <v>1850</v>
      </c>
      <c r="M25" s="1">
        <v>44</v>
      </c>
      <c r="N25" t="s">
        <v>23</v>
      </c>
      <c r="O25">
        <v>3074716</v>
      </c>
      <c r="P25" s="1">
        <v>135287.5</v>
      </c>
      <c r="S25" s="6" t="str">
        <f t="shared" si="0"/>
        <v xml:space="preserve"> </v>
      </c>
      <c r="T25" s="6" t="str">
        <f>IF(IF(COUNTIF(H$2:$H25,H25)=1,1,"")=1,SUMIF($H$2:$H$7997,H25,$S$2:$S$7997),"")</f>
        <v/>
      </c>
      <c r="W25">
        <v>3074716</v>
      </c>
      <c r="X25">
        <v>3074716</v>
      </c>
      <c r="Y25">
        <v>0</v>
      </c>
      <c r="Z25">
        <v>0</v>
      </c>
      <c r="AA25" s="2">
        <v>1</v>
      </c>
      <c r="AB25" s="2">
        <v>0</v>
      </c>
      <c r="AC25" s="2">
        <v>0</v>
      </c>
      <c r="AD25">
        <v>0</v>
      </c>
      <c r="AE25" t="s">
        <v>1862</v>
      </c>
      <c r="AF25">
        <v>66532.210000000006</v>
      </c>
      <c r="AG25">
        <v>4585227</v>
      </c>
      <c r="AH25">
        <v>201749.99</v>
      </c>
      <c r="AI25" s="1" t="s">
        <v>331</v>
      </c>
      <c r="AJ25">
        <v>94169055</v>
      </c>
      <c r="AK25" s="1" t="s">
        <v>1867</v>
      </c>
      <c r="AL25">
        <v>43543.4</v>
      </c>
      <c r="AN25" t="s">
        <v>2060</v>
      </c>
      <c r="AO25" t="s">
        <v>2067</v>
      </c>
      <c r="AP25" t="s">
        <v>2092</v>
      </c>
      <c r="AQ25">
        <v>128876</v>
      </c>
      <c r="AR25" s="3">
        <v>46203</v>
      </c>
      <c r="AS25" s="3">
        <v>46174</v>
      </c>
      <c r="AT25" s="3">
        <v>46222</v>
      </c>
      <c r="AU25" t="s">
        <v>2123</v>
      </c>
      <c r="AW25" s="3">
        <v>46208.53701449134</v>
      </c>
    </row>
    <row r="26" spans="1:49" ht="16" hidden="1" x14ac:dyDescent="0.2">
      <c r="A26" t="s">
        <v>93</v>
      </c>
      <c r="B26">
        <v>10966</v>
      </c>
      <c r="C26">
        <v>19872</v>
      </c>
      <c r="D26" t="s">
        <v>179</v>
      </c>
      <c r="E26" t="s">
        <v>331</v>
      </c>
      <c r="F26">
        <v>267803</v>
      </c>
      <c r="G26" t="s">
        <v>618</v>
      </c>
      <c r="H26">
        <v>585595</v>
      </c>
      <c r="I26" t="s">
        <v>1210</v>
      </c>
      <c r="J26">
        <v>94169089</v>
      </c>
      <c r="K26" t="s">
        <v>1839</v>
      </c>
      <c r="L26" t="s">
        <v>1850</v>
      </c>
      <c r="M26" s="1">
        <v>20</v>
      </c>
      <c r="N26" t="s">
        <v>1855</v>
      </c>
      <c r="O26">
        <v>2008796</v>
      </c>
      <c r="P26" s="1">
        <v>40175.919999999998</v>
      </c>
      <c r="S26" s="6" t="str">
        <f t="shared" si="0"/>
        <v xml:space="preserve"> </v>
      </c>
      <c r="T26" s="6">
        <f>IF(IF(COUNTIF(H$2:$H26,H26)=1,1,"")=1,SUMIF($H$2:$H$7997,H26,$S$2:$S$7997),"")</f>
        <v>0</v>
      </c>
      <c r="W26">
        <v>2008796</v>
      </c>
      <c r="X26">
        <v>2008796</v>
      </c>
      <c r="Y26">
        <v>0</v>
      </c>
      <c r="Z26">
        <v>0</v>
      </c>
      <c r="AA26" s="2">
        <v>1</v>
      </c>
      <c r="AB26" s="2">
        <v>0</v>
      </c>
      <c r="AC26" s="2">
        <v>0</v>
      </c>
      <c r="AD26">
        <v>0</v>
      </c>
      <c r="AE26" t="s">
        <v>1862</v>
      </c>
      <c r="AF26">
        <v>18376.07</v>
      </c>
      <c r="AG26">
        <v>6337500</v>
      </c>
      <c r="AH26">
        <v>126750</v>
      </c>
      <c r="AI26" s="1" t="s">
        <v>331</v>
      </c>
      <c r="AJ26">
        <v>94169055</v>
      </c>
      <c r="AK26" s="1" t="s">
        <v>1868</v>
      </c>
      <c r="AL26">
        <v>43543.4</v>
      </c>
      <c r="AN26" t="s">
        <v>2060</v>
      </c>
      <c r="AO26" t="s">
        <v>2067</v>
      </c>
      <c r="AP26" t="s">
        <v>2093</v>
      </c>
      <c r="AQ26">
        <v>128876</v>
      </c>
      <c r="AR26" s="3">
        <v>46203</v>
      </c>
      <c r="AS26" s="3">
        <v>46174</v>
      </c>
      <c r="AT26" s="3">
        <v>46292</v>
      </c>
      <c r="AU26" t="s">
        <v>2124</v>
      </c>
      <c r="AW26" s="3">
        <v>46208.53701449134</v>
      </c>
    </row>
    <row r="27" spans="1:49" ht="16" hidden="1" x14ac:dyDescent="0.2">
      <c r="A27" t="s">
        <v>93</v>
      </c>
      <c r="B27">
        <v>10966</v>
      </c>
      <c r="C27">
        <v>19872</v>
      </c>
      <c r="D27" t="s">
        <v>179</v>
      </c>
      <c r="E27" t="s">
        <v>331</v>
      </c>
      <c r="F27">
        <v>267803</v>
      </c>
      <c r="G27" t="s">
        <v>618</v>
      </c>
      <c r="H27">
        <v>585595</v>
      </c>
      <c r="I27" t="s">
        <v>1207</v>
      </c>
      <c r="J27">
        <v>94169061</v>
      </c>
      <c r="K27" t="s">
        <v>1840</v>
      </c>
      <c r="L27" t="s">
        <v>1850</v>
      </c>
      <c r="M27" s="1">
        <v>20</v>
      </c>
      <c r="N27" t="s">
        <v>1855</v>
      </c>
      <c r="O27">
        <v>4121095</v>
      </c>
      <c r="P27" s="1">
        <v>82421.899999999994</v>
      </c>
      <c r="S27" s="6" t="str">
        <f t="shared" si="0"/>
        <v xml:space="preserve"> </v>
      </c>
      <c r="T27" s="6" t="str">
        <f>IF(IF(COUNTIF(H$2:$H27,H27)=1,1,"")=1,SUMIF($H$2:$H$7997,H27,$S$2:$S$7997),"")</f>
        <v/>
      </c>
      <c r="W27">
        <v>4121095</v>
      </c>
      <c r="X27">
        <v>4121095</v>
      </c>
      <c r="Y27">
        <v>0</v>
      </c>
      <c r="Z27">
        <v>0</v>
      </c>
      <c r="AA27" s="2">
        <v>1</v>
      </c>
      <c r="AB27" s="2">
        <v>0</v>
      </c>
      <c r="AC27" s="2">
        <v>0</v>
      </c>
      <c r="AD27">
        <v>0</v>
      </c>
      <c r="AE27" t="s">
        <v>1862</v>
      </c>
      <c r="AF27">
        <v>42877.49</v>
      </c>
      <c r="AG27">
        <v>14787500</v>
      </c>
      <c r="AH27">
        <v>295750</v>
      </c>
      <c r="AI27" s="1" t="s">
        <v>331</v>
      </c>
      <c r="AJ27">
        <v>94169055</v>
      </c>
      <c r="AK27" s="1" t="s">
        <v>1868</v>
      </c>
      <c r="AL27">
        <v>43543.4</v>
      </c>
      <c r="AN27" t="s">
        <v>2060</v>
      </c>
      <c r="AO27" t="s">
        <v>2067</v>
      </c>
      <c r="AP27" t="s">
        <v>2083</v>
      </c>
      <c r="AQ27">
        <v>128876</v>
      </c>
      <c r="AR27" s="3">
        <v>46203</v>
      </c>
      <c r="AS27" s="3">
        <v>46174</v>
      </c>
      <c r="AT27" s="3">
        <v>46292</v>
      </c>
      <c r="AU27" t="s">
        <v>2123</v>
      </c>
      <c r="AW27" s="3">
        <v>46208.53701449134</v>
      </c>
    </row>
    <row r="28" spans="1:49" ht="16" hidden="1" x14ac:dyDescent="0.2">
      <c r="A28" t="s">
        <v>93</v>
      </c>
      <c r="B28">
        <v>10966</v>
      </c>
      <c r="C28">
        <v>19872</v>
      </c>
      <c r="D28" t="s">
        <v>179</v>
      </c>
      <c r="E28" t="s">
        <v>331</v>
      </c>
      <c r="F28">
        <v>267803</v>
      </c>
      <c r="G28" t="s">
        <v>872</v>
      </c>
      <c r="H28">
        <v>588687</v>
      </c>
      <c r="I28" t="s">
        <v>1782</v>
      </c>
      <c r="J28">
        <v>588688</v>
      </c>
      <c r="K28" t="s">
        <v>1846</v>
      </c>
      <c r="L28" t="s">
        <v>1851</v>
      </c>
      <c r="M28" s="1">
        <v>0.15</v>
      </c>
      <c r="N28" t="s">
        <v>1858</v>
      </c>
      <c r="O28">
        <v>204081400</v>
      </c>
      <c r="P28" s="1">
        <v>30612.21</v>
      </c>
      <c r="S28" s="6" t="str">
        <f t="shared" si="0"/>
        <v xml:space="preserve"> </v>
      </c>
      <c r="T28" s="6">
        <f>IF(IF(COUNTIF(H$2:$H28,H28)=1,1,"")=1,SUMIF($H$2:$H$7997,H28,$S$2:$S$7997),"")</f>
        <v>0</v>
      </c>
      <c r="W28">
        <v>0</v>
      </c>
      <c r="X28">
        <v>0</v>
      </c>
      <c r="Y28">
        <v>0</v>
      </c>
      <c r="Z28">
        <v>0</v>
      </c>
      <c r="AA28" s="2">
        <v>1</v>
      </c>
      <c r="AB28" s="2">
        <v>0</v>
      </c>
      <c r="AC28" s="2">
        <v>0</v>
      </c>
      <c r="AD28">
        <v>0</v>
      </c>
      <c r="AE28" t="s">
        <v>1863</v>
      </c>
      <c r="AF28">
        <v>30612.21</v>
      </c>
      <c r="AG28">
        <v>666666</v>
      </c>
      <c r="AH28">
        <v>99999.9</v>
      </c>
      <c r="AI28" s="1" t="s">
        <v>331</v>
      </c>
      <c r="AJ28">
        <v>267803</v>
      </c>
      <c r="AK28" s="1" t="s">
        <v>1867</v>
      </c>
      <c r="AL28">
        <v>43543.4</v>
      </c>
      <c r="AN28" t="s">
        <v>2060</v>
      </c>
      <c r="AO28" t="s">
        <v>2067</v>
      </c>
      <c r="AP28" t="s">
        <v>2110</v>
      </c>
      <c r="AQ28">
        <v>128876</v>
      </c>
      <c r="AR28" s="3">
        <v>46203</v>
      </c>
      <c r="AS28" s="3">
        <v>46174</v>
      </c>
      <c r="AT28" s="3">
        <v>46222</v>
      </c>
      <c r="AU28" t="s">
        <v>2128</v>
      </c>
      <c r="AW28" s="3">
        <v>46208.53701449134</v>
      </c>
    </row>
    <row r="29" spans="1:49" ht="16" hidden="1" x14ac:dyDescent="0.2">
      <c r="A29" t="s">
        <v>93</v>
      </c>
      <c r="B29">
        <v>10966</v>
      </c>
      <c r="C29">
        <v>19872</v>
      </c>
      <c r="D29" t="s">
        <v>179</v>
      </c>
      <c r="E29" t="s">
        <v>331</v>
      </c>
      <c r="F29">
        <v>267803</v>
      </c>
      <c r="G29" t="s">
        <v>872</v>
      </c>
      <c r="H29">
        <v>588687</v>
      </c>
      <c r="I29" t="s">
        <v>1675</v>
      </c>
      <c r="J29">
        <v>588691</v>
      </c>
      <c r="K29" t="s">
        <v>1844</v>
      </c>
      <c r="L29" t="s">
        <v>1851</v>
      </c>
      <c r="M29" s="1">
        <v>0.15</v>
      </c>
      <c r="N29" t="s">
        <v>1858</v>
      </c>
      <c r="O29">
        <v>204081733</v>
      </c>
      <c r="P29" s="1">
        <v>30612.26</v>
      </c>
      <c r="S29" s="6" t="str">
        <f t="shared" si="0"/>
        <v xml:space="preserve"> </v>
      </c>
      <c r="T29" s="6" t="str">
        <f>IF(IF(COUNTIF(H$2:$H29,H29)=1,1,"")=1,SUMIF($H$2:$H$7997,H29,$S$2:$S$7997),"")</f>
        <v/>
      </c>
      <c r="W29">
        <v>0</v>
      </c>
      <c r="X29">
        <v>0</v>
      </c>
      <c r="Y29">
        <v>0</v>
      </c>
      <c r="Z29">
        <v>0</v>
      </c>
      <c r="AA29" s="2">
        <v>1</v>
      </c>
      <c r="AB29" s="2">
        <v>0</v>
      </c>
      <c r="AC29" s="2">
        <v>0</v>
      </c>
      <c r="AD29">
        <v>0</v>
      </c>
      <c r="AE29" t="s">
        <v>1863</v>
      </c>
      <c r="AF29">
        <v>30612.26</v>
      </c>
      <c r="AG29">
        <v>666667</v>
      </c>
      <c r="AH29">
        <v>100000.05</v>
      </c>
      <c r="AI29" s="1" t="s">
        <v>331</v>
      </c>
      <c r="AJ29">
        <v>267803</v>
      </c>
      <c r="AK29" s="1" t="s">
        <v>1867</v>
      </c>
      <c r="AL29">
        <v>43543.4</v>
      </c>
      <c r="AN29" t="s">
        <v>2060</v>
      </c>
      <c r="AO29" t="s">
        <v>2067</v>
      </c>
      <c r="AP29" t="s">
        <v>2107</v>
      </c>
      <c r="AQ29">
        <v>128876</v>
      </c>
      <c r="AR29" s="3">
        <v>46203</v>
      </c>
      <c r="AS29" s="3">
        <v>46174</v>
      </c>
      <c r="AT29" s="3">
        <v>46222</v>
      </c>
      <c r="AU29" t="s">
        <v>2127</v>
      </c>
      <c r="AW29" s="3">
        <v>46208.53701449134</v>
      </c>
    </row>
    <row r="30" spans="1:49" ht="16" hidden="1" x14ac:dyDescent="0.2">
      <c r="A30" t="s">
        <v>93</v>
      </c>
      <c r="B30">
        <v>10966</v>
      </c>
      <c r="C30">
        <v>19872</v>
      </c>
      <c r="D30" t="s">
        <v>179</v>
      </c>
      <c r="E30" t="s">
        <v>331</v>
      </c>
      <c r="F30">
        <v>267803</v>
      </c>
      <c r="G30" t="s">
        <v>872</v>
      </c>
      <c r="H30">
        <v>588687</v>
      </c>
      <c r="I30" t="s">
        <v>1738</v>
      </c>
      <c r="J30">
        <v>588690</v>
      </c>
      <c r="K30" t="s">
        <v>1835</v>
      </c>
      <c r="L30" t="s">
        <v>1851</v>
      </c>
      <c r="M30" s="1">
        <v>0.15</v>
      </c>
      <c r="N30" t="s">
        <v>1858</v>
      </c>
      <c r="O30">
        <v>204081733</v>
      </c>
      <c r="P30" s="1">
        <v>30612.26</v>
      </c>
      <c r="S30" s="6" t="str">
        <f t="shared" si="0"/>
        <v xml:space="preserve"> </v>
      </c>
      <c r="T30" s="6" t="str">
        <f>IF(IF(COUNTIF(H$2:$H30,H30)=1,1,"")=1,SUMIF($H$2:$H$7997,H30,$S$2:$S$7997),"")</f>
        <v/>
      </c>
      <c r="W30">
        <v>0</v>
      </c>
      <c r="X30">
        <v>0</v>
      </c>
      <c r="Y30">
        <v>0</v>
      </c>
      <c r="Z30">
        <v>0</v>
      </c>
      <c r="AA30" s="2">
        <v>1</v>
      </c>
      <c r="AB30" s="2">
        <v>0</v>
      </c>
      <c r="AC30" s="2">
        <v>0</v>
      </c>
      <c r="AD30">
        <v>0</v>
      </c>
      <c r="AE30" t="s">
        <v>1863</v>
      </c>
      <c r="AF30">
        <v>30612.26</v>
      </c>
      <c r="AG30">
        <v>666667</v>
      </c>
      <c r="AH30">
        <v>100000.05</v>
      </c>
      <c r="AI30" s="1" t="s">
        <v>331</v>
      </c>
      <c r="AJ30">
        <v>267803</v>
      </c>
      <c r="AK30" s="1" t="s">
        <v>1867</v>
      </c>
      <c r="AL30">
        <v>43543.4</v>
      </c>
      <c r="AN30" t="s">
        <v>2060</v>
      </c>
      <c r="AO30" t="s">
        <v>2067</v>
      </c>
      <c r="AP30" t="s">
        <v>2109</v>
      </c>
      <c r="AQ30">
        <v>128876</v>
      </c>
      <c r="AR30" s="3">
        <v>46203</v>
      </c>
      <c r="AS30" s="3">
        <v>46174</v>
      </c>
      <c r="AT30" s="3">
        <v>46222</v>
      </c>
      <c r="AU30" t="s">
        <v>2129</v>
      </c>
      <c r="AW30" s="3">
        <v>46208.53701449134</v>
      </c>
    </row>
    <row r="31" spans="1:49" ht="16" hidden="1" x14ac:dyDescent="0.2">
      <c r="A31" t="s">
        <v>93</v>
      </c>
      <c r="B31">
        <v>10966</v>
      </c>
      <c r="C31">
        <v>17500</v>
      </c>
      <c r="D31" t="s">
        <v>184</v>
      </c>
      <c r="E31" t="s">
        <v>343</v>
      </c>
      <c r="F31">
        <v>266692</v>
      </c>
      <c r="G31" t="s">
        <v>639</v>
      </c>
      <c r="H31">
        <v>590840</v>
      </c>
      <c r="I31" t="s">
        <v>1245</v>
      </c>
      <c r="J31">
        <v>94264160</v>
      </c>
      <c r="K31" t="s">
        <v>1835</v>
      </c>
      <c r="L31" t="s">
        <v>1850</v>
      </c>
      <c r="M31" s="1">
        <v>28.75</v>
      </c>
      <c r="N31" t="s">
        <v>23</v>
      </c>
      <c r="O31">
        <v>50252</v>
      </c>
      <c r="P31" s="1">
        <v>1400.01</v>
      </c>
      <c r="S31" s="6" t="str">
        <f t="shared" si="0"/>
        <v xml:space="preserve"> </v>
      </c>
      <c r="T31" s="6">
        <f>IF(IF(COUNTIF(H$2:$H31,H31)=1,1,"")=1,SUMIF($H$2:$H$7997,H31,$S$2:$S$7997),"")</f>
        <v>0</v>
      </c>
      <c r="W31">
        <v>50252</v>
      </c>
      <c r="X31">
        <v>50252</v>
      </c>
      <c r="Y31">
        <v>0</v>
      </c>
      <c r="Z31">
        <v>0</v>
      </c>
      <c r="AA31" s="2">
        <v>1</v>
      </c>
      <c r="AB31" s="2">
        <v>0</v>
      </c>
      <c r="AC31" s="2">
        <v>0</v>
      </c>
      <c r="AD31">
        <v>0</v>
      </c>
      <c r="AE31" t="s">
        <v>1862</v>
      </c>
      <c r="AF31">
        <v>674.42</v>
      </c>
      <c r="AG31">
        <v>48696</v>
      </c>
      <c r="AH31">
        <v>1400.01</v>
      </c>
      <c r="AI31" s="1" t="s">
        <v>343</v>
      </c>
      <c r="AJ31">
        <v>93031315</v>
      </c>
      <c r="AK31" s="1" t="s">
        <v>1867</v>
      </c>
      <c r="AL31">
        <v>43210.1</v>
      </c>
      <c r="AN31" t="s">
        <v>2060</v>
      </c>
      <c r="AO31" t="s">
        <v>2067</v>
      </c>
      <c r="AP31" t="s">
        <v>2091</v>
      </c>
      <c r="AQ31">
        <v>129296</v>
      </c>
      <c r="AR31" s="3">
        <v>46203</v>
      </c>
      <c r="AS31" s="3">
        <v>46174</v>
      </c>
      <c r="AT31" s="3">
        <v>46180</v>
      </c>
      <c r="AU31" t="s">
        <v>2123</v>
      </c>
      <c r="AW31" s="3">
        <v>46208.53701449134</v>
      </c>
    </row>
    <row r="32" spans="1:49" ht="16" hidden="1" x14ac:dyDescent="0.2">
      <c r="A32" t="s">
        <v>93</v>
      </c>
      <c r="B32">
        <v>10966</v>
      </c>
      <c r="C32">
        <v>17500</v>
      </c>
      <c r="D32" t="s">
        <v>184</v>
      </c>
      <c r="E32" t="s">
        <v>343</v>
      </c>
      <c r="F32">
        <v>266692</v>
      </c>
      <c r="G32" t="s">
        <v>639</v>
      </c>
      <c r="H32">
        <v>590842</v>
      </c>
      <c r="I32" t="s">
        <v>1245</v>
      </c>
      <c r="J32">
        <v>94264156</v>
      </c>
      <c r="K32" t="s">
        <v>1835</v>
      </c>
      <c r="L32" t="s">
        <v>1850</v>
      </c>
      <c r="M32" s="1">
        <v>28.75</v>
      </c>
      <c r="N32" t="s">
        <v>23</v>
      </c>
      <c r="O32">
        <v>15017</v>
      </c>
      <c r="P32" s="1">
        <v>431.74</v>
      </c>
      <c r="S32" s="6" t="str">
        <f t="shared" si="0"/>
        <v xml:space="preserve"> </v>
      </c>
      <c r="T32" s="6">
        <f>IF(IF(COUNTIF(H$2:$H32,H32)=1,1,"")=1,SUMIF($H$2:$H$7997,H32,$S$2:$S$7997),"")</f>
        <v>0</v>
      </c>
      <c r="W32">
        <v>15017</v>
      </c>
      <c r="X32">
        <v>15017</v>
      </c>
      <c r="Y32">
        <v>0</v>
      </c>
      <c r="Z32">
        <v>0</v>
      </c>
      <c r="AA32" s="2">
        <v>1</v>
      </c>
      <c r="AB32" s="2">
        <v>0</v>
      </c>
      <c r="AC32" s="2">
        <v>0</v>
      </c>
      <c r="AD32">
        <v>0</v>
      </c>
      <c r="AE32" t="s">
        <v>1862</v>
      </c>
      <c r="AF32">
        <v>204.79</v>
      </c>
      <c r="AG32">
        <v>48696</v>
      </c>
      <c r="AH32">
        <v>1400.01</v>
      </c>
      <c r="AI32" s="1" t="s">
        <v>343</v>
      </c>
      <c r="AJ32">
        <v>93031315</v>
      </c>
      <c r="AK32" s="1" t="s">
        <v>1867</v>
      </c>
      <c r="AL32">
        <v>43210.1</v>
      </c>
      <c r="AN32" t="s">
        <v>2060</v>
      </c>
      <c r="AO32" t="s">
        <v>2067</v>
      </c>
      <c r="AP32" t="s">
        <v>2091</v>
      </c>
      <c r="AQ32">
        <v>129296</v>
      </c>
      <c r="AR32" s="3">
        <v>46203</v>
      </c>
      <c r="AS32" s="3">
        <v>46181</v>
      </c>
      <c r="AT32" s="3">
        <v>46187</v>
      </c>
      <c r="AU32" t="s">
        <v>2123</v>
      </c>
      <c r="AW32" s="3">
        <v>46208.53701449134</v>
      </c>
    </row>
    <row r="33" spans="1:49" ht="16" hidden="1" x14ac:dyDescent="0.2">
      <c r="A33" t="s">
        <v>93</v>
      </c>
      <c r="B33">
        <v>10966</v>
      </c>
      <c r="C33">
        <v>17500</v>
      </c>
      <c r="D33" t="s">
        <v>184</v>
      </c>
      <c r="E33" t="s">
        <v>343</v>
      </c>
      <c r="F33">
        <v>266692</v>
      </c>
      <c r="G33" t="s">
        <v>639</v>
      </c>
      <c r="H33">
        <v>590844</v>
      </c>
      <c r="I33" t="s">
        <v>1245</v>
      </c>
      <c r="J33">
        <v>94264164</v>
      </c>
      <c r="K33" t="s">
        <v>1835</v>
      </c>
      <c r="L33" t="s">
        <v>1850</v>
      </c>
      <c r="M33" s="1">
        <v>28.75</v>
      </c>
      <c r="N33" t="s">
        <v>23</v>
      </c>
      <c r="O33">
        <v>830</v>
      </c>
      <c r="P33" s="1">
        <v>23.86</v>
      </c>
      <c r="S33" s="6" t="str">
        <f t="shared" si="0"/>
        <v xml:space="preserve"> </v>
      </c>
      <c r="T33" s="6">
        <f>IF(IF(COUNTIF(H$2:$H33,H33)=1,1,"")=1,SUMIF($H$2:$H$7997,H33,$S$2:$S$7997),"")</f>
        <v>0</v>
      </c>
      <c r="W33">
        <v>830</v>
      </c>
      <c r="X33">
        <v>830</v>
      </c>
      <c r="Y33">
        <v>0</v>
      </c>
      <c r="Z33">
        <v>0</v>
      </c>
      <c r="AA33" s="2">
        <v>1</v>
      </c>
      <c r="AB33" s="2">
        <v>0</v>
      </c>
      <c r="AC33" s="2">
        <v>0</v>
      </c>
      <c r="AD33">
        <v>0</v>
      </c>
      <c r="AE33" t="s">
        <v>1862</v>
      </c>
      <c r="AF33">
        <v>11.79</v>
      </c>
      <c r="AG33">
        <v>48696</v>
      </c>
      <c r="AH33">
        <v>1400.01</v>
      </c>
      <c r="AI33" s="1" t="s">
        <v>343</v>
      </c>
      <c r="AJ33">
        <v>93031315</v>
      </c>
      <c r="AK33" s="1" t="s">
        <v>1867</v>
      </c>
      <c r="AL33">
        <v>43210.1</v>
      </c>
      <c r="AN33" t="s">
        <v>2060</v>
      </c>
      <c r="AO33" t="s">
        <v>2067</v>
      </c>
      <c r="AP33" t="s">
        <v>2091</v>
      </c>
      <c r="AQ33">
        <v>129296</v>
      </c>
      <c r="AR33" s="3">
        <v>46203</v>
      </c>
      <c r="AS33" s="3">
        <v>46188</v>
      </c>
      <c r="AT33" s="3">
        <v>46194</v>
      </c>
      <c r="AU33" t="s">
        <v>2123</v>
      </c>
      <c r="AW33" s="3">
        <v>46208.53701449134</v>
      </c>
    </row>
    <row r="34" spans="1:49" ht="16" hidden="1" x14ac:dyDescent="0.2">
      <c r="A34" t="s">
        <v>93</v>
      </c>
      <c r="B34">
        <v>10966</v>
      </c>
      <c r="C34">
        <v>17500</v>
      </c>
      <c r="D34" t="s">
        <v>184</v>
      </c>
      <c r="E34" t="s">
        <v>343</v>
      </c>
      <c r="F34">
        <v>266692</v>
      </c>
      <c r="G34" t="s">
        <v>639</v>
      </c>
      <c r="H34">
        <v>590846</v>
      </c>
      <c r="I34" t="s">
        <v>1245</v>
      </c>
      <c r="J34">
        <v>94264168</v>
      </c>
      <c r="K34" t="s">
        <v>1835</v>
      </c>
      <c r="L34" t="s">
        <v>1850</v>
      </c>
      <c r="M34" s="1">
        <v>28.75</v>
      </c>
      <c r="N34" t="s">
        <v>23</v>
      </c>
      <c r="O34">
        <v>760</v>
      </c>
      <c r="P34" s="1">
        <v>21.85</v>
      </c>
      <c r="S34" s="6" t="str">
        <f t="shared" si="0"/>
        <v xml:space="preserve"> </v>
      </c>
      <c r="T34" s="6">
        <f>IF(IF(COUNTIF(H$2:$H34,H34)=1,1,"")=1,SUMIF($H$2:$H$7997,H34,$S$2:$S$7997),"")</f>
        <v>0</v>
      </c>
      <c r="W34">
        <v>760</v>
      </c>
      <c r="X34">
        <v>760</v>
      </c>
      <c r="Y34">
        <v>0</v>
      </c>
      <c r="Z34">
        <v>0</v>
      </c>
      <c r="AA34" s="2">
        <v>1</v>
      </c>
      <c r="AB34" s="2">
        <v>0</v>
      </c>
      <c r="AC34" s="2">
        <v>0</v>
      </c>
      <c r="AD34">
        <v>0</v>
      </c>
      <c r="AE34" t="s">
        <v>1862</v>
      </c>
      <c r="AF34">
        <v>9.99</v>
      </c>
      <c r="AG34">
        <v>48696</v>
      </c>
      <c r="AH34">
        <v>1400.01</v>
      </c>
      <c r="AI34" s="1" t="s">
        <v>343</v>
      </c>
      <c r="AJ34">
        <v>93031315</v>
      </c>
      <c r="AK34" s="1" t="s">
        <v>1867</v>
      </c>
      <c r="AL34">
        <v>43210.1</v>
      </c>
      <c r="AN34" t="s">
        <v>2060</v>
      </c>
      <c r="AO34" t="s">
        <v>2067</v>
      </c>
      <c r="AP34" t="s">
        <v>2091</v>
      </c>
      <c r="AQ34">
        <v>129296</v>
      </c>
      <c r="AR34" s="3">
        <v>46203</v>
      </c>
      <c r="AS34" s="3">
        <v>46195</v>
      </c>
      <c r="AT34" s="3">
        <v>46201</v>
      </c>
      <c r="AU34" t="s">
        <v>2123</v>
      </c>
      <c r="AW34" s="3">
        <v>46208.53701449134</v>
      </c>
    </row>
    <row r="35" spans="1:49" ht="16" hidden="1" x14ac:dyDescent="0.2">
      <c r="A35" t="s">
        <v>56</v>
      </c>
      <c r="B35">
        <v>11163</v>
      </c>
      <c r="C35">
        <v>7672</v>
      </c>
      <c r="D35" t="s">
        <v>119</v>
      </c>
      <c r="E35" t="s">
        <v>233</v>
      </c>
      <c r="F35">
        <v>259418</v>
      </c>
      <c r="G35" t="s">
        <v>445</v>
      </c>
      <c r="H35">
        <v>556247</v>
      </c>
      <c r="I35" t="s">
        <v>930</v>
      </c>
      <c r="J35">
        <v>90410993</v>
      </c>
      <c r="K35" t="s">
        <v>1836</v>
      </c>
      <c r="L35" t="s">
        <v>1850</v>
      </c>
      <c r="M35" s="1">
        <v>42.4</v>
      </c>
      <c r="N35" t="s">
        <v>1855</v>
      </c>
      <c r="O35">
        <v>577030</v>
      </c>
      <c r="P35" s="1">
        <v>24466.07</v>
      </c>
      <c r="S35" s="6" t="str">
        <f t="shared" si="0"/>
        <v xml:space="preserve"> </v>
      </c>
      <c r="T35" s="6">
        <f>IF(IF(COUNTIF(H$2:$H35,H35)=1,1,"")=1,SUMIF($H$2:$H$7997,H35,$S$2:$S$7997),"")</f>
        <v>0</v>
      </c>
      <c r="V35" t="s">
        <v>1860</v>
      </c>
      <c r="W35">
        <v>216609</v>
      </c>
      <c r="X35">
        <v>577030</v>
      </c>
      <c r="Y35">
        <v>0</v>
      </c>
      <c r="Z35">
        <v>0</v>
      </c>
      <c r="AA35" s="2">
        <v>1</v>
      </c>
      <c r="AB35" s="2">
        <v>0</v>
      </c>
      <c r="AC35" s="2">
        <v>0</v>
      </c>
      <c r="AD35">
        <v>0</v>
      </c>
      <c r="AE35" t="s">
        <v>1862</v>
      </c>
      <c r="AF35">
        <v>9778.25</v>
      </c>
      <c r="AG35">
        <v>1768868</v>
      </c>
      <c r="AH35">
        <v>75000</v>
      </c>
      <c r="AI35" s="1" t="s">
        <v>233</v>
      </c>
      <c r="AJ35">
        <v>90410989</v>
      </c>
      <c r="AK35" s="1" t="s">
        <v>1868</v>
      </c>
      <c r="AL35" t="s">
        <v>1879</v>
      </c>
      <c r="AN35" t="s">
        <v>2046</v>
      </c>
      <c r="AO35" t="s">
        <v>2067</v>
      </c>
      <c r="AP35" t="s">
        <v>2074</v>
      </c>
      <c r="AQ35">
        <v>108708</v>
      </c>
      <c r="AR35" s="3">
        <v>46203</v>
      </c>
      <c r="AS35" s="3">
        <v>46113</v>
      </c>
      <c r="AT35" s="3">
        <v>46203</v>
      </c>
      <c r="AU35" t="s">
        <v>2124</v>
      </c>
      <c r="AW35" s="3">
        <v>46208.53701449134</v>
      </c>
    </row>
    <row r="36" spans="1:49" ht="16" hidden="1" x14ac:dyDescent="0.2">
      <c r="A36" t="s">
        <v>56</v>
      </c>
      <c r="B36">
        <v>11163</v>
      </c>
      <c r="C36">
        <v>7672</v>
      </c>
      <c r="D36" t="s">
        <v>119</v>
      </c>
      <c r="E36" t="s">
        <v>235</v>
      </c>
      <c r="F36">
        <v>259419</v>
      </c>
      <c r="G36" t="s">
        <v>447</v>
      </c>
      <c r="H36">
        <v>556624</v>
      </c>
      <c r="I36" t="s">
        <v>932</v>
      </c>
      <c r="J36">
        <v>90411497</v>
      </c>
      <c r="K36" t="s">
        <v>1836</v>
      </c>
      <c r="L36" t="s">
        <v>1850</v>
      </c>
      <c r="M36" s="1">
        <v>42.4</v>
      </c>
      <c r="N36" t="s">
        <v>1855</v>
      </c>
      <c r="O36">
        <v>0</v>
      </c>
      <c r="P36" s="1">
        <v>0</v>
      </c>
      <c r="S36" s="6" t="str">
        <f t="shared" si="0"/>
        <v xml:space="preserve"> </v>
      </c>
      <c r="T36" s="6">
        <f>IF(IF(COUNTIF(H$2:$H36,H36)=1,1,"")=1,SUMIF($H$2:$H$7997,H36,$S$2:$S$7997),"")</f>
        <v>0</v>
      </c>
      <c r="V36" t="s">
        <v>1860</v>
      </c>
      <c r="W36">
        <v>0</v>
      </c>
      <c r="X36">
        <v>0</v>
      </c>
      <c r="Y36">
        <v>0</v>
      </c>
      <c r="Z36">
        <v>0</v>
      </c>
      <c r="AA36" s="2">
        <v>1</v>
      </c>
      <c r="AB36" s="2">
        <v>0</v>
      </c>
      <c r="AC36" s="2">
        <v>0</v>
      </c>
      <c r="AD36">
        <v>0</v>
      </c>
      <c r="AE36" t="s">
        <v>1862</v>
      </c>
      <c r="AF36">
        <v>0</v>
      </c>
      <c r="AG36">
        <v>682694</v>
      </c>
      <c r="AH36">
        <v>28946.23</v>
      </c>
      <c r="AI36" s="1" t="s">
        <v>235</v>
      </c>
      <c r="AJ36">
        <v>259419</v>
      </c>
      <c r="AK36" s="1" t="s">
        <v>1868</v>
      </c>
      <c r="AL36" t="s">
        <v>1880</v>
      </c>
      <c r="AN36" t="s">
        <v>2046</v>
      </c>
      <c r="AO36" t="s">
        <v>2067</v>
      </c>
      <c r="AP36" t="s">
        <v>2074</v>
      </c>
      <c r="AQ36">
        <v>108718</v>
      </c>
      <c r="AR36" s="3">
        <v>46203</v>
      </c>
      <c r="AS36" s="3">
        <v>46113</v>
      </c>
      <c r="AT36" s="3">
        <v>46195</v>
      </c>
      <c r="AU36" t="s">
        <v>2124</v>
      </c>
      <c r="AW36" s="3">
        <v>46208.53701449134</v>
      </c>
    </row>
    <row r="37" spans="1:49" ht="16" hidden="1" x14ac:dyDescent="0.2">
      <c r="A37" t="s">
        <v>56</v>
      </c>
      <c r="B37">
        <v>11163</v>
      </c>
      <c r="C37">
        <v>7672</v>
      </c>
      <c r="D37" t="s">
        <v>119</v>
      </c>
      <c r="E37" t="s">
        <v>234</v>
      </c>
      <c r="F37">
        <v>259421</v>
      </c>
      <c r="G37" t="s">
        <v>446</v>
      </c>
      <c r="H37">
        <v>556628</v>
      </c>
      <c r="I37" t="s">
        <v>931</v>
      </c>
      <c r="J37">
        <v>90411416</v>
      </c>
      <c r="K37" t="s">
        <v>1836</v>
      </c>
      <c r="L37" t="s">
        <v>1850</v>
      </c>
      <c r="M37" s="1">
        <v>52.25</v>
      </c>
      <c r="N37" t="s">
        <v>1855</v>
      </c>
      <c r="O37">
        <v>309362</v>
      </c>
      <c r="P37" s="1">
        <v>16164.16</v>
      </c>
      <c r="S37" s="6" t="str">
        <f t="shared" si="0"/>
        <v xml:space="preserve"> </v>
      </c>
      <c r="T37" s="6">
        <f>IF(IF(COUNTIF(H$2:$H37,H37)=1,1,"")=1,SUMIF($H$2:$H$7997,H37,$S$2:$S$7997),"")</f>
        <v>0</v>
      </c>
      <c r="V37" t="s">
        <v>1860</v>
      </c>
      <c r="W37">
        <v>94262</v>
      </c>
      <c r="X37">
        <v>309362</v>
      </c>
      <c r="Y37">
        <v>0</v>
      </c>
      <c r="Z37">
        <v>0</v>
      </c>
      <c r="AA37" s="2">
        <v>1</v>
      </c>
      <c r="AB37" s="2">
        <v>0</v>
      </c>
      <c r="AC37" s="2">
        <v>0</v>
      </c>
      <c r="AD37">
        <v>0</v>
      </c>
      <c r="AE37" t="s">
        <v>1862</v>
      </c>
      <c r="AF37">
        <v>0.05</v>
      </c>
      <c r="AG37">
        <v>956938</v>
      </c>
      <c r="AH37">
        <v>50000.01</v>
      </c>
      <c r="AI37" s="1" t="s">
        <v>234</v>
      </c>
      <c r="AJ37">
        <v>90411410</v>
      </c>
      <c r="AK37" s="1" t="s">
        <v>1868</v>
      </c>
      <c r="AL37" t="s">
        <v>1879</v>
      </c>
      <c r="AN37" t="s">
        <v>2046</v>
      </c>
      <c r="AO37" t="s">
        <v>2067</v>
      </c>
      <c r="AP37" t="s">
        <v>2074</v>
      </c>
      <c r="AQ37">
        <v>108730</v>
      </c>
      <c r="AR37" s="3">
        <v>46203</v>
      </c>
      <c r="AS37" s="3">
        <v>46113</v>
      </c>
      <c r="AT37" s="3">
        <v>46203</v>
      </c>
      <c r="AU37" t="s">
        <v>2124</v>
      </c>
      <c r="AW37" s="3">
        <v>46208.53701449134</v>
      </c>
    </row>
    <row r="38" spans="1:49" ht="16" hidden="1" x14ac:dyDescent="0.2">
      <c r="A38" t="s">
        <v>56</v>
      </c>
      <c r="B38">
        <v>11163</v>
      </c>
      <c r="C38">
        <v>7672</v>
      </c>
      <c r="D38" t="s">
        <v>119</v>
      </c>
      <c r="E38" t="s">
        <v>288</v>
      </c>
      <c r="F38">
        <v>259423</v>
      </c>
      <c r="G38" t="s">
        <v>526</v>
      </c>
      <c r="H38">
        <v>556448</v>
      </c>
      <c r="I38" t="s">
        <v>1038</v>
      </c>
      <c r="J38">
        <v>93774048</v>
      </c>
      <c r="K38" t="s">
        <v>1837</v>
      </c>
      <c r="L38" t="s">
        <v>1850</v>
      </c>
      <c r="M38" s="1">
        <v>59</v>
      </c>
      <c r="N38" t="s">
        <v>1855</v>
      </c>
      <c r="O38">
        <v>93597</v>
      </c>
      <c r="P38" s="1">
        <v>5522.22</v>
      </c>
      <c r="S38" s="6" t="str">
        <f t="shared" si="0"/>
        <v xml:space="preserve"> </v>
      </c>
      <c r="T38" s="6">
        <f>IF(IF(COUNTIF(H$2:$H38,H38)=1,1,"")=1,SUMIF($H$2:$H$7997,H38,$S$2:$S$7997),"")</f>
        <v>0</v>
      </c>
      <c r="W38">
        <v>93597</v>
      </c>
      <c r="X38">
        <v>93597</v>
      </c>
      <c r="Y38">
        <v>0</v>
      </c>
      <c r="Z38">
        <v>0</v>
      </c>
      <c r="AA38" s="2">
        <v>1</v>
      </c>
      <c r="AB38" s="2">
        <v>0</v>
      </c>
      <c r="AC38" s="2">
        <v>0</v>
      </c>
      <c r="AD38">
        <v>0</v>
      </c>
      <c r="AE38" t="s">
        <v>1862</v>
      </c>
      <c r="AF38">
        <v>1731.34</v>
      </c>
      <c r="AG38">
        <v>649532</v>
      </c>
      <c r="AH38">
        <v>38322.39</v>
      </c>
      <c r="AI38" s="1" t="s">
        <v>288</v>
      </c>
      <c r="AJ38">
        <v>90408543</v>
      </c>
      <c r="AK38" s="1" t="s">
        <v>1868</v>
      </c>
      <c r="AL38" t="s">
        <v>1922</v>
      </c>
      <c r="AN38" t="s">
        <v>2057</v>
      </c>
      <c r="AO38" t="s">
        <v>2067</v>
      </c>
      <c r="AP38" t="s">
        <v>2097</v>
      </c>
      <c r="AQ38">
        <v>108737</v>
      </c>
      <c r="AR38" s="3">
        <v>46203</v>
      </c>
      <c r="AS38" s="3">
        <v>46113</v>
      </c>
      <c r="AT38" s="3">
        <v>46203</v>
      </c>
      <c r="AU38" t="s">
        <v>2124</v>
      </c>
      <c r="AW38" s="3">
        <v>46208.53701449134</v>
      </c>
    </row>
    <row r="39" spans="1:49" ht="16" hidden="1" x14ac:dyDescent="0.2">
      <c r="A39" t="s">
        <v>56</v>
      </c>
      <c r="B39">
        <v>11163</v>
      </c>
      <c r="C39">
        <v>7672</v>
      </c>
      <c r="D39" t="s">
        <v>119</v>
      </c>
      <c r="E39" t="s">
        <v>267</v>
      </c>
      <c r="F39">
        <v>259424</v>
      </c>
      <c r="G39" t="s">
        <v>496</v>
      </c>
      <c r="H39">
        <v>556649</v>
      </c>
      <c r="I39" t="s">
        <v>993</v>
      </c>
      <c r="J39">
        <v>93476104</v>
      </c>
      <c r="K39" t="s">
        <v>1837</v>
      </c>
      <c r="L39" t="s">
        <v>1850</v>
      </c>
      <c r="M39" s="1">
        <v>59</v>
      </c>
      <c r="N39" t="s">
        <v>1855</v>
      </c>
      <c r="O39">
        <v>61072</v>
      </c>
      <c r="P39" s="1">
        <v>3564.13</v>
      </c>
      <c r="S39" s="6" t="str">
        <f t="shared" si="0"/>
        <v xml:space="preserve"> </v>
      </c>
      <c r="T39" s="6">
        <f>IF(IF(COUNTIF(H$2:$H39,H39)=1,1,"")=1,SUMIF($H$2:$H$7997,H39,$S$2:$S$7997),"")</f>
        <v>0</v>
      </c>
      <c r="W39">
        <v>61072</v>
      </c>
      <c r="X39">
        <v>61072</v>
      </c>
      <c r="Y39">
        <v>0</v>
      </c>
      <c r="Z39">
        <v>0</v>
      </c>
      <c r="AA39" s="2">
        <v>1</v>
      </c>
      <c r="AB39" s="2">
        <v>0</v>
      </c>
      <c r="AC39" s="2">
        <v>0</v>
      </c>
      <c r="AD39">
        <v>0</v>
      </c>
      <c r="AE39" t="s">
        <v>1862</v>
      </c>
      <c r="AF39">
        <v>1516.17</v>
      </c>
      <c r="AG39">
        <v>60409</v>
      </c>
      <c r="AH39">
        <v>3564.13</v>
      </c>
      <c r="AI39" s="1" t="s">
        <v>267</v>
      </c>
      <c r="AJ39">
        <v>90465521</v>
      </c>
      <c r="AK39" s="1" t="s">
        <v>1868</v>
      </c>
      <c r="AL39" t="s">
        <v>1905</v>
      </c>
      <c r="AN39" t="s">
        <v>2057</v>
      </c>
      <c r="AO39" t="s">
        <v>2067</v>
      </c>
      <c r="AP39" t="s">
        <v>2097</v>
      </c>
      <c r="AQ39">
        <v>109443</v>
      </c>
      <c r="AR39" s="3">
        <v>46203</v>
      </c>
      <c r="AS39" s="3">
        <v>46113</v>
      </c>
      <c r="AT39" s="3">
        <v>46191</v>
      </c>
      <c r="AU39" t="s">
        <v>2124</v>
      </c>
      <c r="AW39" s="3">
        <v>46208.53701449134</v>
      </c>
    </row>
    <row r="40" spans="1:49" ht="16" hidden="1" x14ac:dyDescent="0.2">
      <c r="A40" t="s">
        <v>54</v>
      </c>
      <c r="B40">
        <v>11499</v>
      </c>
      <c r="C40">
        <v>4805</v>
      </c>
      <c r="D40" t="s">
        <v>144</v>
      </c>
      <c r="E40" t="s">
        <v>273</v>
      </c>
      <c r="F40">
        <v>261946</v>
      </c>
      <c r="G40" t="s">
        <v>777</v>
      </c>
      <c r="H40">
        <v>581295</v>
      </c>
      <c r="I40" t="s">
        <v>1515</v>
      </c>
      <c r="J40">
        <v>7291488921</v>
      </c>
      <c r="K40" t="s">
        <v>1835</v>
      </c>
      <c r="L40" t="s">
        <v>1850</v>
      </c>
      <c r="M40" s="1">
        <v>10</v>
      </c>
      <c r="N40" t="s">
        <v>23</v>
      </c>
      <c r="O40">
        <v>0</v>
      </c>
      <c r="P40" s="1">
        <v>0</v>
      </c>
      <c r="S40" s="6" t="str">
        <f t="shared" si="0"/>
        <v xml:space="preserve"> </v>
      </c>
      <c r="T40" s="6">
        <f>IF(IF(COUNTIF(H$2:$H40,H40)=1,1,"")=1,SUMIF($H$2:$H$7997,H40,$S$2:$S$7997),"")</f>
        <v>0</v>
      </c>
      <c r="W40">
        <v>0</v>
      </c>
      <c r="X40">
        <v>0</v>
      </c>
      <c r="Y40">
        <v>0</v>
      </c>
      <c r="Z40">
        <v>0</v>
      </c>
      <c r="AA40" s="2">
        <v>1</v>
      </c>
      <c r="AB40" s="2">
        <v>0</v>
      </c>
      <c r="AC40" s="2">
        <v>0</v>
      </c>
      <c r="AD40">
        <v>0</v>
      </c>
      <c r="AE40" t="s">
        <v>1862</v>
      </c>
      <c r="AF40">
        <v>15548.13</v>
      </c>
      <c r="AG40">
        <v>3672026</v>
      </c>
      <c r="AH40">
        <v>36720.26</v>
      </c>
      <c r="AI40" s="1" t="s">
        <v>273</v>
      </c>
      <c r="AJ40">
        <v>261946</v>
      </c>
      <c r="AK40" s="1" t="s">
        <v>1867</v>
      </c>
      <c r="AL40" t="s">
        <v>1911</v>
      </c>
      <c r="AN40" t="s">
        <v>2041</v>
      </c>
      <c r="AO40" t="s">
        <v>2067</v>
      </c>
      <c r="AP40" t="s">
        <v>2103</v>
      </c>
      <c r="AQ40">
        <v>126577</v>
      </c>
      <c r="AR40" s="3">
        <v>46203</v>
      </c>
      <c r="AS40" s="3">
        <v>46174</v>
      </c>
      <c r="AT40" s="3">
        <v>46222</v>
      </c>
      <c r="AU40" t="s">
        <v>2126</v>
      </c>
      <c r="AW40" s="3">
        <v>46208.53701449134</v>
      </c>
    </row>
    <row r="41" spans="1:49" ht="16" hidden="1" x14ac:dyDescent="0.2">
      <c r="A41" t="s">
        <v>54</v>
      </c>
      <c r="B41">
        <v>11499</v>
      </c>
      <c r="C41">
        <v>4805</v>
      </c>
      <c r="D41" t="s">
        <v>144</v>
      </c>
      <c r="E41" t="s">
        <v>273</v>
      </c>
      <c r="F41">
        <v>261946</v>
      </c>
      <c r="G41" t="s">
        <v>850</v>
      </c>
      <c r="H41">
        <v>582460</v>
      </c>
      <c r="I41" t="s">
        <v>1646</v>
      </c>
      <c r="J41">
        <v>582461</v>
      </c>
      <c r="K41" t="s">
        <v>1846</v>
      </c>
      <c r="L41" t="s">
        <v>1851</v>
      </c>
      <c r="M41" s="1">
        <v>0.15</v>
      </c>
      <c r="N41" t="s">
        <v>1858</v>
      </c>
      <c r="O41">
        <v>83333533</v>
      </c>
      <c r="P41" s="1">
        <v>12500.03</v>
      </c>
      <c r="S41" s="6" t="str">
        <f t="shared" si="0"/>
        <v xml:space="preserve"> </v>
      </c>
      <c r="T41" s="6">
        <f>IF(IF(COUNTIF(H$2:$H41,H41)=1,1,"")=1,SUMIF($H$2:$H$7997,H41,$S$2:$S$7997),"")</f>
        <v>0</v>
      </c>
      <c r="W41">
        <v>0</v>
      </c>
      <c r="X41">
        <v>0</v>
      </c>
      <c r="Y41">
        <v>0</v>
      </c>
      <c r="Z41">
        <v>0</v>
      </c>
      <c r="AA41" s="2">
        <v>1</v>
      </c>
      <c r="AB41" s="2">
        <v>0</v>
      </c>
      <c r="AC41" s="2">
        <v>0</v>
      </c>
      <c r="AD41">
        <v>0</v>
      </c>
      <c r="AE41" t="s">
        <v>1864</v>
      </c>
      <c r="AF41">
        <v>12500.03</v>
      </c>
      <c r="AG41">
        <v>333334</v>
      </c>
      <c r="AH41">
        <v>50000.1</v>
      </c>
      <c r="AI41" s="1" t="s">
        <v>273</v>
      </c>
      <c r="AJ41">
        <v>261946</v>
      </c>
      <c r="AK41" s="1" t="s">
        <v>1867</v>
      </c>
      <c r="AL41" t="s">
        <v>1911</v>
      </c>
      <c r="AN41" t="s">
        <v>2041</v>
      </c>
      <c r="AO41" t="s">
        <v>2067</v>
      </c>
      <c r="AP41" t="s">
        <v>2110</v>
      </c>
      <c r="AQ41">
        <v>126577</v>
      </c>
      <c r="AR41" s="3">
        <v>46203</v>
      </c>
      <c r="AS41" s="3">
        <v>46174</v>
      </c>
      <c r="AT41" s="3">
        <v>46222</v>
      </c>
      <c r="AU41" t="s">
        <v>2128</v>
      </c>
      <c r="AW41" s="3">
        <v>46208.53701449134</v>
      </c>
    </row>
    <row r="42" spans="1:49" ht="16" hidden="1" x14ac:dyDescent="0.2">
      <c r="A42" t="s">
        <v>54</v>
      </c>
      <c r="B42">
        <v>11499</v>
      </c>
      <c r="C42">
        <v>4805</v>
      </c>
      <c r="D42" t="s">
        <v>144</v>
      </c>
      <c r="E42" t="s">
        <v>273</v>
      </c>
      <c r="F42">
        <v>261946</v>
      </c>
      <c r="G42" t="s">
        <v>850</v>
      </c>
      <c r="H42">
        <v>582460</v>
      </c>
      <c r="I42" t="s">
        <v>1703</v>
      </c>
      <c r="J42">
        <v>582464</v>
      </c>
      <c r="K42" t="s">
        <v>1844</v>
      </c>
      <c r="L42" t="s">
        <v>1851</v>
      </c>
      <c r="M42" s="1">
        <v>0.15</v>
      </c>
      <c r="N42" t="s">
        <v>1858</v>
      </c>
      <c r="O42">
        <v>83333533</v>
      </c>
      <c r="P42" s="1">
        <v>12500.03</v>
      </c>
      <c r="S42" s="6" t="str">
        <f t="shared" si="0"/>
        <v xml:space="preserve"> </v>
      </c>
      <c r="T42" s="6" t="str">
        <f>IF(IF(COUNTIF(H$2:$H42,H42)=1,1,"")=1,SUMIF($H$2:$H$7997,H42,$S$2:$S$7997),"")</f>
        <v/>
      </c>
      <c r="W42">
        <v>0</v>
      </c>
      <c r="X42">
        <v>0</v>
      </c>
      <c r="Y42">
        <v>0</v>
      </c>
      <c r="Z42">
        <v>0</v>
      </c>
      <c r="AA42" s="2">
        <v>1</v>
      </c>
      <c r="AB42" s="2">
        <v>0</v>
      </c>
      <c r="AC42" s="2">
        <v>0</v>
      </c>
      <c r="AD42">
        <v>0</v>
      </c>
      <c r="AE42" t="s">
        <v>1864</v>
      </c>
      <c r="AF42">
        <v>12500.03</v>
      </c>
      <c r="AG42">
        <v>333334</v>
      </c>
      <c r="AH42">
        <v>50000.1</v>
      </c>
      <c r="AI42" s="1" t="s">
        <v>273</v>
      </c>
      <c r="AJ42">
        <v>261946</v>
      </c>
      <c r="AK42" s="1" t="s">
        <v>1867</v>
      </c>
      <c r="AL42" t="s">
        <v>1911</v>
      </c>
      <c r="AN42" t="s">
        <v>2041</v>
      </c>
      <c r="AO42" t="s">
        <v>2067</v>
      </c>
      <c r="AP42" t="s">
        <v>2107</v>
      </c>
      <c r="AQ42">
        <v>126577</v>
      </c>
      <c r="AR42" s="3">
        <v>46203</v>
      </c>
      <c r="AS42" s="3">
        <v>46174</v>
      </c>
      <c r="AT42" s="3">
        <v>46222</v>
      </c>
      <c r="AU42" t="s">
        <v>2127</v>
      </c>
      <c r="AW42" s="3">
        <v>46208.53701449134</v>
      </c>
    </row>
    <row r="43" spans="1:49" ht="16" hidden="1" x14ac:dyDescent="0.2">
      <c r="A43" t="s">
        <v>54</v>
      </c>
      <c r="B43">
        <v>11499</v>
      </c>
      <c r="C43">
        <v>4805</v>
      </c>
      <c r="D43" t="s">
        <v>144</v>
      </c>
      <c r="E43" t="s">
        <v>273</v>
      </c>
      <c r="F43">
        <v>261946</v>
      </c>
      <c r="G43" t="s">
        <v>850</v>
      </c>
      <c r="H43">
        <v>582460</v>
      </c>
      <c r="I43" t="s">
        <v>1660</v>
      </c>
      <c r="J43">
        <v>582463</v>
      </c>
      <c r="K43" t="s">
        <v>1835</v>
      </c>
      <c r="L43" t="s">
        <v>1851</v>
      </c>
      <c r="M43" s="1">
        <v>0.15</v>
      </c>
      <c r="N43" t="s">
        <v>1858</v>
      </c>
      <c r="O43">
        <v>83333533</v>
      </c>
      <c r="P43" s="1">
        <v>12500.03</v>
      </c>
      <c r="S43" s="6" t="str">
        <f t="shared" si="0"/>
        <v xml:space="preserve"> </v>
      </c>
      <c r="T43" s="6" t="str">
        <f>IF(IF(COUNTIF(H$2:$H43,H43)=1,1,"")=1,SUMIF($H$2:$H$7997,H43,$S$2:$S$7997),"")</f>
        <v/>
      </c>
      <c r="W43">
        <v>0</v>
      </c>
      <c r="X43">
        <v>0</v>
      </c>
      <c r="Y43">
        <v>0</v>
      </c>
      <c r="Z43">
        <v>0</v>
      </c>
      <c r="AA43" s="2">
        <v>1</v>
      </c>
      <c r="AB43" s="2">
        <v>0</v>
      </c>
      <c r="AC43" s="2">
        <v>0</v>
      </c>
      <c r="AD43">
        <v>0</v>
      </c>
      <c r="AE43" t="s">
        <v>1864</v>
      </c>
      <c r="AF43">
        <v>12500.03</v>
      </c>
      <c r="AG43">
        <v>333334</v>
      </c>
      <c r="AH43">
        <v>50000.1</v>
      </c>
      <c r="AI43" s="1" t="s">
        <v>273</v>
      </c>
      <c r="AJ43">
        <v>261946</v>
      </c>
      <c r="AK43" s="1" t="s">
        <v>1867</v>
      </c>
      <c r="AL43" t="s">
        <v>1911</v>
      </c>
      <c r="AN43" t="s">
        <v>2041</v>
      </c>
      <c r="AO43" t="s">
        <v>2067</v>
      </c>
      <c r="AP43" t="s">
        <v>2109</v>
      </c>
      <c r="AQ43">
        <v>126577</v>
      </c>
      <c r="AR43" s="3">
        <v>46203</v>
      </c>
      <c r="AS43" s="3">
        <v>46174</v>
      </c>
      <c r="AT43" s="3">
        <v>46222</v>
      </c>
      <c r="AU43" t="s">
        <v>2129</v>
      </c>
      <c r="AW43" s="3">
        <v>46208.53701449134</v>
      </c>
    </row>
    <row r="44" spans="1:49" ht="16" hidden="1" x14ac:dyDescent="0.2">
      <c r="A44" t="s">
        <v>54</v>
      </c>
      <c r="B44">
        <v>11499</v>
      </c>
      <c r="C44">
        <v>4805</v>
      </c>
      <c r="D44" t="s">
        <v>144</v>
      </c>
      <c r="E44" t="s">
        <v>273</v>
      </c>
      <c r="F44">
        <v>261946</v>
      </c>
      <c r="G44" t="s">
        <v>505</v>
      </c>
      <c r="H44">
        <v>582466</v>
      </c>
      <c r="I44" t="s">
        <v>1005</v>
      </c>
      <c r="J44">
        <v>93585697</v>
      </c>
      <c r="K44" t="s">
        <v>1839</v>
      </c>
      <c r="L44" t="s">
        <v>1850</v>
      </c>
      <c r="M44" s="1">
        <v>40</v>
      </c>
      <c r="N44" t="s">
        <v>22</v>
      </c>
      <c r="O44">
        <v>2624855</v>
      </c>
      <c r="P44" s="1">
        <v>104994.2</v>
      </c>
      <c r="S44" s="6" t="str">
        <f t="shared" si="0"/>
        <v xml:space="preserve"> </v>
      </c>
      <c r="T44" s="6">
        <f>IF(IF(COUNTIF(H$2:$H44,H44)=1,1,"")=1,SUMIF($H$2:$H$7997,H44,$S$2:$S$7997),"")</f>
        <v>0</v>
      </c>
      <c r="W44">
        <v>2624855</v>
      </c>
      <c r="X44">
        <v>2624855</v>
      </c>
      <c r="Y44">
        <v>0</v>
      </c>
      <c r="Z44">
        <v>0</v>
      </c>
      <c r="AA44" s="2">
        <v>1</v>
      </c>
      <c r="AB44" s="2">
        <v>0</v>
      </c>
      <c r="AC44" s="2">
        <v>0</v>
      </c>
      <c r="AD44">
        <v>0</v>
      </c>
      <c r="AE44" t="s">
        <v>1862</v>
      </c>
      <c r="AF44">
        <v>28843.55</v>
      </c>
      <c r="AG44">
        <v>2625000</v>
      </c>
      <c r="AH44">
        <v>105000</v>
      </c>
      <c r="AI44" s="1" t="s">
        <v>273</v>
      </c>
      <c r="AJ44">
        <v>93585683</v>
      </c>
      <c r="AK44" s="1" t="s">
        <v>1867</v>
      </c>
      <c r="AL44" t="s">
        <v>1911</v>
      </c>
      <c r="AN44" t="s">
        <v>2041</v>
      </c>
      <c r="AO44" t="s">
        <v>2067</v>
      </c>
      <c r="AP44" t="s">
        <v>2094</v>
      </c>
      <c r="AQ44">
        <v>126577</v>
      </c>
      <c r="AR44" s="3">
        <v>46203</v>
      </c>
      <c r="AS44" s="3">
        <v>46174</v>
      </c>
      <c r="AT44" s="3">
        <v>46222</v>
      </c>
      <c r="AU44" t="s">
        <v>2124</v>
      </c>
      <c r="AW44" s="3">
        <v>46208.53701449134</v>
      </c>
    </row>
    <row r="45" spans="1:49" ht="16" hidden="1" x14ac:dyDescent="0.2">
      <c r="A45" t="s">
        <v>54</v>
      </c>
      <c r="B45">
        <v>11499</v>
      </c>
      <c r="C45">
        <v>4805</v>
      </c>
      <c r="D45" t="s">
        <v>144</v>
      </c>
      <c r="E45" t="s">
        <v>273</v>
      </c>
      <c r="F45">
        <v>261946</v>
      </c>
      <c r="G45" t="s">
        <v>505</v>
      </c>
      <c r="H45">
        <v>582466</v>
      </c>
      <c r="I45" t="s">
        <v>1006</v>
      </c>
      <c r="J45">
        <v>93585700</v>
      </c>
      <c r="K45" t="s">
        <v>1835</v>
      </c>
      <c r="L45" t="s">
        <v>1850</v>
      </c>
      <c r="M45" s="1">
        <v>40</v>
      </c>
      <c r="N45" t="s">
        <v>23</v>
      </c>
      <c r="O45">
        <v>1140265</v>
      </c>
      <c r="P45" s="1">
        <v>45000</v>
      </c>
      <c r="S45" s="6" t="str">
        <f t="shared" si="0"/>
        <v xml:space="preserve"> </v>
      </c>
      <c r="T45" s="6" t="str">
        <f>IF(IF(COUNTIF(H$2:$H45,H45)=1,1,"")=1,SUMIF($H$2:$H$7997,H45,$S$2:$S$7997),"")</f>
        <v/>
      </c>
      <c r="W45">
        <v>1140265</v>
      </c>
      <c r="X45">
        <v>1140265</v>
      </c>
      <c r="Y45">
        <v>0</v>
      </c>
      <c r="Z45">
        <v>0</v>
      </c>
      <c r="AA45" s="2">
        <v>1</v>
      </c>
      <c r="AB45" s="2">
        <v>0</v>
      </c>
      <c r="AC45" s="2">
        <v>0</v>
      </c>
      <c r="AD45">
        <v>0</v>
      </c>
      <c r="AE45" t="s">
        <v>1862</v>
      </c>
      <c r="AF45">
        <v>12361.52</v>
      </c>
      <c r="AG45">
        <v>1125000</v>
      </c>
      <c r="AH45">
        <v>45000</v>
      </c>
      <c r="AI45" s="1" t="s">
        <v>273</v>
      </c>
      <c r="AJ45">
        <v>93585683</v>
      </c>
      <c r="AK45" s="1" t="s">
        <v>1867</v>
      </c>
      <c r="AL45" t="s">
        <v>1911</v>
      </c>
      <c r="AN45" t="s">
        <v>2041</v>
      </c>
      <c r="AO45" t="s">
        <v>2067</v>
      </c>
      <c r="AP45" t="s">
        <v>2092</v>
      </c>
      <c r="AQ45">
        <v>126577</v>
      </c>
      <c r="AR45" s="3">
        <v>46203</v>
      </c>
      <c r="AS45" s="3">
        <v>46174</v>
      </c>
      <c r="AT45" s="3">
        <v>46222</v>
      </c>
      <c r="AU45" t="s">
        <v>2123</v>
      </c>
      <c r="AW45" s="3">
        <v>46208.53701449134</v>
      </c>
    </row>
    <row r="46" spans="1:49" ht="16" hidden="1" x14ac:dyDescent="0.2">
      <c r="A46" t="s">
        <v>54</v>
      </c>
      <c r="B46">
        <v>11499</v>
      </c>
      <c r="C46">
        <v>4805</v>
      </c>
      <c r="D46" t="s">
        <v>144</v>
      </c>
      <c r="E46" t="s">
        <v>273</v>
      </c>
      <c r="F46">
        <v>261946</v>
      </c>
      <c r="G46" t="s">
        <v>778</v>
      </c>
      <c r="H46">
        <v>582471</v>
      </c>
      <c r="I46" t="s">
        <v>1519</v>
      </c>
      <c r="J46">
        <v>7293780886</v>
      </c>
      <c r="K46" t="s">
        <v>1835</v>
      </c>
      <c r="L46" t="s">
        <v>1850</v>
      </c>
      <c r="M46" s="1">
        <v>5</v>
      </c>
      <c r="N46" t="s">
        <v>23</v>
      </c>
      <c r="O46">
        <v>0</v>
      </c>
      <c r="P46" s="1">
        <v>0</v>
      </c>
      <c r="S46" s="6" t="str">
        <f t="shared" si="0"/>
        <v xml:space="preserve"> </v>
      </c>
      <c r="T46" s="6">
        <f>IF(IF(COUNTIF(H$2:$H46,H46)=1,1,"")=1,SUMIF($H$2:$H$7997,H46,$S$2:$S$7997),"")</f>
        <v>0</v>
      </c>
      <c r="W46">
        <v>0</v>
      </c>
      <c r="X46">
        <v>0</v>
      </c>
      <c r="Y46">
        <v>0</v>
      </c>
      <c r="Z46">
        <v>0</v>
      </c>
      <c r="AA46" s="2">
        <v>1</v>
      </c>
      <c r="AB46" s="2">
        <v>0</v>
      </c>
      <c r="AC46" s="2">
        <v>0</v>
      </c>
      <c r="AD46">
        <v>0</v>
      </c>
      <c r="AE46" t="s">
        <v>1862</v>
      </c>
      <c r="AF46">
        <v>26860.94</v>
      </c>
      <c r="AG46">
        <v>13000000</v>
      </c>
      <c r="AH46">
        <v>65000</v>
      </c>
      <c r="AI46" s="1" t="s">
        <v>273</v>
      </c>
      <c r="AJ46">
        <v>261946</v>
      </c>
      <c r="AK46" s="1" t="s">
        <v>1867</v>
      </c>
      <c r="AL46" t="s">
        <v>1911</v>
      </c>
      <c r="AN46" t="s">
        <v>2041</v>
      </c>
      <c r="AO46" t="s">
        <v>2067</v>
      </c>
      <c r="AP46" t="s">
        <v>2102</v>
      </c>
      <c r="AQ46">
        <v>126577</v>
      </c>
      <c r="AR46" s="3">
        <v>46203</v>
      </c>
      <c r="AS46" s="3">
        <v>46174</v>
      </c>
      <c r="AT46" s="3">
        <v>46234</v>
      </c>
      <c r="AU46" t="s">
        <v>2126</v>
      </c>
      <c r="AW46" s="3">
        <v>46208.53701449134</v>
      </c>
    </row>
    <row r="47" spans="1:49" ht="16" hidden="1" x14ac:dyDescent="0.2">
      <c r="A47" t="s">
        <v>54</v>
      </c>
      <c r="B47">
        <v>11499</v>
      </c>
      <c r="C47">
        <v>4805</v>
      </c>
      <c r="D47" t="s">
        <v>144</v>
      </c>
      <c r="E47" t="s">
        <v>273</v>
      </c>
      <c r="F47">
        <v>261946</v>
      </c>
      <c r="G47" t="s">
        <v>504</v>
      </c>
      <c r="H47">
        <v>582565</v>
      </c>
      <c r="I47" t="s">
        <v>1004</v>
      </c>
      <c r="J47">
        <v>93585694</v>
      </c>
      <c r="K47" t="s">
        <v>1839</v>
      </c>
      <c r="L47" t="s">
        <v>1850</v>
      </c>
      <c r="M47" s="1">
        <v>23</v>
      </c>
      <c r="N47" t="s">
        <v>1855</v>
      </c>
      <c r="O47">
        <v>656743</v>
      </c>
      <c r="P47" s="1">
        <v>14625.01</v>
      </c>
      <c r="S47" s="6" t="str">
        <f t="shared" si="0"/>
        <v xml:space="preserve"> </v>
      </c>
      <c r="T47" s="6">
        <f>IF(IF(COUNTIF(H$2:$H47,H47)=1,1,"")=1,SUMIF($H$2:$H$7997,H47,$S$2:$S$7997),"")</f>
        <v>0</v>
      </c>
      <c r="W47">
        <v>656743</v>
      </c>
      <c r="X47">
        <v>656743</v>
      </c>
      <c r="Y47">
        <v>0</v>
      </c>
      <c r="Z47">
        <v>0</v>
      </c>
      <c r="AA47" s="2">
        <v>1</v>
      </c>
      <c r="AB47" s="2">
        <v>0</v>
      </c>
      <c r="AC47" s="2">
        <v>0</v>
      </c>
      <c r="AD47">
        <v>0</v>
      </c>
      <c r="AE47" t="s">
        <v>1862</v>
      </c>
      <c r="AF47">
        <v>3611.61</v>
      </c>
      <c r="AG47">
        <v>635870</v>
      </c>
      <c r="AH47">
        <v>14625.01</v>
      </c>
      <c r="AI47" s="1" t="s">
        <v>273</v>
      </c>
      <c r="AJ47">
        <v>93585683</v>
      </c>
      <c r="AK47" s="1" t="s">
        <v>1868</v>
      </c>
      <c r="AL47" t="s">
        <v>1911</v>
      </c>
      <c r="AN47" t="s">
        <v>2041</v>
      </c>
      <c r="AO47" t="s">
        <v>2067</v>
      </c>
      <c r="AP47" t="s">
        <v>2093</v>
      </c>
      <c r="AQ47">
        <v>126577</v>
      </c>
      <c r="AR47" s="3">
        <v>46203</v>
      </c>
      <c r="AS47" s="3">
        <v>46174</v>
      </c>
      <c r="AT47" s="3">
        <v>46222</v>
      </c>
      <c r="AU47" t="s">
        <v>2124</v>
      </c>
      <c r="AW47" s="3">
        <v>46208.53701449134</v>
      </c>
    </row>
    <row r="48" spans="1:49" ht="16" hidden="1" x14ac:dyDescent="0.2">
      <c r="A48" t="s">
        <v>54</v>
      </c>
      <c r="B48">
        <v>11499</v>
      </c>
      <c r="C48">
        <v>4805</v>
      </c>
      <c r="D48" t="s">
        <v>144</v>
      </c>
      <c r="E48" t="s">
        <v>273</v>
      </c>
      <c r="F48">
        <v>261946</v>
      </c>
      <c r="G48" t="s">
        <v>504</v>
      </c>
      <c r="H48">
        <v>582565</v>
      </c>
      <c r="I48" t="s">
        <v>1003</v>
      </c>
      <c r="J48">
        <v>93585686</v>
      </c>
      <c r="K48" t="s">
        <v>1840</v>
      </c>
      <c r="L48" t="s">
        <v>1850</v>
      </c>
      <c r="M48" s="1">
        <v>23</v>
      </c>
      <c r="N48" t="s">
        <v>1855</v>
      </c>
      <c r="O48">
        <v>1723595</v>
      </c>
      <c r="P48" s="1">
        <v>39642.68</v>
      </c>
      <c r="S48" s="6" t="str">
        <f t="shared" si="0"/>
        <v xml:space="preserve"> </v>
      </c>
      <c r="T48" s="6" t="str">
        <f>IF(IF(COUNTIF(H$2:$H48,H48)=1,1,"")=1,SUMIF($H$2:$H$7997,H48,$S$2:$S$7997),"")</f>
        <v/>
      </c>
      <c r="W48">
        <v>1723595</v>
      </c>
      <c r="X48">
        <v>1723595</v>
      </c>
      <c r="Y48">
        <v>0</v>
      </c>
      <c r="Z48">
        <v>0</v>
      </c>
      <c r="AA48" s="2">
        <v>1</v>
      </c>
      <c r="AB48" s="2">
        <v>0</v>
      </c>
      <c r="AC48" s="2">
        <v>0</v>
      </c>
      <c r="AD48">
        <v>0</v>
      </c>
      <c r="AE48" t="s">
        <v>1862</v>
      </c>
      <c r="AF48">
        <v>14909.46</v>
      </c>
      <c r="AG48">
        <v>2625000</v>
      </c>
      <c r="AH48">
        <v>60375</v>
      </c>
      <c r="AI48" s="1" t="s">
        <v>273</v>
      </c>
      <c r="AJ48">
        <v>93585683</v>
      </c>
      <c r="AK48" s="1" t="s">
        <v>1868</v>
      </c>
      <c r="AL48" t="s">
        <v>1911</v>
      </c>
      <c r="AN48" t="s">
        <v>2041</v>
      </c>
      <c r="AO48" t="s">
        <v>2067</v>
      </c>
      <c r="AP48" t="s">
        <v>2083</v>
      </c>
      <c r="AQ48">
        <v>126577</v>
      </c>
      <c r="AR48" s="3">
        <v>46203</v>
      </c>
      <c r="AS48" s="3">
        <v>46174</v>
      </c>
      <c r="AT48" s="3">
        <v>46222</v>
      </c>
      <c r="AU48" t="s">
        <v>2123</v>
      </c>
      <c r="AW48" s="3">
        <v>46208.53701449134</v>
      </c>
    </row>
    <row r="49" spans="1:49" ht="16" hidden="1" x14ac:dyDescent="0.2">
      <c r="A49" t="s">
        <v>54</v>
      </c>
      <c r="B49">
        <v>11499</v>
      </c>
      <c r="C49">
        <v>2619</v>
      </c>
      <c r="D49" t="s">
        <v>117</v>
      </c>
      <c r="E49" t="s">
        <v>283</v>
      </c>
      <c r="F49">
        <v>268009</v>
      </c>
      <c r="G49" t="s">
        <v>780</v>
      </c>
      <c r="H49">
        <v>585836</v>
      </c>
      <c r="I49" t="s">
        <v>1521</v>
      </c>
      <c r="J49">
        <v>7299310220</v>
      </c>
      <c r="K49" t="s">
        <v>1835</v>
      </c>
      <c r="L49" t="s">
        <v>1850</v>
      </c>
      <c r="M49" s="1">
        <v>6</v>
      </c>
      <c r="N49" t="s">
        <v>23</v>
      </c>
      <c r="O49">
        <v>0</v>
      </c>
      <c r="P49" s="1">
        <v>0</v>
      </c>
      <c r="S49" s="6" t="str">
        <f t="shared" si="0"/>
        <v xml:space="preserve"> </v>
      </c>
      <c r="T49" s="6">
        <f>IF(IF(COUNTIF(H$2:$H49,H49)=1,1,"")=1,SUMIF($H$2:$H$7997,H49,$S$2:$S$7997),"")</f>
        <v>0</v>
      </c>
      <c r="W49">
        <v>0</v>
      </c>
      <c r="X49">
        <v>0</v>
      </c>
      <c r="Y49">
        <v>0</v>
      </c>
      <c r="Z49">
        <v>0</v>
      </c>
      <c r="AA49" s="2">
        <v>1</v>
      </c>
      <c r="AB49" s="2">
        <v>0</v>
      </c>
      <c r="AC49" s="2">
        <v>0</v>
      </c>
      <c r="AD49">
        <v>0</v>
      </c>
      <c r="AE49" t="s">
        <v>1862</v>
      </c>
      <c r="AF49">
        <v>22326.58</v>
      </c>
      <c r="AG49">
        <v>8831668</v>
      </c>
      <c r="AH49">
        <v>52990.01</v>
      </c>
      <c r="AI49" s="1" t="s">
        <v>283</v>
      </c>
      <c r="AJ49">
        <v>268009</v>
      </c>
      <c r="AK49" s="1" t="s">
        <v>1867</v>
      </c>
      <c r="AL49" t="s">
        <v>1920</v>
      </c>
      <c r="AN49" t="s">
        <v>2041</v>
      </c>
      <c r="AO49" t="s">
        <v>2067</v>
      </c>
      <c r="AP49" t="s">
        <v>2103</v>
      </c>
      <c r="AQ49">
        <v>127039</v>
      </c>
      <c r="AR49" s="3">
        <v>46203</v>
      </c>
      <c r="AS49" s="3">
        <v>46184</v>
      </c>
      <c r="AT49" s="3">
        <v>46222</v>
      </c>
      <c r="AU49" t="s">
        <v>2126</v>
      </c>
      <c r="AW49" s="3">
        <v>46208.53701449134</v>
      </c>
    </row>
    <row r="50" spans="1:49" ht="16" hidden="1" x14ac:dyDescent="0.2">
      <c r="A50" t="s">
        <v>54</v>
      </c>
      <c r="B50">
        <v>11499</v>
      </c>
      <c r="C50">
        <v>2619</v>
      </c>
      <c r="D50" t="s">
        <v>117</v>
      </c>
      <c r="E50" t="s">
        <v>283</v>
      </c>
      <c r="F50">
        <v>268009</v>
      </c>
      <c r="G50" t="s">
        <v>519</v>
      </c>
      <c r="H50">
        <v>585838</v>
      </c>
      <c r="I50" t="s">
        <v>1030</v>
      </c>
      <c r="J50">
        <v>93722471</v>
      </c>
      <c r="K50" t="s">
        <v>1835</v>
      </c>
      <c r="L50" t="s">
        <v>1850</v>
      </c>
      <c r="M50" s="1">
        <v>40</v>
      </c>
      <c r="N50" t="s">
        <v>23</v>
      </c>
      <c r="O50">
        <v>2748579</v>
      </c>
      <c r="P50" s="1">
        <v>109230.76</v>
      </c>
      <c r="S50" s="6" t="str">
        <f t="shared" si="0"/>
        <v xml:space="preserve"> </v>
      </c>
      <c r="T50" s="6">
        <f>IF(IF(COUNTIF(H$2:$H50,H50)=1,1,"")=1,SUMIF($H$2:$H$7997,H50,$S$2:$S$7997),"")</f>
        <v>0</v>
      </c>
      <c r="W50">
        <v>2748579</v>
      </c>
      <c r="X50">
        <v>2748579</v>
      </c>
      <c r="Y50">
        <v>0</v>
      </c>
      <c r="Z50">
        <v>0</v>
      </c>
      <c r="AA50" s="2">
        <v>1</v>
      </c>
      <c r="AB50" s="2">
        <v>0</v>
      </c>
      <c r="AC50" s="2">
        <v>0</v>
      </c>
      <c r="AD50">
        <v>0</v>
      </c>
      <c r="AE50" t="s">
        <v>1862</v>
      </c>
      <c r="AF50">
        <v>26422.3</v>
      </c>
      <c r="AG50">
        <v>2730769</v>
      </c>
      <c r="AH50">
        <v>109230.76</v>
      </c>
      <c r="AI50" s="1" t="s">
        <v>283</v>
      </c>
      <c r="AJ50">
        <v>93722464</v>
      </c>
      <c r="AK50" s="1" t="s">
        <v>1867</v>
      </c>
      <c r="AL50" t="s">
        <v>1920</v>
      </c>
      <c r="AN50" t="s">
        <v>2041</v>
      </c>
      <c r="AO50" t="s">
        <v>2067</v>
      </c>
      <c r="AP50" t="s">
        <v>2092</v>
      </c>
      <c r="AQ50">
        <v>127039</v>
      </c>
      <c r="AR50" s="3">
        <v>46203</v>
      </c>
      <c r="AS50" s="3">
        <v>46184</v>
      </c>
      <c r="AT50" s="3">
        <v>46222</v>
      </c>
      <c r="AU50" t="s">
        <v>2123</v>
      </c>
      <c r="AW50" s="3">
        <v>46208.53701449134</v>
      </c>
    </row>
    <row r="51" spans="1:49" ht="16" hidden="1" x14ac:dyDescent="0.2">
      <c r="A51" t="s">
        <v>54</v>
      </c>
      <c r="B51">
        <v>11499</v>
      </c>
      <c r="C51">
        <v>2619</v>
      </c>
      <c r="D51" t="s">
        <v>117</v>
      </c>
      <c r="E51" t="s">
        <v>283</v>
      </c>
      <c r="F51">
        <v>268009</v>
      </c>
      <c r="G51" t="s">
        <v>883</v>
      </c>
      <c r="H51">
        <v>585841</v>
      </c>
      <c r="I51" t="s">
        <v>1720</v>
      </c>
      <c r="J51">
        <v>585842</v>
      </c>
      <c r="K51" t="s">
        <v>1846</v>
      </c>
      <c r="L51" t="s">
        <v>1851</v>
      </c>
      <c r="M51" s="1">
        <v>0.15</v>
      </c>
      <c r="N51" t="s">
        <v>1858</v>
      </c>
      <c r="O51">
        <v>177500000</v>
      </c>
      <c r="P51" s="1">
        <v>26625</v>
      </c>
      <c r="S51" s="6" t="str">
        <f t="shared" si="0"/>
        <v xml:space="preserve"> </v>
      </c>
      <c r="T51" s="6">
        <f>IF(IF(COUNTIF(H$2:$H51,H51)=1,1,"")=1,SUMIF($H$2:$H$7997,H51,$S$2:$S$7997),"")</f>
        <v>0</v>
      </c>
      <c r="W51">
        <v>0</v>
      </c>
      <c r="X51">
        <v>0</v>
      </c>
      <c r="Y51">
        <v>0</v>
      </c>
      <c r="Z51">
        <v>0</v>
      </c>
      <c r="AA51" s="2">
        <v>1</v>
      </c>
      <c r="AB51" s="2">
        <v>0</v>
      </c>
      <c r="AC51" s="2">
        <v>0</v>
      </c>
      <c r="AD51">
        <v>0</v>
      </c>
      <c r="AE51" t="s">
        <v>1864</v>
      </c>
      <c r="AF51">
        <v>26625</v>
      </c>
      <c r="AG51">
        <v>710000</v>
      </c>
      <c r="AH51">
        <v>106500</v>
      </c>
      <c r="AI51" s="1" t="s">
        <v>283</v>
      </c>
      <c r="AJ51">
        <v>268009</v>
      </c>
      <c r="AK51" s="1" t="s">
        <v>1867</v>
      </c>
      <c r="AL51" t="s">
        <v>1920</v>
      </c>
      <c r="AN51" t="s">
        <v>2041</v>
      </c>
      <c r="AO51" t="s">
        <v>2067</v>
      </c>
      <c r="AP51" t="s">
        <v>2110</v>
      </c>
      <c r="AQ51">
        <v>127039</v>
      </c>
      <c r="AR51" s="3">
        <v>46203</v>
      </c>
      <c r="AS51" s="3">
        <v>46184</v>
      </c>
      <c r="AT51" s="3">
        <v>46222</v>
      </c>
      <c r="AU51" t="s">
        <v>2128</v>
      </c>
      <c r="AW51" s="3">
        <v>46208.53701449134</v>
      </c>
    </row>
    <row r="52" spans="1:49" ht="16" hidden="1" x14ac:dyDescent="0.2">
      <c r="A52" t="s">
        <v>54</v>
      </c>
      <c r="B52">
        <v>11499</v>
      </c>
      <c r="C52">
        <v>2619</v>
      </c>
      <c r="D52" t="s">
        <v>117</v>
      </c>
      <c r="E52" t="s">
        <v>283</v>
      </c>
      <c r="F52">
        <v>268009</v>
      </c>
      <c r="G52" t="s">
        <v>883</v>
      </c>
      <c r="H52">
        <v>585841</v>
      </c>
      <c r="I52" t="s">
        <v>1693</v>
      </c>
      <c r="J52">
        <v>585845</v>
      </c>
      <c r="K52" t="s">
        <v>1844</v>
      </c>
      <c r="L52" t="s">
        <v>1851</v>
      </c>
      <c r="M52" s="1">
        <v>0.15</v>
      </c>
      <c r="N52" t="s">
        <v>1858</v>
      </c>
      <c r="O52">
        <v>177500000</v>
      </c>
      <c r="P52" s="1">
        <v>26625</v>
      </c>
      <c r="S52" s="6" t="str">
        <f t="shared" si="0"/>
        <v xml:space="preserve"> </v>
      </c>
      <c r="T52" s="6" t="str">
        <f>IF(IF(COUNTIF(H$2:$H52,H52)=1,1,"")=1,SUMIF($H$2:$H$7997,H52,$S$2:$S$7997),"")</f>
        <v/>
      </c>
      <c r="W52">
        <v>0</v>
      </c>
      <c r="X52">
        <v>0</v>
      </c>
      <c r="Y52">
        <v>0</v>
      </c>
      <c r="Z52">
        <v>0</v>
      </c>
      <c r="AA52" s="2">
        <v>1</v>
      </c>
      <c r="AB52" s="2">
        <v>0</v>
      </c>
      <c r="AC52" s="2">
        <v>0</v>
      </c>
      <c r="AD52">
        <v>0</v>
      </c>
      <c r="AE52" t="s">
        <v>1864</v>
      </c>
      <c r="AF52">
        <v>26625</v>
      </c>
      <c r="AG52">
        <v>710000</v>
      </c>
      <c r="AH52">
        <v>106500</v>
      </c>
      <c r="AI52" s="1" t="s">
        <v>283</v>
      </c>
      <c r="AJ52">
        <v>268009</v>
      </c>
      <c r="AK52" s="1" t="s">
        <v>1867</v>
      </c>
      <c r="AL52" t="s">
        <v>1920</v>
      </c>
      <c r="AN52" t="s">
        <v>2041</v>
      </c>
      <c r="AO52" t="s">
        <v>2067</v>
      </c>
      <c r="AP52" t="s">
        <v>2107</v>
      </c>
      <c r="AQ52">
        <v>127039</v>
      </c>
      <c r="AR52" s="3">
        <v>46203</v>
      </c>
      <c r="AS52" s="3">
        <v>46184</v>
      </c>
      <c r="AT52" s="3">
        <v>46222</v>
      </c>
      <c r="AU52" t="s">
        <v>2127</v>
      </c>
      <c r="AW52" s="3">
        <v>46208.53701449134</v>
      </c>
    </row>
    <row r="53" spans="1:49" ht="16" hidden="1" x14ac:dyDescent="0.2">
      <c r="A53" t="s">
        <v>54</v>
      </c>
      <c r="B53">
        <v>11499</v>
      </c>
      <c r="C53">
        <v>2619</v>
      </c>
      <c r="D53" t="s">
        <v>117</v>
      </c>
      <c r="E53" t="s">
        <v>283</v>
      </c>
      <c r="F53">
        <v>268009</v>
      </c>
      <c r="G53" t="s">
        <v>883</v>
      </c>
      <c r="H53">
        <v>585841</v>
      </c>
      <c r="I53" t="s">
        <v>1779</v>
      </c>
      <c r="J53">
        <v>585844</v>
      </c>
      <c r="K53" t="s">
        <v>1835</v>
      </c>
      <c r="L53" t="s">
        <v>1851</v>
      </c>
      <c r="M53" s="1">
        <v>0.15</v>
      </c>
      <c r="N53" t="s">
        <v>1858</v>
      </c>
      <c r="O53">
        <v>177500000</v>
      </c>
      <c r="P53" s="1">
        <v>26625</v>
      </c>
      <c r="S53" s="6" t="str">
        <f t="shared" si="0"/>
        <v xml:space="preserve"> </v>
      </c>
      <c r="T53" s="6" t="str">
        <f>IF(IF(COUNTIF(H$2:$H53,H53)=1,1,"")=1,SUMIF($H$2:$H$7997,H53,$S$2:$S$7997),"")</f>
        <v/>
      </c>
      <c r="W53">
        <v>0</v>
      </c>
      <c r="X53">
        <v>0</v>
      </c>
      <c r="Y53">
        <v>0</v>
      </c>
      <c r="Z53">
        <v>0</v>
      </c>
      <c r="AA53" s="2">
        <v>1</v>
      </c>
      <c r="AB53" s="2">
        <v>0</v>
      </c>
      <c r="AC53" s="2">
        <v>0</v>
      </c>
      <c r="AD53">
        <v>0</v>
      </c>
      <c r="AE53" t="s">
        <v>1864</v>
      </c>
      <c r="AF53">
        <v>26625</v>
      </c>
      <c r="AG53">
        <v>710000</v>
      </c>
      <c r="AH53">
        <v>106500</v>
      </c>
      <c r="AI53" s="1" t="s">
        <v>283</v>
      </c>
      <c r="AJ53">
        <v>268009</v>
      </c>
      <c r="AK53" s="1" t="s">
        <v>1867</v>
      </c>
      <c r="AL53" t="s">
        <v>1920</v>
      </c>
      <c r="AN53" t="s">
        <v>2041</v>
      </c>
      <c r="AO53" t="s">
        <v>2067</v>
      </c>
      <c r="AP53" t="s">
        <v>2109</v>
      </c>
      <c r="AQ53">
        <v>127039</v>
      </c>
      <c r="AR53" s="3">
        <v>46203</v>
      </c>
      <c r="AS53" s="3">
        <v>46184</v>
      </c>
      <c r="AT53" s="3">
        <v>46222</v>
      </c>
      <c r="AU53" t="s">
        <v>2129</v>
      </c>
      <c r="AW53" s="3">
        <v>46208.53701449134</v>
      </c>
    </row>
    <row r="54" spans="1:49" ht="16" hidden="1" x14ac:dyDescent="0.2">
      <c r="A54" t="s">
        <v>54</v>
      </c>
      <c r="B54">
        <v>11499</v>
      </c>
      <c r="C54">
        <v>2619</v>
      </c>
      <c r="D54" t="s">
        <v>117</v>
      </c>
      <c r="E54" t="s">
        <v>283</v>
      </c>
      <c r="F54">
        <v>268009</v>
      </c>
      <c r="G54" t="s">
        <v>518</v>
      </c>
      <c r="H54">
        <v>585846</v>
      </c>
      <c r="I54" t="s">
        <v>1029</v>
      </c>
      <c r="J54">
        <v>93722467</v>
      </c>
      <c r="K54" t="s">
        <v>1835</v>
      </c>
      <c r="L54" t="s">
        <v>1850</v>
      </c>
      <c r="M54" s="1">
        <v>25</v>
      </c>
      <c r="N54" t="s">
        <v>1853</v>
      </c>
      <c r="O54">
        <v>1171024</v>
      </c>
      <c r="P54" s="1">
        <v>28205.13</v>
      </c>
      <c r="S54" s="6" t="str">
        <f t="shared" si="0"/>
        <v xml:space="preserve"> </v>
      </c>
      <c r="T54" s="6">
        <f>IF(IF(COUNTIF(H$2:$H54,H54)=1,1,"")=1,SUMIF($H$2:$H$7997,H54,$S$2:$S$7997),"")</f>
        <v>0</v>
      </c>
      <c r="W54">
        <v>1063628</v>
      </c>
      <c r="X54">
        <v>1063628</v>
      </c>
      <c r="Y54">
        <v>1171024</v>
      </c>
      <c r="Z54">
        <v>1171024</v>
      </c>
      <c r="AA54" s="2">
        <v>1</v>
      </c>
      <c r="AB54" s="2">
        <v>1.100971608098674</v>
      </c>
      <c r="AC54" s="2">
        <v>0</v>
      </c>
      <c r="AD54">
        <v>0</v>
      </c>
      <c r="AE54" t="s">
        <v>1862</v>
      </c>
      <c r="AF54">
        <v>9850.9699999999993</v>
      </c>
      <c r="AG54">
        <v>1128205</v>
      </c>
      <c r="AH54">
        <v>28205.13</v>
      </c>
      <c r="AI54" s="1" t="s">
        <v>283</v>
      </c>
      <c r="AJ54">
        <v>93722464</v>
      </c>
      <c r="AK54" s="1" t="s">
        <v>1867</v>
      </c>
      <c r="AL54" t="s">
        <v>1920</v>
      </c>
      <c r="AN54" t="s">
        <v>2041</v>
      </c>
      <c r="AO54" t="s">
        <v>2067</v>
      </c>
      <c r="AP54" t="s">
        <v>2091</v>
      </c>
      <c r="AQ54">
        <v>127039</v>
      </c>
      <c r="AR54" s="3">
        <v>46203</v>
      </c>
      <c r="AS54" s="3">
        <v>46184</v>
      </c>
      <c r="AT54" s="3">
        <v>46222</v>
      </c>
      <c r="AU54" t="s">
        <v>2123</v>
      </c>
      <c r="AW54" s="3">
        <v>46208.53701449134</v>
      </c>
    </row>
    <row r="55" spans="1:49" ht="16" hidden="1" x14ac:dyDescent="0.2">
      <c r="A55" t="s">
        <v>54</v>
      </c>
      <c r="B55">
        <v>11499</v>
      </c>
      <c r="C55">
        <v>2619</v>
      </c>
      <c r="D55" t="s">
        <v>117</v>
      </c>
      <c r="E55" t="s">
        <v>283</v>
      </c>
      <c r="F55">
        <v>268009</v>
      </c>
      <c r="G55" t="s">
        <v>520</v>
      </c>
      <c r="H55">
        <v>585848</v>
      </c>
      <c r="I55" t="s">
        <v>1032</v>
      </c>
      <c r="J55">
        <v>93722488</v>
      </c>
      <c r="K55" t="s">
        <v>1839</v>
      </c>
      <c r="L55" t="s">
        <v>1850</v>
      </c>
      <c r="M55" s="1">
        <v>23</v>
      </c>
      <c r="N55" t="s">
        <v>1855</v>
      </c>
      <c r="O55">
        <v>1820730</v>
      </c>
      <c r="P55" s="1">
        <v>40692.5</v>
      </c>
      <c r="S55" s="6" t="str">
        <f t="shared" si="0"/>
        <v xml:space="preserve"> </v>
      </c>
      <c r="T55" s="6">
        <f>IF(IF(COUNTIF(H$2:$H55,H55)=1,1,"")=1,SUMIF($H$2:$H$7997,H55,$S$2:$S$7997),"")</f>
        <v>0</v>
      </c>
      <c r="W55">
        <v>1820730</v>
      </c>
      <c r="X55">
        <v>1820730</v>
      </c>
      <c r="Y55">
        <v>0</v>
      </c>
      <c r="Z55">
        <v>0</v>
      </c>
      <c r="AA55" s="2">
        <v>1</v>
      </c>
      <c r="AB55" s="2">
        <v>0</v>
      </c>
      <c r="AC55" s="2">
        <v>0</v>
      </c>
      <c r="AD55">
        <v>0</v>
      </c>
      <c r="AE55" t="s">
        <v>1862</v>
      </c>
      <c r="AF55">
        <v>14150.64</v>
      </c>
      <c r="AG55">
        <v>1769239</v>
      </c>
      <c r="AH55">
        <v>40692.5</v>
      </c>
      <c r="AI55" s="1" t="s">
        <v>283</v>
      </c>
      <c r="AJ55">
        <v>93722464</v>
      </c>
      <c r="AK55" s="1" t="s">
        <v>1868</v>
      </c>
      <c r="AL55" t="s">
        <v>1920</v>
      </c>
      <c r="AN55" t="s">
        <v>2041</v>
      </c>
      <c r="AO55" t="s">
        <v>2067</v>
      </c>
      <c r="AP55" t="s">
        <v>2093</v>
      </c>
      <c r="AQ55">
        <v>127039</v>
      </c>
      <c r="AR55" s="3">
        <v>46203</v>
      </c>
      <c r="AS55" s="3">
        <v>46184</v>
      </c>
      <c r="AT55" s="3">
        <v>46222</v>
      </c>
      <c r="AU55" t="s">
        <v>2124</v>
      </c>
      <c r="AW55" s="3">
        <v>46208.53701449134</v>
      </c>
    </row>
    <row r="56" spans="1:49" ht="16" hidden="1" x14ac:dyDescent="0.2">
      <c r="A56" t="s">
        <v>54</v>
      </c>
      <c r="B56">
        <v>11499</v>
      </c>
      <c r="C56">
        <v>2619</v>
      </c>
      <c r="D56" t="s">
        <v>117</v>
      </c>
      <c r="E56" t="s">
        <v>283</v>
      </c>
      <c r="F56">
        <v>268009</v>
      </c>
      <c r="G56" t="s">
        <v>520</v>
      </c>
      <c r="H56">
        <v>585848</v>
      </c>
      <c r="I56" t="s">
        <v>1031</v>
      </c>
      <c r="J56">
        <v>93722480</v>
      </c>
      <c r="K56" t="s">
        <v>1840</v>
      </c>
      <c r="L56" t="s">
        <v>1850</v>
      </c>
      <c r="M56" s="1">
        <v>23</v>
      </c>
      <c r="N56" t="s">
        <v>1855</v>
      </c>
      <c r="O56">
        <v>4244625</v>
      </c>
      <c r="P56" s="1">
        <v>94948.72</v>
      </c>
      <c r="S56" s="6" t="str">
        <f t="shared" si="0"/>
        <v xml:space="preserve"> </v>
      </c>
      <c r="T56" s="6" t="str">
        <f>IF(IF(COUNTIF(H$2:$H56,H56)=1,1,"")=1,SUMIF($H$2:$H$7997,H56,$S$2:$S$7997),"")</f>
        <v/>
      </c>
      <c r="W56">
        <v>4244625</v>
      </c>
      <c r="X56">
        <v>4244625</v>
      </c>
      <c r="Y56">
        <v>0</v>
      </c>
      <c r="Z56">
        <v>0</v>
      </c>
      <c r="AA56" s="2">
        <v>1</v>
      </c>
      <c r="AB56" s="2">
        <v>0</v>
      </c>
      <c r="AC56" s="2">
        <v>0</v>
      </c>
      <c r="AD56">
        <v>0</v>
      </c>
      <c r="AE56" t="s">
        <v>1862</v>
      </c>
      <c r="AF56">
        <v>33018.01</v>
      </c>
      <c r="AG56">
        <v>4128205</v>
      </c>
      <c r="AH56">
        <v>94948.72</v>
      </c>
      <c r="AI56" s="1" t="s">
        <v>283</v>
      </c>
      <c r="AJ56">
        <v>93722464</v>
      </c>
      <c r="AK56" s="1" t="s">
        <v>1868</v>
      </c>
      <c r="AL56" t="s">
        <v>1920</v>
      </c>
      <c r="AN56" t="s">
        <v>2041</v>
      </c>
      <c r="AO56" t="s">
        <v>2067</v>
      </c>
      <c r="AP56" t="s">
        <v>2083</v>
      </c>
      <c r="AQ56">
        <v>127039</v>
      </c>
      <c r="AR56" s="3">
        <v>46203</v>
      </c>
      <c r="AS56" s="3">
        <v>46184</v>
      </c>
      <c r="AT56" s="3">
        <v>46222</v>
      </c>
      <c r="AU56" t="s">
        <v>2123</v>
      </c>
      <c r="AW56" s="3">
        <v>46208.53701449134</v>
      </c>
    </row>
    <row r="57" spans="1:49" ht="16" hidden="1" x14ac:dyDescent="0.2">
      <c r="A57" t="s">
        <v>54</v>
      </c>
      <c r="B57">
        <v>11499</v>
      </c>
      <c r="C57">
        <v>2619</v>
      </c>
      <c r="D57" t="s">
        <v>117</v>
      </c>
      <c r="E57" t="s">
        <v>231</v>
      </c>
      <c r="F57">
        <v>252314</v>
      </c>
      <c r="G57" t="s">
        <v>442</v>
      </c>
      <c r="H57">
        <v>537026</v>
      </c>
      <c r="I57" t="s">
        <v>927</v>
      </c>
      <c r="J57">
        <v>88777089</v>
      </c>
      <c r="K57" t="s">
        <v>1836</v>
      </c>
      <c r="L57" t="s">
        <v>1850</v>
      </c>
      <c r="M57" s="1">
        <v>33.57</v>
      </c>
      <c r="N57" t="s">
        <v>1853</v>
      </c>
      <c r="O57">
        <v>0</v>
      </c>
      <c r="P57" s="1">
        <v>0</v>
      </c>
      <c r="S57" s="6" t="str">
        <f t="shared" si="0"/>
        <v xml:space="preserve"> </v>
      </c>
      <c r="T57" s="6">
        <f>IF(IF(COUNTIF(H$2:$H57,H57)=1,1,"")=1,SUMIF($H$2:$H$7997,H57,$S$2:$S$7997),"")</f>
        <v>0</v>
      </c>
      <c r="V57" t="s">
        <v>1861</v>
      </c>
      <c r="W57">
        <v>0</v>
      </c>
      <c r="X57">
        <v>0</v>
      </c>
      <c r="Y57">
        <v>0</v>
      </c>
      <c r="Z57">
        <v>0</v>
      </c>
      <c r="AA57" s="2">
        <v>1</v>
      </c>
      <c r="AB57" s="2">
        <v>0</v>
      </c>
      <c r="AC57" s="2">
        <v>0</v>
      </c>
      <c r="AD57">
        <v>0</v>
      </c>
      <c r="AE57" t="s">
        <v>1862</v>
      </c>
      <c r="AF57">
        <v>0</v>
      </c>
      <c r="AG57">
        <v>7447126</v>
      </c>
      <c r="AH57">
        <v>250000.02</v>
      </c>
      <c r="AI57" s="1" t="s">
        <v>231</v>
      </c>
      <c r="AJ57">
        <v>252314</v>
      </c>
      <c r="AK57" s="1" t="s">
        <v>1869</v>
      </c>
      <c r="AL57" t="s">
        <v>1877</v>
      </c>
      <c r="AN57" t="s">
        <v>2045</v>
      </c>
      <c r="AO57" t="s">
        <v>2067</v>
      </c>
      <c r="AP57" t="s">
        <v>2072</v>
      </c>
      <c r="AQ57">
        <v>96341</v>
      </c>
      <c r="AR57" s="3">
        <v>46203</v>
      </c>
      <c r="AS57" s="3">
        <v>46202</v>
      </c>
      <c r="AT57" s="3">
        <v>46292</v>
      </c>
      <c r="AU57" t="s">
        <v>2124</v>
      </c>
      <c r="AW57" s="3">
        <v>46208.53701449134</v>
      </c>
    </row>
    <row r="58" spans="1:49" ht="16" hidden="1" x14ac:dyDescent="0.2">
      <c r="A58" t="s">
        <v>54</v>
      </c>
      <c r="B58">
        <v>11499</v>
      </c>
      <c r="C58">
        <v>889</v>
      </c>
      <c r="D58" t="s">
        <v>218</v>
      </c>
      <c r="E58" t="s">
        <v>421</v>
      </c>
      <c r="F58">
        <v>260564</v>
      </c>
      <c r="G58" t="s">
        <v>827</v>
      </c>
      <c r="H58">
        <v>558520</v>
      </c>
      <c r="I58" t="s">
        <v>1629</v>
      </c>
      <c r="J58">
        <v>558521</v>
      </c>
      <c r="K58" t="s">
        <v>1846</v>
      </c>
      <c r="L58" t="s">
        <v>1851</v>
      </c>
      <c r="M58" s="1">
        <v>1000000</v>
      </c>
      <c r="N58" t="s">
        <v>1858</v>
      </c>
      <c r="O58">
        <v>0</v>
      </c>
      <c r="P58" s="1">
        <v>265486.73</v>
      </c>
      <c r="S58" s="6" t="str">
        <f t="shared" si="0"/>
        <v xml:space="preserve"> </v>
      </c>
      <c r="T58" s="6">
        <f>IF(IF(COUNTIF(H$2:$H58,H58)=1,1,"")=1,SUMIF($H$2:$H$7997,H58,$S$2:$S$7997),"")</f>
        <v>0</v>
      </c>
      <c r="V58" t="s">
        <v>1860</v>
      </c>
      <c r="W58">
        <v>0</v>
      </c>
      <c r="X58">
        <v>0</v>
      </c>
      <c r="Y58">
        <v>0</v>
      </c>
      <c r="Z58">
        <v>0</v>
      </c>
      <c r="AA58" s="2">
        <v>1</v>
      </c>
      <c r="AB58" s="2">
        <v>0</v>
      </c>
      <c r="AC58" s="2">
        <v>0</v>
      </c>
      <c r="AD58">
        <v>0</v>
      </c>
      <c r="AE58" t="s">
        <v>1863</v>
      </c>
      <c r="AF58">
        <v>265486.73</v>
      </c>
      <c r="AG58">
        <v>1</v>
      </c>
      <c r="AH58">
        <v>1000000</v>
      </c>
      <c r="AI58" s="1" t="s">
        <v>421</v>
      </c>
      <c r="AJ58">
        <v>260564</v>
      </c>
      <c r="AK58" s="1" t="s">
        <v>1867</v>
      </c>
      <c r="AL58">
        <v>1</v>
      </c>
      <c r="AN58" t="s">
        <v>2041</v>
      </c>
      <c r="AO58" t="s">
        <v>2067</v>
      </c>
      <c r="AP58" t="s">
        <v>2110</v>
      </c>
      <c r="AQ58">
        <v>109945</v>
      </c>
      <c r="AR58" s="3">
        <v>46203</v>
      </c>
      <c r="AS58" s="3">
        <v>46082</v>
      </c>
      <c r="AT58" s="3">
        <v>46225</v>
      </c>
      <c r="AU58" t="s">
        <v>2128</v>
      </c>
      <c r="AW58" s="3">
        <v>46208.53701449134</v>
      </c>
    </row>
    <row r="59" spans="1:49" ht="16" hidden="1" x14ac:dyDescent="0.2">
      <c r="A59" t="s">
        <v>54</v>
      </c>
      <c r="B59">
        <v>11499</v>
      </c>
      <c r="C59">
        <v>889</v>
      </c>
      <c r="D59" t="s">
        <v>218</v>
      </c>
      <c r="E59" t="s">
        <v>421</v>
      </c>
      <c r="F59">
        <v>260564</v>
      </c>
      <c r="G59" t="s">
        <v>827</v>
      </c>
      <c r="H59">
        <v>558520</v>
      </c>
      <c r="I59" t="s">
        <v>1622</v>
      </c>
      <c r="J59">
        <v>558524</v>
      </c>
      <c r="K59" t="s">
        <v>1844</v>
      </c>
      <c r="L59" t="s">
        <v>1851</v>
      </c>
      <c r="M59" s="1">
        <v>1000000</v>
      </c>
      <c r="N59" t="s">
        <v>1858</v>
      </c>
      <c r="O59">
        <v>0</v>
      </c>
      <c r="P59" s="1">
        <v>265486.73</v>
      </c>
      <c r="S59" s="6" t="str">
        <f t="shared" si="0"/>
        <v xml:space="preserve"> </v>
      </c>
      <c r="T59" s="6" t="str">
        <f>IF(IF(COUNTIF(H$2:$H59,H59)=1,1,"")=1,SUMIF($H$2:$H$7997,H59,$S$2:$S$7997),"")</f>
        <v/>
      </c>
      <c r="W59">
        <v>0</v>
      </c>
      <c r="X59">
        <v>0</v>
      </c>
      <c r="Y59">
        <v>0</v>
      </c>
      <c r="Z59">
        <v>0</v>
      </c>
      <c r="AA59" s="2">
        <v>1</v>
      </c>
      <c r="AB59" s="2">
        <v>0</v>
      </c>
      <c r="AC59" s="2">
        <v>0</v>
      </c>
      <c r="AD59">
        <v>0</v>
      </c>
      <c r="AE59" t="s">
        <v>1863</v>
      </c>
      <c r="AF59">
        <v>265486.73</v>
      </c>
      <c r="AG59">
        <v>1</v>
      </c>
      <c r="AH59">
        <v>1000000</v>
      </c>
      <c r="AI59" s="1" t="s">
        <v>421</v>
      </c>
      <c r="AJ59">
        <v>260564</v>
      </c>
      <c r="AK59" s="1" t="s">
        <v>1867</v>
      </c>
      <c r="AL59">
        <v>1</v>
      </c>
      <c r="AN59" t="s">
        <v>2041</v>
      </c>
      <c r="AO59" t="s">
        <v>2067</v>
      </c>
      <c r="AP59" t="s">
        <v>2107</v>
      </c>
      <c r="AQ59">
        <v>109945</v>
      </c>
      <c r="AR59" s="3">
        <v>46203</v>
      </c>
      <c r="AS59" s="3">
        <v>46082</v>
      </c>
      <c r="AT59" s="3">
        <v>46225</v>
      </c>
      <c r="AU59" t="s">
        <v>2127</v>
      </c>
      <c r="AW59" s="3">
        <v>46208.53701449134</v>
      </c>
    </row>
    <row r="60" spans="1:49" ht="16" hidden="1" x14ac:dyDescent="0.2">
      <c r="A60" t="s">
        <v>54</v>
      </c>
      <c r="B60">
        <v>11499</v>
      </c>
      <c r="C60">
        <v>889</v>
      </c>
      <c r="D60" t="s">
        <v>218</v>
      </c>
      <c r="E60" t="s">
        <v>421</v>
      </c>
      <c r="F60">
        <v>260564</v>
      </c>
      <c r="G60" t="s">
        <v>827</v>
      </c>
      <c r="H60">
        <v>558520</v>
      </c>
      <c r="I60" t="s">
        <v>1806</v>
      </c>
      <c r="J60">
        <v>558522</v>
      </c>
      <c r="K60" t="s">
        <v>1847</v>
      </c>
      <c r="L60" t="s">
        <v>1851</v>
      </c>
      <c r="M60" s="1">
        <v>1000000</v>
      </c>
      <c r="N60" t="s">
        <v>1858</v>
      </c>
      <c r="O60">
        <v>0</v>
      </c>
      <c r="P60" s="1">
        <v>265486.73</v>
      </c>
      <c r="S60" s="6" t="str">
        <f t="shared" si="0"/>
        <v xml:space="preserve"> </v>
      </c>
      <c r="T60" s="6" t="str">
        <f>IF(IF(COUNTIF(H$2:$H60,H60)=1,1,"")=1,SUMIF($H$2:$H$7997,H60,$S$2:$S$7997),"")</f>
        <v/>
      </c>
      <c r="W60">
        <v>0</v>
      </c>
      <c r="X60">
        <v>0</v>
      </c>
      <c r="Y60">
        <v>0</v>
      </c>
      <c r="Z60">
        <v>0</v>
      </c>
      <c r="AA60" s="2">
        <v>1</v>
      </c>
      <c r="AB60" s="2">
        <v>0</v>
      </c>
      <c r="AC60" s="2">
        <v>0</v>
      </c>
      <c r="AD60">
        <v>0</v>
      </c>
      <c r="AE60" t="s">
        <v>1863</v>
      </c>
      <c r="AF60">
        <v>265486.73</v>
      </c>
      <c r="AG60">
        <v>1</v>
      </c>
      <c r="AH60">
        <v>1000000</v>
      </c>
      <c r="AI60" s="1" t="s">
        <v>421</v>
      </c>
      <c r="AJ60">
        <v>260564</v>
      </c>
      <c r="AK60" s="1" t="s">
        <v>1867</v>
      </c>
      <c r="AL60">
        <v>1</v>
      </c>
      <c r="AN60" t="s">
        <v>2041</v>
      </c>
      <c r="AO60" t="s">
        <v>2067</v>
      </c>
      <c r="AP60" t="s">
        <v>2112</v>
      </c>
      <c r="AQ60">
        <v>109945</v>
      </c>
      <c r="AR60" s="3">
        <v>46203</v>
      </c>
      <c r="AS60" s="3">
        <v>46082</v>
      </c>
      <c r="AT60" s="3">
        <v>46225</v>
      </c>
      <c r="AU60" t="s">
        <v>2130</v>
      </c>
      <c r="AW60" s="3">
        <v>46208.53701449134</v>
      </c>
    </row>
    <row r="61" spans="1:49" ht="16" hidden="1" x14ac:dyDescent="0.2">
      <c r="A61" t="s">
        <v>54</v>
      </c>
      <c r="B61">
        <v>11499</v>
      </c>
      <c r="C61">
        <v>889</v>
      </c>
      <c r="D61" t="s">
        <v>218</v>
      </c>
      <c r="E61" t="s">
        <v>421</v>
      </c>
      <c r="F61">
        <v>260564</v>
      </c>
      <c r="G61" t="s">
        <v>827</v>
      </c>
      <c r="H61">
        <v>558520</v>
      </c>
      <c r="I61" t="s">
        <v>1743</v>
      </c>
      <c r="J61">
        <v>558523</v>
      </c>
      <c r="K61" t="s">
        <v>1835</v>
      </c>
      <c r="L61" t="s">
        <v>1851</v>
      </c>
      <c r="M61" s="1">
        <v>1000000</v>
      </c>
      <c r="N61" t="s">
        <v>1858</v>
      </c>
      <c r="O61">
        <v>0</v>
      </c>
      <c r="P61" s="1">
        <v>265486.73</v>
      </c>
      <c r="S61" s="6" t="str">
        <f t="shared" si="0"/>
        <v xml:space="preserve"> </v>
      </c>
      <c r="T61" s="6" t="str">
        <f>IF(IF(COUNTIF(H$2:$H61,H61)=1,1,"")=1,SUMIF($H$2:$H$7997,H61,$S$2:$S$7997),"")</f>
        <v/>
      </c>
      <c r="W61">
        <v>0</v>
      </c>
      <c r="X61">
        <v>0</v>
      </c>
      <c r="Y61">
        <v>0</v>
      </c>
      <c r="Z61">
        <v>0</v>
      </c>
      <c r="AA61" s="2">
        <v>1</v>
      </c>
      <c r="AB61" s="2">
        <v>0</v>
      </c>
      <c r="AC61" s="2">
        <v>0</v>
      </c>
      <c r="AD61">
        <v>0</v>
      </c>
      <c r="AE61" t="s">
        <v>1863</v>
      </c>
      <c r="AF61">
        <v>265486.73</v>
      </c>
      <c r="AG61">
        <v>1</v>
      </c>
      <c r="AH61">
        <v>1000000</v>
      </c>
      <c r="AI61" s="1" t="s">
        <v>421</v>
      </c>
      <c r="AJ61">
        <v>260564</v>
      </c>
      <c r="AK61" s="1" t="s">
        <v>1867</v>
      </c>
      <c r="AL61">
        <v>1</v>
      </c>
      <c r="AN61" t="s">
        <v>2041</v>
      </c>
      <c r="AO61" t="s">
        <v>2067</v>
      </c>
      <c r="AP61" t="s">
        <v>2109</v>
      </c>
      <c r="AQ61">
        <v>109945</v>
      </c>
      <c r="AR61" s="3">
        <v>46203</v>
      </c>
      <c r="AS61" s="3">
        <v>46082</v>
      </c>
      <c r="AT61" s="3">
        <v>46225</v>
      </c>
      <c r="AU61" t="s">
        <v>2129</v>
      </c>
      <c r="AW61" s="3">
        <v>46208.53701449134</v>
      </c>
    </row>
    <row r="62" spans="1:49" ht="16" hidden="1" x14ac:dyDescent="0.2">
      <c r="A62" t="s">
        <v>74</v>
      </c>
      <c r="B62">
        <v>10993</v>
      </c>
      <c r="C62">
        <v>8984</v>
      </c>
      <c r="D62" t="s">
        <v>213</v>
      </c>
      <c r="E62" t="s">
        <v>402</v>
      </c>
      <c r="F62">
        <v>271227</v>
      </c>
      <c r="G62" t="s">
        <v>745</v>
      </c>
      <c r="H62">
        <v>593675</v>
      </c>
      <c r="I62" t="s">
        <v>1446</v>
      </c>
      <c r="J62">
        <v>94781419</v>
      </c>
      <c r="K62" t="s">
        <v>1840</v>
      </c>
      <c r="L62" t="s">
        <v>1850</v>
      </c>
      <c r="M62" s="1">
        <v>17.350000000000001</v>
      </c>
      <c r="N62" t="s">
        <v>1855</v>
      </c>
      <c r="O62">
        <v>811249</v>
      </c>
      <c r="P62" s="1">
        <v>0</v>
      </c>
      <c r="S62" s="6" t="str">
        <f t="shared" si="0"/>
        <v xml:space="preserve"> </v>
      </c>
      <c r="T62" s="6">
        <f>IF(IF(COUNTIF(H$2:$H62,H62)=1,1,"")=1,SUMIF($H$2:$H$7997,H62,$S$2:$S$7997),"")</f>
        <v>0</v>
      </c>
      <c r="W62">
        <v>811249</v>
      </c>
      <c r="X62">
        <v>811249</v>
      </c>
      <c r="Y62">
        <v>0</v>
      </c>
      <c r="Z62">
        <v>0</v>
      </c>
      <c r="AA62" s="2">
        <v>1</v>
      </c>
      <c r="AB62" s="2">
        <v>0</v>
      </c>
      <c r="AC62" s="2">
        <v>0</v>
      </c>
      <c r="AD62">
        <v>0</v>
      </c>
      <c r="AE62" t="s">
        <v>1862</v>
      </c>
      <c r="AF62">
        <v>0</v>
      </c>
      <c r="AG62">
        <v>3370816</v>
      </c>
      <c r="AH62">
        <v>0</v>
      </c>
      <c r="AI62" s="1" t="s">
        <v>402</v>
      </c>
      <c r="AJ62">
        <v>94777313</v>
      </c>
      <c r="AK62" s="1" t="s">
        <v>1868</v>
      </c>
      <c r="AL62" t="s">
        <v>2010</v>
      </c>
      <c r="AN62" t="s">
        <v>2045</v>
      </c>
      <c r="AO62" t="s">
        <v>2067</v>
      </c>
      <c r="AP62" t="s">
        <v>2083</v>
      </c>
      <c r="AQ62">
        <v>131313</v>
      </c>
      <c r="AR62" s="3">
        <v>46203</v>
      </c>
      <c r="AS62" s="3">
        <v>46188</v>
      </c>
      <c r="AT62" s="3">
        <v>46222</v>
      </c>
      <c r="AU62" t="s">
        <v>2123</v>
      </c>
      <c r="AW62" s="3">
        <v>46208.53701449134</v>
      </c>
    </row>
    <row r="63" spans="1:49" ht="16" hidden="1" x14ac:dyDescent="0.2">
      <c r="A63" t="s">
        <v>74</v>
      </c>
      <c r="B63">
        <v>10993</v>
      </c>
      <c r="C63">
        <v>5032</v>
      </c>
      <c r="D63" t="s">
        <v>138</v>
      </c>
      <c r="E63" t="s">
        <v>266</v>
      </c>
      <c r="F63">
        <v>267640</v>
      </c>
      <c r="G63" t="s">
        <v>495</v>
      </c>
      <c r="H63">
        <v>584536</v>
      </c>
      <c r="I63" t="s">
        <v>992</v>
      </c>
      <c r="J63">
        <v>93472729</v>
      </c>
      <c r="K63" t="s">
        <v>1835</v>
      </c>
      <c r="L63" t="s">
        <v>1850</v>
      </c>
      <c r="M63" s="1">
        <v>21.5</v>
      </c>
      <c r="N63" t="s">
        <v>1853</v>
      </c>
      <c r="O63">
        <v>466856</v>
      </c>
      <c r="P63" s="1">
        <v>10037.4</v>
      </c>
      <c r="S63" s="6" t="str">
        <f t="shared" si="0"/>
        <v xml:space="preserve"> </v>
      </c>
      <c r="T63" s="6">
        <f>IF(IF(COUNTIF(H$2:$H63,H63)=1,1,"")=1,SUMIF($H$2:$H$7997,H63,$S$2:$S$7997),"")</f>
        <v>0</v>
      </c>
      <c r="W63">
        <v>244806</v>
      </c>
      <c r="X63">
        <v>399097</v>
      </c>
      <c r="Y63">
        <v>286369</v>
      </c>
      <c r="Z63">
        <v>466856</v>
      </c>
      <c r="AA63" s="2">
        <v>1</v>
      </c>
      <c r="AB63" s="2">
        <v>1.169781613790065</v>
      </c>
      <c r="AC63" s="2">
        <v>0</v>
      </c>
      <c r="AD63">
        <v>0</v>
      </c>
      <c r="AE63" t="s">
        <v>1862</v>
      </c>
      <c r="AF63">
        <v>3604.4</v>
      </c>
      <c r="AG63">
        <v>1234432</v>
      </c>
      <c r="AH63">
        <v>26540.29</v>
      </c>
      <c r="AI63" s="1" t="s">
        <v>266</v>
      </c>
      <c r="AJ63">
        <v>93472719</v>
      </c>
      <c r="AK63" s="1" t="s">
        <v>1867</v>
      </c>
      <c r="AL63" t="s">
        <v>1904</v>
      </c>
      <c r="AN63" t="s">
        <v>2043</v>
      </c>
      <c r="AO63" t="s">
        <v>2067</v>
      </c>
      <c r="AP63" t="s">
        <v>2091</v>
      </c>
      <c r="AQ63">
        <v>126158</v>
      </c>
      <c r="AR63" s="3">
        <v>46203</v>
      </c>
      <c r="AS63" s="3">
        <v>46132</v>
      </c>
      <c r="AT63" s="3">
        <v>46203</v>
      </c>
      <c r="AU63" t="s">
        <v>2123</v>
      </c>
      <c r="AW63" s="3">
        <v>46208.53701449134</v>
      </c>
    </row>
    <row r="64" spans="1:49" ht="16" hidden="1" x14ac:dyDescent="0.2">
      <c r="A64" t="s">
        <v>74</v>
      </c>
      <c r="B64">
        <v>10993</v>
      </c>
      <c r="C64">
        <v>5032</v>
      </c>
      <c r="D64" t="s">
        <v>138</v>
      </c>
      <c r="E64" t="s">
        <v>382</v>
      </c>
      <c r="F64">
        <v>270359</v>
      </c>
      <c r="G64" t="s">
        <v>706</v>
      </c>
      <c r="H64">
        <v>591380</v>
      </c>
      <c r="I64" t="s">
        <v>1369</v>
      </c>
      <c r="J64">
        <v>94461204</v>
      </c>
      <c r="K64" t="s">
        <v>1839</v>
      </c>
      <c r="L64" t="s">
        <v>1850</v>
      </c>
      <c r="M64" s="1">
        <v>44</v>
      </c>
      <c r="N64" t="s">
        <v>23</v>
      </c>
      <c r="O64">
        <v>2453680</v>
      </c>
      <c r="P64" s="1">
        <v>105000.02</v>
      </c>
      <c r="S64" s="6" t="str">
        <f t="shared" si="0"/>
        <v xml:space="preserve"> </v>
      </c>
      <c r="T64" s="6">
        <f>IF(IF(COUNTIF(H$2:$H64,H64)=1,1,"")=1,SUMIF($H$2:$H$7997,H64,$S$2:$S$7997),"")</f>
        <v>0</v>
      </c>
      <c r="W64">
        <v>2453680</v>
      </c>
      <c r="X64">
        <v>2453680</v>
      </c>
      <c r="Y64">
        <v>0</v>
      </c>
      <c r="Z64">
        <v>0</v>
      </c>
      <c r="AA64" s="2">
        <v>1</v>
      </c>
      <c r="AB64" s="2">
        <v>0</v>
      </c>
      <c r="AC64" s="2">
        <v>0</v>
      </c>
      <c r="AD64">
        <v>0</v>
      </c>
      <c r="AE64" t="s">
        <v>1862</v>
      </c>
      <c r="AF64">
        <v>52500.01</v>
      </c>
      <c r="AG64">
        <v>2386364</v>
      </c>
      <c r="AH64">
        <v>105000.02</v>
      </c>
      <c r="AI64" s="1" t="s">
        <v>382</v>
      </c>
      <c r="AJ64">
        <v>94461190</v>
      </c>
      <c r="AK64" s="1" t="s">
        <v>1867</v>
      </c>
      <c r="AL64" t="s">
        <v>1997</v>
      </c>
      <c r="AN64" t="s">
        <v>2043</v>
      </c>
      <c r="AO64" t="s">
        <v>2067</v>
      </c>
      <c r="AP64" t="s">
        <v>2094</v>
      </c>
      <c r="AQ64">
        <v>130320</v>
      </c>
      <c r="AR64" s="3">
        <v>46203</v>
      </c>
      <c r="AS64" s="3">
        <v>46178</v>
      </c>
      <c r="AT64" s="3">
        <v>46203</v>
      </c>
      <c r="AU64" t="s">
        <v>2124</v>
      </c>
      <c r="AW64" s="3">
        <v>46208.53701449134</v>
      </c>
    </row>
    <row r="65" spans="1:49" ht="16" hidden="1" x14ac:dyDescent="0.2">
      <c r="A65" t="s">
        <v>74</v>
      </c>
      <c r="B65">
        <v>10993</v>
      </c>
      <c r="C65">
        <v>5032</v>
      </c>
      <c r="D65" t="s">
        <v>138</v>
      </c>
      <c r="E65" t="s">
        <v>382</v>
      </c>
      <c r="F65">
        <v>270359</v>
      </c>
      <c r="G65" t="s">
        <v>706</v>
      </c>
      <c r="H65">
        <v>591380</v>
      </c>
      <c r="I65" t="s">
        <v>1366</v>
      </c>
      <c r="J65">
        <v>94461193</v>
      </c>
      <c r="K65" t="s">
        <v>1835</v>
      </c>
      <c r="L65" t="s">
        <v>1850</v>
      </c>
      <c r="M65" s="1">
        <v>44</v>
      </c>
      <c r="N65" t="s">
        <v>23</v>
      </c>
      <c r="O65">
        <v>1052146</v>
      </c>
      <c r="P65" s="1">
        <v>44999.99</v>
      </c>
      <c r="S65" s="6" t="str">
        <f t="shared" si="0"/>
        <v xml:space="preserve"> </v>
      </c>
      <c r="T65" s="6" t="str">
        <f>IF(IF(COUNTIF(H$2:$H65,H65)=1,1,"")=1,SUMIF($H$2:$H$7997,H65,$S$2:$S$7997),"")</f>
        <v/>
      </c>
      <c r="W65">
        <v>1052146</v>
      </c>
      <c r="X65">
        <v>1052146</v>
      </c>
      <c r="Y65">
        <v>0</v>
      </c>
      <c r="Z65">
        <v>0</v>
      </c>
      <c r="AA65" s="2">
        <v>1</v>
      </c>
      <c r="AB65" s="2">
        <v>0</v>
      </c>
      <c r="AC65" s="2">
        <v>0</v>
      </c>
      <c r="AD65">
        <v>0</v>
      </c>
      <c r="AE65" t="s">
        <v>1862</v>
      </c>
      <c r="AF65">
        <v>22500</v>
      </c>
      <c r="AG65">
        <v>1022727</v>
      </c>
      <c r="AH65">
        <v>44999.99</v>
      </c>
      <c r="AI65" s="1" t="s">
        <v>382</v>
      </c>
      <c r="AJ65">
        <v>94461190</v>
      </c>
      <c r="AK65" s="1" t="s">
        <v>1867</v>
      </c>
      <c r="AL65" t="s">
        <v>1997</v>
      </c>
      <c r="AN65" t="s">
        <v>2043</v>
      </c>
      <c r="AO65" t="s">
        <v>2067</v>
      </c>
      <c r="AP65" t="s">
        <v>2092</v>
      </c>
      <c r="AQ65">
        <v>130320</v>
      </c>
      <c r="AR65" s="3">
        <v>46203</v>
      </c>
      <c r="AS65" s="3">
        <v>46178</v>
      </c>
      <c r="AT65" s="3">
        <v>46203</v>
      </c>
      <c r="AU65" t="s">
        <v>2123</v>
      </c>
      <c r="AW65" s="3">
        <v>46208.53701449134</v>
      </c>
    </row>
    <row r="66" spans="1:49" ht="16" hidden="1" x14ac:dyDescent="0.2">
      <c r="A66" t="s">
        <v>74</v>
      </c>
      <c r="B66">
        <v>10993</v>
      </c>
      <c r="C66">
        <v>5032</v>
      </c>
      <c r="D66" t="s">
        <v>138</v>
      </c>
      <c r="E66" t="s">
        <v>382</v>
      </c>
      <c r="F66">
        <v>270359</v>
      </c>
      <c r="G66" t="s">
        <v>707</v>
      </c>
      <c r="H66">
        <v>591381</v>
      </c>
      <c r="I66" t="s">
        <v>1367</v>
      </c>
      <c r="J66">
        <v>94461197</v>
      </c>
      <c r="K66" t="s">
        <v>1839</v>
      </c>
      <c r="L66" t="s">
        <v>1850</v>
      </c>
      <c r="M66" s="1">
        <v>20</v>
      </c>
      <c r="N66" t="s">
        <v>1855</v>
      </c>
      <c r="O66">
        <v>2316225</v>
      </c>
      <c r="P66" s="1">
        <v>45000</v>
      </c>
      <c r="S66" s="6" t="str">
        <f t="shared" si="0"/>
        <v xml:space="preserve"> </v>
      </c>
      <c r="T66" s="6">
        <f>IF(IF(COUNTIF(H$2:$H66,H66)=1,1,"")=1,SUMIF($H$2:$H$7997,H66,$S$2:$S$7997),"")</f>
        <v>0</v>
      </c>
      <c r="W66">
        <v>2316225</v>
      </c>
      <c r="X66">
        <v>2316225</v>
      </c>
      <c r="Y66">
        <v>0</v>
      </c>
      <c r="Z66">
        <v>0</v>
      </c>
      <c r="AA66" s="2">
        <v>1</v>
      </c>
      <c r="AB66" s="2">
        <v>0</v>
      </c>
      <c r="AC66" s="2">
        <v>0</v>
      </c>
      <c r="AD66">
        <v>0</v>
      </c>
      <c r="AE66" t="s">
        <v>1862</v>
      </c>
      <c r="AF66">
        <v>22500</v>
      </c>
      <c r="AG66">
        <v>2250000</v>
      </c>
      <c r="AH66">
        <v>45000</v>
      </c>
      <c r="AI66" s="1" t="s">
        <v>382</v>
      </c>
      <c r="AJ66">
        <v>94461190</v>
      </c>
      <c r="AK66" s="1" t="s">
        <v>1868</v>
      </c>
      <c r="AL66" t="s">
        <v>1997</v>
      </c>
      <c r="AN66" t="s">
        <v>2043</v>
      </c>
      <c r="AO66" t="s">
        <v>2067</v>
      </c>
      <c r="AP66" t="s">
        <v>2093</v>
      </c>
      <c r="AQ66">
        <v>130320</v>
      </c>
      <c r="AR66" s="3">
        <v>46203</v>
      </c>
      <c r="AS66" s="3">
        <v>46178</v>
      </c>
      <c r="AT66" s="3">
        <v>46203</v>
      </c>
      <c r="AU66" t="s">
        <v>2124</v>
      </c>
      <c r="AW66" s="3">
        <v>46208.53701449134</v>
      </c>
    </row>
    <row r="67" spans="1:49" ht="16" hidden="1" x14ac:dyDescent="0.2">
      <c r="A67" t="s">
        <v>74</v>
      </c>
      <c r="B67">
        <v>10993</v>
      </c>
      <c r="C67">
        <v>5032</v>
      </c>
      <c r="D67" t="s">
        <v>138</v>
      </c>
      <c r="E67" t="s">
        <v>382</v>
      </c>
      <c r="F67">
        <v>270359</v>
      </c>
      <c r="G67" t="s">
        <v>707</v>
      </c>
      <c r="H67">
        <v>591381</v>
      </c>
      <c r="I67" t="s">
        <v>1368</v>
      </c>
      <c r="J67">
        <v>94461200</v>
      </c>
      <c r="K67" t="s">
        <v>1840</v>
      </c>
      <c r="L67" t="s">
        <v>1850</v>
      </c>
      <c r="M67" s="1">
        <v>20</v>
      </c>
      <c r="N67" t="s">
        <v>1855</v>
      </c>
      <c r="O67">
        <v>5378876</v>
      </c>
      <c r="P67" s="1">
        <v>105000</v>
      </c>
      <c r="S67" s="6" t="str">
        <f t="shared" ref="S67:S130" si="1">IF(ISBLANK(R67)," ",ROUND(R67*(IF(ISBLANK(Q67),(M67/1000),(Q67/1000))),2))</f>
        <v xml:space="preserve"> </v>
      </c>
      <c r="T67" s="6" t="str">
        <f>IF(IF(COUNTIF(H$2:$H67,H67)=1,1,"")=1,SUMIF($H$2:$H$7997,H67,$S$2:$S$7997),"")</f>
        <v/>
      </c>
      <c r="W67">
        <v>5378876</v>
      </c>
      <c r="X67">
        <v>5378876</v>
      </c>
      <c r="Y67">
        <v>0</v>
      </c>
      <c r="Z67">
        <v>0</v>
      </c>
      <c r="AA67" s="2">
        <v>1</v>
      </c>
      <c r="AB67" s="2">
        <v>0</v>
      </c>
      <c r="AC67" s="2">
        <v>0</v>
      </c>
      <c r="AD67">
        <v>0</v>
      </c>
      <c r="AE67" t="s">
        <v>1862</v>
      </c>
      <c r="AF67">
        <v>52500</v>
      </c>
      <c r="AG67">
        <v>5250000</v>
      </c>
      <c r="AH67">
        <v>105000</v>
      </c>
      <c r="AI67" s="1" t="s">
        <v>382</v>
      </c>
      <c r="AJ67">
        <v>94461190</v>
      </c>
      <c r="AK67" s="1" t="s">
        <v>1868</v>
      </c>
      <c r="AL67" t="s">
        <v>1997</v>
      </c>
      <c r="AN67" t="s">
        <v>2043</v>
      </c>
      <c r="AO67" t="s">
        <v>2067</v>
      </c>
      <c r="AP67" t="s">
        <v>2083</v>
      </c>
      <c r="AQ67">
        <v>130320</v>
      </c>
      <c r="AR67" s="3">
        <v>46203</v>
      </c>
      <c r="AS67" s="3">
        <v>46178</v>
      </c>
      <c r="AT67" s="3">
        <v>46203</v>
      </c>
      <c r="AU67" t="s">
        <v>2123</v>
      </c>
      <c r="AW67" s="3">
        <v>46208.53701449134</v>
      </c>
    </row>
    <row r="68" spans="1:49" ht="16" hidden="1" x14ac:dyDescent="0.2">
      <c r="A68" t="s">
        <v>53</v>
      </c>
      <c r="B68">
        <v>20269</v>
      </c>
      <c r="C68">
        <v>9975</v>
      </c>
      <c r="D68" t="s">
        <v>116</v>
      </c>
      <c r="E68" t="s">
        <v>230</v>
      </c>
      <c r="F68">
        <v>250528</v>
      </c>
      <c r="G68" t="s">
        <v>441</v>
      </c>
      <c r="H68">
        <v>538245</v>
      </c>
      <c r="I68" t="s">
        <v>926</v>
      </c>
      <c r="J68">
        <v>88560497</v>
      </c>
      <c r="K68" t="s">
        <v>1836</v>
      </c>
      <c r="L68" t="s">
        <v>1850</v>
      </c>
      <c r="M68" s="1">
        <v>19</v>
      </c>
      <c r="N68" t="s">
        <v>1855</v>
      </c>
      <c r="O68">
        <v>0</v>
      </c>
      <c r="P68" s="1">
        <v>0</v>
      </c>
      <c r="S68" s="6" t="str">
        <f t="shared" si="1"/>
        <v xml:space="preserve"> </v>
      </c>
      <c r="T68" s="6">
        <f>IF(IF(COUNTIF(H$2:$H68,H68)=1,1,"")=1,SUMIF($H$2:$H$7997,H68,$S$2:$S$7997),"")</f>
        <v>0</v>
      </c>
      <c r="W68">
        <v>0</v>
      </c>
      <c r="X68">
        <v>0</v>
      </c>
      <c r="Y68">
        <v>0</v>
      </c>
      <c r="Z68">
        <v>0</v>
      </c>
      <c r="AA68" s="2">
        <v>1</v>
      </c>
      <c r="AB68" s="2">
        <v>0</v>
      </c>
      <c r="AC68" s="2">
        <v>0</v>
      </c>
      <c r="AD68">
        <v>0</v>
      </c>
      <c r="AE68" t="s">
        <v>1862</v>
      </c>
      <c r="AF68">
        <v>0</v>
      </c>
      <c r="AG68">
        <v>39470842</v>
      </c>
      <c r="AH68">
        <v>749946</v>
      </c>
      <c r="AI68" s="1" t="s">
        <v>230</v>
      </c>
      <c r="AJ68">
        <v>250528</v>
      </c>
      <c r="AK68" s="1" t="s">
        <v>1868</v>
      </c>
      <c r="AL68" t="s">
        <v>1875</v>
      </c>
      <c r="AN68" t="s">
        <v>2044</v>
      </c>
      <c r="AO68" t="s">
        <v>2067</v>
      </c>
      <c r="AP68" t="s">
        <v>2072</v>
      </c>
      <c r="AQ68">
        <v>95194</v>
      </c>
      <c r="AR68" s="3">
        <v>46203</v>
      </c>
      <c r="AS68" s="3">
        <v>46202</v>
      </c>
      <c r="AT68" s="3">
        <v>46292</v>
      </c>
      <c r="AU68" t="s">
        <v>2124</v>
      </c>
      <c r="AW68" s="3">
        <v>46208.53701449134</v>
      </c>
    </row>
    <row r="69" spans="1:49" ht="16" hidden="1" x14ac:dyDescent="0.2">
      <c r="A69" t="s">
        <v>53</v>
      </c>
      <c r="B69">
        <v>20269</v>
      </c>
      <c r="C69">
        <v>9975</v>
      </c>
      <c r="D69" t="s">
        <v>116</v>
      </c>
      <c r="E69" t="s">
        <v>236</v>
      </c>
      <c r="F69">
        <v>253612</v>
      </c>
      <c r="G69" t="s">
        <v>448</v>
      </c>
      <c r="H69">
        <v>539342</v>
      </c>
      <c r="I69" t="s">
        <v>448</v>
      </c>
      <c r="J69">
        <v>90749646</v>
      </c>
      <c r="K69" t="s">
        <v>1837</v>
      </c>
      <c r="L69" t="s">
        <v>1850</v>
      </c>
      <c r="M69" s="1">
        <v>22.65</v>
      </c>
      <c r="N69" t="s">
        <v>1853</v>
      </c>
      <c r="O69">
        <v>0</v>
      </c>
      <c r="P69" s="1">
        <v>0</v>
      </c>
      <c r="S69" s="6" t="str">
        <f t="shared" si="1"/>
        <v xml:space="preserve"> </v>
      </c>
      <c r="T69" s="6">
        <f>IF(IF(COUNTIF(H$2:$H69,H69)=1,1,"")=1,SUMIF($H$2:$H$7997,H69,$S$2:$S$7997),"")</f>
        <v>0</v>
      </c>
      <c r="W69">
        <v>0</v>
      </c>
      <c r="X69">
        <v>0</v>
      </c>
      <c r="Y69">
        <v>0</v>
      </c>
      <c r="Z69">
        <v>0</v>
      </c>
      <c r="AA69" s="2">
        <v>1</v>
      </c>
      <c r="AB69" s="2">
        <v>0</v>
      </c>
      <c r="AC69" s="2">
        <v>0</v>
      </c>
      <c r="AD69">
        <v>0</v>
      </c>
      <c r="AE69" t="s">
        <v>1862</v>
      </c>
      <c r="AF69">
        <v>0</v>
      </c>
      <c r="AG69">
        <v>9683047</v>
      </c>
      <c r="AH69">
        <v>219321.01</v>
      </c>
      <c r="AI69" s="1" t="s">
        <v>236</v>
      </c>
      <c r="AJ69">
        <v>253612</v>
      </c>
      <c r="AK69" s="1" t="s">
        <v>1867</v>
      </c>
      <c r="AL69" t="s">
        <v>1875</v>
      </c>
      <c r="AN69" t="s">
        <v>2047</v>
      </c>
      <c r="AO69" t="s">
        <v>2067</v>
      </c>
      <c r="AP69" t="s">
        <v>2075</v>
      </c>
      <c r="AQ69">
        <v>96038</v>
      </c>
      <c r="AR69" s="3">
        <v>46203</v>
      </c>
      <c r="AS69" s="3">
        <v>46202</v>
      </c>
      <c r="AT69" s="3">
        <v>46292</v>
      </c>
      <c r="AU69" t="s">
        <v>2124</v>
      </c>
      <c r="AW69" s="3">
        <v>46208.53701449134</v>
      </c>
    </row>
    <row r="70" spans="1:49" ht="16" hidden="1" x14ac:dyDescent="0.2">
      <c r="A70" t="s">
        <v>65</v>
      </c>
      <c r="B70">
        <v>10788</v>
      </c>
      <c r="C70">
        <v>3025</v>
      </c>
      <c r="D70" t="s">
        <v>141</v>
      </c>
      <c r="E70" t="s">
        <v>270</v>
      </c>
      <c r="F70">
        <v>260800</v>
      </c>
      <c r="G70" t="s">
        <v>500</v>
      </c>
      <c r="H70">
        <v>559447</v>
      </c>
      <c r="I70" t="s">
        <v>1491</v>
      </c>
      <c r="J70">
        <v>95039608</v>
      </c>
      <c r="K70" t="s">
        <v>1843</v>
      </c>
      <c r="L70" t="s">
        <v>1850</v>
      </c>
      <c r="M70" s="1">
        <v>21.79</v>
      </c>
      <c r="N70" t="s">
        <v>23</v>
      </c>
      <c r="O70">
        <v>343633</v>
      </c>
      <c r="P70" s="1">
        <v>7487.76</v>
      </c>
      <c r="S70" s="6" t="str">
        <f t="shared" si="1"/>
        <v xml:space="preserve"> </v>
      </c>
      <c r="T70" s="6">
        <f>IF(IF(COUNTIF(H$2:$H70,H70)=1,1,"")=1,SUMIF($H$2:$H$7997,H70,$S$2:$S$7997),"")</f>
        <v>0</v>
      </c>
      <c r="W70">
        <v>343633</v>
      </c>
      <c r="X70">
        <v>343633</v>
      </c>
      <c r="Y70">
        <v>0</v>
      </c>
      <c r="Z70">
        <v>0</v>
      </c>
      <c r="AA70" s="2">
        <v>1</v>
      </c>
      <c r="AB70" s="2">
        <v>0</v>
      </c>
      <c r="AC70" s="2">
        <v>0</v>
      </c>
      <c r="AD70">
        <v>0</v>
      </c>
      <c r="AE70" t="s">
        <v>1862</v>
      </c>
      <c r="AF70">
        <v>1862.92</v>
      </c>
      <c r="AG70">
        <v>344196</v>
      </c>
      <c r="AH70">
        <v>7500.03</v>
      </c>
      <c r="AI70" s="1" t="s">
        <v>270</v>
      </c>
      <c r="AJ70">
        <v>90689056</v>
      </c>
      <c r="AK70" s="1" t="s">
        <v>1867</v>
      </c>
      <c r="AL70" t="s">
        <v>1908</v>
      </c>
      <c r="AN70" t="s">
        <v>2039</v>
      </c>
      <c r="AO70" t="s">
        <v>2067</v>
      </c>
      <c r="AP70" t="s">
        <v>2099</v>
      </c>
      <c r="AQ70">
        <v>111730</v>
      </c>
      <c r="AR70" s="3">
        <v>46203</v>
      </c>
      <c r="AS70" s="3">
        <v>46111</v>
      </c>
      <c r="AT70" s="3">
        <v>46201</v>
      </c>
      <c r="AU70" t="s">
        <v>2125</v>
      </c>
      <c r="AW70" s="3">
        <v>46208.53701449134</v>
      </c>
    </row>
    <row r="71" spans="1:49" ht="16" hidden="1" x14ac:dyDescent="0.2">
      <c r="A71" t="s">
        <v>65</v>
      </c>
      <c r="B71">
        <v>10788</v>
      </c>
      <c r="C71">
        <v>3025</v>
      </c>
      <c r="D71" t="s">
        <v>141</v>
      </c>
      <c r="E71" t="s">
        <v>270</v>
      </c>
      <c r="F71">
        <v>260800</v>
      </c>
      <c r="G71" t="s">
        <v>500</v>
      </c>
      <c r="H71">
        <v>559447</v>
      </c>
      <c r="I71" t="s">
        <v>997</v>
      </c>
      <c r="J71">
        <v>93501078</v>
      </c>
      <c r="K71" t="s">
        <v>1835</v>
      </c>
      <c r="L71" t="s">
        <v>1850</v>
      </c>
      <c r="M71" s="1">
        <v>21.79</v>
      </c>
      <c r="N71" t="s">
        <v>1853</v>
      </c>
      <c r="O71">
        <v>108269</v>
      </c>
      <c r="P71" s="1">
        <v>1942.14</v>
      </c>
      <c r="S71" s="6" t="str">
        <f t="shared" si="1"/>
        <v xml:space="preserve"> </v>
      </c>
      <c r="T71" s="6" t="str">
        <f>IF(IF(COUNTIF(H$2:$H71,H71)=1,1,"")=1,SUMIF($H$2:$H$7997,H71,$S$2:$S$7997),"")</f>
        <v/>
      </c>
      <c r="V71" t="s">
        <v>1860</v>
      </c>
      <c r="W71">
        <v>90288</v>
      </c>
      <c r="X71">
        <v>90288</v>
      </c>
      <c r="Y71">
        <v>108269</v>
      </c>
      <c r="Z71">
        <v>108269</v>
      </c>
      <c r="AA71" s="2">
        <v>1</v>
      </c>
      <c r="AB71" s="2">
        <v>1.199161170377584</v>
      </c>
      <c r="AC71" s="2">
        <v>0</v>
      </c>
      <c r="AD71">
        <v>0</v>
      </c>
      <c r="AE71" t="s">
        <v>1862</v>
      </c>
      <c r="AF71">
        <v>482.4</v>
      </c>
      <c r="AG71">
        <v>89130</v>
      </c>
      <c r="AH71">
        <v>1942.14</v>
      </c>
      <c r="AI71" s="1" t="s">
        <v>270</v>
      </c>
      <c r="AJ71">
        <v>90689056</v>
      </c>
      <c r="AK71" s="1" t="s">
        <v>1867</v>
      </c>
      <c r="AL71" t="s">
        <v>1908</v>
      </c>
      <c r="AN71" t="s">
        <v>2039</v>
      </c>
      <c r="AO71" t="s">
        <v>2067</v>
      </c>
      <c r="AP71" t="s">
        <v>2071</v>
      </c>
      <c r="AQ71">
        <v>111730</v>
      </c>
      <c r="AR71" s="3">
        <v>46203</v>
      </c>
      <c r="AS71" s="3">
        <v>46111</v>
      </c>
      <c r="AT71" s="3">
        <v>46201</v>
      </c>
      <c r="AU71" t="s">
        <v>2123</v>
      </c>
      <c r="AW71" s="3">
        <v>46208.53701449134</v>
      </c>
    </row>
    <row r="72" spans="1:49" ht="16" hidden="1" x14ac:dyDescent="0.2">
      <c r="A72" t="s">
        <v>65</v>
      </c>
      <c r="B72">
        <v>10788</v>
      </c>
      <c r="C72">
        <v>8800</v>
      </c>
      <c r="D72" t="s">
        <v>186</v>
      </c>
      <c r="E72" t="s">
        <v>347</v>
      </c>
      <c r="F72">
        <v>259315</v>
      </c>
      <c r="G72" t="s">
        <v>899</v>
      </c>
      <c r="H72">
        <v>582132</v>
      </c>
      <c r="I72" t="s">
        <v>1735</v>
      </c>
      <c r="J72">
        <v>582134</v>
      </c>
      <c r="K72" t="s">
        <v>1847</v>
      </c>
      <c r="L72" t="s">
        <v>1851</v>
      </c>
      <c r="M72" s="1">
        <v>250000</v>
      </c>
      <c r="N72" t="s">
        <v>1858</v>
      </c>
      <c r="O72">
        <v>0</v>
      </c>
      <c r="P72" s="1">
        <v>64102.559999999998</v>
      </c>
      <c r="S72" s="6" t="str">
        <f t="shared" si="1"/>
        <v xml:space="preserve"> </v>
      </c>
      <c r="T72" s="6">
        <f>IF(IF(COUNTIF(H$2:$H72,H72)=1,1,"")=1,SUMIF($H$2:$H$7997,H72,$S$2:$S$7997),"")</f>
        <v>0</v>
      </c>
      <c r="W72">
        <v>0</v>
      </c>
      <c r="X72">
        <v>0</v>
      </c>
      <c r="Y72">
        <v>0</v>
      </c>
      <c r="Z72">
        <v>0</v>
      </c>
      <c r="AA72" s="2">
        <v>1</v>
      </c>
      <c r="AB72" s="2">
        <v>0</v>
      </c>
      <c r="AC72" s="2">
        <v>0</v>
      </c>
      <c r="AD72">
        <v>0</v>
      </c>
      <c r="AE72" t="s">
        <v>1863</v>
      </c>
      <c r="AF72">
        <v>64102.559999999998</v>
      </c>
      <c r="AG72">
        <v>1</v>
      </c>
      <c r="AH72">
        <v>250000</v>
      </c>
      <c r="AI72" s="1" t="s">
        <v>347</v>
      </c>
      <c r="AJ72">
        <v>259315</v>
      </c>
      <c r="AK72" s="1" t="s">
        <v>1867</v>
      </c>
      <c r="AL72" t="s">
        <v>1970</v>
      </c>
      <c r="AN72" t="s">
        <v>2040</v>
      </c>
      <c r="AO72" t="s">
        <v>2067</v>
      </c>
      <c r="AP72" t="s">
        <v>2112</v>
      </c>
      <c r="AQ72">
        <v>129350</v>
      </c>
      <c r="AR72" s="3">
        <v>46203</v>
      </c>
      <c r="AS72" s="3">
        <v>46184</v>
      </c>
      <c r="AT72" s="3">
        <v>46222</v>
      </c>
      <c r="AU72" t="s">
        <v>2130</v>
      </c>
      <c r="AW72" s="3">
        <v>46208.53701449134</v>
      </c>
    </row>
    <row r="73" spans="1:49" ht="16" hidden="1" x14ac:dyDescent="0.2">
      <c r="A73" t="s">
        <v>65</v>
      </c>
      <c r="B73">
        <v>10788</v>
      </c>
      <c r="C73">
        <v>8800</v>
      </c>
      <c r="D73" t="s">
        <v>186</v>
      </c>
      <c r="E73" t="s">
        <v>347</v>
      </c>
      <c r="F73">
        <v>259315</v>
      </c>
      <c r="G73" t="s">
        <v>647</v>
      </c>
      <c r="H73">
        <v>582142</v>
      </c>
      <c r="I73" t="s">
        <v>1261</v>
      </c>
      <c r="J73">
        <v>94268018</v>
      </c>
      <c r="K73" t="s">
        <v>1839</v>
      </c>
      <c r="L73" t="s">
        <v>1850</v>
      </c>
      <c r="M73" s="1">
        <v>40</v>
      </c>
      <c r="N73" t="s">
        <v>23</v>
      </c>
      <c r="O73">
        <v>4064074</v>
      </c>
      <c r="P73" s="1">
        <v>162562.96</v>
      </c>
      <c r="S73" s="6" t="str">
        <f t="shared" si="1"/>
        <v xml:space="preserve"> </v>
      </c>
      <c r="T73" s="6">
        <f>IF(IF(COUNTIF(H$2:$H73,H73)=1,1,"")=1,SUMIF($H$2:$H$7997,H73,$S$2:$S$7997),"")</f>
        <v>0</v>
      </c>
      <c r="W73">
        <v>4064074</v>
      </c>
      <c r="X73">
        <v>4064074</v>
      </c>
      <c r="Y73">
        <v>0</v>
      </c>
      <c r="Z73">
        <v>0</v>
      </c>
      <c r="AA73" s="2">
        <v>1</v>
      </c>
      <c r="AB73" s="2">
        <v>0</v>
      </c>
      <c r="AC73" s="2">
        <v>0</v>
      </c>
      <c r="AD73">
        <v>0</v>
      </c>
      <c r="AE73" t="s">
        <v>1862</v>
      </c>
      <c r="AF73">
        <v>81983.87</v>
      </c>
      <c r="AG73">
        <v>6125000</v>
      </c>
      <c r="AH73">
        <v>245000</v>
      </c>
      <c r="AI73" s="1" t="s">
        <v>347</v>
      </c>
      <c r="AJ73">
        <v>94268011</v>
      </c>
      <c r="AK73" s="1" t="s">
        <v>1867</v>
      </c>
      <c r="AL73" t="s">
        <v>1970</v>
      </c>
      <c r="AN73" t="s">
        <v>2040</v>
      </c>
      <c r="AO73" t="s">
        <v>2067</v>
      </c>
      <c r="AP73" t="s">
        <v>2094</v>
      </c>
      <c r="AQ73">
        <v>129350</v>
      </c>
      <c r="AR73" s="3">
        <v>46203</v>
      </c>
      <c r="AS73" s="3">
        <v>46174</v>
      </c>
      <c r="AT73" s="3">
        <v>46222</v>
      </c>
      <c r="AU73" t="s">
        <v>2124</v>
      </c>
      <c r="AW73" s="3">
        <v>46208.53701449134</v>
      </c>
    </row>
    <row r="74" spans="1:49" ht="16" hidden="1" x14ac:dyDescent="0.2">
      <c r="A74" t="s">
        <v>65</v>
      </c>
      <c r="B74">
        <v>10788</v>
      </c>
      <c r="C74">
        <v>8800</v>
      </c>
      <c r="D74" t="s">
        <v>186</v>
      </c>
      <c r="E74" t="s">
        <v>347</v>
      </c>
      <c r="F74">
        <v>259315</v>
      </c>
      <c r="G74" t="s">
        <v>647</v>
      </c>
      <c r="H74">
        <v>582142</v>
      </c>
      <c r="I74" t="s">
        <v>1260</v>
      </c>
      <c r="J74">
        <v>94268014</v>
      </c>
      <c r="K74" t="s">
        <v>1835</v>
      </c>
      <c r="L74" t="s">
        <v>1850</v>
      </c>
      <c r="M74" s="1">
        <v>40</v>
      </c>
      <c r="N74" t="s">
        <v>23</v>
      </c>
      <c r="O74">
        <v>1780679</v>
      </c>
      <c r="P74" s="1">
        <v>71227.16</v>
      </c>
      <c r="S74" s="6" t="str">
        <f t="shared" si="1"/>
        <v xml:space="preserve"> </v>
      </c>
      <c r="T74" s="6" t="str">
        <f>IF(IF(COUNTIF(H$2:$H74,H74)=1,1,"")=1,SUMIF($H$2:$H$7997,H74,$S$2:$S$7997),"")</f>
        <v/>
      </c>
      <c r="W74">
        <v>1780679</v>
      </c>
      <c r="X74">
        <v>1780679</v>
      </c>
      <c r="Y74">
        <v>0</v>
      </c>
      <c r="Z74">
        <v>0</v>
      </c>
      <c r="AA74" s="2">
        <v>1</v>
      </c>
      <c r="AB74" s="2">
        <v>0</v>
      </c>
      <c r="AC74" s="2">
        <v>0</v>
      </c>
      <c r="AD74">
        <v>0</v>
      </c>
      <c r="AE74" t="s">
        <v>1862</v>
      </c>
      <c r="AF74">
        <v>35135.949999999997</v>
      </c>
      <c r="AG74">
        <v>2625000</v>
      </c>
      <c r="AH74">
        <v>105000</v>
      </c>
      <c r="AI74" s="1" t="s">
        <v>347</v>
      </c>
      <c r="AJ74">
        <v>94268011</v>
      </c>
      <c r="AK74" s="1" t="s">
        <v>1867</v>
      </c>
      <c r="AL74" t="s">
        <v>1970</v>
      </c>
      <c r="AN74" t="s">
        <v>2040</v>
      </c>
      <c r="AO74" t="s">
        <v>2067</v>
      </c>
      <c r="AP74" t="s">
        <v>2092</v>
      </c>
      <c r="AQ74">
        <v>129350</v>
      </c>
      <c r="AR74" s="3">
        <v>46203</v>
      </c>
      <c r="AS74" s="3">
        <v>46174</v>
      </c>
      <c r="AT74" s="3">
        <v>46222</v>
      </c>
      <c r="AU74" t="s">
        <v>2123</v>
      </c>
      <c r="AW74" s="3">
        <v>46208.53701449134</v>
      </c>
    </row>
    <row r="75" spans="1:49" ht="16" hidden="1" x14ac:dyDescent="0.2">
      <c r="A75" t="s">
        <v>65</v>
      </c>
      <c r="B75">
        <v>10788</v>
      </c>
      <c r="C75">
        <v>8800</v>
      </c>
      <c r="D75" t="s">
        <v>186</v>
      </c>
      <c r="E75" t="s">
        <v>349</v>
      </c>
      <c r="F75">
        <v>269662</v>
      </c>
      <c r="G75" t="s">
        <v>913</v>
      </c>
      <c r="H75">
        <v>588871</v>
      </c>
      <c r="I75" t="s">
        <v>1815</v>
      </c>
      <c r="J75">
        <v>588872</v>
      </c>
      <c r="K75" t="s">
        <v>1847</v>
      </c>
      <c r="L75" t="s">
        <v>1851</v>
      </c>
      <c r="M75" s="1">
        <v>250000</v>
      </c>
      <c r="N75" t="s">
        <v>1858</v>
      </c>
      <c r="O75">
        <v>0</v>
      </c>
      <c r="P75" s="1">
        <v>64102.559999999998</v>
      </c>
      <c r="S75" s="6" t="str">
        <f t="shared" si="1"/>
        <v xml:space="preserve"> </v>
      </c>
      <c r="T75" s="6">
        <f>IF(IF(COUNTIF(H$2:$H75,H75)=1,1,"")=1,SUMIF($H$2:$H$7997,H75,$S$2:$S$7997),"")</f>
        <v>0</v>
      </c>
      <c r="W75">
        <v>0</v>
      </c>
      <c r="X75">
        <v>0</v>
      </c>
      <c r="Y75">
        <v>0</v>
      </c>
      <c r="Z75">
        <v>0</v>
      </c>
      <c r="AA75" s="2">
        <v>1</v>
      </c>
      <c r="AB75" s="2">
        <v>0</v>
      </c>
      <c r="AC75" s="2">
        <v>0</v>
      </c>
      <c r="AD75">
        <v>0</v>
      </c>
      <c r="AE75" t="s">
        <v>1863</v>
      </c>
      <c r="AF75">
        <v>64102.559999999998</v>
      </c>
      <c r="AG75">
        <v>1</v>
      </c>
      <c r="AH75">
        <v>250000</v>
      </c>
      <c r="AI75" s="1" t="s">
        <v>349</v>
      </c>
      <c r="AJ75">
        <v>269662</v>
      </c>
      <c r="AK75" s="1" t="s">
        <v>1867</v>
      </c>
      <c r="AL75" t="s">
        <v>1970</v>
      </c>
      <c r="AN75" t="s">
        <v>2040</v>
      </c>
      <c r="AO75" t="s">
        <v>2067</v>
      </c>
      <c r="AP75" t="s">
        <v>2112</v>
      </c>
      <c r="AQ75">
        <v>129388</v>
      </c>
      <c r="AR75" s="3">
        <v>46203</v>
      </c>
      <c r="AS75" s="3">
        <v>46184</v>
      </c>
      <c r="AT75" s="3">
        <v>46222</v>
      </c>
      <c r="AU75" t="s">
        <v>2130</v>
      </c>
      <c r="AW75" s="3">
        <v>46208.53701449134</v>
      </c>
    </row>
    <row r="76" spans="1:49" ht="16" hidden="1" x14ac:dyDescent="0.2">
      <c r="A76" t="s">
        <v>65</v>
      </c>
      <c r="B76">
        <v>10788</v>
      </c>
      <c r="C76">
        <v>8800</v>
      </c>
      <c r="D76" t="s">
        <v>186</v>
      </c>
      <c r="E76" t="s">
        <v>349</v>
      </c>
      <c r="F76">
        <v>269662</v>
      </c>
      <c r="G76" t="s">
        <v>649</v>
      </c>
      <c r="H76">
        <v>588876</v>
      </c>
      <c r="I76" t="s">
        <v>1265</v>
      </c>
      <c r="J76">
        <v>94269070</v>
      </c>
      <c r="K76" t="s">
        <v>1835</v>
      </c>
      <c r="L76" t="s">
        <v>1850</v>
      </c>
      <c r="M76" s="1">
        <v>40</v>
      </c>
      <c r="N76" t="s">
        <v>23</v>
      </c>
      <c r="O76">
        <v>765347</v>
      </c>
      <c r="P76" s="1">
        <v>30613.88</v>
      </c>
      <c r="S76" s="6" t="str">
        <f t="shared" si="1"/>
        <v xml:space="preserve"> </v>
      </c>
      <c r="T76" s="6">
        <f>IF(IF(COUNTIF(H$2:$H76,H76)=1,1,"")=1,SUMIF($H$2:$H$7997,H76,$S$2:$S$7997),"")</f>
        <v>0</v>
      </c>
      <c r="W76">
        <v>765347</v>
      </c>
      <c r="X76">
        <v>765347</v>
      </c>
      <c r="Y76">
        <v>0</v>
      </c>
      <c r="Z76">
        <v>0</v>
      </c>
      <c r="AA76" s="2">
        <v>1</v>
      </c>
      <c r="AB76" s="2">
        <v>0</v>
      </c>
      <c r="AC76" s="2">
        <v>0</v>
      </c>
      <c r="AD76">
        <v>0</v>
      </c>
      <c r="AE76" t="s">
        <v>1862</v>
      </c>
      <c r="AF76">
        <v>15094.37</v>
      </c>
      <c r="AG76">
        <v>1125000</v>
      </c>
      <c r="AH76">
        <v>45000</v>
      </c>
      <c r="AI76" s="1" t="s">
        <v>349</v>
      </c>
      <c r="AJ76">
        <v>94269064</v>
      </c>
      <c r="AK76" s="1" t="s">
        <v>1867</v>
      </c>
      <c r="AL76" t="s">
        <v>1970</v>
      </c>
      <c r="AN76" t="s">
        <v>2040</v>
      </c>
      <c r="AO76" t="s">
        <v>2067</v>
      </c>
      <c r="AP76" t="s">
        <v>2092</v>
      </c>
      <c r="AQ76">
        <v>129388</v>
      </c>
      <c r="AR76" s="3">
        <v>46203</v>
      </c>
      <c r="AS76" s="3">
        <v>46174</v>
      </c>
      <c r="AT76" s="3">
        <v>46222</v>
      </c>
      <c r="AU76" t="s">
        <v>2123</v>
      </c>
      <c r="AW76" s="3">
        <v>46208.53701449134</v>
      </c>
    </row>
    <row r="77" spans="1:49" ht="16" hidden="1" x14ac:dyDescent="0.2">
      <c r="A77" t="s">
        <v>65</v>
      </c>
      <c r="B77">
        <v>10788</v>
      </c>
      <c r="C77">
        <v>8800</v>
      </c>
      <c r="D77" t="s">
        <v>186</v>
      </c>
      <c r="E77" t="s">
        <v>349</v>
      </c>
      <c r="F77">
        <v>269662</v>
      </c>
      <c r="G77" t="s">
        <v>649</v>
      </c>
      <c r="H77">
        <v>588876</v>
      </c>
      <c r="I77" t="s">
        <v>1264</v>
      </c>
      <c r="J77">
        <v>94269067</v>
      </c>
      <c r="K77" t="s">
        <v>1839</v>
      </c>
      <c r="L77" t="s">
        <v>1850</v>
      </c>
      <c r="M77" s="1">
        <v>40</v>
      </c>
      <c r="N77" t="s">
        <v>23</v>
      </c>
      <c r="O77">
        <v>1743195</v>
      </c>
      <c r="P77" s="1">
        <v>69727.8</v>
      </c>
      <c r="S77" s="6" t="str">
        <f t="shared" si="1"/>
        <v xml:space="preserve"> </v>
      </c>
      <c r="T77" s="6" t="str">
        <f>IF(IF(COUNTIF(H$2:$H77,H77)=1,1,"")=1,SUMIF($H$2:$H$7997,H77,$S$2:$S$7997),"")</f>
        <v/>
      </c>
      <c r="W77">
        <v>1743195</v>
      </c>
      <c r="X77">
        <v>1743195</v>
      </c>
      <c r="Y77">
        <v>0</v>
      </c>
      <c r="Z77">
        <v>0</v>
      </c>
      <c r="AA77" s="2">
        <v>1</v>
      </c>
      <c r="AB77" s="2">
        <v>0</v>
      </c>
      <c r="AC77" s="2">
        <v>0</v>
      </c>
      <c r="AD77">
        <v>0</v>
      </c>
      <c r="AE77" t="s">
        <v>1862</v>
      </c>
      <c r="AF77">
        <v>35220.19</v>
      </c>
      <c r="AG77">
        <v>2625000</v>
      </c>
      <c r="AH77">
        <v>105000</v>
      </c>
      <c r="AI77" s="1" t="s">
        <v>349</v>
      </c>
      <c r="AJ77">
        <v>94269064</v>
      </c>
      <c r="AK77" s="1" t="s">
        <v>1867</v>
      </c>
      <c r="AL77" t="s">
        <v>1970</v>
      </c>
      <c r="AN77" t="s">
        <v>2040</v>
      </c>
      <c r="AO77" t="s">
        <v>2067</v>
      </c>
      <c r="AP77" t="s">
        <v>2094</v>
      </c>
      <c r="AQ77">
        <v>129388</v>
      </c>
      <c r="AR77" s="3">
        <v>46203</v>
      </c>
      <c r="AS77" s="3">
        <v>46174</v>
      </c>
      <c r="AT77" s="3">
        <v>46222</v>
      </c>
      <c r="AU77" t="s">
        <v>2124</v>
      </c>
      <c r="AW77" s="3">
        <v>46208.53701449134</v>
      </c>
    </row>
    <row r="78" spans="1:49" ht="16" hidden="1" x14ac:dyDescent="0.2">
      <c r="A78" t="s">
        <v>65</v>
      </c>
      <c r="B78">
        <v>10788</v>
      </c>
      <c r="C78">
        <v>7080</v>
      </c>
      <c r="D78" t="s">
        <v>129</v>
      </c>
      <c r="E78" t="s">
        <v>251</v>
      </c>
      <c r="F78">
        <v>265809</v>
      </c>
      <c r="G78" t="s">
        <v>464</v>
      </c>
      <c r="H78">
        <v>576868</v>
      </c>
      <c r="I78" t="s">
        <v>954</v>
      </c>
      <c r="J78">
        <v>92878662</v>
      </c>
      <c r="K78" t="s">
        <v>1836</v>
      </c>
      <c r="L78" t="s">
        <v>1850</v>
      </c>
      <c r="M78" s="1">
        <v>17</v>
      </c>
      <c r="N78" t="s">
        <v>1853</v>
      </c>
      <c r="O78">
        <v>296071</v>
      </c>
      <c r="P78" s="1">
        <v>4842.3500000000004</v>
      </c>
      <c r="S78" s="6" t="str">
        <f t="shared" si="1"/>
        <v xml:space="preserve"> </v>
      </c>
      <c r="T78" s="6">
        <f>IF(IF(COUNTIF(H$2:$H78,H78)=1,1,"")=1,SUMIF($H$2:$H$7997,H78,$S$2:$S$7997),"")</f>
        <v>0</v>
      </c>
      <c r="V78" t="s">
        <v>1860</v>
      </c>
      <c r="W78">
        <v>234331</v>
      </c>
      <c r="X78">
        <v>234331</v>
      </c>
      <c r="Y78">
        <v>296071</v>
      </c>
      <c r="Z78">
        <v>296071</v>
      </c>
      <c r="AA78" s="2">
        <v>1</v>
      </c>
      <c r="AB78" s="2">
        <v>1.2634758562008079</v>
      </c>
      <c r="AC78" s="2">
        <v>0</v>
      </c>
      <c r="AD78">
        <v>0</v>
      </c>
      <c r="AE78" t="s">
        <v>1862</v>
      </c>
      <c r="AF78">
        <v>4809.0600000000004</v>
      </c>
      <c r="AG78">
        <v>284844</v>
      </c>
      <c r="AH78">
        <v>4842.3500000000004</v>
      </c>
      <c r="AI78" s="1" t="s">
        <v>251</v>
      </c>
      <c r="AJ78">
        <v>92878643</v>
      </c>
      <c r="AK78" s="1" t="s">
        <v>1867</v>
      </c>
      <c r="AL78" t="s">
        <v>1890</v>
      </c>
      <c r="AN78" t="s">
        <v>2042</v>
      </c>
      <c r="AO78" t="s">
        <v>2067</v>
      </c>
      <c r="AP78" t="s">
        <v>2072</v>
      </c>
      <c r="AQ78">
        <v>122614</v>
      </c>
      <c r="AR78" s="3">
        <v>46203</v>
      </c>
      <c r="AS78" s="3">
        <v>46113</v>
      </c>
      <c r="AT78" s="3">
        <v>46203</v>
      </c>
      <c r="AU78" t="s">
        <v>2124</v>
      </c>
      <c r="AW78" s="3">
        <v>46208.53701449134</v>
      </c>
    </row>
    <row r="79" spans="1:49" ht="16" hidden="1" x14ac:dyDescent="0.2">
      <c r="A79" t="s">
        <v>65</v>
      </c>
      <c r="B79">
        <v>10788</v>
      </c>
      <c r="C79">
        <v>7080</v>
      </c>
      <c r="D79" t="s">
        <v>129</v>
      </c>
      <c r="E79" t="s">
        <v>251</v>
      </c>
      <c r="F79">
        <v>265809</v>
      </c>
      <c r="G79" t="s">
        <v>463</v>
      </c>
      <c r="H79">
        <v>576879</v>
      </c>
      <c r="I79" t="s">
        <v>953</v>
      </c>
      <c r="J79">
        <v>92878649</v>
      </c>
      <c r="K79" t="s">
        <v>1836</v>
      </c>
      <c r="L79" t="s">
        <v>1850</v>
      </c>
      <c r="M79" s="1">
        <v>17</v>
      </c>
      <c r="N79" t="s">
        <v>1853</v>
      </c>
      <c r="O79">
        <v>448130</v>
      </c>
      <c r="P79" s="1">
        <v>7263.51</v>
      </c>
      <c r="S79" s="6" t="str">
        <f t="shared" si="1"/>
        <v xml:space="preserve"> </v>
      </c>
      <c r="T79" s="6">
        <f>IF(IF(COUNTIF(H$2:$H79,H79)=1,1,"")=1,SUMIF($H$2:$H$7997,H79,$S$2:$S$7997),"")</f>
        <v>0</v>
      </c>
      <c r="W79">
        <v>353305</v>
      </c>
      <c r="X79">
        <v>353305</v>
      </c>
      <c r="Y79">
        <v>448130</v>
      </c>
      <c r="Z79">
        <v>448130</v>
      </c>
      <c r="AA79" s="2">
        <v>1</v>
      </c>
      <c r="AB79" s="2">
        <v>1.268396081298105</v>
      </c>
      <c r="AC79" s="2">
        <v>0</v>
      </c>
      <c r="AD79">
        <v>0</v>
      </c>
      <c r="AE79" t="s">
        <v>1862</v>
      </c>
      <c r="AF79">
        <v>7263.51</v>
      </c>
      <c r="AG79">
        <v>427265</v>
      </c>
      <c r="AH79">
        <v>7263.51</v>
      </c>
      <c r="AI79" s="1" t="s">
        <v>251</v>
      </c>
      <c r="AJ79">
        <v>92878643</v>
      </c>
      <c r="AK79" s="1" t="s">
        <v>1867</v>
      </c>
      <c r="AL79" t="s">
        <v>1890</v>
      </c>
      <c r="AN79" t="s">
        <v>2042</v>
      </c>
      <c r="AO79" t="s">
        <v>2067</v>
      </c>
      <c r="AP79" t="s">
        <v>2072</v>
      </c>
      <c r="AQ79">
        <v>122614</v>
      </c>
      <c r="AR79" s="3">
        <v>46203</v>
      </c>
      <c r="AS79" s="3">
        <v>46113</v>
      </c>
      <c r="AT79" s="3">
        <v>46203</v>
      </c>
      <c r="AU79" t="s">
        <v>2124</v>
      </c>
      <c r="AW79" s="3">
        <v>46208.53701449134</v>
      </c>
    </row>
    <row r="80" spans="1:49" ht="16" hidden="1" x14ac:dyDescent="0.2">
      <c r="A80" t="s">
        <v>109</v>
      </c>
      <c r="B80">
        <v>18610</v>
      </c>
      <c r="C80">
        <v>1665</v>
      </c>
      <c r="D80" t="s">
        <v>217</v>
      </c>
      <c r="E80" t="s">
        <v>418</v>
      </c>
      <c r="F80">
        <v>266966</v>
      </c>
      <c r="G80" t="s">
        <v>792</v>
      </c>
      <c r="H80">
        <v>581635</v>
      </c>
      <c r="I80" t="s">
        <v>1546</v>
      </c>
      <c r="J80">
        <v>7310447455</v>
      </c>
      <c r="K80" t="s">
        <v>1835</v>
      </c>
      <c r="L80" t="s">
        <v>1850</v>
      </c>
      <c r="M80" s="1">
        <v>6</v>
      </c>
      <c r="N80" t="s">
        <v>23</v>
      </c>
      <c r="O80">
        <v>0</v>
      </c>
      <c r="P80" s="1">
        <v>0</v>
      </c>
      <c r="S80" s="6" t="str">
        <f t="shared" si="1"/>
        <v xml:space="preserve"> </v>
      </c>
      <c r="T80" s="6">
        <f>IF(IF(COUNTIF(H$2:$H80,H80)=1,1,"")=1,SUMIF($H$2:$H$7997,H80,$S$2:$S$7997),"")</f>
        <v>0</v>
      </c>
      <c r="W80">
        <v>0</v>
      </c>
      <c r="X80">
        <v>0</v>
      </c>
      <c r="Y80">
        <v>0</v>
      </c>
      <c r="Z80">
        <v>0</v>
      </c>
      <c r="AA80" s="2">
        <v>1</v>
      </c>
      <c r="AB80" s="2">
        <v>0</v>
      </c>
      <c r="AC80" s="2">
        <v>0</v>
      </c>
      <c r="AD80">
        <v>0</v>
      </c>
      <c r="AE80" t="s">
        <v>1862</v>
      </c>
      <c r="AF80">
        <v>14047.12</v>
      </c>
      <c r="AG80">
        <v>13333333</v>
      </c>
      <c r="AH80">
        <v>80000</v>
      </c>
      <c r="AI80" s="1" t="s">
        <v>418</v>
      </c>
      <c r="AJ80">
        <v>266966</v>
      </c>
      <c r="AK80" s="1" t="s">
        <v>1867</v>
      </c>
      <c r="AL80" t="s">
        <v>2025</v>
      </c>
      <c r="AN80" t="s">
        <v>2060</v>
      </c>
      <c r="AO80" t="s">
        <v>2067</v>
      </c>
      <c r="AP80" t="s">
        <v>2103</v>
      </c>
      <c r="AQ80">
        <v>128177</v>
      </c>
      <c r="AR80" s="3">
        <v>46203</v>
      </c>
      <c r="AS80" s="3">
        <v>46184</v>
      </c>
      <c r="AT80" s="3">
        <v>46222</v>
      </c>
      <c r="AU80" t="s">
        <v>2126</v>
      </c>
      <c r="AW80" s="3">
        <v>46208.53701449134</v>
      </c>
    </row>
    <row r="81" spans="1:49" ht="16" hidden="1" x14ac:dyDescent="0.2">
      <c r="A81" t="s">
        <v>109</v>
      </c>
      <c r="B81">
        <v>18610</v>
      </c>
      <c r="C81">
        <v>1665</v>
      </c>
      <c r="D81" t="s">
        <v>217</v>
      </c>
      <c r="E81" t="s">
        <v>418</v>
      </c>
      <c r="F81">
        <v>266966</v>
      </c>
      <c r="G81" t="s">
        <v>838</v>
      </c>
      <c r="H81">
        <v>581649</v>
      </c>
      <c r="I81" t="s">
        <v>1633</v>
      </c>
      <c r="J81">
        <v>581650</v>
      </c>
      <c r="K81" t="s">
        <v>1846</v>
      </c>
      <c r="L81" t="s">
        <v>1851</v>
      </c>
      <c r="M81" s="1">
        <v>0.15</v>
      </c>
      <c r="N81" t="s">
        <v>1858</v>
      </c>
      <c r="O81">
        <v>341880267</v>
      </c>
      <c r="P81" s="1">
        <v>51282.04</v>
      </c>
      <c r="S81" s="6" t="str">
        <f t="shared" si="1"/>
        <v xml:space="preserve"> </v>
      </c>
      <c r="T81" s="6">
        <f>IF(IF(COUNTIF(H$2:$H81,H81)=1,1,"")=1,SUMIF($H$2:$H$7997,H81,$S$2:$S$7997),"")</f>
        <v>0</v>
      </c>
      <c r="W81">
        <v>0</v>
      </c>
      <c r="X81">
        <v>0</v>
      </c>
      <c r="Y81">
        <v>0</v>
      </c>
      <c r="Z81">
        <v>0</v>
      </c>
      <c r="AA81" s="2">
        <v>1</v>
      </c>
      <c r="AB81" s="2">
        <v>0</v>
      </c>
      <c r="AC81" s="2">
        <v>0</v>
      </c>
      <c r="AD81">
        <v>0</v>
      </c>
      <c r="AE81" t="s">
        <v>1863</v>
      </c>
      <c r="AF81">
        <v>51282.04</v>
      </c>
      <c r="AG81">
        <v>1333333</v>
      </c>
      <c r="AH81">
        <v>199999.95</v>
      </c>
      <c r="AI81" s="1" t="s">
        <v>418</v>
      </c>
      <c r="AJ81">
        <v>266966</v>
      </c>
      <c r="AK81" s="1" t="s">
        <v>1867</v>
      </c>
      <c r="AL81" t="s">
        <v>2025</v>
      </c>
      <c r="AN81" t="s">
        <v>2060</v>
      </c>
      <c r="AO81" t="s">
        <v>2067</v>
      </c>
      <c r="AP81" t="s">
        <v>2110</v>
      </c>
      <c r="AQ81">
        <v>128177</v>
      </c>
      <c r="AR81" s="3">
        <v>46203</v>
      </c>
      <c r="AS81" s="3">
        <v>46184</v>
      </c>
      <c r="AT81" s="3">
        <v>46222</v>
      </c>
      <c r="AU81" t="s">
        <v>2128</v>
      </c>
      <c r="AW81" s="3">
        <v>46208.53701449134</v>
      </c>
    </row>
    <row r="82" spans="1:49" ht="16" hidden="1" x14ac:dyDescent="0.2">
      <c r="A82" t="s">
        <v>109</v>
      </c>
      <c r="B82">
        <v>18610</v>
      </c>
      <c r="C82">
        <v>1665</v>
      </c>
      <c r="D82" t="s">
        <v>217</v>
      </c>
      <c r="E82" t="s">
        <v>418</v>
      </c>
      <c r="F82">
        <v>266966</v>
      </c>
      <c r="G82" t="s">
        <v>838</v>
      </c>
      <c r="H82">
        <v>581649</v>
      </c>
      <c r="I82" t="s">
        <v>1791</v>
      </c>
      <c r="J82">
        <v>581653</v>
      </c>
      <c r="K82" t="s">
        <v>1844</v>
      </c>
      <c r="L82" t="s">
        <v>1851</v>
      </c>
      <c r="M82" s="1">
        <v>0.15</v>
      </c>
      <c r="N82" t="s">
        <v>1858</v>
      </c>
      <c r="O82">
        <v>341880533</v>
      </c>
      <c r="P82" s="1">
        <v>51282.080000000002</v>
      </c>
      <c r="S82" s="6" t="str">
        <f t="shared" si="1"/>
        <v xml:space="preserve"> </v>
      </c>
      <c r="T82" s="6" t="str">
        <f>IF(IF(COUNTIF(H$2:$H82,H82)=1,1,"")=1,SUMIF($H$2:$H$7997,H82,$S$2:$S$7997),"")</f>
        <v/>
      </c>
      <c r="W82">
        <v>0</v>
      </c>
      <c r="X82">
        <v>0</v>
      </c>
      <c r="Y82">
        <v>0</v>
      </c>
      <c r="Z82">
        <v>0</v>
      </c>
      <c r="AA82" s="2">
        <v>1</v>
      </c>
      <c r="AB82" s="2">
        <v>0</v>
      </c>
      <c r="AC82" s="2">
        <v>0</v>
      </c>
      <c r="AD82">
        <v>0</v>
      </c>
      <c r="AE82" t="s">
        <v>1863</v>
      </c>
      <c r="AF82">
        <v>51282.080000000002</v>
      </c>
      <c r="AG82">
        <v>1333334</v>
      </c>
      <c r="AH82">
        <v>200000.1</v>
      </c>
      <c r="AI82" s="1" t="s">
        <v>418</v>
      </c>
      <c r="AJ82">
        <v>266966</v>
      </c>
      <c r="AK82" s="1" t="s">
        <v>1867</v>
      </c>
      <c r="AL82" t="s">
        <v>2025</v>
      </c>
      <c r="AN82" t="s">
        <v>2060</v>
      </c>
      <c r="AO82" t="s">
        <v>2067</v>
      </c>
      <c r="AP82" t="s">
        <v>2107</v>
      </c>
      <c r="AQ82">
        <v>128177</v>
      </c>
      <c r="AR82" s="3">
        <v>46203</v>
      </c>
      <c r="AS82" s="3">
        <v>46184</v>
      </c>
      <c r="AT82" s="3">
        <v>46222</v>
      </c>
      <c r="AU82" t="s">
        <v>2127</v>
      </c>
      <c r="AW82" s="3">
        <v>46208.53701449134</v>
      </c>
    </row>
    <row r="83" spans="1:49" ht="16" hidden="1" x14ac:dyDescent="0.2">
      <c r="A83" t="s">
        <v>109</v>
      </c>
      <c r="B83">
        <v>18610</v>
      </c>
      <c r="C83">
        <v>1665</v>
      </c>
      <c r="D83" t="s">
        <v>217</v>
      </c>
      <c r="E83" t="s">
        <v>418</v>
      </c>
      <c r="F83">
        <v>266966</v>
      </c>
      <c r="G83" t="s">
        <v>838</v>
      </c>
      <c r="H83">
        <v>581649</v>
      </c>
      <c r="I83" t="s">
        <v>1758</v>
      </c>
      <c r="J83">
        <v>581652</v>
      </c>
      <c r="K83" t="s">
        <v>1835</v>
      </c>
      <c r="L83" t="s">
        <v>1851</v>
      </c>
      <c r="M83" s="1">
        <v>0.15</v>
      </c>
      <c r="N83" t="s">
        <v>1858</v>
      </c>
      <c r="O83">
        <v>341880267</v>
      </c>
      <c r="P83" s="1">
        <v>51282.04</v>
      </c>
      <c r="S83" s="6" t="str">
        <f t="shared" si="1"/>
        <v xml:space="preserve"> </v>
      </c>
      <c r="T83" s="6" t="str">
        <f>IF(IF(COUNTIF(H$2:$H83,H83)=1,1,"")=1,SUMIF($H$2:$H$7997,H83,$S$2:$S$7997),"")</f>
        <v/>
      </c>
      <c r="W83">
        <v>0</v>
      </c>
      <c r="X83">
        <v>0</v>
      </c>
      <c r="Y83">
        <v>0</v>
      </c>
      <c r="Z83">
        <v>0</v>
      </c>
      <c r="AA83" s="2">
        <v>1</v>
      </c>
      <c r="AB83" s="2">
        <v>0</v>
      </c>
      <c r="AC83" s="2">
        <v>0</v>
      </c>
      <c r="AD83">
        <v>0</v>
      </c>
      <c r="AE83" t="s">
        <v>1863</v>
      </c>
      <c r="AF83">
        <v>51282.04</v>
      </c>
      <c r="AG83">
        <v>1333333</v>
      </c>
      <c r="AH83">
        <v>199999.95</v>
      </c>
      <c r="AI83" s="1" t="s">
        <v>418</v>
      </c>
      <c r="AJ83">
        <v>266966</v>
      </c>
      <c r="AK83" s="1" t="s">
        <v>1867</v>
      </c>
      <c r="AL83" t="s">
        <v>2025</v>
      </c>
      <c r="AN83" t="s">
        <v>2060</v>
      </c>
      <c r="AO83" t="s">
        <v>2067</v>
      </c>
      <c r="AP83" t="s">
        <v>2109</v>
      </c>
      <c r="AQ83">
        <v>128177</v>
      </c>
      <c r="AR83" s="3">
        <v>46203</v>
      </c>
      <c r="AS83" s="3">
        <v>46184</v>
      </c>
      <c r="AT83" s="3">
        <v>46222</v>
      </c>
      <c r="AU83" t="s">
        <v>2129</v>
      </c>
      <c r="AW83" s="3">
        <v>46208.53701449134</v>
      </c>
    </row>
    <row r="84" spans="1:49" ht="16" hidden="1" x14ac:dyDescent="0.2">
      <c r="A84" t="s">
        <v>109</v>
      </c>
      <c r="B84">
        <v>18610</v>
      </c>
      <c r="C84">
        <v>1665</v>
      </c>
      <c r="D84" t="s">
        <v>217</v>
      </c>
      <c r="E84" t="s">
        <v>418</v>
      </c>
      <c r="F84">
        <v>266966</v>
      </c>
      <c r="G84" t="s">
        <v>788</v>
      </c>
      <c r="H84">
        <v>587742</v>
      </c>
      <c r="I84" t="s">
        <v>1538</v>
      </c>
      <c r="J84">
        <v>7307921013</v>
      </c>
      <c r="K84" t="s">
        <v>1835</v>
      </c>
      <c r="L84" t="s">
        <v>1851</v>
      </c>
      <c r="M84" s="1">
        <v>0</v>
      </c>
      <c r="N84" t="s">
        <v>1858</v>
      </c>
      <c r="O84">
        <v>0</v>
      </c>
      <c r="P84" s="1">
        <v>0</v>
      </c>
      <c r="S84" s="6" t="str">
        <f t="shared" si="1"/>
        <v xml:space="preserve"> </v>
      </c>
      <c r="T84" s="6">
        <f>IF(IF(COUNTIF(H$2:$H84,H84)=1,1,"")=1,SUMIF($H$2:$H$7997,H84,$S$2:$S$7997),"")</f>
        <v>0</v>
      </c>
      <c r="W84">
        <v>0</v>
      </c>
      <c r="X84">
        <v>0</v>
      </c>
      <c r="Y84">
        <v>0</v>
      </c>
      <c r="Z84">
        <v>0</v>
      </c>
      <c r="AA84" s="2">
        <v>1</v>
      </c>
      <c r="AB84" s="2">
        <v>0</v>
      </c>
      <c r="AC84" s="2">
        <v>0</v>
      </c>
      <c r="AD84">
        <v>0</v>
      </c>
      <c r="AE84" t="s">
        <v>1863</v>
      </c>
      <c r="AF84">
        <v>0</v>
      </c>
      <c r="AG84">
        <v>1</v>
      </c>
      <c r="AH84">
        <v>0</v>
      </c>
      <c r="AI84" s="1" t="s">
        <v>418</v>
      </c>
      <c r="AJ84">
        <v>266966</v>
      </c>
      <c r="AK84" s="1" t="s">
        <v>1867</v>
      </c>
      <c r="AL84" t="s">
        <v>2025</v>
      </c>
      <c r="AN84" t="s">
        <v>2060</v>
      </c>
      <c r="AO84" t="s">
        <v>2067</v>
      </c>
      <c r="AP84" t="s">
        <v>2105</v>
      </c>
      <c r="AQ84">
        <v>128177</v>
      </c>
      <c r="AR84" s="3">
        <v>46203</v>
      </c>
      <c r="AS84" s="3">
        <v>46193</v>
      </c>
      <c r="AT84" s="3">
        <v>46193</v>
      </c>
      <c r="AU84" t="s">
        <v>2126</v>
      </c>
      <c r="AW84" s="3">
        <v>46208.53701449134</v>
      </c>
    </row>
    <row r="85" spans="1:49" ht="16" hidden="1" x14ac:dyDescent="0.2">
      <c r="A85" t="s">
        <v>109</v>
      </c>
      <c r="B85">
        <v>18610</v>
      </c>
      <c r="C85">
        <v>1665</v>
      </c>
      <c r="D85" t="s">
        <v>217</v>
      </c>
      <c r="E85" t="s">
        <v>418</v>
      </c>
      <c r="F85">
        <v>266966</v>
      </c>
      <c r="G85" t="s">
        <v>788</v>
      </c>
      <c r="H85">
        <v>587742</v>
      </c>
      <c r="I85" t="s">
        <v>1536</v>
      </c>
      <c r="J85">
        <v>7307919777</v>
      </c>
      <c r="K85" t="s">
        <v>1835</v>
      </c>
      <c r="L85" t="s">
        <v>1851</v>
      </c>
      <c r="M85" s="1">
        <v>50000</v>
      </c>
      <c r="N85" t="s">
        <v>1858</v>
      </c>
      <c r="O85">
        <v>500</v>
      </c>
      <c r="P85" s="1">
        <v>25000</v>
      </c>
      <c r="S85" s="6" t="str">
        <f t="shared" si="1"/>
        <v xml:space="preserve"> </v>
      </c>
      <c r="T85" s="6" t="str">
        <f>IF(IF(COUNTIF(H$2:$H85,H85)=1,1,"")=1,SUMIF($H$2:$H$7997,H85,$S$2:$S$7997),"")</f>
        <v/>
      </c>
      <c r="W85">
        <v>0</v>
      </c>
      <c r="X85">
        <v>0</v>
      </c>
      <c r="Y85">
        <v>0</v>
      </c>
      <c r="Z85">
        <v>0</v>
      </c>
      <c r="AA85" s="2">
        <v>1</v>
      </c>
      <c r="AB85" s="2">
        <v>0</v>
      </c>
      <c r="AC85" s="2">
        <v>0</v>
      </c>
      <c r="AD85">
        <v>0</v>
      </c>
      <c r="AE85" t="s">
        <v>1863</v>
      </c>
      <c r="AF85">
        <v>25000</v>
      </c>
      <c r="AG85">
        <v>1</v>
      </c>
      <c r="AH85">
        <v>50000</v>
      </c>
      <c r="AI85" s="1" t="s">
        <v>418</v>
      </c>
      <c r="AJ85">
        <v>266966</v>
      </c>
      <c r="AK85" s="1" t="s">
        <v>1867</v>
      </c>
      <c r="AL85" t="s">
        <v>2025</v>
      </c>
      <c r="AN85" t="s">
        <v>2060</v>
      </c>
      <c r="AO85" t="s">
        <v>2067</v>
      </c>
      <c r="AP85" t="s">
        <v>2104</v>
      </c>
      <c r="AQ85">
        <v>128177</v>
      </c>
      <c r="AR85" s="3">
        <v>46203</v>
      </c>
      <c r="AS85" s="3">
        <v>46193</v>
      </c>
      <c r="AT85" s="3">
        <v>46193</v>
      </c>
      <c r="AU85" t="s">
        <v>2126</v>
      </c>
      <c r="AW85" s="3">
        <v>46208.53701449134</v>
      </c>
    </row>
    <row r="86" spans="1:49" ht="16" hidden="1" x14ac:dyDescent="0.2">
      <c r="A86" t="s">
        <v>109</v>
      </c>
      <c r="B86">
        <v>18610</v>
      </c>
      <c r="C86">
        <v>1665</v>
      </c>
      <c r="D86" t="s">
        <v>217</v>
      </c>
      <c r="E86" t="s">
        <v>418</v>
      </c>
      <c r="F86">
        <v>266966</v>
      </c>
      <c r="G86" t="s">
        <v>788</v>
      </c>
      <c r="H86">
        <v>587742</v>
      </c>
      <c r="I86" t="s">
        <v>1549</v>
      </c>
      <c r="J86">
        <v>7312079423</v>
      </c>
      <c r="K86" t="s">
        <v>1835</v>
      </c>
      <c r="L86" t="s">
        <v>1851</v>
      </c>
      <c r="M86" s="1">
        <v>50000</v>
      </c>
      <c r="N86" t="s">
        <v>1858</v>
      </c>
      <c r="O86">
        <v>500</v>
      </c>
      <c r="P86" s="1">
        <v>25000</v>
      </c>
      <c r="S86" s="6" t="str">
        <f t="shared" si="1"/>
        <v xml:space="preserve"> </v>
      </c>
      <c r="T86" s="6" t="str">
        <f>IF(IF(COUNTIF(H$2:$H86,H86)=1,1,"")=1,SUMIF($H$2:$H$7997,H86,$S$2:$S$7997),"")</f>
        <v/>
      </c>
      <c r="W86">
        <v>0</v>
      </c>
      <c r="X86">
        <v>0</v>
      </c>
      <c r="Y86">
        <v>0</v>
      </c>
      <c r="Z86">
        <v>0</v>
      </c>
      <c r="AA86" s="2">
        <v>1</v>
      </c>
      <c r="AB86" s="2">
        <v>0</v>
      </c>
      <c r="AC86" s="2">
        <v>0</v>
      </c>
      <c r="AD86">
        <v>0</v>
      </c>
      <c r="AE86" t="s">
        <v>1863</v>
      </c>
      <c r="AF86">
        <v>25000</v>
      </c>
      <c r="AG86">
        <v>1</v>
      </c>
      <c r="AH86">
        <v>50000</v>
      </c>
      <c r="AI86" s="1" t="s">
        <v>418</v>
      </c>
      <c r="AJ86">
        <v>266966</v>
      </c>
      <c r="AK86" s="1" t="s">
        <v>1867</v>
      </c>
      <c r="AL86" t="s">
        <v>2025</v>
      </c>
      <c r="AN86" t="s">
        <v>2060</v>
      </c>
      <c r="AO86" t="s">
        <v>2067</v>
      </c>
      <c r="AP86" t="s">
        <v>2104</v>
      </c>
      <c r="AQ86">
        <v>128177</v>
      </c>
      <c r="AR86" s="3">
        <v>46203</v>
      </c>
      <c r="AS86" s="3">
        <v>46193</v>
      </c>
      <c r="AT86" s="3">
        <v>46193</v>
      </c>
      <c r="AU86" t="s">
        <v>2126</v>
      </c>
      <c r="AW86" s="3">
        <v>46208.53701449134</v>
      </c>
    </row>
    <row r="87" spans="1:49" ht="16" hidden="1" x14ac:dyDescent="0.2">
      <c r="A87" t="s">
        <v>109</v>
      </c>
      <c r="B87">
        <v>18610</v>
      </c>
      <c r="C87">
        <v>1665</v>
      </c>
      <c r="D87" t="s">
        <v>217</v>
      </c>
      <c r="E87" t="s">
        <v>418</v>
      </c>
      <c r="F87">
        <v>266966</v>
      </c>
      <c r="G87" t="s">
        <v>788</v>
      </c>
      <c r="H87">
        <v>587742</v>
      </c>
      <c r="I87" t="s">
        <v>1535</v>
      </c>
      <c r="J87">
        <v>7307919765</v>
      </c>
      <c r="K87" t="s">
        <v>1835</v>
      </c>
      <c r="L87" t="s">
        <v>1851</v>
      </c>
      <c r="M87" s="1">
        <v>50000</v>
      </c>
      <c r="N87" t="s">
        <v>1858</v>
      </c>
      <c r="O87">
        <v>500</v>
      </c>
      <c r="P87" s="1">
        <v>25000</v>
      </c>
      <c r="S87" s="6" t="str">
        <f t="shared" si="1"/>
        <v xml:space="preserve"> </v>
      </c>
      <c r="T87" s="6" t="str">
        <f>IF(IF(COUNTIF(H$2:$H87,H87)=1,1,"")=1,SUMIF($H$2:$H$7997,H87,$S$2:$S$7997),"")</f>
        <v/>
      </c>
      <c r="W87">
        <v>0</v>
      </c>
      <c r="X87">
        <v>0</v>
      </c>
      <c r="Y87">
        <v>0</v>
      </c>
      <c r="Z87">
        <v>0</v>
      </c>
      <c r="AA87" s="2">
        <v>1</v>
      </c>
      <c r="AB87" s="2">
        <v>0</v>
      </c>
      <c r="AC87" s="2">
        <v>0</v>
      </c>
      <c r="AD87">
        <v>0</v>
      </c>
      <c r="AE87" t="s">
        <v>1863</v>
      </c>
      <c r="AF87">
        <v>25000</v>
      </c>
      <c r="AG87">
        <v>1</v>
      </c>
      <c r="AH87">
        <v>50000</v>
      </c>
      <c r="AI87" s="1" t="s">
        <v>418</v>
      </c>
      <c r="AJ87">
        <v>266966</v>
      </c>
      <c r="AK87" s="1" t="s">
        <v>1867</v>
      </c>
      <c r="AL87" t="s">
        <v>2025</v>
      </c>
      <c r="AN87" t="s">
        <v>2060</v>
      </c>
      <c r="AO87" t="s">
        <v>2067</v>
      </c>
      <c r="AP87" t="s">
        <v>2104</v>
      </c>
      <c r="AQ87">
        <v>128177</v>
      </c>
      <c r="AR87" s="3">
        <v>46203</v>
      </c>
      <c r="AS87" s="3">
        <v>46193</v>
      </c>
      <c r="AT87" s="3">
        <v>46193</v>
      </c>
      <c r="AU87" t="s">
        <v>2126</v>
      </c>
      <c r="AW87" s="3">
        <v>46208.53701449134</v>
      </c>
    </row>
    <row r="88" spans="1:49" ht="16" hidden="1" x14ac:dyDescent="0.2">
      <c r="A88" t="s">
        <v>109</v>
      </c>
      <c r="B88">
        <v>18610</v>
      </c>
      <c r="C88">
        <v>1665</v>
      </c>
      <c r="D88" t="s">
        <v>217</v>
      </c>
      <c r="E88" t="s">
        <v>418</v>
      </c>
      <c r="F88">
        <v>266966</v>
      </c>
      <c r="G88" t="s">
        <v>788</v>
      </c>
      <c r="H88">
        <v>587742</v>
      </c>
      <c r="I88" t="s">
        <v>1537</v>
      </c>
      <c r="J88">
        <v>7307920440</v>
      </c>
      <c r="K88" t="s">
        <v>1835</v>
      </c>
      <c r="L88" t="s">
        <v>1851</v>
      </c>
      <c r="M88" s="1">
        <v>50000</v>
      </c>
      <c r="N88" t="s">
        <v>1858</v>
      </c>
      <c r="O88">
        <v>500</v>
      </c>
      <c r="P88" s="1">
        <v>25000</v>
      </c>
      <c r="S88" s="6" t="str">
        <f t="shared" si="1"/>
        <v xml:space="preserve"> </v>
      </c>
      <c r="T88" s="6" t="str">
        <f>IF(IF(COUNTIF(H$2:$H88,H88)=1,1,"")=1,SUMIF($H$2:$H$7997,H88,$S$2:$S$7997),"")</f>
        <v/>
      </c>
      <c r="W88">
        <v>0</v>
      </c>
      <c r="X88">
        <v>0</v>
      </c>
      <c r="Y88">
        <v>0</v>
      </c>
      <c r="Z88">
        <v>0</v>
      </c>
      <c r="AA88" s="2">
        <v>1</v>
      </c>
      <c r="AB88" s="2">
        <v>0</v>
      </c>
      <c r="AC88" s="2">
        <v>0</v>
      </c>
      <c r="AD88">
        <v>0</v>
      </c>
      <c r="AE88" t="s">
        <v>1863</v>
      </c>
      <c r="AF88">
        <v>25000</v>
      </c>
      <c r="AG88">
        <v>1</v>
      </c>
      <c r="AH88">
        <v>50000</v>
      </c>
      <c r="AI88" s="1" t="s">
        <v>418</v>
      </c>
      <c r="AJ88">
        <v>266966</v>
      </c>
      <c r="AK88" s="1" t="s">
        <v>1867</v>
      </c>
      <c r="AL88" t="s">
        <v>2025</v>
      </c>
      <c r="AN88" t="s">
        <v>2060</v>
      </c>
      <c r="AO88" t="s">
        <v>2067</v>
      </c>
      <c r="AP88" t="s">
        <v>2104</v>
      </c>
      <c r="AQ88">
        <v>128177</v>
      </c>
      <c r="AR88" s="3">
        <v>46203</v>
      </c>
      <c r="AS88" s="3">
        <v>46193</v>
      </c>
      <c r="AT88" s="3">
        <v>46193</v>
      </c>
      <c r="AU88" t="s">
        <v>2126</v>
      </c>
      <c r="AW88" s="3">
        <v>46208.53701449134</v>
      </c>
    </row>
    <row r="89" spans="1:49" ht="16" hidden="1" x14ac:dyDescent="0.2">
      <c r="A89" t="s">
        <v>109</v>
      </c>
      <c r="B89">
        <v>18610</v>
      </c>
      <c r="C89">
        <v>1665</v>
      </c>
      <c r="D89" t="s">
        <v>217</v>
      </c>
      <c r="E89" t="s">
        <v>418</v>
      </c>
      <c r="F89">
        <v>266966</v>
      </c>
      <c r="G89" t="s">
        <v>788</v>
      </c>
      <c r="H89">
        <v>587742</v>
      </c>
      <c r="I89" t="s">
        <v>1534</v>
      </c>
      <c r="J89">
        <v>7307912787</v>
      </c>
      <c r="K89" t="s">
        <v>1835</v>
      </c>
      <c r="L89" t="s">
        <v>1851</v>
      </c>
      <c r="M89" s="1">
        <v>50000</v>
      </c>
      <c r="N89" t="s">
        <v>1858</v>
      </c>
      <c r="O89">
        <v>500</v>
      </c>
      <c r="P89" s="1">
        <v>25000</v>
      </c>
      <c r="S89" s="6" t="str">
        <f t="shared" si="1"/>
        <v xml:space="preserve"> </v>
      </c>
      <c r="T89" s="6" t="str">
        <f>IF(IF(COUNTIF(H$2:$H89,H89)=1,1,"")=1,SUMIF($H$2:$H$7997,H89,$S$2:$S$7997),"")</f>
        <v/>
      </c>
      <c r="W89">
        <v>0</v>
      </c>
      <c r="X89">
        <v>0</v>
      </c>
      <c r="Y89">
        <v>0</v>
      </c>
      <c r="Z89">
        <v>0</v>
      </c>
      <c r="AA89" s="2">
        <v>1</v>
      </c>
      <c r="AB89" s="2">
        <v>0</v>
      </c>
      <c r="AC89" s="2">
        <v>0</v>
      </c>
      <c r="AD89">
        <v>0</v>
      </c>
      <c r="AE89" t="s">
        <v>1863</v>
      </c>
      <c r="AF89">
        <v>25000</v>
      </c>
      <c r="AG89">
        <v>1</v>
      </c>
      <c r="AH89">
        <v>50000</v>
      </c>
      <c r="AI89" s="1" t="s">
        <v>418</v>
      </c>
      <c r="AJ89">
        <v>266966</v>
      </c>
      <c r="AK89" s="1" t="s">
        <v>1867</v>
      </c>
      <c r="AL89" t="s">
        <v>2025</v>
      </c>
      <c r="AN89" t="s">
        <v>2060</v>
      </c>
      <c r="AO89" t="s">
        <v>2067</v>
      </c>
      <c r="AP89" t="s">
        <v>2106</v>
      </c>
      <c r="AQ89">
        <v>128177</v>
      </c>
      <c r="AR89" s="3">
        <v>46203</v>
      </c>
      <c r="AS89" s="3">
        <v>46193</v>
      </c>
      <c r="AT89" s="3">
        <v>46193</v>
      </c>
      <c r="AU89" t="s">
        <v>2126</v>
      </c>
      <c r="AW89" s="3">
        <v>46208.53701449134</v>
      </c>
    </row>
    <row r="90" spans="1:49" ht="16" hidden="1" x14ac:dyDescent="0.2">
      <c r="A90" t="s">
        <v>77</v>
      </c>
      <c r="B90">
        <v>11515</v>
      </c>
      <c r="C90">
        <v>4694</v>
      </c>
      <c r="D90" t="s">
        <v>143</v>
      </c>
      <c r="E90" t="s">
        <v>414</v>
      </c>
      <c r="F90">
        <v>272050</v>
      </c>
      <c r="G90" t="s">
        <v>769</v>
      </c>
      <c r="H90">
        <v>595758</v>
      </c>
      <c r="I90" t="s">
        <v>1501</v>
      </c>
      <c r="J90">
        <v>95091062</v>
      </c>
      <c r="K90" t="s">
        <v>1835</v>
      </c>
      <c r="L90" t="s">
        <v>1850</v>
      </c>
      <c r="M90" s="1">
        <v>20</v>
      </c>
      <c r="N90" t="s">
        <v>1853</v>
      </c>
      <c r="O90">
        <v>1418</v>
      </c>
      <c r="P90" s="1">
        <v>28.36</v>
      </c>
      <c r="S90" s="6" t="str">
        <f t="shared" si="1"/>
        <v xml:space="preserve"> </v>
      </c>
      <c r="T90" s="6">
        <f>IF(IF(COUNTIF(H$2:$H90,H90)=1,1,"")=1,SUMIF($H$2:$H$7997,H90,$S$2:$S$7997),"")</f>
        <v>0</v>
      </c>
      <c r="W90">
        <v>1192</v>
      </c>
      <c r="X90">
        <v>1192</v>
      </c>
      <c r="Y90">
        <v>1418</v>
      </c>
      <c r="Z90">
        <v>1418</v>
      </c>
      <c r="AA90" s="2">
        <v>1</v>
      </c>
      <c r="AB90" s="2">
        <v>1.1899999071800069</v>
      </c>
      <c r="AC90" s="2">
        <v>0</v>
      </c>
      <c r="AD90">
        <v>0</v>
      </c>
      <c r="AE90" t="s">
        <v>1862</v>
      </c>
      <c r="AF90">
        <v>14.17</v>
      </c>
      <c r="AG90">
        <v>5000000</v>
      </c>
      <c r="AH90">
        <v>100000</v>
      </c>
      <c r="AI90" s="1" t="s">
        <v>414</v>
      </c>
      <c r="AJ90">
        <v>95091055</v>
      </c>
      <c r="AK90" s="1" t="s">
        <v>1867</v>
      </c>
      <c r="AL90" t="s">
        <v>2022</v>
      </c>
      <c r="AN90" t="s">
        <v>2043</v>
      </c>
      <c r="AO90" t="s">
        <v>2067</v>
      </c>
      <c r="AP90" t="s">
        <v>2091</v>
      </c>
      <c r="AQ90">
        <v>133681</v>
      </c>
      <c r="AR90" s="3">
        <v>46203</v>
      </c>
      <c r="AS90" s="3">
        <v>46202</v>
      </c>
      <c r="AT90" s="3">
        <v>46292</v>
      </c>
      <c r="AU90" t="s">
        <v>2123</v>
      </c>
      <c r="AW90" s="3">
        <v>46208.53701449134</v>
      </c>
    </row>
    <row r="91" spans="1:49" ht="16" hidden="1" x14ac:dyDescent="0.2">
      <c r="A91" t="s">
        <v>77</v>
      </c>
      <c r="B91">
        <v>11515</v>
      </c>
      <c r="C91">
        <v>4694</v>
      </c>
      <c r="D91" t="s">
        <v>143</v>
      </c>
      <c r="E91" t="s">
        <v>272</v>
      </c>
      <c r="F91">
        <v>264956</v>
      </c>
      <c r="G91" t="s">
        <v>503</v>
      </c>
      <c r="H91">
        <v>573888</v>
      </c>
      <c r="I91" t="s">
        <v>1002</v>
      </c>
      <c r="J91">
        <v>93558513</v>
      </c>
      <c r="K91" t="s">
        <v>1835</v>
      </c>
      <c r="L91" t="s">
        <v>1850</v>
      </c>
      <c r="M91" s="1">
        <v>20</v>
      </c>
      <c r="N91" t="s">
        <v>1853</v>
      </c>
      <c r="O91">
        <v>106003</v>
      </c>
      <c r="P91" s="1">
        <v>385.75</v>
      </c>
      <c r="S91" s="6" t="str">
        <f t="shared" si="1"/>
        <v xml:space="preserve"> </v>
      </c>
      <c r="T91" s="6">
        <f>IF(IF(COUNTIF(H$2:$H91,H91)=1,1,"")=1,SUMIF($H$2:$H$7997,H91,$S$2:$S$7997),"")</f>
        <v>0</v>
      </c>
      <c r="W91">
        <v>85371</v>
      </c>
      <c r="X91">
        <v>85371</v>
      </c>
      <c r="Y91">
        <v>106003</v>
      </c>
      <c r="Z91">
        <v>106003</v>
      </c>
      <c r="AA91" s="2">
        <v>1</v>
      </c>
      <c r="AB91" s="2">
        <v>1.241677591534788</v>
      </c>
      <c r="AC91" s="2">
        <v>0</v>
      </c>
      <c r="AD91">
        <v>0</v>
      </c>
      <c r="AE91" t="s">
        <v>1864</v>
      </c>
      <c r="AF91">
        <v>385.75</v>
      </c>
      <c r="AG91">
        <v>87500</v>
      </c>
      <c r="AH91">
        <v>1750</v>
      </c>
      <c r="AI91" s="1" t="s">
        <v>272</v>
      </c>
      <c r="AJ91">
        <v>92909732</v>
      </c>
      <c r="AK91" s="1" t="s">
        <v>1867</v>
      </c>
      <c r="AL91" t="s">
        <v>1910</v>
      </c>
      <c r="AN91" t="s">
        <v>2043</v>
      </c>
      <c r="AO91" t="s">
        <v>2067</v>
      </c>
      <c r="AP91" t="s">
        <v>2091</v>
      </c>
      <c r="AQ91">
        <v>121426</v>
      </c>
      <c r="AR91" s="3">
        <v>46203</v>
      </c>
      <c r="AS91" s="3">
        <v>46112</v>
      </c>
      <c r="AT91" s="3">
        <v>46201</v>
      </c>
      <c r="AU91" t="s">
        <v>2123</v>
      </c>
      <c r="AW91" s="3">
        <v>46208.53701449134</v>
      </c>
    </row>
    <row r="92" spans="1:49" ht="16" hidden="1" x14ac:dyDescent="0.2">
      <c r="A92" t="s">
        <v>77</v>
      </c>
      <c r="B92">
        <v>11515</v>
      </c>
      <c r="C92">
        <v>4694</v>
      </c>
      <c r="D92" t="s">
        <v>143</v>
      </c>
      <c r="E92" t="s">
        <v>272</v>
      </c>
      <c r="F92">
        <v>264956</v>
      </c>
      <c r="G92" t="s">
        <v>503</v>
      </c>
      <c r="H92">
        <v>573888</v>
      </c>
      <c r="I92" t="s">
        <v>1463</v>
      </c>
      <c r="J92">
        <v>94909490</v>
      </c>
      <c r="K92" t="s">
        <v>1843</v>
      </c>
      <c r="L92" t="s">
        <v>1851</v>
      </c>
      <c r="M92" s="1">
        <v>20</v>
      </c>
      <c r="N92" t="s">
        <v>1858</v>
      </c>
      <c r="O92">
        <v>418342</v>
      </c>
      <c r="P92" s="1">
        <v>8366.83</v>
      </c>
      <c r="S92" s="6" t="str">
        <f t="shared" si="1"/>
        <v xml:space="preserve"> </v>
      </c>
      <c r="T92" s="6" t="str">
        <f>IF(IF(COUNTIF(H$2:$H92,H92)=1,1,"")=1,SUMIF($H$2:$H$7997,H92,$S$2:$S$7997),"")</f>
        <v/>
      </c>
      <c r="W92">
        <v>1950158</v>
      </c>
      <c r="X92">
        <v>1950158</v>
      </c>
      <c r="Y92">
        <v>0</v>
      </c>
      <c r="Z92">
        <v>0</v>
      </c>
      <c r="AA92" s="2">
        <v>1</v>
      </c>
      <c r="AB92" s="2">
        <v>0</v>
      </c>
      <c r="AC92" s="2">
        <v>0</v>
      </c>
      <c r="AD92">
        <v>0</v>
      </c>
      <c r="AE92" t="s">
        <v>1864</v>
      </c>
      <c r="AF92">
        <v>8366.83</v>
      </c>
      <c r="AG92">
        <v>1897860</v>
      </c>
      <c r="AH92">
        <v>37957.199999999997</v>
      </c>
      <c r="AI92" s="1" t="s">
        <v>272</v>
      </c>
      <c r="AJ92">
        <v>92909732</v>
      </c>
      <c r="AK92" s="1" t="s">
        <v>1867</v>
      </c>
      <c r="AL92" t="s">
        <v>1910</v>
      </c>
      <c r="AN92" t="s">
        <v>2043</v>
      </c>
      <c r="AO92" t="s">
        <v>2067</v>
      </c>
      <c r="AP92" t="s">
        <v>2099</v>
      </c>
      <c r="AQ92">
        <v>121426</v>
      </c>
      <c r="AR92" s="3">
        <v>46203</v>
      </c>
      <c r="AS92" s="3">
        <v>46112</v>
      </c>
      <c r="AT92" s="3">
        <v>46201</v>
      </c>
      <c r="AU92" t="s">
        <v>2125</v>
      </c>
      <c r="AW92" s="3">
        <v>46208.53701449134</v>
      </c>
    </row>
    <row r="93" spans="1:49" ht="16" hidden="1" x14ac:dyDescent="0.2">
      <c r="A93" t="s">
        <v>66</v>
      </c>
      <c r="B93">
        <v>11691</v>
      </c>
      <c r="C93">
        <v>5988</v>
      </c>
      <c r="D93" t="s">
        <v>130</v>
      </c>
      <c r="E93" t="s">
        <v>252</v>
      </c>
      <c r="F93">
        <v>264810</v>
      </c>
      <c r="G93" t="s">
        <v>465</v>
      </c>
      <c r="H93">
        <v>573336</v>
      </c>
      <c r="I93" t="s">
        <v>955</v>
      </c>
      <c r="J93">
        <v>92911180</v>
      </c>
      <c r="K93" t="s">
        <v>1840</v>
      </c>
      <c r="L93" t="s">
        <v>1850</v>
      </c>
      <c r="M93" s="1">
        <v>17.46</v>
      </c>
      <c r="N93" t="s">
        <v>1855</v>
      </c>
      <c r="O93">
        <v>2564410</v>
      </c>
      <c r="P93" s="1">
        <v>44774.6</v>
      </c>
      <c r="S93" s="6" t="str">
        <f t="shared" si="1"/>
        <v xml:space="preserve"> </v>
      </c>
      <c r="T93" s="6">
        <f>IF(IF(COUNTIF(H$2:$H93,H93)=1,1,"")=1,SUMIF($H$2:$H$7997,H93,$S$2:$S$7997),"")</f>
        <v>0</v>
      </c>
      <c r="V93" t="s">
        <v>1860</v>
      </c>
      <c r="W93">
        <v>1803031</v>
      </c>
      <c r="X93">
        <v>2564410</v>
      </c>
      <c r="Y93">
        <v>0</v>
      </c>
      <c r="Z93">
        <v>0</v>
      </c>
      <c r="AA93" s="2">
        <v>1</v>
      </c>
      <c r="AB93" s="2">
        <v>0</v>
      </c>
      <c r="AC93" s="2">
        <v>0</v>
      </c>
      <c r="AD93">
        <v>0</v>
      </c>
      <c r="AE93" t="s">
        <v>1862</v>
      </c>
      <c r="AF93">
        <v>29198.32</v>
      </c>
      <c r="AG93">
        <v>7159221</v>
      </c>
      <c r="AH93">
        <v>125000</v>
      </c>
      <c r="AI93" s="1" t="s">
        <v>252</v>
      </c>
      <c r="AJ93">
        <v>92911177</v>
      </c>
      <c r="AK93" s="1" t="s">
        <v>1868</v>
      </c>
      <c r="AL93" t="s">
        <v>1891</v>
      </c>
      <c r="AN93" t="s">
        <v>2050</v>
      </c>
      <c r="AO93" t="s">
        <v>2067</v>
      </c>
      <c r="AP93" t="s">
        <v>2083</v>
      </c>
      <c r="AQ93">
        <v>122756</v>
      </c>
      <c r="AR93" s="3">
        <v>46203</v>
      </c>
      <c r="AS93" s="3">
        <v>46113</v>
      </c>
      <c r="AT93" s="3">
        <v>46201</v>
      </c>
      <c r="AU93" t="s">
        <v>2123</v>
      </c>
      <c r="AW93" s="3">
        <v>46208.53701449134</v>
      </c>
    </row>
    <row r="94" spans="1:49" ht="16" hidden="1" x14ac:dyDescent="0.2">
      <c r="A94" t="s">
        <v>85</v>
      </c>
      <c r="B94">
        <v>11737</v>
      </c>
      <c r="C94">
        <v>5954</v>
      </c>
      <c r="D94" t="s">
        <v>154</v>
      </c>
      <c r="E94" t="s">
        <v>291</v>
      </c>
      <c r="F94">
        <v>257222</v>
      </c>
      <c r="G94" t="s">
        <v>532</v>
      </c>
      <c r="H94">
        <v>583535</v>
      </c>
      <c r="I94" t="s">
        <v>1050</v>
      </c>
      <c r="J94">
        <v>93796299</v>
      </c>
      <c r="K94" t="s">
        <v>1839</v>
      </c>
      <c r="L94" t="s">
        <v>1850</v>
      </c>
      <c r="M94" s="1">
        <v>40</v>
      </c>
      <c r="N94" t="s">
        <v>23</v>
      </c>
      <c r="O94">
        <v>4897238</v>
      </c>
      <c r="P94" s="1">
        <v>195889.52</v>
      </c>
      <c r="S94" s="6" t="str">
        <f t="shared" si="1"/>
        <v xml:space="preserve"> </v>
      </c>
      <c r="T94" s="6">
        <f>IF(IF(COUNTIF(H$2:$H94,H94)=1,1,"")=1,SUMIF($H$2:$H$7997,H94,$S$2:$S$7997),"")</f>
        <v>0</v>
      </c>
      <c r="W94">
        <v>4897238</v>
      </c>
      <c r="X94">
        <v>4897238</v>
      </c>
      <c r="Y94">
        <v>0</v>
      </c>
      <c r="Z94">
        <v>0</v>
      </c>
      <c r="AA94" s="2">
        <v>1</v>
      </c>
      <c r="AB94" s="2">
        <v>0</v>
      </c>
      <c r="AC94" s="2">
        <v>0</v>
      </c>
      <c r="AD94">
        <v>0</v>
      </c>
      <c r="AE94" t="s">
        <v>1862</v>
      </c>
      <c r="AF94">
        <v>99241.53</v>
      </c>
      <c r="AG94">
        <v>7437500</v>
      </c>
      <c r="AH94">
        <v>297500</v>
      </c>
      <c r="AI94" s="1" t="s">
        <v>291</v>
      </c>
      <c r="AJ94">
        <v>93796293</v>
      </c>
      <c r="AK94" s="1" t="s">
        <v>1867</v>
      </c>
      <c r="AL94" t="s">
        <v>1925</v>
      </c>
      <c r="AN94" t="s">
        <v>2058</v>
      </c>
      <c r="AO94" t="s">
        <v>2067</v>
      </c>
      <c r="AP94" t="s">
        <v>2094</v>
      </c>
      <c r="AQ94">
        <v>127516</v>
      </c>
      <c r="AR94" s="3">
        <v>46203</v>
      </c>
      <c r="AS94" s="3">
        <v>46184</v>
      </c>
      <c r="AT94" s="3">
        <v>46222</v>
      </c>
      <c r="AU94" t="s">
        <v>2124</v>
      </c>
      <c r="AW94" s="3">
        <v>46208.53701449134</v>
      </c>
    </row>
    <row r="95" spans="1:49" ht="16" hidden="1" x14ac:dyDescent="0.2">
      <c r="A95" t="s">
        <v>85</v>
      </c>
      <c r="B95">
        <v>11737</v>
      </c>
      <c r="C95">
        <v>5954</v>
      </c>
      <c r="D95" t="s">
        <v>154</v>
      </c>
      <c r="E95" t="s">
        <v>291</v>
      </c>
      <c r="F95">
        <v>257222</v>
      </c>
      <c r="G95" t="s">
        <v>532</v>
      </c>
      <c r="H95">
        <v>583535</v>
      </c>
      <c r="I95" t="s">
        <v>1049</v>
      </c>
      <c r="J95">
        <v>93796296</v>
      </c>
      <c r="K95" t="s">
        <v>1835</v>
      </c>
      <c r="L95" t="s">
        <v>1850</v>
      </c>
      <c r="M95" s="1">
        <v>40</v>
      </c>
      <c r="N95" t="s">
        <v>23</v>
      </c>
      <c r="O95">
        <v>8877808</v>
      </c>
      <c r="P95" s="1">
        <v>355112.32</v>
      </c>
      <c r="S95" s="6" t="str">
        <f t="shared" si="1"/>
        <v xml:space="preserve"> </v>
      </c>
      <c r="T95" s="6" t="str">
        <f>IF(IF(COUNTIF(H$2:$H95,H95)=1,1,"")=1,SUMIF($H$2:$H$7997,H95,$S$2:$S$7997),"")</f>
        <v/>
      </c>
      <c r="W95">
        <v>8877808</v>
      </c>
      <c r="X95">
        <v>8877808</v>
      </c>
      <c r="Y95">
        <v>0</v>
      </c>
      <c r="Z95">
        <v>0</v>
      </c>
      <c r="AA95" s="2">
        <v>1</v>
      </c>
      <c r="AB95" s="2">
        <v>0</v>
      </c>
      <c r="AC95" s="2">
        <v>0</v>
      </c>
      <c r="AD95">
        <v>0</v>
      </c>
      <c r="AE95" t="s">
        <v>1862</v>
      </c>
      <c r="AF95">
        <v>175966.07</v>
      </c>
      <c r="AG95">
        <v>13187500</v>
      </c>
      <c r="AH95">
        <v>527500</v>
      </c>
      <c r="AI95" s="1" t="s">
        <v>291</v>
      </c>
      <c r="AJ95">
        <v>93796293</v>
      </c>
      <c r="AK95" s="1" t="s">
        <v>1867</v>
      </c>
      <c r="AL95" t="s">
        <v>1925</v>
      </c>
      <c r="AN95" t="s">
        <v>2058</v>
      </c>
      <c r="AO95" t="s">
        <v>2067</v>
      </c>
      <c r="AP95" t="s">
        <v>2092</v>
      </c>
      <c r="AQ95">
        <v>127516</v>
      </c>
      <c r="AR95" s="3">
        <v>46203</v>
      </c>
      <c r="AS95" s="3">
        <v>46184</v>
      </c>
      <c r="AT95" s="3">
        <v>46222</v>
      </c>
      <c r="AU95" t="s">
        <v>2123</v>
      </c>
      <c r="AW95" s="3">
        <v>46208.53701449134</v>
      </c>
    </row>
    <row r="96" spans="1:49" ht="16" hidden="1" x14ac:dyDescent="0.2">
      <c r="A96" t="s">
        <v>85</v>
      </c>
      <c r="B96">
        <v>11737</v>
      </c>
      <c r="C96">
        <v>5954</v>
      </c>
      <c r="D96" t="s">
        <v>154</v>
      </c>
      <c r="E96" t="s">
        <v>291</v>
      </c>
      <c r="F96">
        <v>257222</v>
      </c>
      <c r="G96" t="s">
        <v>783</v>
      </c>
      <c r="H96">
        <v>583538</v>
      </c>
      <c r="I96" t="s">
        <v>1524</v>
      </c>
      <c r="J96">
        <v>7303325458</v>
      </c>
      <c r="K96" t="s">
        <v>1835</v>
      </c>
      <c r="L96" t="s">
        <v>1850</v>
      </c>
      <c r="M96" s="1">
        <v>6</v>
      </c>
      <c r="N96" t="s">
        <v>23</v>
      </c>
      <c r="O96">
        <v>0</v>
      </c>
      <c r="P96" s="1">
        <v>0</v>
      </c>
      <c r="S96" s="6" t="str">
        <f t="shared" si="1"/>
        <v xml:space="preserve"> </v>
      </c>
      <c r="T96" s="6">
        <f>IF(IF(COUNTIF(H$2:$H96,H96)=1,1,"")=1,SUMIF($H$2:$H$7997,H96,$S$2:$S$7997),"")</f>
        <v>0</v>
      </c>
      <c r="W96">
        <v>0</v>
      </c>
      <c r="X96">
        <v>0</v>
      </c>
      <c r="Y96">
        <v>0</v>
      </c>
      <c r="Z96">
        <v>0</v>
      </c>
      <c r="AA96" s="2">
        <v>1</v>
      </c>
      <c r="AB96" s="2">
        <v>0</v>
      </c>
      <c r="AC96" s="2">
        <v>0</v>
      </c>
      <c r="AD96">
        <v>0</v>
      </c>
      <c r="AE96" t="s">
        <v>1862</v>
      </c>
      <c r="AF96">
        <v>28405.97</v>
      </c>
      <c r="AG96">
        <v>16666667</v>
      </c>
      <c r="AH96">
        <v>100000</v>
      </c>
      <c r="AI96" s="1" t="s">
        <v>291</v>
      </c>
      <c r="AJ96">
        <v>257222</v>
      </c>
      <c r="AK96" s="1" t="s">
        <v>1867</v>
      </c>
      <c r="AL96" t="s">
        <v>1925</v>
      </c>
      <c r="AN96" t="s">
        <v>2058</v>
      </c>
      <c r="AO96" t="s">
        <v>2067</v>
      </c>
      <c r="AP96" t="s">
        <v>2103</v>
      </c>
      <c r="AQ96">
        <v>127516</v>
      </c>
      <c r="AR96" s="3">
        <v>46203</v>
      </c>
      <c r="AS96" s="3">
        <v>46184</v>
      </c>
      <c r="AT96" s="3">
        <v>46222</v>
      </c>
      <c r="AU96" t="s">
        <v>2126</v>
      </c>
      <c r="AW96" s="3">
        <v>46208.53701449134</v>
      </c>
    </row>
    <row r="97" spans="1:49" ht="16" hidden="1" x14ac:dyDescent="0.2">
      <c r="A97" t="s">
        <v>85</v>
      </c>
      <c r="B97">
        <v>11737</v>
      </c>
      <c r="C97">
        <v>5954</v>
      </c>
      <c r="D97" t="s">
        <v>154</v>
      </c>
      <c r="E97" t="s">
        <v>291</v>
      </c>
      <c r="F97">
        <v>257222</v>
      </c>
      <c r="G97" t="s">
        <v>533</v>
      </c>
      <c r="H97">
        <v>583540</v>
      </c>
      <c r="I97" t="s">
        <v>1051</v>
      </c>
      <c r="J97">
        <v>93796302</v>
      </c>
      <c r="K97" t="s">
        <v>1835</v>
      </c>
      <c r="L97" t="s">
        <v>1850</v>
      </c>
      <c r="M97" s="1">
        <v>20</v>
      </c>
      <c r="N97" t="s">
        <v>1853</v>
      </c>
      <c r="O97">
        <v>3048999</v>
      </c>
      <c r="P97" s="1">
        <v>60979.98</v>
      </c>
      <c r="S97" s="6" t="str">
        <f t="shared" si="1"/>
        <v xml:space="preserve"> </v>
      </c>
      <c r="T97" s="6">
        <f>IF(IF(COUNTIF(H$2:$H97,H97)=1,1,"")=1,SUMIF($H$2:$H$7997,H97,$S$2:$S$7997),"")</f>
        <v>0</v>
      </c>
      <c r="W97">
        <v>2743851</v>
      </c>
      <c r="X97">
        <v>2743851</v>
      </c>
      <c r="Y97">
        <v>3048999</v>
      </c>
      <c r="Z97">
        <v>3048999</v>
      </c>
      <c r="AA97" s="2">
        <v>1</v>
      </c>
      <c r="AB97" s="2">
        <v>1.1112117516427911</v>
      </c>
      <c r="AC97" s="2">
        <v>0</v>
      </c>
      <c r="AD97">
        <v>0</v>
      </c>
      <c r="AE97" t="s">
        <v>1862</v>
      </c>
      <c r="AF97">
        <v>19926.400000000001</v>
      </c>
      <c r="AG97">
        <v>6541900</v>
      </c>
      <c r="AH97">
        <v>130838</v>
      </c>
      <c r="AI97" s="1" t="s">
        <v>291</v>
      </c>
      <c r="AJ97">
        <v>93796293</v>
      </c>
      <c r="AK97" s="1" t="s">
        <v>1867</v>
      </c>
      <c r="AL97" t="s">
        <v>1925</v>
      </c>
      <c r="AN97" t="s">
        <v>2058</v>
      </c>
      <c r="AO97" t="s">
        <v>2067</v>
      </c>
      <c r="AP97" t="s">
        <v>2091</v>
      </c>
      <c r="AQ97">
        <v>127516</v>
      </c>
      <c r="AR97" s="3">
        <v>46203</v>
      </c>
      <c r="AS97" s="3">
        <v>46184</v>
      </c>
      <c r="AT97" s="3">
        <v>46222</v>
      </c>
      <c r="AU97" t="s">
        <v>2123</v>
      </c>
      <c r="AW97" s="3">
        <v>46208.53701449134</v>
      </c>
    </row>
    <row r="98" spans="1:49" ht="16" hidden="1" x14ac:dyDescent="0.2">
      <c r="A98" t="s">
        <v>85</v>
      </c>
      <c r="B98">
        <v>11737</v>
      </c>
      <c r="C98">
        <v>5954</v>
      </c>
      <c r="D98" t="s">
        <v>154</v>
      </c>
      <c r="E98" t="s">
        <v>291</v>
      </c>
      <c r="F98">
        <v>257222</v>
      </c>
      <c r="G98" t="s">
        <v>533</v>
      </c>
      <c r="H98">
        <v>583540</v>
      </c>
      <c r="I98" t="s">
        <v>1466</v>
      </c>
      <c r="J98">
        <v>94961195</v>
      </c>
      <c r="K98" t="s">
        <v>1843</v>
      </c>
      <c r="L98" t="s">
        <v>1850</v>
      </c>
      <c r="M98" s="1">
        <v>20</v>
      </c>
      <c r="N98" t="s">
        <v>23</v>
      </c>
      <c r="O98">
        <v>1032574</v>
      </c>
      <c r="P98" s="1">
        <v>20651.48</v>
      </c>
      <c r="S98" s="6" t="str">
        <f t="shared" si="1"/>
        <v xml:space="preserve"> </v>
      </c>
      <c r="T98" s="6" t="str">
        <f>IF(IF(COUNTIF(H$2:$H98,H98)=1,1,"")=1,SUMIF($H$2:$H$7997,H98,$S$2:$S$7997),"")</f>
        <v/>
      </c>
      <c r="W98">
        <v>1032574</v>
      </c>
      <c r="X98">
        <v>1032574</v>
      </c>
      <c r="Y98">
        <v>0</v>
      </c>
      <c r="Z98">
        <v>0</v>
      </c>
      <c r="AA98" s="2">
        <v>1</v>
      </c>
      <c r="AB98" s="2">
        <v>0</v>
      </c>
      <c r="AC98" s="2">
        <v>0</v>
      </c>
      <c r="AD98">
        <v>0</v>
      </c>
      <c r="AE98" t="s">
        <v>1862</v>
      </c>
      <c r="AF98">
        <v>10533.25</v>
      </c>
      <c r="AG98">
        <v>3458100</v>
      </c>
      <c r="AH98">
        <v>69162</v>
      </c>
      <c r="AI98" s="1" t="s">
        <v>291</v>
      </c>
      <c r="AJ98">
        <v>93796293</v>
      </c>
      <c r="AK98" s="1" t="s">
        <v>1867</v>
      </c>
      <c r="AL98" t="s">
        <v>1925</v>
      </c>
      <c r="AN98" t="s">
        <v>2058</v>
      </c>
      <c r="AO98" t="s">
        <v>2067</v>
      </c>
      <c r="AP98" t="s">
        <v>2099</v>
      </c>
      <c r="AQ98">
        <v>127516</v>
      </c>
      <c r="AR98" s="3">
        <v>46203</v>
      </c>
      <c r="AS98" s="3">
        <v>46184</v>
      </c>
      <c r="AT98" s="3">
        <v>46222</v>
      </c>
      <c r="AU98" t="s">
        <v>2125</v>
      </c>
      <c r="AW98" s="3">
        <v>46208.53701449134</v>
      </c>
    </row>
    <row r="99" spans="1:49" ht="16" hidden="1" x14ac:dyDescent="0.2">
      <c r="A99" t="s">
        <v>85</v>
      </c>
      <c r="B99">
        <v>11737</v>
      </c>
      <c r="C99">
        <v>8942</v>
      </c>
      <c r="D99" t="s">
        <v>200</v>
      </c>
      <c r="E99" t="s">
        <v>377</v>
      </c>
      <c r="F99">
        <v>264794</v>
      </c>
      <c r="G99" t="s">
        <v>701</v>
      </c>
      <c r="H99">
        <v>592162</v>
      </c>
      <c r="I99" t="s">
        <v>1358</v>
      </c>
      <c r="J99">
        <v>94436556</v>
      </c>
      <c r="K99" t="s">
        <v>1843</v>
      </c>
      <c r="L99" t="s">
        <v>1850</v>
      </c>
      <c r="M99" s="1">
        <v>25</v>
      </c>
      <c r="N99" t="s">
        <v>23</v>
      </c>
      <c r="O99">
        <v>114384</v>
      </c>
      <c r="P99" s="1">
        <v>2795.23</v>
      </c>
      <c r="S99" s="6" t="str">
        <f t="shared" si="1"/>
        <v xml:space="preserve"> </v>
      </c>
      <c r="T99" s="6">
        <f>IF(IF(COUNTIF(H$2:$H99,H99)=1,1,"")=1,SUMIF($H$2:$H$7997,H99,$S$2:$S$7997),"")</f>
        <v>0</v>
      </c>
      <c r="W99">
        <v>114384</v>
      </c>
      <c r="X99">
        <v>114384</v>
      </c>
      <c r="Y99">
        <v>0</v>
      </c>
      <c r="Z99">
        <v>0</v>
      </c>
      <c r="AA99" s="2">
        <v>1</v>
      </c>
      <c r="AB99" s="2">
        <v>0.99224483422682563</v>
      </c>
      <c r="AC99" s="2">
        <v>0</v>
      </c>
      <c r="AD99">
        <v>0</v>
      </c>
      <c r="AE99" t="s">
        <v>1862</v>
      </c>
      <c r="AF99">
        <v>1394.04</v>
      </c>
      <c r="AG99">
        <v>111809</v>
      </c>
      <c r="AH99">
        <v>2795.23</v>
      </c>
      <c r="AI99" s="1" t="s">
        <v>377</v>
      </c>
      <c r="AJ99">
        <v>93775179</v>
      </c>
      <c r="AK99" s="1" t="s">
        <v>1867</v>
      </c>
      <c r="AL99" t="s">
        <v>1993</v>
      </c>
      <c r="AN99" t="s">
        <v>2058</v>
      </c>
      <c r="AO99" t="s">
        <v>2067</v>
      </c>
      <c r="AP99" t="s">
        <v>2099</v>
      </c>
      <c r="AQ99">
        <v>130141</v>
      </c>
      <c r="AR99" s="3">
        <v>46203</v>
      </c>
      <c r="AS99" s="3">
        <v>46176</v>
      </c>
      <c r="AT99" s="3">
        <v>46180</v>
      </c>
      <c r="AU99" t="s">
        <v>2125</v>
      </c>
      <c r="AW99" s="3">
        <v>46208.53701449134</v>
      </c>
    </row>
    <row r="100" spans="1:49" ht="16" hidden="1" x14ac:dyDescent="0.2">
      <c r="A100" t="s">
        <v>85</v>
      </c>
      <c r="B100">
        <v>11737</v>
      </c>
      <c r="C100">
        <v>8981</v>
      </c>
      <c r="D100" t="s">
        <v>157</v>
      </c>
      <c r="E100" t="s">
        <v>374</v>
      </c>
      <c r="F100">
        <v>261965</v>
      </c>
      <c r="G100" t="s">
        <v>695</v>
      </c>
      <c r="H100">
        <v>581358</v>
      </c>
      <c r="I100" t="s">
        <v>1346</v>
      </c>
      <c r="J100">
        <v>94399507</v>
      </c>
      <c r="K100" t="s">
        <v>1839</v>
      </c>
      <c r="L100" t="s">
        <v>1850</v>
      </c>
      <c r="M100" s="1">
        <v>40</v>
      </c>
      <c r="N100" t="s">
        <v>23</v>
      </c>
      <c r="O100">
        <v>425670</v>
      </c>
      <c r="P100" s="1">
        <v>15100</v>
      </c>
      <c r="S100" s="6" t="str">
        <f t="shared" si="1"/>
        <v xml:space="preserve"> </v>
      </c>
      <c r="T100" s="6">
        <f>IF(IF(COUNTIF(H$2:$H100,H100)=1,1,"")=1,SUMIF($H$2:$H$7997,H100,$S$2:$S$7997),"")</f>
        <v>0</v>
      </c>
      <c r="W100">
        <v>425670</v>
      </c>
      <c r="X100">
        <v>425670</v>
      </c>
      <c r="Y100">
        <v>0</v>
      </c>
      <c r="Z100">
        <v>0</v>
      </c>
      <c r="AA100" s="2">
        <v>1</v>
      </c>
      <c r="AB100" s="2">
        <v>0</v>
      </c>
      <c r="AC100" s="2">
        <v>0</v>
      </c>
      <c r="AD100">
        <v>0</v>
      </c>
      <c r="AE100" t="s">
        <v>1862</v>
      </c>
      <c r="AF100">
        <v>7548.84</v>
      </c>
      <c r="AG100">
        <v>377500</v>
      </c>
      <c r="AH100">
        <v>15100</v>
      </c>
      <c r="AI100" s="1" t="s">
        <v>374</v>
      </c>
      <c r="AJ100">
        <v>94399500</v>
      </c>
      <c r="AK100" s="1" t="s">
        <v>1867</v>
      </c>
      <c r="AL100" t="s">
        <v>1991</v>
      </c>
      <c r="AN100" t="s">
        <v>2061</v>
      </c>
      <c r="AO100" t="s">
        <v>2067</v>
      </c>
      <c r="AP100" t="s">
        <v>2094</v>
      </c>
      <c r="AQ100">
        <v>130009</v>
      </c>
      <c r="AR100" s="3">
        <v>46203</v>
      </c>
      <c r="AS100" s="3">
        <v>46184</v>
      </c>
      <c r="AT100" s="3">
        <v>46192</v>
      </c>
      <c r="AU100" t="s">
        <v>2124</v>
      </c>
      <c r="AW100" s="3">
        <v>46208.53701449134</v>
      </c>
    </row>
    <row r="101" spans="1:49" ht="16" hidden="1" x14ac:dyDescent="0.2">
      <c r="A101" t="s">
        <v>85</v>
      </c>
      <c r="B101">
        <v>11737</v>
      </c>
      <c r="C101">
        <v>8981</v>
      </c>
      <c r="D101" t="s">
        <v>157</v>
      </c>
      <c r="E101" t="s">
        <v>374</v>
      </c>
      <c r="F101">
        <v>261965</v>
      </c>
      <c r="G101" t="s">
        <v>695</v>
      </c>
      <c r="H101">
        <v>581358</v>
      </c>
      <c r="I101" t="s">
        <v>1347</v>
      </c>
      <c r="J101">
        <v>94399524</v>
      </c>
      <c r="K101" t="s">
        <v>1835</v>
      </c>
      <c r="L101" t="s">
        <v>1850</v>
      </c>
      <c r="M101" s="1">
        <v>40</v>
      </c>
      <c r="N101" t="s">
        <v>23</v>
      </c>
      <c r="O101">
        <v>112967</v>
      </c>
      <c r="P101" s="1">
        <v>4518.68</v>
      </c>
      <c r="S101" s="6" t="str">
        <f t="shared" si="1"/>
        <v xml:space="preserve"> </v>
      </c>
      <c r="T101" s="6" t="str">
        <f>IF(IF(COUNTIF(H$2:$H101,H101)=1,1,"")=1,SUMIF($H$2:$H$7997,H101,$S$2:$S$7997),"")</f>
        <v/>
      </c>
      <c r="W101">
        <v>112967</v>
      </c>
      <c r="X101">
        <v>112967</v>
      </c>
      <c r="Y101">
        <v>0</v>
      </c>
      <c r="Z101">
        <v>0</v>
      </c>
      <c r="AA101" s="2">
        <v>1</v>
      </c>
      <c r="AB101" s="2">
        <v>0</v>
      </c>
      <c r="AC101" s="2">
        <v>0</v>
      </c>
      <c r="AD101">
        <v>0</v>
      </c>
      <c r="AE101" t="s">
        <v>1862</v>
      </c>
      <c r="AF101">
        <v>3235</v>
      </c>
      <c r="AG101">
        <v>161775</v>
      </c>
      <c r="AH101">
        <v>6471</v>
      </c>
      <c r="AI101" s="1" t="s">
        <v>374</v>
      </c>
      <c r="AJ101">
        <v>94399500</v>
      </c>
      <c r="AK101" s="1" t="s">
        <v>1867</v>
      </c>
      <c r="AL101" t="s">
        <v>1991</v>
      </c>
      <c r="AN101" t="s">
        <v>2061</v>
      </c>
      <c r="AO101" t="s">
        <v>2067</v>
      </c>
      <c r="AP101" t="s">
        <v>2092</v>
      </c>
      <c r="AQ101">
        <v>130009</v>
      </c>
      <c r="AR101" s="3">
        <v>46203</v>
      </c>
      <c r="AS101" s="3">
        <v>46184</v>
      </c>
      <c r="AT101" s="3">
        <v>46192</v>
      </c>
      <c r="AU101" t="s">
        <v>2123</v>
      </c>
      <c r="AW101" s="3">
        <v>46208.53701449134</v>
      </c>
    </row>
    <row r="102" spans="1:49" ht="16" hidden="1" x14ac:dyDescent="0.2">
      <c r="A102" t="s">
        <v>85</v>
      </c>
      <c r="B102">
        <v>11737</v>
      </c>
      <c r="C102">
        <v>8981</v>
      </c>
      <c r="D102" t="s">
        <v>157</v>
      </c>
      <c r="E102" t="s">
        <v>380</v>
      </c>
      <c r="F102">
        <v>270643</v>
      </c>
      <c r="G102" t="s">
        <v>704</v>
      </c>
      <c r="H102">
        <v>592113</v>
      </c>
      <c r="I102" t="s">
        <v>1364</v>
      </c>
      <c r="J102">
        <v>94438329</v>
      </c>
      <c r="K102" t="s">
        <v>1839</v>
      </c>
      <c r="L102" t="s">
        <v>1850</v>
      </c>
      <c r="M102" s="1">
        <v>40</v>
      </c>
      <c r="N102" t="s">
        <v>23</v>
      </c>
      <c r="O102">
        <v>970130</v>
      </c>
      <c r="P102" s="1">
        <v>38805.199999999997</v>
      </c>
      <c r="S102" s="6" t="str">
        <f t="shared" si="1"/>
        <v xml:space="preserve"> </v>
      </c>
      <c r="T102" s="6">
        <f>IF(IF(COUNTIF(H$2:$H102,H102)=1,1,"")=1,SUMIF($H$2:$H$7997,H102,$S$2:$S$7997),"")</f>
        <v>0</v>
      </c>
      <c r="W102">
        <v>970130</v>
      </c>
      <c r="X102">
        <v>970130</v>
      </c>
      <c r="Y102">
        <v>0</v>
      </c>
      <c r="Z102">
        <v>0</v>
      </c>
      <c r="AA102" s="2">
        <v>1</v>
      </c>
      <c r="AB102" s="2">
        <v>0</v>
      </c>
      <c r="AC102" s="2">
        <v>0</v>
      </c>
      <c r="AD102">
        <v>0</v>
      </c>
      <c r="AE102" t="s">
        <v>1862</v>
      </c>
      <c r="AF102">
        <v>19435.09</v>
      </c>
      <c r="AG102">
        <v>1949500</v>
      </c>
      <c r="AH102">
        <v>77980</v>
      </c>
      <c r="AI102" s="1" t="s">
        <v>380</v>
      </c>
      <c r="AJ102">
        <v>94438322</v>
      </c>
      <c r="AK102" s="1" t="s">
        <v>1867</v>
      </c>
      <c r="AL102" t="s">
        <v>1996</v>
      </c>
      <c r="AN102" t="s">
        <v>2061</v>
      </c>
      <c r="AO102" t="s">
        <v>2067</v>
      </c>
      <c r="AP102" t="s">
        <v>2094</v>
      </c>
      <c r="AQ102">
        <v>130239</v>
      </c>
      <c r="AR102" s="3">
        <v>46203</v>
      </c>
      <c r="AS102" s="3">
        <v>46200</v>
      </c>
      <c r="AT102" s="3">
        <v>46222</v>
      </c>
      <c r="AU102" t="s">
        <v>2124</v>
      </c>
      <c r="AW102" s="3">
        <v>46208.53701449134</v>
      </c>
    </row>
    <row r="103" spans="1:49" ht="16" hidden="1" x14ac:dyDescent="0.2">
      <c r="A103" t="s">
        <v>85</v>
      </c>
      <c r="B103">
        <v>11737</v>
      </c>
      <c r="C103">
        <v>8981</v>
      </c>
      <c r="D103" t="s">
        <v>157</v>
      </c>
      <c r="E103" t="s">
        <v>380</v>
      </c>
      <c r="F103">
        <v>270643</v>
      </c>
      <c r="G103" t="s">
        <v>704</v>
      </c>
      <c r="H103">
        <v>592113</v>
      </c>
      <c r="I103" t="s">
        <v>1363</v>
      </c>
      <c r="J103">
        <v>94438325</v>
      </c>
      <c r="K103" t="s">
        <v>1835</v>
      </c>
      <c r="L103" t="s">
        <v>1850</v>
      </c>
      <c r="M103" s="1">
        <v>40</v>
      </c>
      <c r="N103" t="s">
        <v>23</v>
      </c>
      <c r="O103">
        <v>417923</v>
      </c>
      <c r="P103" s="1">
        <v>16716.919999999998</v>
      </c>
      <c r="S103" s="6" t="str">
        <f t="shared" si="1"/>
        <v xml:space="preserve"> </v>
      </c>
      <c r="T103" s="6" t="str">
        <f>IF(IF(COUNTIF(H$2:$H103,H103)=1,1,"")=1,SUMIF($H$2:$H$7997,H103,$S$2:$S$7997),"")</f>
        <v/>
      </c>
      <c r="W103">
        <v>417923</v>
      </c>
      <c r="X103">
        <v>417923</v>
      </c>
      <c r="Y103">
        <v>0</v>
      </c>
      <c r="Z103">
        <v>0</v>
      </c>
      <c r="AA103" s="2">
        <v>1</v>
      </c>
      <c r="AB103" s="2">
        <v>0</v>
      </c>
      <c r="AC103" s="2">
        <v>0</v>
      </c>
      <c r="AD103">
        <v>0</v>
      </c>
      <c r="AE103" t="s">
        <v>1862</v>
      </c>
      <c r="AF103">
        <v>8329.33</v>
      </c>
      <c r="AG103">
        <v>835500</v>
      </c>
      <c r="AH103">
        <v>33420</v>
      </c>
      <c r="AI103" s="1" t="s">
        <v>380</v>
      </c>
      <c r="AJ103">
        <v>94438322</v>
      </c>
      <c r="AK103" s="1" t="s">
        <v>1867</v>
      </c>
      <c r="AL103" t="s">
        <v>1996</v>
      </c>
      <c r="AN103" t="s">
        <v>2061</v>
      </c>
      <c r="AO103" t="s">
        <v>2067</v>
      </c>
      <c r="AP103" t="s">
        <v>2092</v>
      </c>
      <c r="AQ103">
        <v>130239</v>
      </c>
      <c r="AR103" s="3">
        <v>46203</v>
      </c>
      <c r="AS103" s="3">
        <v>46200</v>
      </c>
      <c r="AT103" s="3">
        <v>46222</v>
      </c>
      <c r="AU103" t="s">
        <v>2123</v>
      </c>
      <c r="AW103" s="3">
        <v>46208.53701449134</v>
      </c>
    </row>
    <row r="104" spans="1:49" ht="16" hidden="1" x14ac:dyDescent="0.2">
      <c r="A104" t="s">
        <v>85</v>
      </c>
      <c r="B104">
        <v>11737</v>
      </c>
      <c r="C104">
        <v>8981</v>
      </c>
      <c r="D104" t="s">
        <v>157</v>
      </c>
      <c r="E104" t="s">
        <v>386</v>
      </c>
      <c r="F104">
        <v>270734</v>
      </c>
      <c r="G104" t="s">
        <v>712</v>
      </c>
      <c r="H104">
        <v>592345</v>
      </c>
      <c r="I104" t="s">
        <v>1379</v>
      </c>
      <c r="J104">
        <v>94483741</v>
      </c>
      <c r="K104" t="s">
        <v>1839</v>
      </c>
      <c r="L104" t="s">
        <v>1850</v>
      </c>
      <c r="M104" s="1">
        <v>40</v>
      </c>
      <c r="N104" t="s">
        <v>23</v>
      </c>
      <c r="O104">
        <v>1700168</v>
      </c>
      <c r="P104" s="1">
        <v>68006.720000000001</v>
      </c>
      <c r="S104" s="6" t="str">
        <f t="shared" si="1"/>
        <v xml:space="preserve"> </v>
      </c>
      <c r="T104" s="6">
        <f>IF(IF(COUNTIF(H$2:$H104,H104)=1,1,"")=1,SUMIF($H$2:$H$7997,H104,$S$2:$S$7997),"")</f>
        <v>0</v>
      </c>
      <c r="W104">
        <v>1700168</v>
      </c>
      <c r="X104">
        <v>1700168</v>
      </c>
      <c r="Y104">
        <v>0</v>
      </c>
      <c r="Z104">
        <v>0</v>
      </c>
      <c r="AA104" s="2">
        <v>1</v>
      </c>
      <c r="AB104" s="2">
        <v>0</v>
      </c>
      <c r="AC104" s="2">
        <v>0</v>
      </c>
      <c r="AD104">
        <v>0</v>
      </c>
      <c r="AE104" t="s">
        <v>1862</v>
      </c>
      <c r="AF104">
        <v>34672.51</v>
      </c>
      <c r="AG104">
        <v>1788650</v>
      </c>
      <c r="AH104">
        <v>71546</v>
      </c>
      <c r="AI104" s="1" t="s">
        <v>386</v>
      </c>
      <c r="AJ104">
        <v>94483738</v>
      </c>
      <c r="AK104" s="1" t="s">
        <v>1867</v>
      </c>
      <c r="AL104" t="s">
        <v>2000</v>
      </c>
      <c r="AN104" t="s">
        <v>2061</v>
      </c>
      <c r="AO104" t="s">
        <v>2067</v>
      </c>
      <c r="AP104" t="s">
        <v>2094</v>
      </c>
      <c r="AQ104">
        <v>130393</v>
      </c>
      <c r="AR104" s="3">
        <v>46203</v>
      </c>
      <c r="AS104" s="3">
        <v>46184</v>
      </c>
      <c r="AT104" s="3">
        <v>46207</v>
      </c>
      <c r="AU104" t="s">
        <v>2124</v>
      </c>
      <c r="AW104" s="3">
        <v>46208.53701449134</v>
      </c>
    </row>
    <row r="105" spans="1:49" ht="16" hidden="1" x14ac:dyDescent="0.2">
      <c r="A105" t="s">
        <v>85</v>
      </c>
      <c r="B105">
        <v>11737</v>
      </c>
      <c r="C105">
        <v>8981</v>
      </c>
      <c r="D105" t="s">
        <v>157</v>
      </c>
      <c r="E105" t="s">
        <v>386</v>
      </c>
      <c r="F105">
        <v>270734</v>
      </c>
      <c r="G105" t="s">
        <v>712</v>
      </c>
      <c r="H105">
        <v>592345</v>
      </c>
      <c r="I105" t="s">
        <v>1380</v>
      </c>
      <c r="J105">
        <v>94484068</v>
      </c>
      <c r="K105" t="s">
        <v>1835</v>
      </c>
      <c r="L105" t="s">
        <v>1850</v>
      </c>
      <c r="M105" s="1">
        <v>40</v>
      </c>
      <c r="N105" t="s">
        <v>23</v>
      </c>
      <c r="O105">
        <v>775286</v>
      </c>
      <c r="P105" s="1">
        <v>30663</v>
      </c>
      <c r="S105" s="6" t="str">
        <f t="shared" si="1"/>
        <v xml:space="preserve"> </v>
      </c>
      <c r="T105" s="6" t="str">
        <f>IF(IF(COUNTIF(H$2:$H105,H105)=1,1,"")=1,SUMIF($H$2:$H$7997,H105,$S$2:$S$7997),"")</f>
        <v/>
      </c>
      <c r="W105">
        <v>775286</v>
      </c>
      <c r="X105">
        <v>775286</v>
      </c>
      <c r="Y105">
        <v>0</v>
      </c>
      <c r="Z105">
        <v>0</v>
      </c>
      <c r="AA105" s="2">
        <v>1</v>
      </c>
      <c r="AB105" s="2">
        <v>0</v>
      </c>
      <c r="AC105" s="2">
        <v>0</v>
      </c>
      <c r="AD105">
        <v>0</v>
      </c>
      <c r="AE105" t="s">
        <v>1862</v>
      </c>
      <c r="AF105">
        <v>14859.85</v>
      </c>
      <c r="AG105">
        <v>766575</v>
      </c>
      <c r="AH105">
        <v>30663</v>
      </c>
      <c r="AI105" s="1" t="s">
        <v>386</v>
      </c>
      <c r="AJ105">
        <v>94483738</v>
      </c>
      <c r="AK105" s="1" t="s">
        <v>1867</v>
      </c>
      <c r="AL105" t="s">
        <v>2000</v>
      </c>
      <c r="AN105" t="s">
        <v>2061</v>
      </c>
      <c r="AO105" t="s">
        <v>2067</v>
      </c>
      <c r="AP105" t="s">
        <v>2092</v>
      </c>
      <c r="AQ105">
        <v>130393</v>
      </c>
      <c r="AR105" s="3">
        <v>46203</v>
      </c>
      <c r="AS105" s="3">
        <v>46184</v>
      </c>
      <c r="AT105" s="3">
        <v>46207</v>
      </c>
      <c r="AU105" t="s">
        <v>2123</v>
      </c>
      <c r="AW105" s="3">
        <v>46208.53701449134</v>
      </c>
    </row>
    <row r="106" spans="1:49" ht="16" hidden="1" x14ac:dyDescent="0.2">
      <c r="A106" t="s">
        <v>85</v>
      </c>
      <c r="B106">
        <v>11737</v>
      </c>
      <c r="C106">
        <v>8981</v>
      </c>
      <c r="D106" t="s">
        <v>157</v>
      </c>
      <c r="E106" t="s">
        <v>386</v>
      </c>
      <c r="F106">
        <v>270734</v>
      </c>
      <c r="G106" t="s">
        <v>876</v>
      </c>
      <c r="H106">
        <v>598390</v>
      </c>
      <c r="I106" t="s">
        <v>876</v>
      </c>
      <c r="J106">
        <v>598390</v>
      </c>
      <c r="K106" t="s">
        <v>1846</v>
      </c>
      <c r="L106" t="s">
        <v>1850</v>
      </c>
      <c r="M106" s="1">
        <v>30</v>
      </c>
      <c r="N106" t="s">
        <v>22</v>
      </c>
      <c r="O106">
        <v>0</v>
      </c>
      <c r="P106" s="1">
        <v>0</v>
      </c>
      <c r="S106" s="6" t="str">
        <f t="shared" si="1"/>
        <v xml:space="preserve"> </v>
      </c>
      <c r="T106" s="6">
        <f>IF(IF(COUNTIF(H$2:$H106,H106)=1,1,"")=1,SUMIF($H$2:$H$7997,H106,$S$2:$S$7997),"")</f>
        <v>0</v>
      </c>
      <c r="W106">
        <v>0</v>
      </c>
      <c r="X106">
        <v>0</v>
      </c>
      <c r="Y106">
        <v>0</v>
      </c>
      <c r="Z106">
        <v>0</v>
      </c>
      <c r="AA106" s="2">
        <v>1</v>
      </c>
      <c r="AB106" s="2">
        <v>0</v>
      </c>
      <c r="AC106" s="2">
        <v>0</v>
      </c>
      <c r="AD106">
        <v>0</v>
      </c>
      <c r="AE106" t="s">
        <v>1862</v>
      </c>
      <c r="AF106">
        <v>0</v>
      </c>
      <c r="AG106">
        <v>2500000</v>
      </c>
      <c r="AH106">
        <v>75000</v>
      </c>
      <c r="AI106" s="1" t="s">
        <v>386</v>
      </c>
      <c r="AJ106">
        <v>270734</v>
      </c>
      <c r="AK106" s="1" t="s">
        <v>1867</v>
      </c>
      <c r="AL106" t="s">
        <v>2000</v>
      </c>
      <c r="AN106" t="s">
        <v>2061</v>
      </c>
      <c r="AO106" t="s">
        <v>2067</v>
      </c>
      <c r="AP106" t="s">
        <v>2115</v>
      </c>
      <c r="AQ106">
        <v>130393</v>
      </c>
      <c r="AR106" s="3">
        <v>46203</v>
      </c>
      <c r="AS106" s="3">
        <v>46195</v>
      </c>
      <c r="AT106" s="3">
        <v>46222</v>
      </c>
      <c r="AU106" t="s">
        <v>2128</v>
      </c>
      <c r="AW106" s="3">
        <v>46208.53701449134</v>
      </c>
    </row>
    <row r="107" spans="1:49" ht="16" hidden="1" x14ac:dyDescent="0.2">
      <c r="A107" t="s">
        <v>85</v>
      </c>
      <c r="B107">
        <v>11737</v>
      </c>
      <c r="C107">
        <v>8981</v>
      </c>
      <c r="D107" t="s">
        <v>157</v>
      </c>
      <c r="E107" t="s">
        <v>379</v>
      </c>
      <c r="F107">
        <v>270641</v>
      </c>
      <c r="G107" t="s">
        <v>703</v>
      </c>
      <c r="H107">
        <v>592110</v>
      </c>
      <c r="I107" t="s">
        <v>1362</v>
      </c>
      <c r="J107">
        <v>94438319</v>
      </c>
      <c r="K107" t="s">
        <v>1839</v>
      </c>
      <c r="L107" t="s">
        <v>1850</v>
      </c>
      <c r="M107" s="1">
        <v>40</v>
      </c>
      <c r="N107" t="s">
        <v>23</v>
      </c>
      <c r="O107">
        <v>4137416</v>
      </c>
      <c r="P107" s="1">
        <v>165496.64000000001</v>
      </c>
      <c r="S107" s="6" t="str">
        <f t="shared" si="1"/>
        <v xml:space="preserve"> </v>
      </c>
      <c r="T107" s="6">
        <f>IF(IF(COUNTIF(H$2:$H107,H107)=1,1,"")=1,SUMIF($H$2:$H$7997,H107,$S$2:$S$7997),"")</f>
        <v>0</v>
      </c>
      <c r="W107">
        <v>4137416</v>
      </c>
      <c r="X107">
        <v>4137416</v>
      </c>
      <c r="Y107">
        <v>0</v>
      </c>
      <c r="Z107">
        <v>0</v>
      </c>
      <c r="AA107" s="2">
        <v>1</v>
      </c>
      <c r="AB107" s="2">
        <v>0</v>
      </c>
      <c r="AC107" s="2">
        <v>0</v>
      </c>
      <c r="AD107">
        <v>0</v>
      </c>
      <c r="AE107" t="s">
        <v>1862</v>
      </c>
      <c r="AF107">
        <v>83872.3</v>
      </c>
      <c r="AG107">
        <v>5482125</v>
      </c>
      <c r="AH107">
        <v>219285</v>
      </c>
      <c r="AI107" s="1" t="s">
        <v>379</v>
      </c>
      <c r="AJ107">
        <v>94438312</v>
      </c>
      <c r="AK107" s="1" t="s">
        <v>1867</v>
      </c>
      <c r="AL107" t="s">
        <v>1995</v>
      </c>
      <c r="AN107" t="s">
        <v>2061</v>
      </c>
      <c r="AO107" t="s">
        <v>2067</v>
      </c>
      <c r="AP107" t="s">
        <v>2094</v>
      </c>
      <c r="AQ107">
        <v>130236</v>
      </c>
      <c r="AR107" s="3">
        <v>46203</v>
      </c>
      <c r="AS107" s="3">
        <v>46195</v>
      </c>
      <c r="AT107" s="3">
        <v>46222</v>
      </c>
      <c r="AU107" t="s">
        <v>2124</v>
      </c>
      <c r="AW107" s="3">
        <v>46208.53701449134</v>
      </c>
    </row>
    <row r="108" spans="1:49" ht="16" hidden="1" x14ac:dyDescent="0.2">
      <c r="A108" t="s">
        <v>85</v>
      </c>
      <c r="B108">
        <v>11737</v>
      </c>
      <c r="C108">
        <v>8981</v>
      </c>
      <c r="D108" t="s">
        <v>157</v>
      </c>
      <c r="E108" t="s">
        <v>379</v>
      </c>
      <c r="F108">
        <v>270641</v>
      </c>
      <c r="G108" t="s">
        <v>703</v>
      </c>
      <c r="H108">
        <v>592110</v>
      </c>
      <c r="I108" t="s">
        <v>1361</v>
      </c>
      <c r="J108">
        <v>94438315</v>
      </c>
      <c r="K108" t="s">
        <v>1835</v>
      </c>
      <c r="L108" t="s">
        <v>1850</v>
      </c>
      <c r="M108" s="1">
        <v>40</v>
      </c>
      <c r="N108" t="s">
        <v>23</v>
      </c>
      <c r="O108">
        <v>1855505</v>
      </c>
      <c r="P108" s="1">
        <v>74220.2</v>
      </c>
      <c r="S108" s="6" t="str">
        <f t="shared" si="1"/>
        <v xml:space="preserve"> </v>
      </c>
      <c r="T108" s="6" t="str">
        <f>IF(IF(COUNTIF(H$2:$H108,H108)=1,1,"")=1,SUMIF($H$2:$H$7997,H108,$S$2:$S$7997),"")</f>
        <v/>
      </c>
      <c r="W108">
        <v>1855505</v>
      </c>
      <c r="X108">
        <v>1855505</v>
      </c>
      <c r="Y108">
        <v>0</v>
      </c>
      <c r="Z108">
        <v>0</v>
      </c>
      <c r="AA108" s="2">
        <v>1</v>
      </c>
      <c r="AB108" s="2">
        <v>0</v>
      </c>
      <c r="AC108" s="2">
        <v>0</v>
      </c>
      <c r="AD108">
        <v>0</v>
      </c>
      <c r="AE108" t="s">
        <v>1862</v>
      </c>
      <c r="AF108">
        <v>35945.54</v>
      </c>
      <c r="AG108">
        <v>2349500</v>
      </c>
      <c r="AH108">
        <v>93980</v>
      </c>
      <c r="AI108" s="1" t="s">
        <v>379</v>
      </c>
      <c r="AJ108">
        <v>94438312</v>
      </c>
      <c r="AK108" s="1" t="s">
        <v>1867</v>
      </c>
      <c r="AL108" t="s">
        <v>1995</v>
      </c>
      <c r="AN108" t="s">
        <v>2061</v>
      </c>
      <c r="AO108" t="s">
        <v>2067</v>
      </c>
      <c r="AP108" t="s">
        <v>2092</v>
      </c>
      <c r="AQ108">
        <v>130236</v>
      </c>
      <c r="AR108" s="3">
        <v>46203</v>
      </c>
      <c r="AS108" s="3">
        <v>46195</v>
      </c>
      <c r="AT108" s="3">
        <v>46222</v>
      </c>
      <c r="AU108" t="s">
        <v>2123</v>
      </c>
      <c r="AW108" s="3">
        <v>46208.53701449134</v>
      </c>
    </row>
    <row r="109" spans="1:49" ht="16" hidden="1" x14ac:dyDescent="0.2">
      <c r="A109" t="s">
        <v>85</v>
      </c>
      <c r="B109">
        <v>11737</v>
      </c>
      <c r="C109">
        <v>8981</v>
      </c>
      <c r="D109" t="s">
        <v>157</v>
      </c>
      <c r="E109" t="s">
        <v>378</v>
      </c>
      <c r="F109">
        <v>270547</v>
      </c>
      <c r="G109" t="s">
        <v>702</v>
      </c>
      <c r="H109">
        <v>591934</v>
      </c>
      <c r="I109" t="s">
        <v>1359</v>
      </c>
      <c r="J109">
        <v>94438063</v>
      </c>
      <c r="K109" t="s">
        <v>1839</v>
      </c>
      <c r="L109" t="s">
        <v>1850</v>
      </c>
      <c r="M109" s="1">
        <v>40</v>
      </c>
      <c r="N109" t="s">
        <v>23</v>
      </c>
      <c r="O109">
        <v>3417844</v>
      </c>
      <c r="P109" s="1">
        <v>136713.76</v>
      </c>
      <c r="S109" s="6" t="str">
        <f t="shared" si="1"/>
        <v xml:space="preserve"> </v>
      </c>
      <c r="T109" s="6">
        <f>IF(IF(COUNTIF(H$2:$H109,H109)=1,1,"")=1,SUMIF($H$2:$H$7997,H109,$S$2:$S$7997),"")</f>
        <v>0</v>
      </c>
      <c r="W109">
        <v>3417844</v>
      </c>
      <c r="X109">
        <v>3417844</v>
      </c>
      <c r="Y109">
        <v>0</v>
      </c>
      <c r="Z109">
        <v>0</v>
      </c>
      <c r="AA109" s="2">
        <v>1</v>
      </c>
      <c r="AB109" s="2">
        <v>0</v>
      </c>
      <c r="AC109" s="2">
        <v>0</v>
      </c>
      <c r="AD109">
        <v>0</v>
      </c>
      <c r="AE109" t="s">
        <v>1862</v>
      </c>
      <c r="AF109">
        <v>74967.12</v>
      </c>
      <c r="AG109">
        <v>5090275</v>
      </c>
      <c r="AH109">
        <v>203611</v>
      </c>
      <c r="AI109" s="1" t="s">
        <v>378</v>
      </c>
      <c r="AJ109">
        <v>94438060</v>
      </c>
      <c r="AK109" s="1" t="s">
        <v>1867</v>
      </c>
      <c r="AL109" t="s">
        <v>1994</v>
      </c>
      <c r="AN109" t="s">
        <v>2061</v>
      </c>
      <c r="AO109" t="s">
        <v>2067</v>
      </c>
      <c r="AP109" t="s">
        <v>2094</v>
      </c>
      <c r="AQ109">
        <v>130243</v>
      </c>
      <c r="AR109" s="3">
        <v>46203</v>
      </c>
      <c r="AS109" s="3">
        <v>46184</v>
      </c>
      <c r="AT109" s="3">
        <v>46222</v>
      </c>
      <c r="AU109" t="s">
        <v>2124</v>
      </c>
      <c r="AW109" s="3">
        <v>46208.53701449134</v>
      </c>
    </row>
    <row r="110" spans="1:49" ht="16" hidden="1" x14ac:dyDescent="0.2">
      <c r="A110" t="s">
        <v>85</v>
      </c>
      <c r="B110">
        <v>11737</v>
      </c>
      <c r="C110">
        <v>8981</v>
      </c>
      <c r="D110" t="s">
        <v>157</v>
      </c>
      <c r="E110" t="s">
        <v>378</v>
      </c>
      <c r="F110">
        <v>270547</v>
      </c>
      <c r="G110" t="s">
        <v>702</v>
      </c>
      <c r="H110">
        <v>591934</v>
      </c>
      <c r="I110" t="s">
        <v>1360</v>
      </c>
      <c r="J110">
        <v>94438093</v>
      </c>
      <c r="K110" t="s">
        <v>1835</v>
      </c>
      <c r="L110" t="s">
        <v>1850</v>
      </c>
      <c r="M110" s="1">
        <v>40</v>
      </c>
      <c r="N110" t="s">
        <v>23</v>
      </c>
      <c r="O110">
        <v>1497475</v>
      </c>
      <c r="P110" s="1">
        <v>59899</v>
      </c>
      <c r="S110" s="6" t="str">
        <f t="shared" si="1"/>
        <v xml:space="preserve"> </v>
      </c>
      <c r="T110" s="6" t="str">
        <f>IF(IF(COUNTIF(H$2:$H110,H110)=1,1,"")=1,SUMIF($H$2:$H$7997,H110,$S$2:$S$7997),"")</f>
        <v/>
      </c>
      <c r="W110">
        <v>1497475</v>
      </c>
      <c r="X110">
        <v>1497475</v>
      </c>
      <c r="Y110">
        <v>0</v>
      </c>
      <c r="Z110">
        <v>0</v>
      </c>
      <c r="AA110" s="2">
        <v>1</v>
      </c>
      <c r="AB110" s="2">
        <v>0</v>
      </c>
      <c r="AC110" s="2">
        <v>0</v>
      </c>
      <c r="AD110">
        <v>0</v>
      </c>
      <c r="AE110" t="s">
        <v>1862</v>
      </c>
      <c r="AF110">
        <v>32128.82</v>
      </c>
      <c r="AG110">
        <v>2181550</v>
      </c>
      <c r="AH110">
        <v>87262</v>
      </c>
      <c r="AI110" s="1" t="s">
        <v>378</v>
      </c>
      <c r="AJ110">
        <v>94438060</v>
      </c>
      <c r="AK110" s="1" t="s">
        <v>1867</v>
      </c>
      <c r="AL110" t="s">
        <v>1994</v>
      </c>
      <c r="AN110" t="s">
        <v>2061</v>
      </c>
      <c r="AO110" t="s">
        <v>2067</v>
      </c>
      <c r="AP110" t="s">
        <v>2092</v>
      </c>
      <c r="AQ110">
        <v>130243</v>
      </c>
      <c r="AR110" s="3">
        <v>46203</v>
      </c>
      <c r="AS110" s="3">
        <v>46184</v>
      </c>
      <c r="AT110" s="3">
        <v>46222</v>
      </c>
      <c r="AU110" t="s">
        <v>2123</v>
      </c>
      <c r="AW110" s="3">
        <v>46208.53701449134</v>
      </c>
    </row>
    <row r="111" spans="1:49" ht="16" hidden="1" x14ac:dyDescent="0.2">
      <c r="A111" t="s">
        <v>85</v>
      </c>
      <c r="B111">
        <v>11737</v>
      </c>
      <c r="C111">
        <v>8981</v>
      </c>
      <c r="D111" t="s">
        <v>157</v>
      </c>
      <c r="E111" t="s">
        <v>378</v>
      </c>
      <c r="F111">
        <v>270547</v>
      </c>
      <c r="G111" t="s">
        <v>910</v>
      </c>
      <c r="H111">
        <v>594851</v>
      </c>
      <c r="I111" t="s">
        <v>910</v>
      </c>
      <c r="J111">
        <v>594851</v>
      </c>
      <c r="K111" t="s">
        <v>1846</v>
      </c>
      <c r="L111" t="s">
        <v>1851</v>
      </c>
      <c r="M111" s="1">
        <v>0</v>
      </c>
      <c r="N111" t="s">
        <v>22</v>
      </c>
      <c r="O111">
        <v>0</v>
      </c>
      <c r="P111" s="1">
        <v>0</v>
      </c>
      <c r="S111" s="6" t="str">
        <f t="shared" si="1"/>
        <v xml:space="preserve"> </v>
      </c>
      <c r="T111" s="6">
        <f>IF(IF(COUNTIF(H$2:$H111,H111)=1,1,"")=1,SUMIF($H$2:$H$7997,H111,$S$2:$S$7997),"")</f>
        <v>0</v>
      </c>
      <c r="W111">
        <v>0</v>
      </c>
      <c r="X111">
        <v>0</v>
      </c>
      <c r="Y111">
        <v>0</v>
      </c>
      <c r="Z111">
        <v>0</v>
      </c>
      <c r="AA111" s="2">
        <v>1</v>
      </c>
      <c r="AB111" s="2">
        <v>0</v>
      </c>
      <c r="AC111" s="2">
        <v>0</v>
      </c>
      <c r="AD111">
        <v>0</v>
      </c>
      <c r="AE111" t="s">
        <v>1862</v>
      </c>
      <c r="AF111">
        <v>0</v>
      </c>
      <c r="AG111">
        <v>0</v>
      </c>
      <c r="AH111">
        <v>0</v>
      </c>
      <c r="AI111" s="1" t="s">
        <v>378</v>
      </c>
      <c r="AJ111">
        <v>270547</v>
      </c>
      <c r="AK111" s="1" t="s">
        <v>1867</v>
      </c>
      <c r="AL111" t="s">
        <v>1994</v>
      </c>
      <c r="AN111" t="s">
        <v>2061</v>
      </c>
      <c r="AO111" t="s">
        <v>2067</v>
      </c>
      <c r="AP111" t="s">
        <v>2115</v>
      </c>
      <c r="AR111" s="3">
        <v>46203</v>
      </c>
      <c r="AS111" s="3">
        <v>46203</v>
      </c>
      <c r="AT111" s="3">
        <v>46203</v>
      </c>
      <c r="AU111" t="s">
        <v>2128</v>
      </c>
      <c r="AW111" s="3">
        <v>46208.53701449134</v>
      </c>
    </row>
    <row r="112" spans="1:49" ht="16" hidden="1" x14ac:dyDescent="0.2">
      <c r="A112" t="s">
        <v>85</v>
      </c>
      <c r="B112">
        <v>11737</v>
      </c>
      <c r="C112">
        <v>8981</v>
      </c>
      <c r="D112" t="s">
        <v>157</v>
      </c>
      <c r="E112" t="s">
        <v>378</v>
      </c>
      <c r="F112">
        <v>270547</v>
      </c>
      <c r="G112" t="s">
        <v>909</v>
      </c>
      <c r="H112">
        <v>598428</v>
      </c>
      <c r="I112" t="s">
        <v>909</v>
      </c>
      <c r="J112">
        <v>598428</v>
      </c>
      <c r="K112" t="s">
        <v>1846</v>
      </c>
      <c r="L112" t="s">
        <v>1850</v>
      </c>
      <c r="M112" s="1">
        <v>30</v>
      </c>
      <c r="N112" t="s">
        <v>22</v>
      </c>
      <c r="O112">
        <v>0</v>
      </c>
      <c r="P112" s="1">
        <v>0</v>
      </c>
      <c r="S112" s="6" t="str">
        <f t="shared" si="1"/>
        <v xml:space="preserve"> </v>
      </c>
      <c r="T112" s="6">
        <f>IF(IF(COUNTIF(H$2:$H112,H112)=1,1,"")=1,SUMIF($H$2:$H$7997,H112,$S$2:$S$7997),"")</f>
        <v>0</v>
      </c>
      <c r="W112">
        <v>0</v>
      </c>
      <c r="X112">
        <v>0</v>
      </c>
      <c r="Y112">
        <v>0</v>
      </c>
      <c r="Z112">
        <v>0</v>
      </c>
      <c r="AA112" s="2">
        <v>1</v>
      </c>
      <c r="AB112" s="2">
        <v>0</v>
      </c>
      <c r="AC112" s="2">
        <v>0</v>
      </c>
      <c r="AD112">
        <v>0</v>
      </c>
      <c r="AE112" t="s">
        <v>1862</v>
      </c>
      <c r="AF112">
        <v>0</v>
      </c>
      <c r="AG112">
        <v>3333334</v>
      </c>
      <c r="AH112">
        <v>100000.02</v>
      </c>
      <c r="AI112" s="1" t="s">
        <v>378</v>
      </c>
      <c r="AJ112">
        <v>270547</v>
      </c>
      <c r="AK112" s="1" t="s">
        <v>1867</v>
      </c>
      <c r="AL112" t="s">
        <v>1994</v>
      </c>
      <c r="AN112" t="s">
        <v>2061</v>
      </c>
      <c r="AO112" t="s">
        <v>2067</v>
      </c>
      <c r="AP112" t="s">
        <v>2115</v>
      </c>
      <c r="AQ112">
        <v>130243</v>
      </c>
      <c r="AR112" s="3">
        <v>46203</v>
      </c>
      <c r="AS112" s="3">
        <v>46195</v>
      </c>
      <c r="AT112" s="3">
        <v>46222</v>
      </c>
      <c r="AU112" t="s">
        <v>2128</v>
      </c>
      <c r="AW112" s="3">
        <v>46208.53701449134</v>
      </c>
    </row>
    <row r="113" spans="1:49" ht="16" hidden="1" x14ac:dyDescent="0.2">
      <c r="A113" t="s">
        <v>85</v>
      </c>
      <c r="B113">
        <v>11737</v>
      </c>
      <c r="C113">
        <v>8981</v>
      </c>
      <c r="D113" t="s">
        <v>157</v>
      </c>
      <c r="E113" t="s">
        <v>319</v>
      </c>
      <c r="F113">
        <v>269710</v>
      </c>
      <c r="G113" t="s">
        <v>591</v>
      </c>
      <c r="H113">
        <v>589034</v>
      </c>
      <c r="I113" t="s">
        <v>1160</v>
      </c>
      <c r="J113">
        <v>94010279</v>
      </c>
      <c r="K113" t="s">
        <v>1836</v>
      </c>
      <c r="L113" t="s">
        <v>1850</v>
      </c>
      <c r="M113" s="1">
        <v>19</v>
      </c>
      <c r="N113" t="s">
        <v>1853</v>
      </c>
      <c r="O113">
        <v>1543719</v>
      </c>
      <c r="P113" s="1">
        <v>29330.66</v>
      </c>
      <c r="S113" s="6" t="str">
        <f t="shared" si="1"/>
        <v xml:space="preserve"> </v>
      </c>
      <c r="T113" s="6">
        <f>IF(IF(COUNTIF(H$2:$H113,H113)=1,1,"")=1,SUMIF($H$2:$H$7997,H113,$S$2:$S$7997),"")</f>
        <v>0</v>
      </c>
      <c r="W113">
        <v>492695</v>
      </c>
      <c r="X113">
        <v>1295567</v>
      </c>
      <c r="Y113">
        <v>587065</v>
      </c>
      <c r="Z113">
        <v>1543719</v>
      </c>
      <c r="AA113" s="2">
        <v>1</v>
      </c>
      <c r="AB113" s="2">
        <v>1.191540016561937</v>
      </c>
      <c r="AC113" s="2">
        <v>0</v>
      </c>
      <c r="AD113">
        <v>0</v>
      </c>
      <c r="AE113" t="s">
        <v>1862</v>
      </c>
      <c r="AF113">
        <v>10651.52</v>
      </c>
      <c r="AG113">
        <v>2131579</v>
      </c>
      <c r="AH113">
        <v>40500</v>
      </c>
      <c r="AI113" s="1" t="s">
        <v>319</v>
      </c>
      <c r="AJ113">
        <v>94010107</v>
      </c>
      <c r="AK113" s="1" t="s">
        <v>1867</v>
      </c>
      <c r="AL113" t="s">
        <v>1948</v>
      </c>
      <c r="AN113" t="s">
        <v>2061</v>
      </c>
      <c r="AO113" t="s">
        <v>2067</v>
      </c>
      <c r="AP113" t="s">
        <v>2074</v>
      </c>
      <c r="AQ113">
        <v>128406</v>
      </c>
      <c r="AR113" s="3">
        <v>46203</v>
      </c>
      <c r="AS113" s="3">
        <v>46160</v>
      </c>
      <c r="AT113" s="3">
        <v>46187</v>
      </c>
      <c r="AU113" t="s">
        <v>2124</v>
      </c>
      <c r="AW113" s="3">
        <v>46208.53701449134</v>
      </c>
    </row>
    <row r="114" spans="1:49" ht="16" hidden="1" x14ac:dyDescent="0.2">
      <c r="A114" t="s">
        <v>85</v>
      </c>
      <c r="B114">
        <v>11737</v>
      </c>
      <c r="C114">
        <v>8981</v>
      </c>
      <c r="D114" t="s">
        <v>157</v>
      </c>
      <c r="E114" t="s">
        <v>319</v>
      </c>
      <c r="F114">
        <v>269710</v>
      </c>
      <c r="G114" t="s">
        <v>591</v>
      </c>
      <c r="H114">
        <v>589034</v>
      </c>
      <c r="I114" t="s">
        <v>1158</v>
      </c>
      <c r="J114">
        <v>94010269</v>
      </c>
      <c r="K114" t="s">
        <v>1836</v>
      </c>
      <c r="L114" t="s">
        <v>1850</v>
      </c>
      <c r="M114" s="1">
        <v>19</v>
      </c>
      <c r="N114" t="s">
        <v>1853</v>
      </c>
      <c r="O114">
        <v>190306</v>
      </c>
      <c r="P114" s="1">
        <v>3615.81</v>
      </c>
      <c r="S114" s="6" t="str">
        <f t="shared" si="1"/>
        <v xml:space="preserve"> </v>
      </c>
      <c r="T114" s="6" t="str">
        <f>IF(IF(COUNTIF(H$2:$H114,H114)=1,1,"")=1,SUMIF($H$2:$H$7997,H114,$S$2:$S$7997),"")</f>
        <v/>
      </c>
      <c r="W114">
        <v>60780</v>
      </c>
      <c r="X114">
        <v>153178</v>
      </c>
      <c r="Y114">
        <v>75512</v>
      </c>
      <c r="Z114">
        <v>190306</v>
      </c>
      <c r="AA114" s="2">
        <v>1</v>
      </c>
      <c r="AB114" s="2">
        <v>1.2423899123239091</v>
      </c>
      <c r="AC114" s="2">
        <v>0</v>
      </c>
      <c r="AD114">
        <v>0</v>
      </c>
      <c r="AE114" t="s">
        <v>1862</v>
      </c>
      <c r="AF114">
        <v>1315</v>
      </c>
      <c r="AG114">
        <v>263158</v>
      </c>
      <c r="AH114">
        <v>5000</v>
      </c>
      <c r="AI114" s="1" t="s">
        <v>319</v>
      </c>
      <c r="AJ114">
        <v>94010107</v>
      </c>
      <c r="AK114" s="1" t="s">
        <v>1867</v>
      </c>
      <c r="AL114" t="s">
        <v>1948</v>
      </c>
      <c r="AN114" t="s">
        <v>2061</v>
      </c>
      <c r="AO114" t="s">
        <v>2067</v>
      </c>
      <c r="AP114" t="s">
        <v>2074</v>
      </c>
      <c r="AQ114">
        <v>128406</v>
      </c>
      <c r="AR114" s="3">
        <v>46203</v>
      </c>
      <c r="AS114" s="3">
        <v>46160</v>
      </c>
      <c r="AT114" s="3">
        <v>46187</v>
      </c>
      <c r="AU114" t="s">
        <v>2124</v>
      </c>
      <c r="AW114" s="3">
        <v>46208.53701449134</v>
      </c>
    </row>
    <row r="115" spans="1:49" ht="16" hidden="1" x14ac:dyDescent="0.2">
      <c r="A115" t="s">
        <v>85</v>
      </c>
      <c r="B115">
        <v>11737</v>
      </c>
      <c r="C115">
        <v>8981</v>
      </c>
      <c r="D115" t="s">
        <v>157</v>
      </c>
      <c r="E115" t="s">
        <v>319</v>
      </c>
      <c r="F115">
        <v>269710</v>
      </c>
      <c r="G115" t="s">
        <v>591</v>
      </c>
      <c r="H115">
        <v>589034</v>
      </c>
      <c r="I115" t="s">
        <v>1157</v>
      </c>
      <c r="J115">
        <v>94010113</v>
      </c>
      <c r="K115" t="s">
        <v>1836</v>
      </c>
      <c r="L115" t="s">
        <v>1850</v>
      </c>
      <c r="M115" s="1">
        <v>19</v>
      </c>
      <c r="N115" t="s">
        <v>1853</v>
      </c>
      <c r="O115">
        <v>61369</v>
      </c>
      <c r="P115" s="1">
        <v>1166.01</v>
      </c>
      <c r="S115" s="6" t="str">
        <f t="shared" si="1"/>
        <v xml:space="preserve"> </v>
      </c>
      <c r="T115" s="6" t="str">
        <f>IF(IF(COUNTIF(H$2:$H115,H115)=1,1,"")=1,SUMIF($H$2:$H$7997,H115,$S$2:$S$7997),"")</f>
        <v/>
      </c>
      <c r="V115" t="s">
        <v>1860</v>
      </c>
      <c r="W115">
        <v>33386</v>
      </c>
      <c r="X115">
        <v>47628</v>
      </c>
      <c r="Y115">
        <v>43018</v>
      </c>
      <c r="Z115">
        <v>61369</v>
      </c>
      <c r="AA115" s="2">
        <v>1</v>
      </c>
      <c r="AB115" s="2">
        <v>1.28850987432675</v>
      </c>
      <c r="AC115" s="2">
        <v>0</v>
      </c>
      <c r="AD115">
        <v>0</v>
      </c>
      <c r="AE115" t="s">
        <v>1862</v>
      </c>
      <c r="AF115">
        <v>526</v>
      </c>
      <c r="AG115">
        <v>105263</v>
      </c>
      <c r="AH115">
        <v>2000</v>
      </c>
      <c r="AI115" s="1" t="s">
        <v>319</v>
      </c>
      <c r="AJ115">
        <v>94010107</v>
      </c>
      <c r="AK115" s="1" t="s">
        <v>1867</v>
      </c>
      <c r="AL115" t="s">
        <v>1948</v>
      </c>
      <c r="AN115" t="s">
        <v>2061</v>
      </c>
      <c r="AO115" t="s">
        <v>2067</v>
      </c>
      <c r="AP115" t="s">
        <v>2074</v>
      </c>
      <c r="AQ115">
        <v>128406</v>
      </c>
      <c r="AR115" s="3">
        <v>46203</v>
      </c>
      <c r="AS115" s="3">
        <v>46160</v>
      </c>
      <c r="AT115" s="3">
        <v>46187</v>
      </c>
      <c r="AU115" t="s">
        <v>2124</v>
      </c>
      <c r="AW115" s="3">
        <v>46208.53701449134</v>
      </c>
    </row>
    <row r="116" spans="1:49" ht="16" hidden="1" x14ac:dyDescent="0.2">
      <c r="A116" t="s">
        <v>85</v>
      </c>
      <c r="B116">
        <v>11737</v>
      </c>
      <c r="C116">
        <v>8981</v>
      </c>
      <c r="D116" t="s">
        <v>157</v>
      </c>
      <c r="E116" t="s">
        <v>319</v>
      </c>
      <c r="F116">
        <v>269710</v>
      </c>
      <c r="G116" t="s">
        <v>591</v>
      </c>
      <c r="H116">
        <v>589034</v>
      </c>
      <c r="I116" t="s">
        <v>1159</v>
      </c>
      <c r="J116">
        <v>94010276</v>
      </c>
      <c r="K116" t="s">
        <v>1836</v>
      </c>
      <c r="L116" t="s">
        <v>1850</v>
      </c>
      <c r="M116" s="1">
        <v>19</v>
      </c>
      <c r="N116" t="s">
        <v>1853</v>
      </c>
      <c r="O116">
        <v>80118</v>
      </c>
      <c r="P116" s="1">
        <v>1522.24</v>
      </c>
      <c r="S116" s="6" t="str">
        <f t="shared" si="1"/>
        <v xml:space="preserve"> </v>
      </c>
      <c r="T116" s="6" t="str">
        <f>IF(IF(COUNTIF(H$2:$H116,H116)=1,1,"")=1,SUMIF($H$2:$H$7997,H116,$S$2:$S$7997),"")</f>
        <v/>
      </c>
      <c r="W116">
        <v>45355</v>
      </c>
      <c r="X116">
        <v>66765</v>
      </c>
      <c r="Y116">
        <v>54426</v>
      </c>
      <c r="Z116">
        <v>80118</v>
      </c>
      <c r="AA116" s="2">
        <v>1</v>
      </c>
      <c r="AB116" s="2">
        <v>1.2000018240020429</v>
      </c>
      <c r="AC116" s="2">
        <v>0</v>
      </c>
      <c r="AD116">
        <v>0</v>
      </c>
      <c r="AE116" t="s">
        <v>1862</v>
      </c>
      <c r="AF116">
        <v>657.5</v>
      </c>
      <c r="AG116">
        <v>131579</v>
      </c>
      <c r="AH116">
        <v>2500</v>
      </c>
      <c r="AI116" s="1" t="s">
        <v>319</v>
      </c>
      <c r="AJ116">
        <v>94010107</v>
      </c>
      <c r="AK116" s="1" t="s">
        <v>1867</v>
      </c>
      <c r="AL116" t="s">
        <v>1948</v>
      </c>
      <c r="AN116" t="s">
        <v>2061</v>
      </c>
      <c r="AO116" t="s">
        <v>2067</v>
      </c>
      <c r="AP116" t="s">
        <v>2074</v>
      </c>
      <c r="AQ116">
        <v>128406</v>
      </c>
      <c r="AR116" s="3">
        <v>46203</v>
      </c>
      <c r="AS116" s="3">
        <v>46160</v>
      </c>
      <c r="AT116" s="3">
        <v>46187</v>
      </c>
      <c r="AU116" t="s">
        <v>2124</v>
      </c>
      <c r="AW116" s="3">
        <v>46208.53701449134</v>
      </c>
    </row>
    <row r="117" spans="1:49" ht="16" hidden="1" x14ac:dyDescent="0.2">
      <c r="A117" t="s">
        <v>85</v>
      </c>
      <c r="B117">
        <v>11737</v>
      </c>
      <c r="C117">
        <v>8981</v>
      </c>
      <c r="D117" t="s">
        <v>157</v>
      </c>
      <c r="E117" t="s">
        <v>294</v>
      </c>
      <c r="F117">
        <v>267764</v>
      </c>
      <c r="G117" t="s">
        <v>539</v>
      </c>
      <c r="H117">
        <v>584846</v>
      </c>
      <c r="I117" t="s">
        <v>1061</v>
      </c>
      <c r="J117">
        <v>93827526</v>
      </c>
      <c r="K117" t="s">
        <v>1836</v>
      </c>
      <c r="L117" t="s">
        <v>1850</v>
      </c>
      <c r="M117" s="1">
        <v>19</v>
      </c>
      <c r="N117" t="s">
        <v>1853</v>
      </c>
      <c r="O117">
        <v>1038545</v>
      </c>
      <c r="P117" s="1">
        <v>19732.349999999999</v>
      </c>
      <c r="S117" s="6" t="str">
        <f t="shared" si="1"/>
        <v xml:space="preserve"> </v>
      </c>
      <c r="T117" s="6">
        <f>IF(IF(COUNTIF(H$2:$H117,H117)=1,1,"")=1,SUMIF($H$2:$H$7997,H117,$S$2:$S$7997),"")</f>
        <v>0</v>
      </c>
      <c r="W117">
        <v>973067</v>
      </c>
      <c r="X117">
        <v>973067</v>
      </c>
      <c r="Y117">
        <v>1038545</v>
      </c>
      <c r="Z117">
        <v>1038545</v>
      </c>
      <c r="AA117" s="2">
        <v>1</v>
      </c>
      <c r="AB117" s="2">
        <v>1.0672906564128519</v>
      </c>
      <c r="AC117" s="2">
        <v>0</v>
      </c>
      <c r="AD117">
        <v>0</v>
      </c>
      <c r="AE117" t="s">
        <v>1862</v>
      </c>
      <c r="AF117">
        <v>26394.7</v>
      </c>
      <c r="AG117">
        <v>1705263</v>
      </c>
      <c r="AH117">
        <v>32400</v>
      </c>
      <c r="AI117" s="1" t="s">
        <v>294</v>
      </c>
      <c r="AJ117">
        <v>93827506</v>
      </c>
      <c r="AK117" s="1" t="s">
        <v>1867</v>
      </c>
      <c r="AL117" t="s">
        <v>1928</v>
      </c>
      <c r="AN117" t="s">
        <v>2061</v>
      </c>
      <c r="AO117" t="s">
        <v>2067</v>
      </c>
      <c r="AP117" t="s">
        <v>2074</v>
      </c>
      <c r="AQ117">
        <v>127605</v>
      </c>
      <c r="AR117" s="3">
        <v>46203</v>
      </c>
      <c r="AS117" s="3">
        <v>46188</v>
      </c>
      <c r="AT117" s="3">
        <v>46204</v>
      </c>
      <c r="AU117" t="s">
        <v>2124</v>
      </c>
      <c r="AW117" s="3">
        <v>46208.53701449134</v>
      </c>
    </row>
    <row r="118" spans="1:49" ht="16" hidden="1" x14ac:dyDescent="0.2">
      <c r="A118" t="s">
        <v>85</v>
      </c>
      <c r="B118">
        <v>11737</v>
      </c>
      <c r="C118">
        <v>8981</v>
      </c>
      <c r="D118" t="s">
        <v>157</v>
      </c>
      <c r="E118" t="s">
        <v>294</v>
      </c>
      <c r="F118">
        <v>267764</v>
      </c>
      <c r="G118" t="s">
        <v>539</v>
      </c>
      <c r="H118">
        <v>584846</v>
      </c>
      <c r="I118" t="s">
        <v>1060</v>
      </c>
      <c r="J118">
        <v>93827523</v>
      </c>
      <c r="K118" t="s">
        <v>1836</v>
      </c>
      <c r="L118" t="s">
        <v>1850</v>
      </c>
      <c r="M118" s="1">
        <v>19</v>
      </c>
      <c r="N118" t="s">
        <v>1853</v>
      </c>
      <c r="O118">
        <v>226079</v>
      </c>
      <c r="P118" s="1">
        <v>3999.99</v>
      </c>
      <c r="S118" s="6" t="str">
        <f t="shared" si="1"/>
        <v xml:space="preserve"> </v>
      </c>
      <c r="T118" s="6" t="str">
        <f>IF(IF(COUNTIF(H$2:$H118,H118)=1,1,"")=1,SUMIF($H$2:$H$7997,H118,$S$2:$S$7997),"")</f>
        <v/>
      </c>
      <c r="W118">
        <v>182802</v>
      </c>
      <c r="X118">
        <v>182802</v>
      </c>
      <c r="Y118">
        <v>226079</v>
      </c>
      <c r="Z118">
        <v>226079</v>
      </c>
      <c r="AA118" s="2">
        <v>1</v>
      </c>
      <c r="AB118" s="2">
        <v>1.236747764880757</v>
      </c>
      <c r="AC118" s="2">
        <v>0</v>
      </c>
      <c r="AD118">
        <v>0</v>
      </c>
      <c r="AE118" t="s">
        <v>1862</v>
      </c>
      <c r="AF118">
        <v>3258.6</v>
      </c>
      <c r="AG118">
        <v>210526</v>
      </c>
      <c r="AH118">
        <v>3999.99</v>
      </c>
      <c r="AI118" s="1" t="s">
        <v>294</v>
      </c>
      <c r="AJ118">
        <v>93827506</v>
      </c>
      <c r="AK118" s="1" t="s">
        <v>1867</v>
      </c>
      <c r="AL118" t="s">
        <v>1928</v>
      </c>
      <c r="AN118" t="s">
        <v>2061</v>
      </c>
      <c r="AO118" t="s">
        <v>2067</v>
      </c>
      <c r="AP118" t="s">
        <v>2074</v>
      </c>
      <c r="AQ118">
        <v>127605</v>
      </c>
      <c r="AR118" s="3">
        <v>46203</v>
      </c>
      <c r="AS118" s="3">
        <v>46188</v>
      </c>
      <c r="AT118" s="3">
        <v>46204</v>
      </c>
      <c r="AU118" t="s">
        <v>2124</v>
      </c>
      <c r="AW118" s="3">
        <v>46208.53701449134</v>
      </c>
    </row>
    <row r="119" spans="1:49" ht="16" hidden="1" x14ac:dyDescent="0.2">
      <c r="A119" t="s">
        <v>85</v>
      </c>
      <c r="B119">
        <v>11737</v>
      </c>
      <c r="C119">
        <v>8981</v>
      </c>
      <c r="D119" t="s">
        <v>157</v>
      </c>
      <c r="E119" t="s">
        <v>294</v>
      </c>
      <c r="F119">
        <v>267764</v>
      </c>
      <c r="G119" t="s">
        <v>539</v>
      </c>
      <c r="H119">
        <v>584846</v>
      </c>
      <c r="I119" t="s">
        <v>1063</v>
      </c>
      <c r="J119">
        <v>93827545</v>
      </c>
      <c r="K119" t="s">
        <v>1836</v>
      </c>
      <c r="L119" t="s">
        <v>1850</v>
      </c>
      <c r="M119" s="1">
        <v>19</v>
      </c>
      <c r="N119" t="s">
        <v>1853</v>
      </c>
      <c r="O119">
        <v>87932</v>
      </c>
      <c r="P119" s="1">
        <v>1600.01</v>
      </c>
      <c r="S119" s="6" t="str">
        <f t="shared" si="1"/>
        <v xml:space="preserve"> </v>
      </c>
      <c r="T119" s="6" t="str">
        <f>IF(IF(COUNTIF(H$2:$H119,H119)=1,1,"")=1,SUMIF($H$2:$H$7997,H119,$S$2:$S$7997),"")</f>
        <v/>
      </c>
      <c r="V119" t="s">
        <v>1860</v>
      </c>
      <c r="W119">
        <v>68990</v>
      </c>
      <c r="X119">
        <v>68990</v>
      </c>
      <c r="Y119">
        <v>87932</v>
      </c>
      <c r="Z119">
        <v>87932</v>
      </c>
      <c r="AA119" s="2">
        <v>1</v>
      </c>
      <c r="AB119" s="2">
        <v>1.274571366562975</v>
      </c>
      <c r="AC119" s="2">
        <v>0</v>
      </c>
      <c r="AD119">
        <v>0</v>
      </c>
      <c r="AE119" t="s">
        <v>1862</v>
      </c>
      <c r="AF119">
        <v>1303.45</v>
      </c>
      <c r="AG119">
        <v>84211</v>
      </c>
      <c r="AH119">
        <v>1600.01</v>
      </c>
      <c r="AI119" s="1" t="s">
        <v>294</v>
      </c>
      <c r="AJ119">
        <v>93827506</v>
      </c>
      <c r="AK119" s="1" t="s">
        <v>1867</v>
      </c>
      <c r="AL119" t="s">
        <v>1928</v>
      </c>
      <c r="AN119" t="s">
        <v>2061</v>
      </c>
      <c r="AO119" t="s">
        <v>2067</v>
      </c>
      <c r="AP119" t="s">
        <v>2074</v>
      </c>
      <c r="AQ119">
        <v>127605</v>
      </c>
      <c r="AR119" s="3">
        <v>46203</v>
      </c>
      <c r="AS119" s="3">
        <v>46188</v>
      </c>
      <c r="AT119" s="3">
        <v>46204</v>
      </c>
      <c r="AU119" t="s">
        <v>2124</v>
      </c>
      <c r="AW119" s="3">
        <v>46208.53701449134</v>
      </c>
    </row>
    <row r="120" spans="1:49" ht="16" hidden="1" x14ac:dyDescent="0.2">
      <c r="A120" t="s">
        <v>85</v>
      </c>
      <c r="B120">
        <v>11737</v>
      </c>
      <c r="C120">
        <v>8981</v>
      </c>
      <c r="D120" t="s">
        <v>157</v>
      </c>
      <c r="E120" t="s">
        <v>294</v>
      </c>
      <c r="F120">
        <v>267764</v>
      </c>
      <c r="G120" t="s">
        <v>539</v>
      </c>
      <c r="H120">
        <v>584846</v>
      </c>
      <c r="I120" t="s">
        <v>1062</v>
      </c>
      <c r="J120">
        <v>93827532</v>
      </c>
      <c r="K120" t="s">
        <v>1836</v>
      </c>
      <c r="L120" t="s">
        <v>1850</v>
      </c>
      <c r="M120" s="1">
        <v>19</v>
      </c>
      <c r="N120" t="s">
        <v>1853</v>
      </c>
      <c r="O120">
        <v>108756</v>
      </c>
      <c r="P120" s="1">
        <v>2000</v>
      </c>
      <c r="S120" s="6" t="str">
        <f t="shared" si="1"/>
        <v xml:space="preserve"> </v>
      </c>
      <c r="T120" s="6" t="str">
        <f>IF(IF(COUNTIF(H$2:$H120,H120)=1,1,"")=1,SUMIF($H$2:$H$7997,H120,$S$2:$S$7997),"")</f>
        <v/>
      </c>
      <c r="W120">
        <v>90630</v>
      </c>
      <c r="X120">
        <v>90630</v>
      </c>
      <c r="Y120">
        <v>108756</v>
      </c>
      <c r="Z120">
        <v>108756</v>
      </c>
      <c r="AA120" s="2">
        <v>1</v>
      </c>
      <c r="AB120" s="2">
        <v>1.2000022800077521</v>
      </c>
      <c r="AC120" s="2">
        <v>0</v>
      </c>
      <c r="AD120">
        <v>0</v>
      </c>
      <c r="AE120" t="s">
        <v>1862</v>
      </c>
      <c r="AF120">
        <v>1629.3</v>
      </c>
      <c r="AG120">
        <v>105263</v>
      </c>
      <c r="AH120">
        <v>2000</v>
      </c>
      <c r="AI120" s="1" t="s">
        <v>294</v>
      </c>
      <c r="AJ120">
        <v>93827506</v>
      </c>
      <c r="AK120" s="1" t="s">
        <v>1867</v>
      </c>
      <c r="AL120" t="s">
        <v>1928</v>
      </c>
      <c r="AN120" t="s">
        <v>2061</v>
      </c>
      <c r="AO120" t="s">
        <v>2067</v>
      </c>
      <c r="AP120" t="s">
        <v>2074</v>
      </c>
      <c r="AQ120">
        <v>127605</v>
      </c>
      <c r="AR120" s="3">
        <v>46203</v>
      </c>
      <c r="AS120" s="3">
        <v>46188</v>
      </c>
      <c r="AT120" s="3">
        <v>46204</v>
      </c>
      <c r="AU120" t="s">
        <v>2124</v>
      </c>
      <c r="AW120" s="3">
        <v>46208.53701449134</v>
      </c>
    </row>
    <row r="121" spans="1:49" ht="16" hidden="1" x14ac:dyDescent="0.2">
      <c r="A121" t="s">
        <v>83</v>
      </c>
      <c r="B121">
        <v>18559</v>
      </c>
      <c r="C121">
        <v>7922</v>
      </c>
      <c r="D121" t="s">
        <v>150</v>
      </c>
      <c r="E121" t="s">
        <v>286</v>
      </c>
      <c r="F121">
        <v>262938</v>
      </c>
      <c r="G121" t="s">
        <v>524</v>
      </c>
      <c r="H121">
        <v>582615</v>
      </c>
      <c r="I121" t="s">
        <v>1036</v>
      </c>
      <c r="J121">
        <v>93743002</v>
      </c>
      <c r="K121" t="s">
        <v>1839</v>
      </c>
      <c r="L121" t="s">
        <v>1850</v>
      </c>
      <c r="M121" s="1">
        <v>36</v>
      </c>
      <c r="N121" t="s">
        <v>23</v>
      </c>
      <c r="O121">
        <v>779821</v>
      </c>
      <c r="P121" s="1">
        <v>28073.56</v>
      </c>
      <c r="S121" s="6" t="str">
        <f t="shared" si="1"/>
        <v xml:space="preserve"> </v>
      </c>
      <c r="T121" s="6">
        <f>IF(IF(COUNTIF(H$2:$H121,H121)=1,1,"")=1,SUMIF($H$2:$H$7997,H121,$S$2:$S$7997),"")</f>
        <v>0</v>
      </c>
      <c r="W121">
        <v>662926</v>
      </c>
      <c r="X121">
        <v>779821</v>
      </c>
      <c r="Y121">
        <v>0</v>
      </c>
      <c r="Z121">
        <v>0</v>
      </c>
      <c r="AA121" s="2">
        <v>1</v>
      </c>
      <c r="AB121" s="2">
        <v>0</v>
      </c>
      <c r="AC121" s="2">
        <v>0</v>
      </c>
      <c r="AD121">
        <v>0</v>
      </c>
      <c r="AE121" t="s">
        <v>1862</v>
      </c>
      <c r="AF121">
        <v>18951.900000000001</v>
      </c>
      <c r="AG121">
        <v>1944445</v>
      </c>
      <c r="AH121">
        <v>70000.02</v>
      </c>
      <c r="AI121" s="1" t="s">
        <v>286</v>
      </c>
      <c r="AJ121">
        <v>93742999</v>
      </c>
      <c r="AK121" s="1" t="s">
        <v>1867</v>
      </c>
      <c r="AL121" t="s">
        <v>1921</v>
      </c>
      <c r="AN121" t="s">
        <v>2057</v>
      </c>
      <c r="AO121" t="s">
        <v>2067</v>
      </c>
      <c r="AP121" t="s">
        <v>2094</v>
      </c>
      <c r="AQ121">
        <v>127274</v>
      </c>
      <c r="AR121" s="3">
        <v>46203</v>
      </c>
      <c r="AS121" s="3">
        <v>46143</v>
      </c>
      <c r="AT121" s="3">
        <v>46222</v>
      </c>
      <c r="AU121" t="s">
        <v>2124</v>
      </c>
      <c r="AW121" s="3">
        <v>46208.53701449134</v>
      </c>
    </row>
    <row r="122" spans="1:49" ht="16" hidden="1" x14ac:dyDescent="0.2">
      <c r="A122" t="s">
        <v>83</v>
      </c>
      <c r="B122">
        <v>18559</v>
      </c>
      <c r="C122">
        <v>7922</v>
      </c>
      <c r="D122" t="s">
        <v>150</v>
      </c>
      <c r="E122" t="s">
        <v>286</v>
      </c>
      <c r="F122">
        <v>262938</v>
      </c>
      <c r="G122" t="s">
        <v>524</v>
      </c>
      <c r="H122">
        <v>582615</v>
      </c>
      <c r="I122" t="s">
        <v>1037</v>
      </c>
      <c r="J122">
        <v>93743005</v>
      </c>
      <c r="K122" t="s">
        <v>1835</v>
      </c>
      <c r="L122" t="s">
        <v>1850</v>
      </c>
      <c r="M122" s="1">
        <v>36</v>
      </c>
      <c r="N122" t="s">
        <v>23</v>
      </c>
      <c r="O122">
        <v>72206</v>
      </c>
      <c r="P122" s="1">
        <v>2599.42</v>
      </c>
      <c r="S122" s="6" t="str">
        <f t="shared" si="1"/>
        <v xml:space="preserve"> </v>
      </c>
      <c r="T122" s="6" t="str">
        <f>IF(IF(COUNTIF(H$2:$H122,H122)=1,1,"")=1,SUMIF($H$2:$H$7997,H122,$S$2:$S$7997),"")</f>
        <v/>
      </c>
      <c r="W122">
        <v>3044649</v>
      </c>
      <c r="X122">
        <v>72206</v>
      </c>
      <c r="Y122">
        <v>0</v>
      </c>
      <c r="Z122">
        <v>0</v>
      </c>
      <c r="AA122" s="2">
        <v>1</v>
      </c>
      <c r="AB122" s="2">
        <v>0</v>
      </c>
      <c r="AC122" s="2">
        <v>0</v>
      </c>
      <c r="AD122">
        <v>0</v>
      </c>
      <c r="AE122" t="s">
        <v>1862</v>
      </c>
      <c r="AF122">
        <v>45117.7</v>
      </c>
      <c r="AG122">
        <v>4629028</v>
      </c>
      <c r="AH122">
        <v>166645.01</v>
      </c>
      <c r="AI122" s="1" t="s">
        <v>286</v>
      </c>
      <c r="AJ122">
        <v>93742999</v>
      </c>
      <c r="AK122" s="1" t="s">
        <v>1867</v>
      </c>
      <c r="AL122" t="s">
        <v>1921</v>
      </c>
      <c r="AN122" t="s">
        <v>2057</v>
      </c>
      <c r="AO122" t="s">
        <v>2067</v>
      </c>
      <c r="AP122" t="s">
        <v>2092</v>
      </c>
      <c r="AQ122">
        <v>127274</v>
      </c>
      <c r="AR122" s="3">
        <v>46203</v>
      </c>
      <c r="AS122" s="3">
        <v>46143</v>
      </c>
      <c r="AT122" s="3">
        <v>46222</v>
      </c>
      <c r="AU122" t="s">
        <v>2123</v>
      </c>
      <c r="AW122" s="3">
        <v>46208.53701449134</v>
      </c>
    </row>
    <row r="123" spans="1:49" ht="16" hidden="1" x14ac:dyDescent="0.2">
      <c r="A123" t="s">
        <v>83</v>
      </c>
      <c r="B123">
        <v>18559</v>
      </c>
      <c r="C123">
        <v>7922</v>
      </c>
      <c r="D123" t="s">
        <v>150</v>
      </c>
      <c r="E123" t="s">
        <v>286</v>
      </c>
      <c r="F123">
        <v>262938</v>
      </c>
      <c r="G123" t="s">
        <v>781</v>
      </c>
      <c r="H123">
        <v>582616</v>
      </c>
      <c r="I123" t="s">
        <v>1522</v>
      </c>
      <c r="J123">
        <v>7301767339</v>
      </c>
      <c r="K123" t="s">
        <v>1835</v>
      </c>
      <c r="L123" t="s">
        <v>1850</v>
      </c>
      <c r="M123" s="1">
        <v>6</v>
      </c>
      <c r="N123" t="s">
        <v>23</v>
      </c>
      <c r="O123">
        <v>0</v>
      </c>
      <c r="P123" s="1">
        <v>0</v>
      </c>
      <c r="S123" s="6" t="str">
        <f t="shared" si="1"/>
        <v xml:space="preserve"> </v>
      </c>
      <c r="T123" s="6">
        <f>IF(IF(COUNTIF(H$2:$H123,H123)=1,1,"")=1,SUMIF($H$2:$H$7997,H123,$S$2:$S$7997),"")</f>
        <v>0</v>
      </c>
      <c r="W123">
        <v>0</v>
      </c>
      <c r="X123">
        <v>0</v>
      </c>
      <c r="Y123">
        <v>0</v>
      </c>
      <c r="Z123">
        <v>0</v>
      </c>
      <c r="AA123" s="2">
        <v>1</v>
      </c>
      <c r="AB123" s="2">
        <v>0</v>
      </c>
      <c r="AC123" s="2">
        <v>0</v>
      </c>
      <c r="AD123">
        <v>0</v>
      </c>
      <c r="AE123" t="s">
        <v>1862</v>
      </c>
      <c r="AF123">
        <v>34181.31</v>
      </c>
      <c r="AG123">
        <v>22774000</v>
      </c>
      <c r="AH123">
        <v>136644</v>
      </c>
      <c r="AI123" s="1" t="s">
        <v>286</v>
      </c>
      <c r="AJ123">
        <v>262938</v>
      </c>
      <c r="AK123" s="1" t="s">
        <v>1867</v>
      </c>
      <c r="AL123" t="s">
        <v>1921</v>
      </c>
      <c r="AN123" t="s">
        <v>2057</v>
      </c>
      <c r="AO123" t="s">
        <v>2067</v>
      </c>
      <c r="AP123" t="s">
        <v>2103</v>
      </c>
      <c r="AQ123">
        <v>127274</v>
      </c>
      <c r="AR123" s="3">
        <v>46203</v>
      </c>
      <c r="AS123" s="3">
        <v>46174</v>
      </c>
      <c r="AT123" s="3">
        <v>46222</v>
      </c>
      <c r="AU123" t="s">
        <v>2126</v>
      </c>
      <c r="AW123" s="3">
        <v>46208.53701449134</v>
      </c>
    </row>
    <row r="124" spans="1:49" ht="16" hidden="1" x14ac:dyDescent="0.2">
      <c r="A124" t="s">
        <v>83</v>
      </c>
      <c r="B124">
        <v>18559</v>
      </c>
      <c r="C124">
        <v>7922</v>
      </c>
      <c r="D124" t="s">
        <v>150</v>
      </c>
      <c r="E124" t="s">
        <v>286</v>
      </c>
      <c r="F124">
        <v>262938</v>
      </c>
      <c r="G124" t="s">
        <v>831</v>
      </c>
      <c r="H124">
        <v>582620</v>
      </c>
      <c r="I124" t="s">
        <v>1625</v>
      </c>
      <c r="J124">
        <v>582621</v>
      </c>
      <c r="K124" t="s">
        <v>1846</v>
      </c>
      <c r="L124" t="s">
        <v>1851</v>
      </c>
      <c r="M124" s="1">
        <v>41666.67</v>
      </c>
      <c r="N124" t="s">
        <v>1858</v>
      </c>
      <c r="O124">
        <v>0</v>
      </c>
      <c r="P124" s="1">
        <v>12755.1</v>
      </c>
      <c r="S124" s="6" t="str">
        <f t="shared" si="1"/>
        <v xml:space="preserve"> </v>
      </c>
      <c r="T124" s="6">
        <f>IF(IF(COUNTIF(H$2:$H124,H124)=1,1,"")=1,SUMIF($H$2:$H$7997,H124,$S$2:$S$7997),"")</f>
        <v>0</v>
      </c>
      <c r="W124">
        <v>0</v>
      </c>
      <c r="X124">
        <v>0</v>
      </c>
      <c r="Y124">
        <v>0</v>
      </c>
      <c r="Z124">
        <v>0</v>
      </c>
      <c r="AA124" s="2">
        <v>1</v>
      </c>
      <c r="AB124" s="2">
        <v>0</v>
      </c>
      <c r="AC124" s="2">
        <v>0</v>
      </c>
      <c r="AD124">
        <v>0</v>
      </c>
      <c r="AE124" t="s">
        <v>1863</v>
      </c>
      <c r="AF124">
        <v>12755.1</v>
      </c>
      <c r="AG124">
        <v>1</v>
      </c>
      <c r="AH124">
        <v>41666.67</v>
      </c>
      <c r="AI124" s="1" t="s">
        <v>286</v>
      </c>
      <c r="AJ124">
        <v>262938</v>
      </c>
      <c r="AK124" s="1" t="s">
        <v>1867</v>
      </c>
      <c r="AL124" t="s">
        <v>1921</v>
      </c>
      <c r="AN124" t="s">
        <v>2057</v>
      </c>
      <c r="AO124" t="s">
        <v>2067</v>
      </c>
      <c r="AP124" t="s">
        <v>2110</v>
      </c>
      <c r="AQ124">
        <v>127274</v>
      </c>
      <c r="AR124" s="3">
        <v>46203</v>
      </c>
      <c r="AS124" s="3">
        <v>46174</v>
      </c>
      <c r="AT124" s="3">
        <v>46222</v>
      </c>
      <c r="AU124" t="s">
        <v>2128</v>
      </c>
      <c r="AW124" s="3">
        <v>46208.53701449134</v>
      </c>
    </row>
    <row r="125" spans="1:49" ht="16" hidden="1" x14ac:dyDescent="0.2">
      <c r="A125" t="s">
        <v>83</v>
      </c>
      <c r="B125">
        <v>18559</v>
      </c>
      <c r="C125">
        <v>7922</v>
      </c>
      <c r="D125" t="s">
        <v>150</v>
      </c>
      <c r="E125" t="s">
        <v>286</v>
      </c>
      <c r="F125">
        <v>262938</v>
      </c>
      <c r="G125" t="s">
        <v>831</v>
      </c>
      <c r="H125">
        <v>582620</v>
      </c>
      <c r="I125" t="s">
        <v>1746</v>
      </c>
      <c r="J125">
        <v>582624</v>
      </c>
      <c r="K125" t="s">
        <v>1844</v>
      </c>
      <c r="L125" t="s">
        <v>1851</v>
      </c>
      <c r="M125" s="1">
        <v>41666.660000000003</v>
      </c>
      <c r="N125" t="s">
        <v>1858</v>
      </c>
      <c r="O125">
        <v>0</v>
      </c>
      <c r="P125" s="1">
        <v>12755.1</v>
      </c>
      <c r="S125" s="6" t="str">
        <f t="shared" si="1"/>
        <v xml:space="preserve"> </v>
      </c>
      <c r="T125" s="6" t="str">
        <f>IF(IF(COUNTIF(H$2:$H125,H125)=1,1,"")=1,SUMIF($H$2:$H$7997,H125,$S$2:$S$7997),"")</f>
        <v/>
      </c>
      <c r="W125">
        <v>0</v>
      </c>
      <c r="X125">
        <v>0</v>
      </c>
      <c r="Y125">
        <v>0</v>
      </c>
      <c r="Z125">
        <v>0</v>
      </c>
      <c r="AA125" s="2">
        <v>1</v>
      </c>
      <c r="AB125" s="2">
        <v>0</v>
      </c>
      <c r="AC125" s="2">
        <v>0</v>
      </c>
      <c r="AD125">
        <v>0</v>
      </c>
      <c r="AE125" t="s">
        <v>1863</v>
      </c>
      <c r="AF125">
        <v>12755.1</v>
      </c>
      <c r="AG125">
        <v>1</v>
      </c>
      <c r="AH125">
        <v>41666.660000000003</v>
      </c>
      <c r="AI125" s="1" t="s">
        <v>286</v>
      </c>
      <c r="AJ125">
        <v>262938</v>
      </c>
      <c r="AK125" s="1" t="s">
        <v>1867</v>
      </c>
      <c r="AL125" t="s">
        <v>1921</v>
      </c>
      <c r="AN125" t="s">
        <v>2057</v>
      </c>
      <c r="AO125" t="s">
        <v>2067</v>
      </c>
      <c r="AP125" t="s">
        <v>2107</v>
      </c>
      <c r="AQ125">
        <v>127274</v>
      </c>
      <c r="AR125" s="3">
        <v>46203</v>
      </c>
      <c r="AS125" s="3">
        <v>46174</v>
      </c>
      <c r="AT125" s="3">
        <v>46222</v>
      </c>
      <c r="AU125" t="s">
        <v>2127</v>
      </c>
      <c r="AW125" s="3">
        <v>46208.53701449134</v>
      </c>
    </row>
    <row r="126" spans="1:49" ht="16" hidden="1" x14ac:dyDescent="0.2">
      <c r="A126" t="s">
        <v>83</v>
      </c>
      <c r="B126">
        <v>18559</v>
      </c>
      <c r="C126">
        <v>7922</v>
      </c>
      <c r="D126" t="s">
        <v>150</v>
      </c>
      <c r="E126" t="s">
        <v>286</v>
      </c>
      <c r="F126">
        <v>262938</v>
      </c>
      <c r="G126" t="s">
        <v>831</v>
      </c>
      <c r="H126">
        <v>582620</v>
      </c>
      <c r="I126" t="s">
        <v>1820</v>
      </c>
      <c r="J126">
        <v>582623</v>
      </c>
      <c r="K126" t="s">
        <v>1835</v>
      </c>
      <c r="L126" t="s">
        <v>1851</v>
      </c>
      <c r="M126" s="1">
        <v>41666.67</v>
      </c>
      <c r="N126" t="s">
        <v>1858</v>
      </c>
      <c r="O126">
        <v>0</v>
      </c>
      <c r="P126" s="1">
        <v>12755.1</v>
      </c>
      <c r="S126" s="6" t="str">
        <f t="shared" si="1"/>
        <v xml:space="preserve"> </v>
      </c>
      <c r="T126" s="6" t="str">
        <f>IF(IF(COUNTIF(H$2:$H126,H126)=1,1,"")=1,SUMIF($H$2:$H$7997,H126,$S$2:$S$7997),"")</f>
        <v/>
      </c>
      <c r="W126">
        <v>0</v>
      </c>
      <c r="X126">
        <v>0</v>
      </c>
      <c r="Y126">
        <v>0</v>
      </c>
      <c r="Z126">
        <v>0</v>
      </c>
      <c r="AA126" s="2">
        <v>1</v>
      </c>
      <c r="AB126" s="2">
        <v>0</v>
      </c>
      <c r="AC126" s="2">
        <v>0</v>
      </c>
      <c r="AD126">
        <v>0</v>
      </c>
      <c r="AE126" t="s">
        <v>1863</v>
      </c>
      <c r="AF126">
        <v>12755.1</v>
      </c>
      <c r="AG126">
        <v>1</v>
      </c>
      <c r="AH126">
        <v>41666.67</v>
      </c>
      <c r="AI126" s="1" t="s">
        <v>286</v>
      </c>
      <c r="AJ126">
        <v>262938</v>
      </c>
      <c r="AK126" s="1" t="s">
        <v>1867</v>
      </c>
      <c r="AL126" t="s">
        <v>1921</v>
      </c>
      <c r="AN126" t="s">
        <v>2057</v>
      </c>
      <c r="AO126" t="s">
        <v>2067</v>
      </c>
      <c r="AP126" t="s">
        <v>2109</v>
      </c>
      <c r="AQ126">
        <v>127274</v>
      </c>
      <c r="AR126" s="3">
        <v>46203</v>
      </c>
      <c r="AS126" s="3">
        <v>46174</v>
      </c>
      <c r="AT126" s="3">
        <v>46222</v>
      </c>
      <c r="AU126" t="s">
        <v>2129</v>
      </c>
      <c r="AW126" s="3">
        <v>46208.53701449134</v>
      </c>
    </row>
    <row r="127" spans="1:49" ht="16" hidden="1" x14ac:dyDescent="0.2">
      <c r="A127" t="s">
        <v>83</v>
      </c>
      <c r="B127">
        <v>18559</v>
      </c>
      <c r="C127">
        <v>8738</v>
      </c>
      <c r="D127" t="s">
        <v>208</v>
      </c>
      <c r="E127" t="s">
        <v>398</v>
      </c>
      <c r="F127">
        <v>269909</v>
      </c>
      <c r="G127" t="s">
        <v>736</v>
      </c>
      <c r="H127">
        <v>589775</v>
      </c>
      <c r="I127" t="s">
        <v>1425</v>
      </c>
      <c r="J127">
        <v>94716057</v>
      </c>
      <c r="K127" t="s">
        <v>1839</v>
      </c>
      <c r="L127" t="s">
        <v>1850</v>
      </c>
      <c r="M127" s="1">
        <v>40</v>
      </c>
      <c r="N127" t="s">
        <v>23</v>
      </c>
      <c r="O127">
        <v>11532040</v>
      </c>
      <c r="P127" s="1">
        <v>461281.6</v>
      </c>
      <c r="S127" s="6" t="str">
        <f t="shared" si="1"/>
        <v xml:space="preserve"> </v>
      </c>
      <c r="T127" s="6">
        <f>IF(IF(COUNTIF(H$2:$H127,H127)=1,1,"")=1,SUMIF($H$2:$H$7997,H127,$S$2:$S$7997),"")</f>
        <v>0</v>
      </c>
      <c r="W127">
        <v>11532040</v>
      </c>
      <c r="X127">
        <v>11532040</v>
      </c>
      <c r="Y127">
        <v>0</v>
      </c>
      <c r="Z127">
        <v>0</v>
      </c>
      <c r="AA127" s="2">
        <v>1</v>
      </c>
      <c r="AB127" s="2">
        <v>0</v>
      </c>
      <c r="AC127" s="2">
        <v>0</v>
      </c>
      <c r="AD127">
        <v>0</v>
      </c>
      <c r="AE127" t="s">
        <v>1862</v>
      </c>
      <c r="AF127">
        <v>244909.77</v>
      </c>
      <c r="AG127">
        <v>17500000</v>
      </c>
      <c r="AH127">
        <v>700000</v>
      </c>
      <c r="AI127" s="1" t="s">
        <v>398</v>
      </c>
      <c r="AJ127">
        <v>94716052</v>
      </c>
      <c r="AK127" s="1" t="s">
        <v>1867</v>
      </c>
      <c r="AL127">
        <v>225686</v>
      </c>
      <c r="AN127" t="s">
        <v>2057</v>
      </c>
      <c r="AO127" t="s">
        <v>2067</v>
      </c>
      <c r="AP127" t="s">
        <v>2094</v>
      </c>
      <c r="AQ127">
        <v>131040</v>
      </c>
      <c r="AR127" s="3">
        <v>46203</v>
      </c>
      <c r="AS127" s="3">
        <v>46184</v>
      </c>
      <c r="AT127" s="3">
        <v>46222</v>
      </c>
      <c r="AU127" t="s">
        <v>2124</v>
      </c>
      <c r="AW127" s="3">
        <v>46208.53701449134</v>
      </c>
    </row>
    <row r="128" spans="1:49" ht="16" hidden="1" x14ac:dyDescent="0.2">
      <c r="A128" t="s">
        <v>83</v>
      </c>
      <c r="B128">
        <v>18559</v>
      </c>
      <c r="C128">
        <v>8738</v>
      </c>
      <c r="D128" t="s">
        <v>208</v>
      </c>
      <c r="E128" t="s">
        <v>398</v>
      </c>
      <c r="F128">
        <v>269909</v>
      </c>
      <c r="G128" t="s">
        <v>736</v>
      </c>
      <c r="H128">
        <v>589775</v>
      </c>
      <c r="I128" t="s">
        <v>1428</v>
      </c>
      <c r="J128">
        <v>94716070</v>
      </c>
      <c r="K128" t="s">
        <v>1835</v>
      </c>
      <c r="L128" t="s">
        <v>1850</v>
      </c>
      <c r="M128" s="1">
        <v>40</v>
      </c>
      <c r="N128" t="s">
        <v>23</v>
      </c>
      <c r="O128">
        <v>5044982</v>
      </c>
      <c r="P128" s="1">
        <v>201799.28</v>
      </c>
      <c r="S128" s="6" t="str">
        <f t="shared" si="1"/>
        <v xml:space="preserve"> </v>
      </c>
      <c r="T128" s="6" t="str">
        <f>IF(IF(COUNTIF(H$2:$H128,H128)=1,1,"")=1,SUMIF($H$2:$H$7997,H128,$S$2:$S$7997),"")</f>
        <v/>
      </c>
      <c r="W128">
        <v>5044982</v>
      </c>
      <c r="X128">
        <v>5044982</v>
      </c>
      <c r="Y128">
        <v>0</v>
      </c>
      <c r="Z128">
        <v>0</v>
      </c>
      <c r="AA128" s="2">
        <v>1</v>
      </c>
      <c r="AB128" s="2">
        <v>0</v>
      </c>
      <c r="AC128" s="2">
        <v>0</v>
      </c>
      <c r="AD128">
        <v>0</v>
      </c>
      <c r="AE128" t="s">
        <v>1862</v>
      </c>
      <c r="AF128">
        <v>104961.33</v>
      </c>
      <c r="AG128">
        <v>7500000</v>
      </c>
      <c r="AH128">
        <v>300000</v>
      </c>
      <c r="AI128" s="1" t="s">
        <v>398</v>
      </c>
      <c r="AJ128">
        <v>94716052</v>
      </c>
      <c r="AK128" s="1" t="s">
        <v>1867</v>
      </c>
      <c r="AL128">
        <v>225686</v>
      </c>
      <c r="AN128" t="s">
        <v>2057</v>
      </c>
      <c r="AO128" t="s">
        <v>2067</v>
      </c>
      <c r="AP128" t="s">
        <v>2092</v>
      </c>
      <c r="AQ128">
        <v>131040</v>
      </c>
      <c r="AR128" s="3">
        <v>46203</v>
      </c>
      <c r="AS128" s="3">
        <v>46184</v>
      </c>
      <c r="AT128" s="3">
        <v>46222</v>
      </c>
      <c r="AU128" t="s">
        <v>2123</v>
      </c>
      <c r="AW128" s="3">
        <v>46208.53701449134</v>
      </c>
    </row>
    <row r="129" spans="1:49" ht="16" hidden="1" x14ac:dyDescent="0.2">
      <c r="A129" t="s">
        <v>83</v>
      </c>
      <c r="B129">
        <v>18559</v>
      </c>
      <c r="C129">
        <v>8738</v>
      </c>
      <c r="D129" t="s">
        <v>208</v>
      </c>
      <c r="E129" t="s">
        <v>398</v>
      </c>
      <c r="F129">
        <v>269909</v>
      </c>
      <c r="G129" t="s">
        <v>738</v>
      </c>
      <c r="H129">
        <v>589778</v>
      </c>
      <c r="I129" t="s">
        <v>1467</v>
      </c>
      <c r="J129">
        <v>94961532</v>
      </c>
      <c r="K129" t="s">
        <v>1843</v>
      </c>
      <c r="L129" t="s">
        <v>1850</v>
      </c>
      <c r="M129" s="1">
        <v>25</v>
      </c>
      <c r="N129" t="s">
        <v>23</v>
      </c>
      <c r="O129">
        <v>597074</v>
      </c>
      <c r="P129" s="1">
        <v>14926.85</v>
      </c>
      <c r="S129" s="6" t="str">
        <f t="shared" si="1"/>
        <v xml:space="preserve"> </v>
      </c>
      <c r="T129" s="6">
        <f>IF(IF(COUNTIF(H$2:$H129,H129)=1,1,"")=1,SUMIF($H$2:$H$7997,H129,$S$2:$S$7997),"")</f>
        <v>0</v>
      </c>
      <c r="W129">
        <v>597074</v>
      </c>
      <c r="X129">
        <v>597074</v>
      </c>
      <c r="Y129">
        <v>0</v>
      </c>
      <c r="Z129">
        <v>0</v>
      </c>
      <c r="AA129" s="2">
        <v>1</v>
      </c>
      <c r="AB129" s="2">
        <v>0</v>
      </c>
      <c r="AC129" s="2">
        <v>0</v>
      </c>
      <c r="AD129">
        <v>0</v>
      </c>
      <c r="AE129" t="s">
        <v>1862</v>
      </c>
      <c r="AF129">
        <v>6637.29</v>
      </c>
      <c r="AG129">
        <v>2000000</v>
      </c>
      <c r="AH129">
        <v>50000</v>
      </c>
      <c r="AI129" s="1" t="s">
        <v>398</v>
      </c>
      <c r="AJ129">
        <v>94716052</v>
      </c>
      <c r="AK129" s="1" t="s">
        <v>1867</v>
      </c>
      <c r="AL129">
        <v>225686</v>
      </c>
      <c r="AN129" t="s">
        <v>2057</v>
      </c>
      <c r="AO129" t="s">
        <v>2067</v>
      </c>
      <c r="AP129" t="s">
        <v>2099</v>
      </c>
      <c r="AQ129">
        <v>131040</v>
      </c>
      <c r="AR129" s="3">
        <v>46203</v>
      </c>
      <c r="AS129" s="3">
        <v>46184</v>
      </c>
      <c r="AT129" s="3">
        <v>46222</v>
      </c>
      <c r="AU129" t="s">
        <v>2125</v>
      </c>
      <c r="AW129" s="3">
        <v>46208.53701449134</v>
      </c>
    </row>
    <row r="130" spans="1:49" ht="16" hidden="1" x14ac:dyDescent="0.2">
      <c r="A130" t="s">
        <v>83</v>
      </c>
      <c r="B130">
        <v>18559</v>
      </c>
      <c r="C130">
        <v>8738</v>
      </c>
      <c r="D130" t="s">
        <v>208</v>
      </c>
      <c r="E130" t="s">
        <v>398</v>
      </c>
      <c r="F130">
        <v>269909</v>
      </c>
      <c r="G130" t="s">
        <v>738</v>
      </c>
      <c r="H130">
        <v>589778</v>
      </c>
      <c r="I130" t="s">
        <v>1427</v>
      </c>
      <c r="J130">
        <v>94716066</v>
      </c>
      <c r="K130" t="s">
        <v>1835</v>
      </c>
      <c r="L130" t="s">
        <v>1850</v>
      </c>
      <c r="M130" s="1">
        <v>25</v>
      </c>
      <c r="N130" t="s">
        <v>1853</v>
      </c>
      <c r="O130">
        <v>544963</v>
      </c>
      <c r="P130" s="1">
        <v>13624.08</v>
      </c>
      <c r="S130" s="6" t="str">
        <f t="shared" si="1"/>
        <v xml:space="preserve"> </v>
      </c>
      <c r="T130" s="6" t="str">
        <f>IF(IF(COUNTIF(H$2:$H130,H130)=1,1,"")=1,SUMIF($H$2:$H$7997,H130,$S$2:$S$7997),"")</f>
        <v/>
      </c>
      <c r="W130">
        <v>514257</v>
      </c>
      <c r="X130">
        <v>514257</v>
      </c>
      <c r="Y130">
        <v>544963</v>
      </c>
      <c r="Z130">
        <v>544963</v>
      </c>
      <c r="AA130" s="2">
        <v>1</v>
      </c>
      <c r="AB130" s="2">
        <v>1.0597097628407779</v>
      </c>
      <c r="AC130" s="2">
        <v>0</v>
      </c>
      <c r="AD130">
        <v>0</v>
      </c>
      <c r="AE130" t="s">
        <v>1862</v>
      </c>
      <c r="AF130">
        <v>2123.9299999999998</v>
      </c>
      <c r="AG130">
        <v>640000</v>
      </c>
      <c r="AH130">
        <v>16000</v>
      </c>
      <c r="AI130" s="1" t="s">
        <v>398</v>
      </c>
      <c r="AJ130">
        <v>94716052</v>
      </c>
      <c r="AK130" s="1" t="s">
        <v>1867</v>
      </c>
      <c r="AL130">
        <v>225686</v>
      </c>
      <c r="AN130" t="s">
        <v>2057</v>
      </c>
      <c r="AO130" t="s">
        <v>2067</v>
      </c>
      <c r="AP130" t="s">
        <v>2091</v>
      </c>
      <c r="AQ130">
        <v>131040</v>
      </c>
      <c r="AR130" s="3">
        <v>46203</v>
      </c>
      <c r="AS130" s="3">
        <v>46184</v>
      </c>
      <c r="AT130" s="3">
        <v>46222</v>
      </c>
      <c r="AU130" t="s">
        <v>2123</v>
      </c>
      <c r="AW130" s="3">
        <v>46208.53701449134</v>
      </c>
    </row>
    <row r="131" spans="1:49" ht="16" hidden="1" x14ac:dyDescent="0.2">
      <c r="A131" t="s">
        <v>83</v>
      </c>
      <c r="B131">
        <v>18559</v>
      </c>
      <c r="C131">
        <v>8738</v>
      </c>
      <c r="D131" t="s">
        <v>208</v>
      </c>
      <c r="E131" t="s">
        <v>398</v>
      </c>
      <c r="F131">
        <v>269909</v>
      </c>
      <c r="G131" t="s">
        <v>737</v>
      </c>
      <c r="H131">
        <v>589780</v>
      </c>
      <c r="I131" t="s">
        <v>1426</v>
      </c>
      <c r="J131">
        <v>94716063</v>
      </c>
      <c r="K131" t="s">
        <v>1840</v>
      </c>
      <c r="L131" t="s">
        <v>1850</v>
      </c>
      <c r="M131" s="1">
        <v>23</v>
      </c>
      <c r="N131" t="s">
        <v>23</v>
      </c>
      <c r="O131">
        <v>10027687</v>
      </c>
      <c r="P131" s="1">
        <v>230636.79999999999</v>
      </c>
      <c r="S131" s="6" t="str">
        <f t="shared" ref="S131:S194" si="2">IF(ISBLANK(R131)," ",ROUND(R131*(IF(ISBLANK(Q131),(M131/1000),(Q131/1000))),2))</f>
        <v xml:space="preserve"> </v>
      </c>
      <c r="T131" s="6">
        <f>IF(IF(COUNTIF(H$2:$H131,H131)=1,1,"")=1,SUMIF($H$2:$H$7997,H131,$S$2:$S$7997),"")</f>
        <v>0</v>
      </c>
      <c r="W131">
        <v>10027687</v>
      </c>
      <c r="X131">
        <v>10027687</v>
      </c>
      <c r="Y131">
        <v>0</v>
      </c>
      <c r="Z131">
        <v>0</v>
      </c>
      <c r="AA131" s="2">
        <v>1</v>
      </c>
      <c r="AB131" s="2">
        <v>0</v>
      </c>
      <c r="AC131" s="2">
        <v>0</v>
      </c>
      <c r="AD131">
        <v>0</v>
      </c>
      <c r="AE131" t="s">
        <v>1862</v>
      </c>
      <c r="AF131">
        <v>122150.73</v>
      </c>
      <c r="AG131">
        <v>18539131</v>
      </c>
      <c r="AH131">
        <v>426400.01</v>
      </c>
      <c r="AI131" s="1" t="s">
        <v>398</v>
      </c>
      <c r="AJ131">
        <v>94716052</v>
      </c>
      <c r="AK131" s="1" t="s">
        <v>1867</v>
      </c>
      <c r="AL131">
        <v>225686</v>
      </c>
      <c r="AN131" t="s">
        <v>2057</v>
      </c>
      <c r="AO131" t="s">
        <v>2067</v>
      </c>
      <c r="AP131" t="s">
        <v>2089</v>
      </c>
      <c r="AQ131">
        <v>131040</v>
      </c>
      <c r="AR131" s="3">
        <v>46203</v>
      </c>
      <c r="AS131" s="3">
        <v>46184</v>
      </c>
      <c r="AT131" s="3">
        <v>46222</v>
      </c>
      <c r="AU131" t="s">
        <v>2124</v>
      </c>
      <c r="AW131" s="3">
        <v>46208.53701449134</v>
      </c>
    </row>
    <row r="132" spans="1:49" ht="16" hidden="1" x14ac:dyDescent="0.2">
      <c r="A132" t="s">
        <v>83</v>
      </c>
      <c r="B132">
        <v>18559</v>
      </c>
      <c r="C132">
        <v>8738</v>
      </c>
      <c r="D132" t="s">
        <v>208</v>
      </c>
      <c r="E132" t="s">
        <v>398</v>
      </c>
      <c r="F132">
        <v>269909</v>
      </c>
      <c r="G132" t="s">
        <v>737</v>
      </c>
      <c r="H132">
        <v>589780</v>
      </c>
      <c r="I132" t="s">
        <v>1429</v>
      </c>
      <c r="J132">
        <v>94716074</v>
      </c>
      <c r="K132" t="s">
        <v>1840</v>
      </c>
      <c r="L132" t="s">
        <v>1850</v>
      </c>
      <c r="M132" s="1">
        <v>23</v>
      </c>
      <c r="N132" t="s">
        <v>23</v>
      </c>
      <c r="O132">
        <v>3680512</v>
      </c>
      <c r="P132" s="1">
        <v>84651.78</v>
      </c>
      <c r="S132" s="6" t="str">
        <f t="shared" si="2"/>
        <v xml:space="preserve"> </v>
      </c>
      <c r="T132" s="6" t="str">
        <f>IF(IF(COUNTIF(H$2:$H132,H132)=1,1,"")=1,SUMIF($H$2:$H$7997,H132,$S$2:$S$7997),"")</f>
        <v/>
      </c>
      <c r="W132">
        <v>3680512</v>
      </c>
      <c r="X132">
        <v>3680512</v>
      </c>
      <c r="Y132">
        <v>0</v>
      </c>
      <c r="Z132">
        <v>0</v>
      </c>
      <c r="AA132" s="2">
        <v>1</v>
      </c>
      <c r="AB132" s="2">
        <v>0</v>
      </c>
      <c r="AC132" s="2">
        <v>0</v>
      </c>
      <c r="AD132">
        <v>0</v>
      </c>
      <c r="AE132" t="s">
        <v>1862</v>
      </c>
      <c r="AF132">
        <v>45147.64</v>
      </c>
      <c r="AG132">
        <v>6852174</v>
      </c>
      <c r="AH132">
        <v>157600</v>
      </c>
      <c r="AI132" s="1" t="s">
        <v>398</v>
      </c>
      <c r="AJ132">
        <v>94716052</v>
      </c>
      <c r="AK132" s="1" t="s">
        <v>1867</v>
      </c>
      <c r="AL132">
        <v>225686</v>
      </c>
      <c r="AN132" t="s">
        <v>2057</v>
      </c>
      <c r="AO132" t="s">
        <v>2067</v>
      </c>
      <c r="AP132" t="s">
        <v>2090</v>
      </c>
      <c r="AQ132">
        <v>131040</v>
      </c>
      <c r="AR132" s="3">
        <v>46203</v>
      </c>
      <c r="AS132" s="3">
        <v>46184</v>
      </c>
      <c r="AT132" s="3">
        <v>46222</v>
      </c>
      <c r="AU132" t="s">
        <v>2123</v>
      </c>
      <c r="AW132" s="3">
        <v>46208.53701449134</v>
      </c>
    </row>
    <row r="133" spans="1:49" ht="16" hidden="1" x14ac:dyDescent="0.2">
      <c r="A133" t="s">
        <v>83</v>
      </c>
      <c r="B133">
        <v>18559</v>
      </c>
      <c r="C133">
        <v>8738</v>
      </c>
      <c r="D133" t="s">
        <v>208</v>
      </c>
      <c r="E133" t="s">
        <v>398</v>
      </c>
      <c r="F133">
        <v>269909</v>
      </c>
      <c r="G133" t="s">
        <v>851</v>
      </c>
      <c r="H133">
        <v>589784</v>
      </c>
      <c r="I133" t="s">
        <v>1812</v>
      </c>
      <c r="J133">
        <v>589785</v>
      </c>
      <c r="K133" t="s">
        <v>1846</v>
      </c>
      <c r="L133" t="s">
        <v>1851</v>
      </c>
      <c r="M133" s="1">
        <v>133333</v>
      </c>
      <c r="N133" t="s">
        <v>1858</v>
      </c>
      <c r="O133">
        <v>0</v>
      </c>
      <c r="P133" s="1">
        <v>34187.949999999997</v>
      </c>
      <c r="S133" s="6" t="str">
        <f t="shared" si="2"/>
        <v xml:space="preserve"> </v>
      </c>
      <c r="T133" s="6">
        <f>IF(IF(COUNTIF(H$2:$H133,H133)=1,1,"")=1,SUMIF($H$2:$H$7997,H133,$S$2:$S$7997),"")</f>
        <v>0</v>
      </c>
      <c r="W133">
        <v>0</v>
      </c>
      <c r="X133">
        <v>0</v>
      </c>
      <c r="Y133">
        <v>0</v>
      </c>
      <c r="Z133">
        <v>0</v>
      </c>
      <c r="AA133" s="2">
        <v>1</v>
      </c>
      <c r="AB133" s="2">
        <v>0</v>
      </c>
      <c r="AC133" s="2">
        <v>0</v>
      </c>
      <c r="AD133">
        <v>0</v>
      </c>
      <c r="AE133" t="s">
        <v>1863</v>
      </c>
      <c r="AF133">
        <v>34187.949999999997</v>
      </c>
      <c r="AG133">
        <v>0</v>
      </c>
      <c r="AH133">
        <v>133333</v>
      </c>
      <c r="AI133" s="1" t="s">
        <v>398</v>
      </c>
      <c r="AJ133">
        <v>269909</v>
      </c>
      <c r="AK133" s="1" t="s">
        <v>1867</v>
      </c>
      <c r="AL133">
        <v>225686</v>
      </c>
      <c r="AN133" t="s">
        <v>2057</v>
      </c>
      <c r="AO133" t="s">
        <v>2067</v>
      </c>
      <c r="AP133" t="s">
        <v>2110</v>
      </c>
      <c r="AQ133">
        <v>131040</v>
      </c>
      <c r="AR133" s="3">
        <v>46203</v>
      </c>
      <c r="AS133" s="3">
        <v>46184</v>
      </c>
      <c r="AT133" s="3">
        <v>46222</v>
      </c>
      <c r="AU133" t="s">
        <v>2128</v>
      </c>
      <c r="AW133" s="3">
        <v>46208.53701449134</v>
      </c>
    </row>
    <row r="134" spans="1:49" ht="16" hidden="1" x14ac:dyDescent="0.2">
      <c r="A134" t="s">
        <v>83</v>
      </c>
      <c r="B134">
        <v>18559</v>
      </c>
      <c r="C134">
        <v>8738</v>
      </c>
      <c r="D134" t="s">
        <v>208</v>
      </c>
      <c r="E134" t="s">
        <v>398</v>
      </c>
      <c r="F134">
        <v>269909</v>
      </c>
      <c r="G134" t="s">
        <v>851</v>
      </c>
      <c r="H134">
        <v>589784</v>
      </c>
      <c r="I134" t="s">
        <v>1648</v>
      </c>
      <c r="J134">
        <v>589788</v>
      </c>
      <c r="K134" t="s">
        <v>1844</v>
      </c>
      <c r="L134" t="s">
        <v>1851</v>
      </c>
      <c r="M134" s="1">
        <v>133334</v>
      </c>
      <c r="N134" t="s">
        <v>1858</v>
      </c>
      <c r="O134">
        <v>0</v>
      </c>
      <c r="P134" s="1">
        <v>34188.21</v>
      </c>
      <c r="S134" s="6" t="str">
        <f t="shared" si="2"/>
        <v xml:space="preserve"> </v>
      </c>
      <c r="T134" s="6" t="str">
        <f>IF(IF(COUNTIF(H$2:$H134,H134)=1,1,"")=1,SUMIF($H$2:$H$7997,H134,$S$2:$S$7997),"")</f>
        <v/>
      </c>
      <c r="W134">
        <v>0</v>
      </c>
      <c r="X134">
        <v>0</v>
      </c>
      <c r="Y134">
        <v>0</v>
      </c>
      <c r="Z134">
        <v>0</v>
      </c>
      <c r="AA134" s="2">
        <v>1</v>
      </c>
      <c r="AB134" s="2">
        <v>0</v>
      </c>
      <c r="AC134" s="2">
        <v>0</v>
      </c>
      <c r="AD134">
        <v>0</v>
      </c>
      <c r="AE134" t="s">
        <v>1863</v>
      </c>
      <c r="AF134">
        <v>34188.21</v>
      </c>
      <c r="AG134">
        <v>0</v>
      </c>
      <c r="AH134">
        <v>133334</v>
      </c>
      <c r="AI134" s="1" t="s">
        <v>398</v>
      </c>
      <c r="AJ134">
        <v>269909</v>
      </c>
      <c r="AK134" s="1" t="s">
        <v>1867</v>
      </c>
      <c r="AL134">
        <v>225686</v>
      </c>
      <c r="AN134" t="s">
        <v>2057</v>
      </c>
      <c r="AO134" t="s">
        <v>2067</v>
      </c>
      <c r="AP134" t="s">
        <v>2107</v>
      </c>
      <c r="AQ134">
        <v>131040</v>
      </c>
      <c r="AR134" s="3">
        <v>46203</v>
      </c>
      <c r="AS134" s="3">
        <v>46184</v>
      </c>
      <c r="AT134" s="3">
        <v>46222</v>
      </c>
      <c r="AU134" t="s">
        <v>2127</v>
      </c>
      <c r="AW134" s="3">
        <v>46208.53701449134</v>
      </c>
    </row>
    <row r="135" spans="1:49" ht="16" hidden="1" x14ac:dyDescent="0.2">
      <c r="A135" t="s">
        <v>83</v>
      </c>
      <c r="B135">
        <v>18559</v>
      </c>
      <c r="C135">
        <v>8738</v>
      </c>
      <c r="D135" t="s">
        <v>208</v>
      </c>
      <c r="E135" t="s">
        <v>398</v>
      </c>
      <c r="F135">
        <v>269909</v>
      </c>
      <c r="G135" t="s">
        <v>851</v>
      </c>
      <c r="H135">
        <v>589784</v>
      </c>
      <c r="I135" t="s">
        <v>1647</v>
      </c>
      <c r="J135">
        <v>589787</v>
      </c>
      <c r="K135" t="s">
        <v>1835</v>
      </c>
      <c r="L135" t="s">
        <v>1851</v>
      </c>
      <c r="M135" s="1">
        <v>133333</v>
      </c>
      <c r="N135" t="s">
        <v>1858</v>
      </c>
      <c r="O135">
        <v>0</v>
      </c>
      <c r="P135" s="1">
        <v>34187.949999999997</v>
      </c>
      <c r="S135" s="6" t="str">
        <f t="shared" si="2"/>
        <v xml:space="preserve"> </v>
      </c>
      <c r="T135" s="6" t="str">
        <f>IF(IF(COUNTIF(H$2:$H135,H135)=1,1,"")=1,SUMIF($H$2:$H$7997,H135,$S$2:$S$7997),"")</f>
        <v/>
      </c>
      <c r="W135">
        <v>0</v>
      </c>
      <c r="X135">
        <v>0</v>
      </c>
      <c r="Y135">
        <v>0</v>
      </c>
      <c r="Z135">
        <v>0</v>
      </c>
      <c r="AA135" s="2">
        <v>1</v>
      </c>
      <c r="AB135" s="2">
        <v>0</v>
      </c>
      <c r="AC135" s="2">
        <v>0</v>
      </c>
      <c r="AD135">
        <v>0</v>
      </c>
      <c r="AE135" t="s">
        <v>1863</v>
      </c>
      <c r="AF135">
        <v>34187.949999999997</v>
      </c>
      <c r="AG135">
        <v>0</v>
      </c>
      <c r="AH135">
        <v>133333</v>
      </c>
      <c r="AI135" s="1" t="s">
        <v>398</v>
      </c>
      <c r="AJ135">
        <v>269909</v>
      </c>
      <c r="AK135" s="1" t="s">
        <v>1867</v>
      </c>
      <c r="AL135">
        <v>225686</v>
      </c>
      <c r="AN135" t="s">
        <v>2057</v>
      </c>
      <c r="AO135" t="s">
        <v>2067</v>
      </c>
      <c r="AP135" t="s">
        <v>2109</v>
      </c>
      <c r="AQ135">
        <v>131040</v>
      </c>
      <c r="AR135" s="3">
        <v>46203</v>
      </c>
      <c r="AS135" s="3">
        <v>46184</v>
      </c>
      <c r="AT135" s="3">
        <v>46222</v>
      </c>
      <c r="AU135" t="s">
        <v>2129</v>
      </c>
      <c r="AW135" s="3">
        <v>46208.53701449134</v>
      </c>
    </row>
    <row r="136" spans="1:49" ht="16" hidden="1" x14ac:dyDescent="0.2">
      <c r="A136" t="s">
        <v>83</v>
      </c>
      <c r="B136">
        <v>18559</v>
      </c>
      <c r="C136">
        <v>8738</v>
      </c>
      <c r="D136" t="s">
        <v>208</v>
      </c>
      <c r="E136" t="s">
        <v>398</v>
      </c>
      <c r="F136">
        <v>269909</v>
      </c>
      <c r="G136" t="s">
        <v>887</v>
      </c>
      <c r="H136">
        <v>590261</v>
      </c>
      <c r="I136" t="s">
        <v>1827</v>
      </c>
      <c r="J136">
        <v>590262</v>
      </c>
      <c r="K136" t="s">
        <v>1846</v>
      </c>
      <c r="L136" t="s">
        <v>1851</v>
      </c>
      <c r="M136" s="1">
        <v>66666</v>
      </c>
      <c r="N136" t="s">
        <v>1858</v>
      </c>
      <c r="O136">
        <v>0</v>
      </c>
      <c r="P136" s="1">
        <v>19047.43</v>
      </c>
      <c r="S136" s="6" t="str">
        <f t="shared" si="2"/>
        <v xml:space="preserve"> </v>
      </c>
      <c r="T136" s="6">
        <f>IF(IF(COUNTIF(H$2:$H136,H136)=1,1,"")=1,SUMIF($H$2:$H$7997,H136,$S$2:$S$7997),"")</f>
        <v>0</v>
      </c>
      <c r="W136">
        <v>0</v>
      </c>
      <c r="X136">
        <v>0</v>
      </c>
      <c r="Y136">
        <v>0</v>
      </c>
      <c r="Z136">
        <v>0</v>
      </c>
      <c r="AA136" s="2">
        <v>1</v>
      </c>
      <c r="AB136" s="2">
        <v>0</v>
      </c>
      <c r="AC136" s="2">
        <v>0</v>
      </c>
      <c r="AD136">
        <v>0</v>
      </c>
      <c r="AE136" t="s">
        <v>1863</v>
      </c>
      <c r="AF136">
        <v>19047.43</v>
      </c>
      <c r="AG136">
        <v>0</v>
      </c>
      <c r="AH136">
        <v>66666</v>
      </c>
      <c r="AI136" s="1" t="s">
        <v>398</v>
      </c>
      <c r="AJ136">
        <v>269909</v>
      </c>
      <c r="AK136" s="1" t="s">
        <v>1867</v>
      </c>
      <c r="AL136">
        <v>225686</v>
      </c>
      <c r="AN136" t="s">
        <v>2057</v>
      </c>
      <c r="AO136" t="s">
        <v>2067</v>
      </c>
      <c r="AP136" t="s">
        <v>2110</v>
      </c>
      <c r="AQ136">
        <v>131040</v>
      </c>
      <c r="AR136" s="3">
        <v>46203</v>
      </c>
      <c r="AS136" s="3">
        <v>46168</v>
      </c>
      <c r="AT136" s="3">
        <v>46181</v>
      </c>
      <c r="AU136" t="s">
        <v>2128</v>
      </c>
      <c r="AW136" s="3">
        <v>46208.53701449134</v>
      </c>
    </row>
    <row r="137" spans="1:49" ht="16" hidden="1" x14ac:dyDescent="0.2">
      <c r="A137" t="s">
        <v>83</v>
      </c>
      <c r="B137">
        <v>18559</v>
      </c>
      <c r="C137">
        <v>8738</v>
      </c>
      <c r="D137" t="s">
        <v>208</v>
      </c>
      <c r="E137" t="s">
        <v>398</v>
      </c>
      <c r="F137">
        <v>269909</v>
      </c>
      <c r="G137" t="s">
        <v>887</v>
      </c>
      <c r="H137">
        <v>590261</v>
      </c>
      <c r="I137" t="s">
        <v>1697</v>
      </c>
      <c r="J137">
        <v>590265</v>
      </c>
      <c r="K137" t="s">
        <v>1844</v>
      </c>
      <c r="L137" t="s">
        <v>1851</v>
      </c>
      <c r="M137" s="1">
        <v>66667</v>
      </c>
      <c r="N137" t="s">
        <v>1858</v>
      </c>
      <c r="O137">
        <v>0</v>
      </c>
      <c r="P137" s="1">
        <v>19047.71</v>
      </c>
      <c r="S137" s="6" t="str">
        <f t="shared" si="2"/>
        <v xml:space="preserve"> </v>
      </c>
      <c r="T137" s="6" t="str">
        <f>IF(IF(COUNTIF(H$2:$H137,H137)=1,1,"")=1,SUMIF($H$2:$H$7997,H137,$S$2:$S$7997),"")</f>
        <v/>
      </c>
      <c r="W137">
        <v>0</v>
      </c>
      <c r="X137">
        <v>0</v>
      </c>
      <c r="Y137">
        <v>0</v>
      </c>
      <c r="Z137">
        <v>0</v>
      </c>
      <c r="AA137" s="2">
        <v>1</v>
      </c>
      <c r="AB137" s="2">
        <v>0</v>
      </c>
      <c r="AC137" s="2">
        <v>0</v>
      </c>
      <c r="AD137">
        <v>0</v>
      </c>
      <c r="AE137" t="s">
        <v>1863</v>
      </c>
      <c r="AF137">
        <v>19047.71</v>
      </c>
      <c r="AG137">
        <v>0</v>
      </c>
      <c r="AH137">
        <v>66667</v>
      </c>
      <c r="AI137" s="1" t="s">
        <v>398</v>
      </c>
      <c r="AJ137">
        <v>269909</v>
      </c>
      <c r="AK137" s="1" t="s">
        <v>1867</v>
      </c>
      <c r="AL137">
        <v>225686</v>
      </c>
      <c r="AN137" t="s">
        <v>2057</v>
      </c>
      <c r="AO137" t="s">
        <v>2067</v>
      </c>
      <c r="AP137" t="s">
        <v>2107</v>
      </c>
      <c r="AQ137">
        <v>131040</v>
      </c>
      <c r="AR137" s="3">
        <v>46203</v>
      </c>
      <c r="AS137" s="3">
        <v>46168</v>
      </c>
      <c r="AT137" s="3">
        <v>46181</v>
      </c>
      <c r="AU137" t="s">
        <v>2127</v>
      </c>
      <c r="AW137" s="3">
        <v>46208.53701449134</v>
      </c>
    </row>
    <row r="138" spans="1:49" ht="16" hidden="1" x14ac:dyDescent="0.2">
      <c r="A138" t="s">
        <v>83</v>
      </c>
      <c r="B138">
        <v>18559</v>
      </c>
      <c r="C138">
        <v>8738</v>
      </c>
      <c r="D138" t="s">
        <v>208</v>
      </c>
      <c r="E138" t="s">
        <v>398</v>
      </c>
      <c r="F138">
        <v>269909</v>
      </c>
      <c r="G138" t="s">
        <v>887</v>
      </c>
      <c r="H138">
        <v>590261</v>
      </c>
      <c r="I138" t="s">
        <v>1757</v>
      </c>
      <c r="J138">
        <v>590264</v>
      </c>
      <c r="K138" t="s">
        <v>1835</v>
      </c>
      <c r="L138" t="s">
        <v>1851</v>
      </c>
      <c r="M138" s="1">
        <v>66667</v>
      </c>
      <c r="N138" t="s">
        <v>1858</v>
      </c>
      <c r="O138">
        <v>0</v>
      </c>
      <c r="P138" s="1">
        <v>19047.71</v>
      </c>
      <c r="S138" s="6" t="str">
        <f t="shared" si="2"/>
        <v xml:space="preserve"> </v>
      </c>
      <c r="T138" s="6" t="str">
        <f>IF(IF(COUNTIF(H$2:$H138,H138)=1,1,"")=1,SUMIF($H$2:$H$7997,H138,$S$2:$S$7997),"")</f>
        <v/>
      </c>
      <c r="W138">
        <v>0</v>
      </c>
      <c r="X138">
        <v>0</v>
      </c>
      <c r="Y138">
        <v>0</v>
      </c>
      <c r="Z138">
        <v>0</v>
      </c>
      <c r="AA138" s="2">
        <v>1</v>
      </c>
      <c r="AB138" s="2">
        <v>0</v>
      </c>
      <c r="AC138" s="2">
        <v>0</v>
      </c>
      <c r="AD138">
        <v>0</v>
      </c>
      <c r="AE138" t="s">
        <v>1863</v>
      </c>
      <c r="AF138">
        <v>19047.71</v>
      </c>
      <c r="AG138">
        <v>0</v>
      </c>
      <c r="AH138">
        <v>66667</v>
      </c>
      <c r="AI138" s="1" t="s">
        <v>398</v>
      </c>
      <c r="AJ138">
        <v>269909</v>
      </c>
      <c r="AK138" s="1" t="s">
        <v>1867</v>
      </c>
      <c r="AL138">
        <v>225686</v>
      </c>
      <c r="AN138" t="s">
        <v>2057</v>
      </c>
      <c r="AO138" t="s">
        <v>2067</v>
      </c>
      <c r="AP138" t="s">
        <v>2109</v>
      </c>
      <c r="AQ138">
        <v>131040</v>
      </c>
      <c r="AR138" s="3">
        <v>46203</v>
      </c>
      <c r="AS138" s="3">
        <v>46168</v>
      </c>
      <c r="AT138" s="3">
        <v>46181</v>
      </c>
      <c r="AU138" t="s">
        <v>2129</v>
      </c>
      <c r="AW138" s="3">
        <v>46208.53701449134</v>
      </c>
    </row>
    <row r="139" spans="1:49" ht="16" hidden="1" x14ac:dyDescent="0.2">
      <c r="A139" t="s">
        <v>83</v>
      </c>
      <c r="B139">
        <v>18559</v>
      </c>
      <c r="C139">
        <v>8738</v>
      </c>
      <c r="D139" t="s">
        <v>208</v>
      </c>
      <c r="E139" t="s">
        <v>398</v>
      </c>
      <c r="F139">
        <v>269909</v>
      </c>
      <c r="G139" t="s">
        <v>891</v>
      </c>
      <c r="H139">
        <v>593395</v>
      </c>
      <c r="I139" t="s">
        <v>1709</v>
      </c>
      <c r="J139">
        <v>593397</v>
      </c>
      <c r="K139" t="s">
        <v>1847</v>
      </c>
      <c r="L139" t="s">
        <v>1851</v>
      </c>
      <c r="M139" s="1">
        <v>1000000</v>
      </c>
      <c r="N139" t="s">
        <v>1858</v>
      </c>
      <c r="O139">
        <v>0</v>
      </c>
      <c r="P139" s="1">
        <v>256410.26</v>
      </c>
      <c r="S139" s="6" t="str">
        <f t="shared" si="2"/>
        <v xml:space="preserve"> </v>
      </c>
      <c r="T139" s="6">
        <f>IF(IF(COUNTIF(H$2:$H139,H139)=1,1,"")=1,SUMIF($H$2:$H$7997,H139,$S$2:$S$7997),"")</f>
        <v>0</v>
      </c>
      <c r="W139">
        <v>0</v>
      </c>
      <c r="X139">
        <v>0</v>
      </c>
      <c r="Y139">
        <v>0</v>
      </c>
      <c r="Z139">
        <v>0</v>
      </c>
      <c r="AA139" s="2">
        <v>1</v>
      </c>
      <c r="AB139" s="2">
        <v>0</v>
      </c>
      <c r="AC139" s="2">
        <v>0</v>
      </c>
      <c r="AD139">
        <v>0</v>
      </c>
      <c r="AE139" t="s">
        <v>1863</v>
      </c>
      <c r="AF139">
        <v>256410.26</v>
      </c>
      <c r="AG139">
        <v>0</v>
      </c>
      <c r="AH139">
        <v>1000000</v>
      </c>
      <c r="AI139" s="1" t="s">
        <v>398</v>
      </c>
      <c r="AJ139">
        <v>269909</v>
      </c>
      <c r="AK139" s="1" t="s">
        <v>1867</v>
      </c>
      <c r="AL139">
        <v>225686</v>
      </c>
      <c r="AN139" t="s">
        <v>2057</v>
      </c>
      <c r="AO139" t="s">
        <v>2067</v>
      </c>
      <c r="AP139" t="s">
        <v>2112</v>
      </c>
      <c r="AQ139">
        <v>131040</v>
      </c>
      <c r="AR139" s="3">
        <v>46203</v>
      </c>
      <c r="AS139" s="3">
        <v>46184</v>
      </c>
      <c r="AT139" s="3">
        <v>46222</v>
      </c>
      <c r="AU139" t="s">
        <v>2130</v>
      </c>
      <c r="AW139" s="3">
        <v>46208.53701449134</v>
      </c>
    </row>
    <row r="140" spans="1:49" ht="16" hidden="1" x14ac:dyDescent="0.2">
      <c r="A140" t="s">
        <v>83</v>
      </c>
      <c r="B140">
        <v>18559</v>
      </c>
      <c r="C140">
        <v>8738</v>
      </c>
      <c r="D140" t="s">
        <v>208</v>
      </c>
      <c r="E140" t="s">
        <v>392</v>
      </c>
      <c r="F140">
        <v>269280</v>
      </c>
      <c r="G140" t="s">
        <v>727</v>
      </c>
      <c r="H140">
        <v>587647</v>
      </c>
      <c r="I140" t="s">
        <v>1407</v>
      </c>
      <c r="J140">
        <v>94526053</v>
      </c>
      <c r="K140" t="s">
        <v>1839</v>
      </c>
      <c r="L140" t="s">
        <v>1850</v>
      </c>
      <c r="M140" s="1">
        <v>40</v>
      </c>
      <c r="N140" t="s">
        <v>23</v>
      </c>
      <c r="O140">
        <v>2765849</v>
      </c>
      <c r="P140" s="1">
        <v>110633.96</v>
      </c>
      <c r="S140" s="6" t="str">
        <f t="shared" si="2"/>
        <v xml:space="preserve"> </v>
      </c>
      <c r="T140" s="6">
        <f>IF(IF(COUNTIF(H$2:$H140,H140)=1,1,"")=1,SUMIF($H$2:$H$7997,H140,$S$2:$S$7997),"")</f>
        <v>0</v>
      </c>
      <c r="W140">
        <v>2765849</v>
      </c>
      <c r="X140">
        <v>2765849</v>
      </c>
      <c r="Y140">
        <v>0</v>
      </c>
      <c r="Z140">
        <v>0</v>
      </c>
      <c r="AA140" s="2">
        <v>1</v>
      </c>
      <c r="AB140" s="2">
        <v>0</v>
      </c>
      <c r="AC140" s="2">
        <v>0</v>
      </c>
      <c r="AD140">
        <v>0</v>
      </c>
      <c r="AE140" t="s">
        <v>1862</v>
      </c>
      <c r="AF140">
        <v>56003.58</v>
      </c>
      <c r="AG140">
        <v>4207500</v>
      </c>
      <c r="AH140">
        <v>168300</v>
      </c>
      <c r="AI140" s="1" t="s">
        <v>392</v>
      </c>
      <c r="AJ140">
        <v>94526050</v>
      </c>
      <c r="AK140" s="1" t="s">
        <v>1867</v>
      </c>
      <c r="AL140">
        <v>226068</v>
      </c>
      <c r="AN140" t="s">
        <v>2057</v>
      </c>
      <c r="AO140" t="s">
        <v>2067</v>
      </c>
      <c r="AP140" t="s">
        <v>2094</v>
      </c>
      <c r="AQ140">
        <v>130639</v>
      </c>
      <c r="AR140" s="3">
        <v>46203</v>
      </c>
      <c r="AS140" s="3">
        <v>46184</v>
      </c>
      <c r="AT140" s="3">
        <v>46222</v>
      </c>
      <c r="AU140" t="s">
        <v>2124</v>
      </c>
      <c r="AW140" s="3">
        <v>46208.53701449134</v>
      </c>
    </row>
    <row r="141" spans="1:49" ht="16" hidden="1" x14ac:dyDescent="0.2">
      <c r="A141" t="s">
        <v>83</v>
      </c>
      <c r="B141">
        <v>18559</v>
      </c>
      <c r="C141">
        <v>8738</v>
      </c>
      <c r="D141" t="s">
        <v>208</v>
      </c>
      <c r="E141" t="s">
        <v>392</v>
      </c>
      <c r="F141">
        <v>269280</v>
      </c>
      <c r="G141" t="s">
        <v>727</v>
      </c>
      <c r="H141">
        <v>587647</v>
      </c>
      <c r="I141" t="s">
        <v>1408</v>
      </c>
      <c r="J141">
        <v>94526056</v>
      </c>
      <c r="K141" t="s">
        <v>1835</v>
      </c>
      <c r="L141" t="s">
        <v>1850</v>
      </c>
      <c r="M141" s="1">
        <v>40</v>
      </c>
      <c r="N141" t="s">
        <v>23</v>
      </c>
      <c r="O141">
        <v>1898045</v>
      </c>
      <c r="P141" s="1">
        <v>75921.8</v>
      </c>
      <c r="S141" s="6" t="str">
        <f t="shared" si="2"/>
        <v xml:space="preserve"> </v>
      </c>
      <c r="T141" s="6" t="str">
        <f>IF(IF(COUNTIF(H$2:$H141,H141)=1,1,"")=1,SUMIF($H$2:$H$7997,H141,$S$2:$S$7997),"")</f>
        <v/>
      </c>
      <c r="W141">
        <v>1898045</v>
      </c>
      <c r="X141">
        <v>1898045</v>
      </c>
      <c r="Y141">
        <v>0</v>
      </c>
      <c r="Z141">
        <v>0</v>
      </c>
      <c r="AA141" s="2">
        <v>1</v>
      </c>
      <c r="AB141" s="2">
        <v>0</v>
      </c>
      <c r="AC141" s="2">
        <v>0</v>
      </c>
      <c r="AD141">
        <v>0</v>
      </c>
      <c r="AE141" t="s">
        <v>1862</v>
      </c>
      <c r="AF141">
        <v>37335.72</v>
      </c>
      <c r="AG141">
        <v>2805000</v>
      </c>
      <c r="AH141">
        <v>112200</v>
      </c>
      <c r="AI141" s="1" t="s">
        <v>392</v>
      </c>
      <c r="AJ141">
        <v>94526050</v>
      </c>
      <c r="AK141" s="1" t="s">
        <v>1867</v>
      </c>
      <c r="AL141">
        <v>226068</v>
      </c>
      <c r="AN141" t="s">
        <v>2057</v>
      </c>
      <c r="AO141" t="s">
        <v>2067</v>
      </c>
      <c r="AP141" t="s">
        <v>2092</v>
      </c>
      <c r="AQ141">
        <v>130639</v>
      </c>
      <c r="AR141" s="3">
        <v>46203</v>
      </c>
      <c r="AS141" s="3">
        <v>46184</v>
      </c>
      <c r="AT141" s="3">
        <v>46222</v>
      </c>
      <c r="AU141" t="s">
        <v>2123</v>
      </c>
      <c r="AW141" s="3">
        <v>46208.53701449134</v>
      </c>
    </row>
    <row r="142" spans="1:49" ht="16" hidden="1" x14ac:dyDescent="0.2">
      <c r="A142" t="s">
        <v>83</v>
      </c>
      <c r="B142">
        <v>18559</v>
      </c>
      <c r="C142">
        <v>8738</v>
      </c>
      <c r="D142" t="s">
        <v>208</v>
      </c>
      <c r="E142" t="s">
        <v>392</v>
      </c>
      <c r="F142">
        <v>269280</v>
      </c>
      <c r="G142" t="s">
        <v>880</v>
      </c>
      <c r="H142">
        <v>587655</v>
      </c>
      <c r="I142" t="s">
        <v>1715</v>
      </c>
      <c r="J142">
        <v>587656</v>
      </c>
      <c r="K142" t="s">
        <v>1846</v>
      </c>
      <c r="L142" t="s">
        <v>1851</v>
      </c>
      <c r="M142" s="1">
        <v>145167</v>
      </c>
      <c r="N142" t="s">
        <v>1858</v>
      </c>
      <c r="O142">
        <v>0</v>
      </c>
      <c r="P142" s="1">
        <v>37222.31</v>
      </c>
      <c r="S142" s="6" t="str">
        <f t="shared" si="2"/>
        <v xml:space="preserve"> </v>
      </c>
      <c r="T142" s="6">
        <f>IF(IF(COUNTIF(H$2:$H142,H142)=1,1,"")=1,SUMIF($H$2:$H$7997,H142,$S$2:$S$7997),"")</f>
        <v>0</v>
      </c>
      <c r="W142">
        <v>0</v>
      </c>
      <c r="X142">
        <v>0</v>
      </c>
      <c r="Y142">
        <v>0</v>
      </c>
      <c r="Z142">
        <v>0</v>
      </c>
      <c r="AA142" s="2">
        <v>1</v>
      </c>
      <c r="AB142" s="2">
        <v>0</v>
      </c>
      <c r="AC142" s="2">
        <v>0</v>
      </c>
      <c r="AD142">
        <v>0</v>
      </c>
      <c r="AE142" t="s">
        <v>1863</v>
      </c>
      <c r="AF142">
        <v>37222.31</v>
      </c>
      <c r="AG142">
        <v>0</v>
      </c>
      <c r="AH142">
        <v>145167</v>
      </c>
      <c r="AI142" s="1" t="s">
        <v>392</v>
      </c>
      <c r="AJ142">
        <v>269280</v>
      </c>
      <c r="AK142" s="1" t="s">
        <v>1867</v>
      </c>
      <c r="AL142">
        <v>226068</v>
      </c>
      <c r="AN142" t="s">
        <v>2057</v>
      </c>
      <c r="AO142" t="s">
        <v>2067</v>
      </c>
      <c r="AP142" t="s">
        <v>2110</v>
      </c>
      <c r="AQ142">
        <v>130639</v>
      </c>
      <c r="AR142" s="3">
        <v>46203</v>
      </c>
      <c r="AS142" s="3">
        <v>46184</v>
      </c>
      <c r="AT142" s="3">
        <v>46222</v>
      </c>
      <c r="AU142" t="s">
        <v>2128</v>
      </c>
      <c r="AW142" s="3">
        <v>46208.53701449134</v>
      </c>
    </row>
    <row r="143" spans="1:49" ht="16" hidden="1" x14ac:dyDescent="0.2">
      <c r="A143" t="s">
        <v>83</v>
      </c>
      <c r="B143">
        <v>18559</v>
      </c>
      <c r="C143">
        <v>8738</v>
      </c>
      <c r="D143" t="s">
        <v>208</v>
      </c>
      <c r="E143" t="s">
        <v>392</v>
      </c>
      <c r="F143">
        <v>269280</v>
      </c>
      <c r="G143" t="s">
        <v>880</v>
      </c>
      <c r="H143">
        <v>587655</v>
      </c>
      <c r="I143" t="s">
        <v>1689</v>
      </c>
      <c r="J143">
        <v>587659</v>
      </c>
      <c r="K143" t="s">
        <v>1844</v>
      </c>
      <c r="L143" t="s">
        <v>1851</v>
      </c>
      <c r="M143" s="1">
        <v>145167</v>
      </c>
      <c r="N143" t="s">
        <v>1858</v>
      </c>
      <c r="O143">
        <v>0</v>
      </c>
      <c r="P143" s="1">
        <v>37222.31</v>
      </c>
      <c r="S143" s="6" t="str">
        <f t="shared" si="2"/>
        <v xml:space="preserve"> </v>
      </c>
      <c r="T143" s="6" t="str">
        <f>IF(IF(COUNTIF(H$2:$H143,H143)=1,1,"")=1,SUMIF($H$2:$H$7997,H143,$S$2:$S$7997),"")</f>
        <v/>
      </c>
      <c r="W143">
        <v>0</v>
      </c>
      <c r="X143">
        <v>0</v>
      </c>
      <c r="Y143">
        <v>0</v>
      </c>
      <c r="Z143">
        <v>0</v>
      </c>
      <c r="AA143" s="2">
        <v>1</v>
      </c>
      <c r="AB143" s="2">
        <v>0</v>
      </c>
      <c r="AC143" s="2">
        <v>0</v>
      </c>
      <c r="AD143">
        <v>0</v>
      </c>
      <c r="AE143" t="s">
        <v>1863</v>
      </c>
      <c r="AF143">
        <v>37222.31</v>
      </c>
      <c r="AG143">
        <v>0</v>
      </c>
      <c r="AH143">
        <v>145167</v>
      </c>
      <c r="AI143" s="1" t="s">
        <v>392</v>
      </c>
      <c r="AJ143">
        <v>269280</v>
      </c>
      <c r="AK143" s="1" t="s">
        <v>1867</v>
      </c>
      <c r="AL143">
        <v>226068</v>
      </c>
      <c r="AN143" t="s">
        <v>2057</v>
      </c>
      <c r="AO143" t="s">
        <v>2067</v>
      </c>
      <c r="AP143" t="s">
        <v>2107</v>
      </c>
      <c r="AQ143">
        <v>130639</v>
      </c>
      <c r="AR143" s="3">
        <v>46203</v>
      </c>
      <c r="AS143" s="3">
        <v>46184</v>
      </c>
      <c r="AT143" s="3">
        <v>46222</v>
      </c>
      <c r="AU143" t="s">
        <v>2127</v>
      </c>
      <c r="AW143" s="3">
        <v>46208.53701449134</v>
      </c>
    </row>
    <row r="144" spans="1:49" ht="16" hidden="1" x14ac:dyDescent="0.2">
      <c r="A144" t="s">
        <v>83</v>
      </c>
      <c r="B144">
        <v>18559</v>
      </c>
      <c r="C144">
        <v>8738</v>
      </c>
      <c r="D144" t="s">
        <v>208</v>
      </c>
      <c r="E144" t="s">
        <v>392</v>
      </c>
      <c r="F144">
        <v>269280</v>
      </c>
      <c r="G144" t="s">
        <v>880</v>
      </c>
      <c r="H144">
        <v>587655</v>
      </c>
      <c r="I144" t="s">
        <v>1705</v>
      </c>
      <c r="J144">
        <v>587658</v>
      </c>
      <c r="K144" t="s">
        <v>1835</v>
      </c>
      <c r="L144" t="s">
        <v>1851</v>
      </c>
      <c r="M144" s="1">
        <v>145166</v>
      </c>
      <c r="N144" t="s">
        <v>1858</v>
      </c>
      <c r="O144">
        <v>0</v>
      </c>
      <c r="P144" s="1">
        <v>37222.050000000003</v>
      </c>
      <c r="S144" s="6" t="str">
        <f t="shared" si="2"/>
        <v xml:space="preserve"> </v>
      </c>
      <c r="T144" s="6" t="str">
        <f>IF(IF(COUNTIF(H$2:$H144,H144)=1,1,"")=1,SUMIF($H$2:$H$7997,H144,$S$2:$S$7997),"")</f>
        <v/>
      </c>
      <c r="W144">
        <v>0</v>
      </c>
      <c r="X144">
        <v>0</v>
      </c>
      <c r="Y144">
        <v>0</v>
      </c>
      <c r="Z144">
        <v>0</v>
      </c>
      <c r="AA144" s="2">
        <v>1</v>
      </c>
      <c r="AB144" s="2">
        <v>0</v>
      </c>
      <c r="AC144" s="2">
        <v>0</v>
      </c>
      <c r="AD144">
        <v>0</v>
      </c>
      <c r="AE144" t="s">
        <v>1863</v>
      </c>
      <c r="AF144">
        <v>37222.050000000003</v>
      </c>
      <c r="AG144">
        <v>0</v>
      </c>
      <c r="AH144">
        <v>145166</v>
      </c>
      <c r="AI144" s="1" t="s">
        <v>392</v>
      </c>
      <c r="AJ144">
        <v>269280</v>
      </c>
      <c r="AK144" s="1" t="s">
        <v>1867</v>
      </c>
      <c r="AL144">
        <v>226068</v>
      </c>
      <c r="AN144" t="s">
        <v>2057</v>
      </c>
      <c r="AO144" t="s">
        <v>2067</v>
      </c>
      <c r="AP144" t="s">
        <v>2109</v>
      </c>
      <c r="AQ144">
        <v>130639</v>
      </c>
      <c r="AR144" s="3">
        <v>46203</v>
      </c>
      <c r="AS144" s="3">
        <v>46184</v>
      </c>
      <c r="AT144" s="3">
        <v>46222</v>
      </c>
      <c r="AU144" t="s">
        <v>2129</v>
      </c>
      <c r="AW144" s="3">
        <v>46208.53701449134</v>
      </c>
    </row>
    <row r="145" spans="1:49" ht="16" hidden="1" x14ac:dyDescent="0.2">
      <c r="A145" t="s">
        <v>83</v>
      </c>
      <c r="B145">
        <v>18559</v>
      </c>
      <c r="C145">
        <v>8738</v>
      </c>
      <c r="D145" t="s">
        <v>208</v>
      </c>
      <c r="E145" t="s">
        <v>392</v>
      </c>
      <c r="F145">
        <v>269280</v>
      </c>
      <c r="G145" t="s">
        <v>914</v>
      </c>
      <c r="H145">
        <v>592837</v>
      </c>
      <c r="I145" t="s">
        <v>1816</v>
      </c>
      <c r="J145">
        <v>592841</v>
      </c>
      <c r="K145" t="s">
        <v>1847</v>
      </c>
      <c r="L145" t="s">
        <v>1851</v>
      </c>
      <c r="M145" s="1">
        <v>334000</v>
      </c>
      <c r="N145" t="s">
        <v>1858</v>
      </c>
      <c r="O145">
        <v>0</v>
      </c>
      <c r="P145" s="1">
        <v>85641.03</v>
      </c>
      <c r="S145" s="6" t="str">
        <f t="shared" si="2"/>
        <v xml:space="preserve"> </v>
      </c>
      <c r="T145" s="6">
        <f>IF(IF(COUNTIF(H$2:$H145,H145)=1,1,"")=1,SUMIF($H$2:$H$7997,H145,$S$2:$S$7997),"")</f>
        <v>0</v>
      </c>
      <c r="W145">
        <v>0</v>
      </c>
      <c r="X145">
        <v>0</v>
      </c>
      <c r="Y145">
        <v>0</v>
      </c>
      <c r="Z145">
        <v>0</v>
      </c>
      <c r="AA145" s="2">
        <v>1</v>
      </c>
      <c r="AB145" s="2">
        <v>0</v>
      </c>
      <c r="AC145" s="2">
        <v>0</v>
      </c>
      <c r="AD145">
        <v>0</v>
      </c>
      <c r="AE145" t="s">
        <v>1863</v>
      </c>
      <c r="AF145">
        <v>85641.03</v>
      </c>
      <c r="AG145">
        <v>0</v>
      </c>
      <c r="AH145">
        <v>334000</v>
      </c>
      <c r="AI145" s="1" t="s">
        <v>392</v>
      </c>
      <c r="AJ145">
        <v>269280</v>
      </c>
      <c r="AK145" s="1" t="s">
        <v>1867</v>
      </c>
      <c r="AL145">
        <v>226068</v>
      </c>
      <c r="AN145" t="s">
        <v>2057</v>
      </c>
      <c r="AO145" t="s">
        <v>2067</v>
      </c>
      <c r="AP145" t="s">
        <v>2112</v>
      </c>
      <c r="AQ145">
        <v>130639</v>
      </c>
      <c r="AR145" s="3">
        <v>46203</v>
      </c>
      <c r="AS145" s="3">
        <v>46184</v>
      </c>
      <c r="AT145" s="3">
        <v>46222</v>
      </c>
      <c r="AU145" t="s">
        <v>2130</v>
      </c>
      <c r="AW145" s="3">
        <v>46208.53701449134</v>
      </c>
    </row>
    <row r="146" spans="1:49" ht="16" hidden="1" x14ac:dyDescent="0.2">
      <c r="A146" t="s">
        <v>83</v>
      </c>
      <c r="B146">
        <v>18559</v>
      </c>
      <c r="C146">
        <v>8738</v>
      </c>
      <c r="D146" t="s">
        <v>208</v>
      </c>
      <c r="E146" t="s">
        <v>401</v>
      </c>
      <c r="F146">
        <v>270775</v>
      </c>
      <c r="G146" t="s">
        <v>743</v>
      </c>
      <c r="H146">
        <v>592925</v>
      </c>
      <c r="I146" t="s">
        <v>1444</v>
      </c>
      <c r="J146">
        <v>94748310</v>
      </c>
      <c r="K146" t="s">
        <v>1839</v>
      </c>
      <c r="L146" t="s">
        <v>1850</v>
      </c>
      <c r="M146" s="1">
        <v>40</v>
      </c>
      <c r="N146" t="s">
        <v>23</v>
      </c>
      <c r="O146">
        <v>4754917</v>
      </c>
      <c r="P146" s="1">
        <v>186666.68</v>
      </c>
      <c r="S146" s="6" t="str">
        <f t="shared" si="2"/>
        <v xml:space="preserve"> </v>
      </c>
      <c r="T146" s="6">
        <f>IF(IF(COUNTIF(H$2:$H146,H146)=1,1,"")=1,SUMIF($H$2:$H$7997,H146,$S$2:$S$7997),"")</f>
        <v>0</v>
      </c>
      <c r="W146">
        <v>4754917</v>
      </c>
      <c r="X146">
        <v>4754917</v>
      </c>
      <c r="Y146">
        <v>0</v>
      </c>
      <c r="Z146">
        <v>0</v>
      </c>
      <c r="AA146" s="2">
        <v>1</v>
      </c>
      <c r="AB146" s="2">
        <v>0</v>
      </c>
      <c r="AC146" s="2">
        <v>0</v>
      </c>
      <c r="AD146">
        <v>0</v>
      </c>
      <c r="AE146" t="s">
        <v>1862</v>
      </c>
      <c r="AF146">
        <v>93333.34</v>
      </c>
      <c r="AG146">
        <v>4666667</v>
      </c>
      <c r="AH146">
        <v>186666.68</v>
      </c>
      <c r="AI146" s="1" t="s">
        <v>401</v>
      </c>
      <c r="AJ146">
        <v>94748288</v>
      </c>
      <c r="AK146" s="1" t="s">
        <v>1867</v>
      </c>
      <c r="AN146" t="s">
        <v>2057</v>
      </c>
      <c r="AO146" t="s">
        <v>2067</v>
      </c>
      <c r="AP146" t="s">
        <v>2094</v>
      </c>
      <c r="AQ146">
        <v>131257</v>
      </c>
      <c r="AR146" s="3">
        <v>46203</v>
      </c>
      <c r="AS146" s="3">
        <v>46183</v>
      </c>
      <c r="AT146" s="3">
        <v>46203</v>
      </c>
      <c r="AU146" t="s">
        <v>2124</v>
      </c>
      <c r="AW146" s="3">
        <v>46208.53701449134</v>
      </c>
    </row>
    <row r="147" spans="1:49" ht="16" hidden="1" x14ac:dyDescent="0.2">
      <c r="A147" t="s">
        <v>83</v>
      </c>
      <c r="B147">
        <v>18559</v>
      </c>
      <c r="C147">
        <v>8738</v>
      </c>
      <c r="D147" t="s">
        <v>208</v>
      </c>
      <c r="E147" t="s">
        <v>401</v>
      </c>
      <c r="F147">
        <v>270775</v>
      </c>
      <c r="G147" t="s">
        <v>743</v>
      </c>
      <c r="H147">
        <v>592925</v>
      </c>
      <c r="I147" t="s">
        <v>1442</v>
      </c>
      <c r="J147">
        <v>94748291</v>
      </c>
      <c r="K147" t="s">
        <v>1835</v>
      </c>
      <c r="L147" t="s">
        <v>1850</v>
      </c>
      <c r="M147" s="1">
        <v>40</v>
      </c>
      <c r="N147" t="s">
        <v>23</v>
      </c>
      <c r="O147">
        <v>2043120</v>
      </c>
      <c r="P147" s="1">
        <v>80000</v>
      </c>
      <c r="S147" s="6" t="str">
        <f t="shared" si="2"/>
        <v xml:space="preserve"> </v>
      </c>
      <c r="T147" s="6" t="str">
        <f>IF(IF(COUNTIF(H$2:$H147,H147)=1,1,"")=1,SUMIF($H$2:$H$7997,H147,$S$2:$S$7997),"")</f>
        <v/>
      </c>
      <c r="W147">
        <v>2043120</v>
      </c>
      <c r="X147">
        <v>2043120</v>
      </c>
      <c r="Y147">
        <v>0</v>
      </c>
      <c r="Z147">
        <v>0</v>
      </c>
      <c r="AA147" s="2">
        <v>1</v>
      </c>
      <c r="AB147" s="2">
        <v>0</v>
      </c>
      <c r="AC147" s="2">
        <v>0</v>
      </c>
      <c r="AD147">
        <v>0</v>
      </c>
      <c r="AE147" t="s">
        <v>1862</v>
      </c>
      <c r="AF147">
        <v>40000</v>
      </c>
      <c r="AG147">
        <v>2000000</v>
      </c>
      <c r="AH147">
        <v>80000</v>
      </c>
      <c r="AI147" s="1" t="s">
        <v>401</v>
      </c>
      <c r="AJ147">
        <v>94748288</v>
      </c>
      <c r="AK147" s="1" t="s">
        <v>1867</v>
      </c>
      <c r="AN147" t="s">
        <v>2057</v>
      </c>
      <c r="AO147" t="s">
        <v>2067</v>
      </c>
      <c r="AP147" t="s">
        <v>2092</v>
      </c>
      <c r="AQ147">
        <v>131257</v>
      </c>
      <c r="AR147" s="3">
        <v>46203</v>
      </c>
      <c r="AS147" s="3">
        <v>46183</v>
      </c>
      <c r="AT147" s="3">
        <v>46203</v>
      </c>
      <c r="AU147" t="s">
        <v>2123</v>
      </c>
      <c r="AW147" s="3">
        <v>46208.53701449134</v>
      </c>
    </row>
    <row r="148" spans="1:49" ht="16" hidden="1" x14ac:dyDescent="0.2">
      <c r="A148" t="s">
        <v>83</v>
      </c>
      <c r="B148">
        <v>18559</v>
      </c>
      <c r="C148">
        <v>8738</v>
      </c>
      <c r="D148" t="s">
        <v>208</v>
      </c>
      <c r="E148" t="s">
        <v>401</v>
      </c>
      <c r="F148">
        <v>270775</v>
      </c>
      <c r="G148" t="s">
        <v>744</v>
      </c>
      <c r="H148">
        <v>592969</v>
      </c>
      <c r="I148" t="s">
        <v>1445</v>
      </c>
      <c r="J148">
        <v>94748316</v>
      </c>
      <c r="K148" t="s">
        <v>1839</v>
      </c>
      <c r="L148" t="s">
        <v>1850</v>
      </c>
      <c r="M148" s="1">
        <v>20</v>
      </c>
      <c r="N148" t="s">
        <v>23</v>
      </c>
      <c r="O148">
        <v>1029510</v>
      </c>
      <c r="P148" s="1">
        <v>19999.98</v>
      </c>
      <c r="S148" s="6" t="str">
        <f t="shared" si="2"/>
        <v xml:space="preserve"> </v>
      </c>
      <c r="T148" s="6">
        <f>IF(IF(COUNTIF(H$2:$H148,H148)=1,1,"")=1,SUMIF($H$2:$H$7997,H148,$S$2:$S$7997),"")</f>
        <v>0</v>
      </c>
      <c r="W148">
        <v>1029510</v>
      </c>
      <c r="X148">
        <v>1029510</v>
      </c>
      <c r="Y148">
        <v>0</v>
      </c>
      <c r="Z148">
        <v>0</v>
      </c>
      <c r="AA148" s="2">
        <v>1</v>
      </c>
      <c r="AB148" s="2">
        <v>0</v>
      </c>
      <c r="AC148" s="2">
        <v>0</v>
      </c>
      <c r="AD148">
        <v>0</v>
      </c>
      <c r="AE148" t="s">
        <v>1862</v>
      </c>
      <c r="AF148">
        <v>9999.99</v>
      </c>
      <c r="AG148">
        <v>999999</v>
      </c>
      <c r="AH148">
        <v>19999.98</v>
      </c>
      <c r="AI148" s="1" t="s">
        <v>401</v>
      </c>
      <c r="AJ148">
        <v>94748288</v>
      </c>
      <c r="AK148" s="1" t="s">
        <v>1867</v>
      </c>
      <c r="AN148" t="s">
        <v>2057</v>
      </c>
      <c r="AO148" t="s">
        <v>2067</v>
      </c>
      <c r="AP148" t="s">
        <v>2093</v>
      </c>
      <c r="AQ148">
        <v>131257</v>
      </c>
      <c r="AR148" s="3">
        <v>46203</v>
      </c>
      <c r="AS148" s="3">
        <v>46183</v>
      </c>
      <c r="AT148" s="3">
        <v>46203</v>
      </c>
      <c r="AU148" t="s">
        <v>2124</v>
      </c>
      <c r="AW148" s="3">
        <v>46208.53701449134</v>
      </c>
    </row>
    <row r="149" spans="1:49" ht="16" hidden="1" x14ac:dyDescent="0.2">
      <c r="A149" t="s">
        <v>83</v>
      </c>
      <c r="B149">
        <v>18559</v>
      </c>
      <c r="C149">
        <v>8738</v>
      </c>
      <c r="D149" t="s">
        <v>208</v>
      </c>
      <c r="E149" t="s">
        <v>401</v>
      </c>
      <c r="F149">
        <v>270775</v>
      </c>
      <c r="G149" t="s">
        <v>744</v>
      </c>
      <c r="H149">
        <v>592969</v>
      </c>
      <c r="I149" t="s">
        <v>1443</v>
      </c>
      <c r="J149">
        <v>94748295</v>
      </c>
      <c r="K149" t="s">
        <v>1840</v>
      </c>
      <c r="L149" t="s">
        <v>1850</v>
      </c>
      <c r="M149" s="1">
        <v>20</v>
      </c>
      <c r="N149" t="s">
        <v>23</v>
      </c>
      <c r="O149">
        <v>665321</v>
      </c>
      <c r="P149" s="1">
        <v>13306.42</v>
      </c>
      <c r="S149" s="6" t="str">
        <f t="shared" si="2"/>
        <v xml:space="preserve"> </v>
      </c>
      <c r="T149" s="6" t="str">
        <f>IF(IF(COUNTIF(H$2:$H149,H149)=1,1,"")=1,SUMIF($H$2:$H$7997,H149,$S$2:$S$7997),"")</f>
        <v/>
      </c>
      <c r="W149">
        <v>665321</v>
      </c>
      <c r="X149">
        <v>665321</v>
      </c>
      <c r="Y149">
        <v>0</v>
      </c>
      <c r="Z149">
        <v>0</v>
      </c>
      <c r="AA149" s="2">
        <v>1</v>
      </c>
      <c r="AB149" s="2">
        <v>0</v>
      </c>
      <c r="AC149" s="2">
        <v>0</v>
      </c>
      <c r="AD149">
        <v>0</v>
      </c>
      <c r="AE149" t="s">
        <v>1862</v>
      </c>
      <c r="AF149">
        <v>6666.68</v>
      </c>
      <c r="AG149">
        <v>666668</v>
      </c>
      <c r="AH149">
        <v>13333.36</v>
      </c>
      <c r="AI149" s="1" t="s">
        <v>401</v>
      </c>
      <c r="AJ149">
        <v>94748288</v>
      </c>
      <c r="AK149" s="1" t="s">
        <v>1867</v>
      </c>
      <c r="AN149" t="s">
        <v>2057</v>
      </c>
      <c r="AO149" t="s">
        <v>2067</v>
      </c>
      <c r="AP149" t="s">
        <v>2083</v>
      </c>
      <c r="AQ149">
        <v>131257</v>
      </c>
      <c r="AR149" s="3">
        <v>46203</v>
      </c>
      <c r="AS149" s="3">
        <v>46183</v>
      </c>
      <c r="AT149" s="3">
        <v>46203</v>
      </c>
      <c r="AU149" t="s">
        <v>2123</v>
      </c>
      <c r="AW149" s="3">
        <v>46208.53701449134</v>
      </c>
    </row>
    <row r="150" spans="1:49" ht="16" hidden="1" x14ac:dyDescent="0.2">
      <c r="A150" t="s">
        <v>83</v>
      </c>
      <c r="B150">
        <v>18559</v>
      </c>
      <c r="C150">
        <v>6731</v>
      </c>
      <c r="D150" t="s">
        <v>185</v>
      </c>
      <c r="E150" t="s">
        <v>346</v>
      </c>
      <c r="F150">
        <v>259462</v>
      </c>
      <c r="G150" t="s">
        <v>812</v>
      </c>
      <c r="H150">
        <v>582775</v>
      </c>
      <c r="I150" t="s">
        <v>1583</v>
      </c>
      <c r="J150">
        <v>7318561389</v>
      </c>
      <c r="K150" t="s">
        <v>1835</v>
      </c>
      <c r="L150" t="s">
        <v>1850</v>
      </c>
      <c r="M150" s="1">
        <v>6</v>
      </c>
      <c r="N150" t="s">
        <v>23</v>
      </c>
      <c r="O150">
        <v>0</v>
      </c>
      <c r="P150" s="1">
        <v>0</v>
      </c>
      <c r="S150" s="6" t="str">
        <f t="shared" si="2"/>
        <v xml:space="preserve"> </v>
      </c>
      <c r="T150" s="6">
        <f>IF(IF(COUNTIF(H$2:$H150,H150)=1,1,"")=1,SUMIF($H$2:$H$7997,H150,$S$2:$S$7997),"")</f>
        <v>0</v>
      </c>
      <c r="W150">
        <v>0</v>
      </c>
      <c r="X150">
        <v>0</v>
      </c>
      <c r="Y150">
        <v>0</v>
      </c>
      <c r="Z150">
        <v>0</v>
      </c>
      <c r="AA150" s="2">
        <v>1</v>
      </c>
      <c r="AB150" s="2">
        <v>0</v>
      </c>
      <c r="AC150" s="2">
        <v>0</v>
      </c>
      <c r="AD150">
        <v>0</v>
      </c>
      <c r="AE150" t="s">
        <v>1862</v>
      </c>
      <c r="AF150">
        <v>29014.35</v>
      </c>
      <c r="AG150">
        <v>20281667</v>
      </c>
      <c r="AH150">
        <v>121690</v>
      </c>
      <c r="AI150" s="1" t="s">
        <v>346</v>
      </c>
      <c r="AJ150">
        <v>259462</v>
      </c>
      <c r="AK150" s="1" t="s">
        <v>1867</v>
      </c>
      <c r="AL150" t="s">
        <v>1969</v>
      </c>
      <c r="AN150" t="s">
        <v>2057</v>
      </c>
      <c r="AO150" t="s">
        <v>2067</v>
      </c>
      <c r="AP150" t="s">
        <v>2103</v>
      </c>
      <c r="AQ150">
        <v>129257</v>
      </c>
      <c r="AR150" s="3">
        <v>46203</v>
      </c>
      <c r="AS150" s="3">
        <v>46176</v>
      </c>
      <c r="AT150" s="3">
        <v>46222</v>
      </c>
      <c r="AU150" t="s">
        <v>2126</v>
      </c>
      <c r="AW150" s="3">
        <v>46208.53701449134</v>
      </c>
    </row>
    <row r="151" spans="1:49" ht="16" hidden="1" x14ac:dyDescent="0.2">
      <c r="A151" t="s">
        <v>83</v>
      </c>
      <c r="B151">
        <v>18559</v>
      </c>
      <c r="C151">
        <v>6731</v>
      </c>
      <c r="D151" t="s">
        <v>185</v>
      </c>
      <c r="E151" t="s">
        <v>346</v>
      </c>
      <c r="F151">
        <v>259462</v>
      </c>
      <c r="G151" t="s">
        <v>646</v>
      </c>
      <c r="H151">
        <v>582776</v>
      </c>
      <c r="I151" t="s">
        <v>1259</v>
      </c>
      <c r="J151">
        <v>94265477</v>
      </c>
      <c r="K151" t="s">
        <v>1839</v>
      </c>
      <c r="L151" t="s">
        <v>1850</v>
      </c>
      <c r="M151" s="1">
        <v>36.5</v>
      </c>
      <c r="N151" t="s">
        <v>23</v>
      </c>
      <c r="O151">
        <v>4377486</v>
      </c>
      <c r="P151" s="1">
        <v>159778.23999999999</v>
      </c>
      <c r="S151" s="6" t="str">
        <f t="shared" si="2"/>
        <v xml:space="preserve"> </v>
      </c>
      <c r="T151" s="6">
        <f>IF(IF(COUNTIF(H$2:$H151,H151)=1,1,"")=1,SUMIF($H$2:$H$7997,H151,$S$2:$S$7997),"")</f>
        <v>0</v>
      </c>
      <c r="W151">
        <v>4377486</v>
      </c>
      <c r="X151">
        <v>4377486</v>
      </c>
      <c r="Y151">
        <v>0</v>
      </c>
      <c r="Z151">
        <v>0</v>
      </c>
      <c r="AA151" s="2">
        <v>1</v>
      </c>
      <c r="AB151" s="2">
        <v>0</v>
      </c>
      <c r="AC151" s="2">
        <v>0</v>
      </c>
      <c r="AD151">
        <v>0</v>
      </c>
      <c r="AE151" t="s">
        <v>1862</v>
      </c>
      <c r="AF151">
        <v>80595.45</v>
      </c>
      <c r="AG151">
        <v>6610877</v>
      </c>
      <c r="AH151">
        <v>241297.01</v>
      </c>
      <c r="AI151" s="1" t="s">
        <v>346</v>
      </c>
      <c r="AJ151">
        <v>94265471</v>
      </c>
      <c r="AK151" s="1" t="s">
        <v>1867</v>
      </c>
      <c r="AL151" t="s">
        <v>1969</v>
      </c>
      <c r="AN151" t="s">
        <v>2057</v>
      </c>
      <c r="AO151" t="s">
        <v>2067</v>
      </c>
      <c r="AP151" t="s">
        <v>2094</v>
      </c>
      <c r="AQ151">
        <v>129257</v>
      </c>
      <c r="AR151" s="3">
        <v>46203</v>
      </c>
      <c r="AS151" s="3">
        <v>46176</v>
      </c>
      <c r="AT151" s="3">
        <v>46222</v>
      </c>
      <c r="AU151" t="s">
        <v>2124</v>
      </c>
      <c r="AW151" s="3">
        <v>46208.53701449134</v>
      </c>
    </row>
    <row r="152" spans="1:49" ht="16" hidden="1" x14ac:dyDescent="0.2">
      <c r="A152" t="s">
        <v>83</v>
      </c>
      <c r="B152">
        <v>18559</v>
      </c>
      <c r="C152">
        <v>6731</v>
      </c>
      <c r="D152" t="s">
        <v>185</v>
      </c>
      <c r="E152" t="s">
        <v>346</v>
      </c>
      <c r="F152">
        <v>259462</v>
      </c>
      <c r="G152" t="s">
        <v>646</v>
      </c>
      <c r="H152">
        <v>582776</v>
      </c>
      <c r="I152" t="s">
        <v>1258</v>
      </c>
      <c r="J152">
        <v>94265474</v>
      </c>
      <c r="K152" t="s">
        <v>1835</v>
      </c>
      <c r="L152" t="s">
        <v>1850</v>
      </c>
      <c r="M152" s="1">
        <v>36.5</v>
      </c>
      <c r="N152" t="s">
        <v>23</v>
      </c>
      <c r="O152">
        <v>4154991</v>
      </c>
      <c r="P152" s="1">
        <v>151657.17000000001</v>
      </c>
      <c r="S152" s="6" t="str">
        <f t="shared" si="2"/>
        <v xml:space="preserve"> </v>
      </c>
      <c r="T152" s="6" t="str">
        <f>IF(IF(COUNTIF(H$2:$H152,H152)=1,1,"")=1,SUMIF($H$2:$H$7997,H152,$S$2:$S$7997),"")</f>
        <v/>
      </c>
      <c r="W152">
        <v>4154991</v>
      </c>
      <c r="X152">
        <v>4154991</v>
      </c>
      <c r="Y152">
        <v>0</v>
      </c>
      <c r="Z152">
        <v>0</v>
      </c>
      <c r="AA152" s="2">
        <v>1</v>
      </c>
      <c r="AB152" s="2">
        <v>0</v>
      </c>
      <c r="AC152" s="2">
        <v>0</v>
      </c>
      <c r="AD152">
        <v>0</v>
      </c>
      <c r="AE152" t="s">
        <v>1862</v>
      </c>
      <c r="AF152">
        <v>75186.509999999995</v>
      </c>
      <c r="AG152">
        <v>6167206</v>
      </c>
      <c r="AH152">
        <v>225103.02</v>
      </c>
      <c r="AI152" s="1" t="s">
        <v>346</v>
      </c>
      <c r="AJ152">
        <v>94265471</v>
      </c>
      <c r="AK152" s="1" t="s">
        <v>1867</v>
      </c>
      <c r="AL152" t="s">
        <v>1969</v>
      </c>
      <c r="AN152" t="s">
        <v>2057</v>
      </c>
      <c r="AO152" t="s">
        <v>2067</v>
      </c>
      <c r="AP152" t="s">
        <v>2092</v>
      </c>
      <c r="AQ152">
        <v>129257</v>
      </c>
      <c r="AR152" s="3">
        <v>46203</v>
      </c>
      <c r="AS152" s="3">
        <v>46176</v>
      </c>
      <c r="AT152" s="3">
        <v>46222</v>
      </c>
      <c r="AU152" t="s">
        <v>2123</v>
      </c>
      <c r="AW152" s="3">
        <v>46208.53701449134</v>
      </c>
    </row>
    <row r="153" spans="1:49" ht="16" hidden="1" x14ac:dyDescent="0.2">
      <c r="A153" t="s">
        <v>83</v>
      </c>
      <c r="B153">
        <v>18559</v>
      </c>
      <c r="C153">
        <v>6731</v>
      </c>
      <c r="D153" t="s">
        <v>185</v>
      </c>
      <c r="E153" t="s">
        <v>346</v>
      </c>
      <c r="F153">
        <v>259462</v>
      </c>
      <c r="G153" t="s">
        <v>839</v>
      </c>
      <c r="H153">
        <v>582777</v>
      </c>
      <c r="I153" t="s">
        <v>1819</v>
      </c>
      <c r="J153">
        <v>582781</v>
      </c>
      <c r="K153" t="s">
        <v>1846</v>
      </c>
      <c r="L153" t="s">
        <v>1851</v>
      </c>
      <c r="M153" s="1">
        <v>129803</v>
      </c>
      <c r="N153" t="s">
        <v>1858</v>
      </c>
      <c r="O153">
        <v>0</v>
      </c>
      <c r="P153" s="1">
        <v>38664.720000000001</v>
      </c>
      <c r="S153" s="6" t="str">
        <f t="shared" si="2"/>
        <v xml:space="preserve"> </v>
      </c>
      <c r="T153" s="6">
        <f>IF(IF(COUNTIF(H$2:$H153,H153)=1,1,"")=1,SUMIF($H$2:$H$7997,H153,$S$2:$S$7997),"")</f>
        <v>0</v>
      </c>
      <c r="W153">
        <v>0</v>
      </c>
      <c r="X153">
        <v>0</v>
      </c>
      <c r="Y153">
        <v>0</v>
      </c>
      <c r="Z153">
        <v>0</v>
      </c>
      <c r="AA153" s="2">
        <v>1</v>
      </c>
      <c r="AB153" s="2">
        <v>0</v>
      </c>
      <c r="AC153" s="2">
        <v>0</v>
      </c>
      <c r="AD153">
        <v>0</v>
      </c>
      <c r="AE153" t="s">
        <v>1863</v>
      </c>
      <c r="AF153">
        <v>38664.720000000001</v>
      </c>
      <c r="AG153">
        <v>1</v>
      </c>
      <c r="AH153">
        <v>129803</v>
      </c>
      <c r="AI153" s="1" t="s">
        <v>346</v>
      </c>
      <c r="AJ153">
        <v>259462</v>
      </c>
      <c r="AK153" s="1" t="s">
        <v>1867</v>
      </c>
      <c r="AL153" t="s">
        <v>1969</v>
      </c>
      <c r="AN153" t="s">
        <v>2057</v>
      </c>
      <c r="AO153" t="s">
        <v>2067</v>
      </c>
      <c r="AP153" t="s">
        <v>2110</v>
      </c>
      <c r="AQ153">
        <v>129257</v>
      </c>
      <c r="AR153" s="3">
        <v>46203</v>
      </c>
      <c r="AS153" s="3">
        <v>46176</v>
      </c>
      <c r="AT153" s="3">
        <v>46222</v>
      </c>
      <c r="AU153" t="s">
        <v>2128</v>
      </c>
      <c r="AW153" s="3">
        <v>46208.53701449134</v>
      </c>
    </row>
    <row r="154" spans="1:49" ht="16" hidden="1" x14ac:dyDescent="0.2">
      <c r="A154" t="s">
        <v>83</v>
      </c>
      <c r="B154">
        <v>18559</v>
      </c>
      <c r="C154">
        <v>6731</v>
      </c>
      <c r="D154" t="s">
        <v>185</v>
      </c>
      <c r="E154" t="s">
        <v>346</v>
      </c>
      <c r="F154">
        <v>259462</v>
      </c>
      <c r="G154" t="s">
        <v>839</v>
      </c>
      <c r="H154">
        <v>582777</v>
      </c>
      <c r="I154" t="s">
        <v>1737</v>
      </c>
      <c r="J154">
        <v>582784</v>
      </c>
      <c r="K154" t="s">
        <v>1844</v>
      </c>
      <c r="L154" t="s">
        <v>1851</v>
      </c>
      <c r="M154" s="1">
        <v>129802</v>
      </c>
      <c r="N154" t="s">
        <v>1858</v>
      </c>
      <c r="O154">
        <v>0</v>
      </c>
      <c r="P154" s="1">
        <v>38664.43</v>
      </c>
      <c r="S154" s="6" t="str">
        <f t="shared" si="2"/>
        <v xml:space="preserve"> </v>
      </c>
      <c r="T154" s="6" t="str">
        <f>IF(IF(COUNTIF(H$2:$H154,H154)=1,1,"")=1,SUMIF($H$2:$H$7997,H154,$S$2:$S$7997),"")</f>
        <v/>
      </c>
      <c r="W154">
        <v>0</v>
      </c>
      <c r="X154">
        <v>0</v>
      </c>
      <c r="Y154">
        <v>0</v>
      </c>
      <c r="Z154">
        <v>0</v>
      </c>
      <c r="AA154" s="2">
        <v>1</v>
      </c>
      <c r="AB154" s="2">
        <v>0</v>
      </c>
      <c r="AC154" s="2">
        <v>0</v>
      </c>
      <c r="AD154">
        <v>0</v>
      </c>
      <c r="AE154" t="s">
        <v>1863</v>
      </c>
      <c r="AF154">
        <v>38664.43</v>
      </c>
      <c r="AG154">
        <v>1</v>
      </c>
      <c r="AH154">
        <v>129802</v>
      </c>
      <c r="AI154" s="1" t="s">
        <v>346</v>
      </c>
      <c r="AJ154">
        <v>259462</v>
      </c>
      <c r="AK154" s="1" t="s">
        <v>1867</v>
      </c>
      <c r="AL154" t="s">
        <v>1969</v>
      </c>
      <c r="AN154" t="s">
        <v>2057</v>
      </c>
      <c r="AO154" t="s">
        <v>2067</v>
      </c>
      <c r="AP154" t="s">
        <v>2107</v>
      </c>
      <c r="AQ154">
        <v>129257</v>
      </c>
      <c r="AR154" s="3">
        <v>46203</v>
      </c>
      <c r="AS154" s="3">
        <v>46176</v>
      </c>
      <c r="AT154" s="3">
        <v>46222</v>
      </c>
      <c r="AU154" t="s">
        <v>2127</v>
      </c>
      <c r="AW154" s="3">
        <v>46208.53701449134</v>
      </c>
    </row>
    <row r="155" spans="1:49" ht="16" hidden="1" x14ac:dyDescent="0.2">
      <c r="A155" t="s">
        <v>83</v>
      </c>
      <c r="B155">
        <v>18559</v>
      </c>
      <c r="C155">
        <v>6731</v>
      </c>
      <c r="D155" t="s">
        <v>185</v>
      </c>
      <c r="E155" t="s">
        <v>346</v>
      </c>
      <c r="F155">
        <v>259462</v>
      </c>
      <c r="G155" t="s">
        <v>839</v>
      </c>
      <c r="H155">
        <v>582777</v>
      </c>
      <c r="I155" t="s">
        <v>1634</v>
      </c>
      <c r="J155">
        <v>582783</v>
      </c>
      <c r="K155" t="s">
        <v>1835</v>
      </c>
      <c r="L155" t="s">
        <v>1851</v>
      </c>
      <c r="M155" s="1">
        <v>129803</v>
      </c>
      <c r="N155" t="s">
        <v>1858</v>
      </c>
      <c r="O155">
        <v>0</v>
      </c>
      <c r="P155" s="1">
        <v>38664.720000000001</v>
      </c>
      <c r="S155" s="6" t="str">
        <f t="shared" si="2"/>
        <v xml:space="preserve"> </v>
      </c>
      <c r="T155" s="6" t="str">
        <f>IF(IF(COUNTIF(H$2:$H155,H155)=1,1,"")=1,SUMIF($H$2:$H$7997,H155,$S$2:$S$7997),"")</f>
        <v/>
      </c>
      <c r="W155">
        <v>0</v>
      </c>
      <c r="X155">
        <v>0</v>
      </c>
      <c r="Y155">
        <v>0</v>
      </c>
      <c r="Z155">
        <v>0</v>
      </c>
      <c r="AA155" s="2">
        <v>1</v>
      </c>
      <c r="AB155" s="2">
        <v>0</v>
      </c>
      <c r="AC155" s="2">
        <v>0</v>
      </c>
      <c r="AD155">
        <v>0</v>
      </c>
      <c r="AE155" t="s">
        <v>1863</v>
      </c>
      <c r="AF155">
        <v>38664.720000000001</v>
      </c>
      <c r="AG155">
        <v>1</v>
      </c>
      <c r="AH155">
        <v>129803</v>
      </c>
      <c r="AI155" s="1" t="s">
        <v>346</v>
      </c>
      <c r="AJ155">
        <v>259462</v>
      </c>
      <c r="AK155" s="1" t="s">
        <v>1867</v>
      </c>
      <c r="AL155" t="s">
        <v>1969</v>
      </c>
      <c r="AN155" t="s">
        <v>2057</v>
      </c>
      <c r="AO155" t="s">
        <v>2067</v>
      </c>
      <c r="AP155" t="s">
        <v>2109</v>
      </c>
      <c r="AQ155">
        <v>129257</v>
      </c>
      <c r="AR155" s="3">
        <v>46203</v>
      </c>
      <c r="AS155" s="3">
        <v>46176</v>
      </c>
      <c r="AT155" s="3">
        <v>46222</v>
      </c>
      <c r="AU155" t="s">
        <v>2129</v>
      </c>
      <c r="AW155" s="3">
        <v>46208.53701449134</v>
      </c>
    </row>
    <row r="156" spans="1:49" ht="16" hidden="1" x14ac:dyDescent="0.2">
      <c r="A156" t="s">
        <v>83</v>
      </c>
      <c r="B156">
        <v>18559</v>
      </c>
      <c r="C156">
        <v>6731</v>
      </c>
      <c r="D156" t="s">
        <v>185</v>
      </c>
      <c r="E156" t="s">
        <v>346</v>
      </c>
      <c r="F156">
        <v>259462</v>
      </c>
      <c r="G156" t="s">
        <v>811</v>
      </c>
      <c r="H156">
        <v>587938</v>
      </c>
      <c r="I156" t="s">
        <v>1578</v>
      </c>
      <c r="J156">
        <v>7318557267</v>
      </c>
      <c r="K156" t="s">
        <v>1835</v>
      </c>
      <c r="L156" t="s">
        <v>1851</v>
      </c>
      <c r="M156" s="1">
        <v>0</v>
      </c>
      <c r="N156" t="s">
        <v>1858</v>
      </c>
      <c r="O156">
        <v>0</v>
      </c>
      <c r="P156" s="1">
        <v>0</v>
      </c>
      <c r="S156" s="6" t="str">
        <f t="shared" si="2"/>
        <v xml:space="preserve"> </v>
      </c>
      <c r="T156" s="6">
        <f>IF(IF(COUNTIF(H$2:$H156,H156)=1,1,"")=1,SUMIF($H$2:$H$7997,H156,$S$2:$S$7997),"")</f>
        <v>0</v>
      </c>
      <c r="W156">
        <v>0</v>
      </c>
      <c r="X156">
        <v>0</v>
      </c>
      <c r="Y156">
        <v>0</v>
      </c>
      <c r="Z156">
        <v>0</v>
      </c>
      <c r="AA156" s="2">
        <v>1</v>
      </c>
      <c r="AB156" s="2">
        <v>0</v>
      </c>
      <c r="AC156" s="2">
        <v>0</v>
      </c>
      <c r="AD156">
        <v>0</v>
      </c>
      <c r="AE156" t="s">
        <v>1863</v>
      </c>
      <c r="AF156">
        <v>0</v>
      </c>
      <c r="AG156">
        <v>1</v>
      </c>
      <c r="AH156">
        <v>0</v>
      </c>
      <c r="AI156" s="1" t="s">
        <v>346</v>
      </c>
      <c r="AJ156">
        <v>259462</v>
      </c>
      <c r="AK156" s="1" t="s">
        <v>1867</v>
      </c>
      <c r="AL156" t="s">
        <v>1969</v>
      </c>
      <c r="AN156" t="s">
        <v>2057</v>
      </c>
      <c r="AO156" t="s">
        <v>2067</v>
      </c>
      <c r="AP156" t="s">
        <v>2105</v>
      </c>
      <c r="AQ156">
        <v>129257</v>
      </c>
      <c r="AR156" s="3">
        <v>46203</v>
      </c>
      <c r="AS156" s="3">
        <v>46200</v>
      </c>
      <c r="AT156" s="3">
        <v>46200</v>
      </c>
      <c r="AU156" t="s">
        <v>2126</v>
      </c>
      <c r="AW156" s="3">
        <v>46208.53701449134</v>
      </c>
    </row>
    <row r="157" spans="1:49" ht="16" hidden="1" x14ac:dyDescent="0.2">
      <c r="A157" t="s">
        <v>83</v>
      </c>
      <c r="B157">
        <v>18559</v>
      </c>
      <c r="C157">
        <v>6731</v>
      </c>
      <c r="D157" t="s">
        <v>185</v>
      </c>
      <c r="E157" t="s">
        <v>346</v>
      </c>
      <c r="F157">
        <v>259462</v>
      </c>
      <c r="G157" t="s">
        <v>811</v>
      </c>
      <c r="H157">
        <v>587938</v>
      </c>
      <c r="I157" t="s">
        <v>1579</v>
      </c>
      <c r="J157">
        <v>7318560876</v>
      </c>
      <c r="K157" t="s">
        <v>1835</v>
      </c>
      <c r="L157" t="s">
        <v>1851</v>
      </c>
      <c r="M157" s="1">
        <v>50000</v>
      </c>
      <c r="N157" t="s">
        <v>1858</v>
      </c>
      <c r="O157">
        <v>0</v>
      </c>
      <c r="P157" s="1">
        <v>0</v>
      </c>
      <c r="S157" s="6" t="str">
        <f t="shared" si="2"/>
        <v xml:space="preserve"> </v>
      </c>
      <c r="T157" s="6" t="str">
        <f>IF(IF(COUNTIF(H$2:$H157,H157)=1,1,"")=1,SUMIF($H$2:$H$7997,H157,$S$2:$S$7997),"")</f>
        <v/>
      </c>
      <c r="W157">
        <v>0</v>
      </c>
      <c r="X157">
        <v>0</v>
      </c>
      <c r="Y157">
        <v>0</v>
      </c>
      <c r="Z157">
        <v>0</v>
      </c>
      <c r="AA157" s="2">
        <v>1</v>
      </c>
      <c r="AB157" s="2">
        <v>0</v>
      </c>
      <c r="AC157" s="2">
        <v>0</v>
      </c>
      <c r="AD157">
        <v>0</v>
      </c>
      <c r="AE157" t="s">
        <v>1863</v>
      </c>
      <c r="AF157">
        <v>0</v>
      </c>
      <c r="AG157">
        <v>1</v>
      </c>
      <c r="AH157">
        <v>50000</v>
      </c>
      <c r="AI157" s="1" t="s">
        <v>346</v>
      </c>
      <c r="AJ157">
        <v>259462</v>
      </c>
      <c r="AK157" s="1" t="s">
        <v>1867</v>
      </c>
      <c r="AL157" t="s">
        <v>1969</v>
      </c>
      <c r="AN157" t="s">
        <v>2057</v>
      </c>
      <c r="AO157" t="s">
        <v>2067</v>
      </c>
      <c r="AP157" t="s">
        <v>2106</v>
      </c>
      <c r="AQ157">
        <v>129257</v>
      </c>
      <c r="AR157" s="3">
        <v>46203</v>
      </c>
      <c r="AS157" s="3">
        <v>46200</v>
      </c>
      <c r="AT157" s="3">
        <v>46200</v>
      </c>
      <c r="AU157" t="s">
        <v>2126</v>
      </c>
      <c r="AW157" s="3">
        <v>46208.53701449134</v>
      </c>
    </row>
    <row r="158" spans="1:49" ht="16" hidden="1" x14ac:dyDescent="0.2">
      <c r="A158" t="s">
        <v>83</v>
      </c>
      <c r="B158">
        <v>18559</v>
      </c>
      <c r="C158">
        <v>6731</v>
      </c>
      <c r="D158" t="s">
        <v>185</v>
      </c>
      <c r="E158" t="s">
        <v>346</v>
      </c>
      <c r="F158">
        <v>259462</v>
      </c>
      <c r="G158" t="s">
        <v>811</v>
      </c>
      <c r="H158">
        <v>587938</v>
      </c>
      <c r="I158" t="s">
        <v>1580</v>
      </c>
      <c r="J158">
        <v>7318560882</v>
      </c>
      <c r="K158" t="s">
        <v>1835</v>
      </c>
      <c r="L158" t="s">
        <v>1851</v>
      </c>
      <c r="M158" s="1">
        <v>50000</v>
      </c>
      <c r="N158" t="s">
        <v>1858</v>
      </c>
      <c r="O158">
        <v>0</v>
      </c>
      <c r="P158" s="1">
        <v>0</v>
      </c>
      <c r="S158" s="6" t="str">
        <f t="shared" si="2"/>
        <v xml:space="preserve"> </v>
      </c>
      <c r="T158" s="6" t="str">
        <f>IF(IF(COUNTIF(H$2:$H158,H158)=1,1,"")=1,SUMIF($H$2:$H$7997,H158,$S$2:$S$7997),"")</f>
        <v/>
      </c>
      <c r="W158">
        <v>0</v>
      </c>
      <c r="X158">
        <v>0</v>
      </c>
      <c r="Y158">
        <v>0</v>
      </c>
      <c r="Z158">
        <v>0</v>
      </c>
      <c r="AA158" s="2">
        <v>1</v>
      </c>
      <c r="AB158" s="2">
        <v>0</v>
      </c>
      <c r="AC158" s="2">
        <v>0</v>
      </c>
      <c r="AD158">
        <v>0</v>
      </c>
      <c r="AE158" t="s">
        <v>1863</v>
      </c>
      <c r="AF158">
        <v>0</v>
      </c>
      <c r="AG158">
        <v>1</v>
      </c>
      <c r="AH158">
        <v>50000</v>
      </c>
      <c r="AI158" s="1" t="s">
        <v>346</v>
      </c>
      <c r="AJ158">
        <v>259462</v>
      </c>
      <c r="AK158" s="1" t="s">
        <v>1867</v>
      </c>
      <c r="AL158" t="s">
        <v>1969</v>
      </c>
      <c r="AN158" t="s">
        <v>2057</v>
      </c>
      <c r="AO158" t="s">
        <v>2067</v>
      </c>
      <c r="AP158" t="s">
        <v>2104</v>
      </c>
      <c r="AQ158">
        <v>129257</v>
      </c>
      <c r="AR158" s="3">
        <v>46203</v>
      </c>
      <c r="AS158" s="3">
        <v>46200</v>
      </c>
      <c r="AT158" s="3">
        <v>46200</v>
      </c>
      <c r="AU158" t="s">
        <v>2126</v>
      </c>
      <c r="AW158" s="3">
        <v>46208.53701449134</v>
      </c>
    </row>
    <row r="159" spans="1:49" ht="16" hidden="1" x14ac:dyDescent="0.2">
      <c r="A159" t="s">
        <v>83</v>
      </c>
      <c r="B159">
        <v>18559</v>
      </c>
      <c r="C159">
        <v>6731</v>
      </c>
      <c r="D159" t="s">
        <v>185</v>
      </c>
      <c r="E159" t="s">
        <v>346</v>
      </c>
      <c r="F159">
        <v>259462</v>
      </c>
      <c r="G159" t="s">
        <v>811</v>
      </c>
      <c r="H159">
        <v>587938</v>
      </c>
      <c r="I159" t="s">
        <v>1582</v>
      </c>
      <c r="J159">
        <v>7318561377</v>
      </c>
      <c r="K159" t="s">
        <v>1835</v>
      </c>
      <c r="L159" t="s">
        <v>1851</v>
      </c>
      <c r="M159" s="1">
        <v>50000</v>
      </c>
      <c r="N159" t="s">
        <v>1858</v>
      </c>
      <c r="O159">
        <v>0</v>
      </c>
      <c r="P159" s="1">
        <v>0</v>
      </c>
      <c r="S159" s="6" t="str">
        <f t="shared" si="2"/>
        <v xml:space="preserve"> </v>
      </c>
      <c r="T159" s="6" t="str">
        <f>IF(IF(COUNTIF(H$2:$H159,H159)=1,1,"")=1,SUMIF($H$2:$H$7997,H159,$S$2:$S$7997),"")</f>
        <v/>
      </c>
      <c r="W159">
        <v>0</v>
      </c>
      <c r="X159">
        <v>0</v>
      </c>
      <c r="Y159">
        <v>0</v>
      </c>
      <c r="Z159">
        <v>0</v>
      </c>
      <c r="AA159" s="2">
        <v>1</v>
      </c>
      <c r="AB159" s="2">
        <v>0</v>
      </c>
      <c r="AC159" s="2">
        <v>0</v>
      </c>
      <c r="AD159">
        <v>0</v>
      </c>
      <c r="AE159" t="s">
        <v>1863</v>
      </c>
      <c r="AF159">
        <v>0</v>
      </c>
      <c r="AG159">
        <v>1</v>
      </c>
      <c r="AH159">
        <v>50000</v>
      </c>
      <c r="AI159" s="1" t="s">
        <v>346</v>
      </c>
      <c r="AJ159">
        <v>259462</v>
      </c>
      <c r="AK159" s="1" t="s">
        <v>1867</v>
      </c>
      <c r="AL159" t="s">
        <v>1969</v>
      </c>
      <c r="AN159" t="s">
        <v>2057</v>
      </c>
      <c r="AO159" t="s">
        <v>2067</v>
      </c>
      <c r="AP159" t="s">
        <v>2104</v>
      </c>
      <c r="AQ159">
        <v>129257</v>
      </c>
      <c r="AR159" s="3">
        <v>46203</v>
      </c>
      <c r="AS159" s="3">
        <v>46200</v>
      </c>
      <c r="AT159" s="3">
        <v>46200</v>
      </c>
      <c r="AU159" t="s">
        <v>2126</v>
      </c>
      <c r="AW159" s="3">
        <v>46208.53701449134</v>
      </c>
    </row>
    <row r="160" spans="1:49" ht="16" hidden="1" x14ac:dyDescent="0.2">
      <c r="A160" t="s">
        <v>83</v>
      </c>
      <c r="B160">
        <v>18559</v>
      </c>
      <c r="C160">
        <v>6731</v>
      </c>
      <c r="D160" t="s">
        <v>185</v>
      </c>
      <c r="E160" t="s">
        <v>346</v>
      </c>
      <c r="F160">
        <v>259462</v>
      </c>
      <c r="G160" t="s">
        <v>811</v>
      </c>
      <c r="H160">
        <v>587938</v>
      </c>
      <c r="I160" t="s">
        <v>1581</v>
      </c>
      <c r="J160">
        <v>7318561365</v>
      </c>
      <c r="K160" t="s">
        <v>1835</v>
      </c>
      <c r="L160" t="s">
        <v>1851</v>
      </c>
      <c r="M160" s="1">
        <v>50000</v>
      </c>
      <c r="N160" t="s">
        <v>1858</v>
      </c>
      <c r="O160">
        <v>0</v>
      </c>
      <c r="P160" s="1">
        <v>0</v>
      </c>
      <c r="S160" s="6" t="str">
        <f t="shared" si="2"/>
        <v xml:space="preserve"> </v>
      </c>
      <c r="T160" s="6" t="str">
        <f>IF(IF(COUNTIF(H$2:$H160,H160)=1,1,"")=1,SUMIF($H$2:$H$7997,H160,$S$2:$S$7997),"")</f>
        <v/>
      </c>
      <c r="W160">
        <v>0</v>
      </c>
      <c r="X160">
        <v>0</v>
      </c>
      <c r="Y160">
        <v>0</v>
      </c>
      <c r="Z160">
        <v>0</v>
      </c>
      <c r="AA160" s="2">
        <v>1</v>
      </c>
      <c r="AB160" s="2">
        <v>0</v>
      </c>
      <c r="AC160" s="2">
        <v>0</v>
      </c>
      <c r="AD160">
        <v>0</v>
      </c>
      <c r="AE160" t="s">
        <v>1863</v>
      </c>
      <c r="AF160">
        <v>0</v>
      </c>
      <c r="AG160">
        <v>1</v>
      </c>
      <c r="AH160">
        <v>50000</v>
      </c>
      <c r="AI160" s="1" t="s">
        <v>346</v>
      </c>
      <c r="AJ160">
        <v>259462</v>
      </c>
      <c r="AK160" s="1" t="s">
        <v>1867</v>
      </c>
      <c r="AL160" t="s">
        <v>1969</v>
      </c>
      <c r="AN160" t="s">
        <v>2057</v>
      </c>
      <c r="AO160" t="s">
        <v>2067</v>
      </c>
      <c r="AP160" t="s">
        <v>2104</v>
      </c>
      <c r="AQ160">
        <v>129257</v>
      </c>
      <c r="AR160" s="3">
        <v>46203</v>
      </c>
      <c r="AS160" s="3">
        <v>46200</v>
      </c>
      <c r="AT160" s="3">
        <v>46200</v>
      </c>
      <c r="AU160" t="s">
        <v>2126</v>
      </c>
      <c r="AW160" s="3">
        <v>46208.53701449134</v>
      </c>
    </row>
    <row r="161" spans="1:49" ht="16" hidden="1" x14ac:dyDescent="0.2">
      <c r="A161" t="s">
        <v>83</v>
      </c>
      <c r="B161">
        <v>18559</v>
      </c>
      <c r="C161">
        <v>6731</v>
      </c>
      <c r="D161" t="s">
        <v>185</v>
      </c>
      <c r="E161" t="s">
        <v>346</v>
      </c>
      <c r="F161">
        <v>259462</v>
      </c>
      <c r="G161" t="s">
        <v>811</v>
      </c>
      <c r="H161">
        <v>587938</v>
      </c>
      <c r="I161" t="s">
        <v>1590</v>
      </c>
      <c r="J161">
        <v>7320940009</v>
      </c>
      <c r="K161" t="s">
        <v>1835</v>
      </c>
      <c r="L161" t="s">
        <v>1851</v>
      </c>
      <c r="M161" s="1">
        <v>50000</v>
      </c>
      <c r="N161" t="s">
        <v>1858</v>
      </c>
      <c r="O161">
        <v>0</v>
      </c>
      <c r="P161" s="1">
        <v>0</v>
      </c>
      <c r="S161" s="6" t="str">
        <f t="shared" si="2"/>
        <v xml:space="preserve"> </v>
      </c>
      <c r="T161" s="6" t="str">
        <f>IF(IF(COUNTIF(H$2:$H161,H161)=1,1,"")=1,SUMIF($H$2:$H$7997,H161,$S$2:$S$7997),"")</f>
        <v/>
      </c>
      <c r="W161">
        <v>0</v>
      </c>
      <c r="X161">
        <v>0</v>
      </c>
      <c r="Y161">
        <v>0</v>
      </c>
      <c r="Z161">
        <v>0</v>
      </c>
      <c r="AA161" s="2">
        <v>1</v>
      </c>
      <c r="AB161" s="2">
        <v>0</v>
      </c>
      <c r="AC161" s="2">
        <v>0</v>
      </c>
      <c r="AD161">
        <v>0</v>
      </c>
      <c r="AE161" t="s">
        <v>1863</v>
      </c>
      <c r="AF161">
        <v>0</v>
      </c>
      <c r="AG161">
        <v>1</v>
      </c>
      <c r="AH161">
        <v>50000</v>
      </c>
      <c r="AI161" s="1" t="s">
        <v>346</v>
      </c>
      <c r="AJ161">
        <v>259462</v>
      </c>
      <c r="AK161" s="1" t="s">
        <v>1867</v>
      </c>
      <c r="AL161" t="s">
        <v>1969</v>
      </c>
      <c r="AN161" t="s">
        <v>2057</v>
      </c>
      <c r="AO161" t="s">
        <v>2067</v>
      </c>
      <c r="AP161" t="s">
        <v>2104</v>
      </c>
      <c r="AQ161">
        <v>129257</v>
      </c>
      <c r="AR161" s="3">
        <v>46203</v>
      </c>
      <c r="AS161" s="3">
        <v>46200</v>
      </c>
      <c r="AT161" s="3">
        <v>46200</v>
      </c>
      <c r="AU161" t="s">
        <v>2126</v>
      </c>
      <c r="AW161" s="3">
        <v>46208.53701449134</v>
      </c>
    </row>
    <row r="162" spans="1:49" ht="16" hidden="1" x14ac:dyDescent="0.2">
      <c r="A162" t="s">
        <v>106</v>
      </c>
      <c r="B162">
        <v>12675</v>
      </c>
      <c r="C162">
        <v>23507</v>
      </c>
      <c r="D162" t="s">
        <v>210</v>
      </c>
      <c r="E162" t="s">
        <v>395</v>
      </c>
      <c r="F162">
        <v>269600</v>
      </c>
      <c r="G162" t="s">
        <v>732</v>
      </c>
      <c r="H162">
        <v>588744</v>
      </c>
      <c r="I162" t="s">
        <v>1418</v>
      </c>
      <c r="J162">
        <v>94685234</v>
      </c>
      <c r="K162" t="s">
        <v>1839</v>
      </c>
      <c r="L162" t="s">
        <v>1850</v>
      </c>
      <c r="M162" s="1">
        <v>42</v>
      </c>
      <c r="N162" t="s">
        <v>23</v>
      </c>
      <c r="O162">
        <v>1661779</v>
      </c>
      <c r="P162" s="1">
        <v>69794.720000000001</v>
      </c>
      <c r="S162" s="6" t="str">
        <f t="shared" si="2"/>
        <v xml:space="preserve"> </v>
      </c>
      <c r="T162" s="6">
        <f>IF(IF(COUNTIF(H$2:$H162,H162)=1,1,"")=1,SUMIF($H$2:$H$7997,H162,$S$2:$S$7997),"")</f>
        <v>0</v>
      </c>
      <c r="W162">
        <v>1661779</v>
      </c>
      <c r="X162">
        <v>1661779</v>
      </c>
      <c r="Y162">
        <v>0</v>
      </c>
      <c r="Z162">
        <v>0</v>
      </c>
      <c r="AA162" s="2">
        <v>1</v>
      </c>
      <c r="AB162" s="2">
        <v>0</v>
      </c>
      <c r="AC162" s="2">
        <v>0</v>
      </c>
      <c r="AD162">
        <v>0</v>
      </c>
      <c r="AE162" t="s">
        <v>1862</v>
      </c>
      <c r="AF162">
        <v>35161.85</v>
      </c>
      <c r="AG162">
        <v>2500000</v>
      </c>
      <c r="AH162">
        <v>105000</v>
      </c>
      <c r="AI162" s="1" t="s">
        <v>395</v>
      </c>
      <c r="AJ162">
        <v>94685196</v>
      </c>
      <c r="AK162" s="1" t="s">
        <v>1867</v>
      </c>
      <c r="AL162" t="s">
        <v>2006</v>
      </c>
      <c r="AN162" t="s">
        <v>2054</v>
      </c>
      <c r="AO162" t="s">
        <v>2067</v>
      </c>
      <c r="AP162" t="s">
        <v>2094</v>
      </c>
      <c r="AQ162">
        <v>130953</v>
      </c>
      <c r="AR162" s="3">
        <v>46203</v>
      </c>
      <c r="AS162" s="3">
        <v>46185</v>
      </c>
      <c r="AT162" s="3">
        <v>46222</v>
      </c>
      <c r="AU162" t="s">
        <v>2124</v>
      </c>
      <c r="AW162" s="3">
        <v>46208.53701449134</v>
      </c>
    </row>
    <row r="163" spans="1:49" ht="16" hidden="1" x14ac:dyDescent="0.2">
      <c r="A163" t="s">
        <v>106</v>
      </c>
      <c r="B163">
        <v>12675</v>
      </c>
      <c r="C163">
        <v>23507</v>
      </c>
      <c r="D163" t="s">
        <v>210</v>
      </c>
      <c r="E163" t="s">
        <v>395</v>
      </c>
      <c r="F163">
        <v>269600</v>
      </c>
      <c r="G163" t="s">
        <v>732</v>
      </c>
      <c r="H163">
        <v>588744</v>
      </c>
      <c r="I163" t="s">
        <v>1419</v>
      </c>
      <c r="J163">
        <v>94685241</v>
      </c>
      <c r="K163" t="s">
        <v>1835</v>
      </c>
      <c r="L163" t="s">
        <v>1850</v>
      </c>
      <c r="M163" s="1">
        <v>42</v>
      </c>
      <c r="N163" t="s">
        <v>23</v>
      </c>
      <c r="O163">
        <v>729086</v>
      </c>
      <c r="P163" s="1">
        <v>30621.61</v>
      </c>
      <c r="S163" s="6" t="str">
        <f t="shared" si="2"/>
        <v xml:space="preserve"> </v>
      </c>
      <c r="T163" s="6" t="str">
        <f>IF(IF(COUNTIF(H$2:$H163,H163)=1,1,"")=1,SUMIF($H$2:$H$7997,H163,$S$2:$S$7997),"")</f>
        <v/>
      </c>
      <c r="W163">
        <v>729086</v>
      </c>
      <c r="X163">
        <v>729086</v>
      </c>
      <c r="Y163">
        <v>0</v>
      </c>
      <c r="Z163">
        <v>0</v>
      </c>
      <c r="AA163" s="2">
        <v>1</v>
      </c>
      <c r="AB163" s="2">
        <v>0</v>
      </c>
      <c r="AC163" s="2">
        <v>0</v>
      </c>
      <c r="AD163">
        <v>0</v>
      </c>
      <c r="AE163" t="s">
        <v>1862</v>
      </c>
      <c r="AF163">
        <v>15069.37</v>
      </c>
      <c r="AG163">
        <v>1071429</v>
      </c>
      <c r="AH163">
        <v>45000.02</v>
      </c>
      <c r="AI163" s="1" t="s">
        <v>395</v>
      </c>
      <c r="AJ163">
        <v>94685196</v>
      </c>
      <c r="AK163" s="1" t="s">
        <v>1867</v>
      </c>
      <c r="AL163" t="s">
        <v>2006</v>
      </c>
      <c r="AN163" t="s">
        <v>2054</v>
      </c>
      <c r="AO163" t="s">
        <v>2067</v>
      </c>
      <c r="AP163" t="s">
        <v>2092</v>
      </c>
      <c r="AQ163">
        <v>130953</v>
      </c>
      <c r="AR163" s="3">
        <v>46203</v>
      </c>
      <c r="AS163" s="3">
        <v>46185</v>
      </c>
      <c r="AT163" s="3">
        <v>46222</v>
      </c>
      <c r="AU163" t="s">
        <v>2123</v>
      </c>
      <c r="AW163" s="3">
        <v>46208.53701449134</v>
      </c>
    </row>
    <row r="164" spans="1:49" ht="16" hidden="1" x14ac:dyDescent="0.2">
      <c r="A164" t="s">
        <v>106</v>
      </c>
      <c r="B164">
        <v>12675</v>
      </c>
      <c r="C164">
        <v>23507</v>
      </c>
      <c r="D164" t="s">
        <v>210</v>
      </c>
      <c r="E164" t="s">
        <v>395</v>
      </c>
      <c r="F164">
        <v>269600</v>
      </c>
      <c r="G164" t="s">
        <v>731</v>
      </c>
      <c r="H164">
        <v>588753</v>
      </c>
      <c r="I164" t="s">
        <v>1417</v>
      </c>
      <c r="J164">
        <v>94685211</v>
      </c>
      <c r="K164" t="s">
        <v>1839</v>
      </c>
      <c r="L164" t="s">
        <v>1850</v>
      </c>
      <c r="M164" s="1">
        <v>20</v>
      </c>
      <c r="N164" t="s">
        <v>1855</v>
      </c>
      <c r="O164">
        <v>1136663</v>
      </c>
      <c r="P164" s="1">
        <v>22733.26</v>
      </c>
      <c r="S164" s="6" t="str">
        <f t="shared" si="2"/>
        <v xml:space="preserve"> </v>
      </c>
      <c r="T164" s="6">
        <f>IF(IF(COUNTIF(H$2:$H164,H164)=1,1,"")=1,SUMIF($H$2:$H$7997,H164,$S$2:$S$7997),"")</f>
        <v>0</v>
      </c>
      <c r="W164">
        <v>1136663</v>
      </c>
      <c r="X164">
        <v>1136663</v>
      </c>
      <c r="Y164">
        <v>0</v>
      </c>
      <c r="Z164">
        <v>0</v>
      </c>
      <c r="AA164" s="2">
        <v>1</v>
      </c>
      <c r="AB164" s="2">
        <v>0</v>
      </c>
      <c r="AC164" s="2">
        <v>0</v>
      </c>
      <c r="AD164">
        <v>0</v>
      </c>
      <c r="AE164" t="s">
        <v>1862</v>
      </c>
      <c r="AF164">
        <v>11339.63</v>
      </c>
      <c r="AG164">
        <v>2250000</v>
      </c>
      <c r="AH164">
        <v>45000</v>
      </c>
      <c r="AI164" s="1" t="s">
        <v>395</v>
      </c>
      <c r="AJ164">
        <v>94685196</v>
      </c>
      <c r="AK164" s="1" t="s">
        <v>1868</v>
      </c>
      <c r="AL164" t="s">
        <v>2006</v>
      </c>
      <c r="AN164" t="s">
        <v>2054</v>
      </c>
      <c r="AO164" t="s">
        <v>2067</v>
      </c>
      <c r="AP164" t="s">
        <v>2093</v>
      </c>
      <c r="AQ164">
        <v>130953</v>
      </c>
      <c r="AR164" s="3">
        <v>46203</v>
      </c>
      <c r="AS164" s="3">
        <v>46185</v>
      </c>
      <c r="AT164" s="3">
        <v>46222</v>
      </c>
      <c r="AU164" t="s">
        <v>2124</v>
      </c>
      <c r="AW164" s="3">
        <v>46208.53701449134</v>
      </c>
    </row>
    <row r="165" spans="1:49" ht="16" hidden="1" x14ac:dyDescent="0.2">
      <c r="A165" t="s">
        <v>106</v>
      </c>
      <c r="B165">
        <v>12675</v>
      </c>
      <c r="C165">
        <v>23507</v>
      </c>
      <c r="D165" t="s">
        <v>210</v>
      </c>
      <c r="E165" t="s">
        <v>395</v>
      </c>
      <c r="F165">
        <v>269600</v>
      </c>
      <c r="G165" t="s">
        <v>731</v>
      </c>
      <c r="H165">
        <v>588753</v>
      </c>
      <c r="I165" t="s">
        <v>1416</v>
      </c>
      <c r="J165">
        <v>94685203</v>
      </c>
      <c r="K165" t="s">
        <v>1840</v>
      </c>
      <c r="L165" t="s">
        <v>1850</v>
      </c>
      <c r="M165" s="1">
        <v>20</v>
      </c>
      <c r="N165" t="s">
        <v>1855</v>
      </c>
      <c r="O165">
        <v>720368</v>
      </c>
      <c r="P165" s="1">
        <v>14407.36</v>
      </c>
      <c r="S165" s="6" t="str">
        <f t="shared" si="2"/>
        <v xml:space="preserve"> </v>
      </c>
      <c r="T165" s="6" t="str">
        <f>IF(IF(COUNTIF(H$2:$H165,H165)=1,1,"")=1,SUMIF($H$2:$H$7997,H165,$S$2:$S$7997),"")</f>
        <v/>
      </c>
      <c r="W165">
        <v>720368</v>
      </c>
      <c r="X165">
        <v>720368</v>
      </c>
      <c r="Y165">
        <v>0</v>
      </c>
      <c r="Z165">
        <v>0</v>
      </c>
      <c r="AA165" s="2">
        <v>1</v>
      </c>
      <c r="AB165" s="2">
        <v>0</v>
      </c>
      <c r="AC165" s="2">
        <v>0</v>
      </c>
      <c r="AD165">
        <v>0</v>
      </c>
      <c r="AE165" t="s">
        <v>1862</v>
      </c>
      <c r="AF165">
        <v>7559.75</v>
      </c>
      <c r="AG165">
        <v>1500000</v>
      </c>
      <c r="AH165">
        <v>30000</v>
      </c>
      <c r="AI165" s="1" t="s">
        <v>395</v>
      </c>
      <c r="AJ165">
        <v>94685196</v>
      </c>
      <c r="AK165" s="1" t="s">
        <v>1868</v>
      </c>
      <c r="AL165" t="s">
        <v>2006</v>
      </c>
      <c r="AN165" t="s">
        <v>2054</v>
      </c>
      <c r="AO165" t="s">
        <v>2067</v>
      </c>
      <c r="AP165" t="s">
        <v>2083</v>
      </c>
      <c r="AQ165">
        <v>130953</v>
      </c>
      <c r="AR165" s="3">
        <v>46203</v>
      </c>
      <c r="AS165" s="3">
        <v>46185</v>
      </c>
      <c r="AT165" s="3">
        <v>46222</v>
      </c>
      <c r="AU165" t="s">
        <v>2123</v>
      </c>
      <c r="AW165" s="3">
        <v>46208.53701449134</v>
      </c>
    </row>
    <row r="166" spans="1:49" ht="16" hidden="1" x14ac:dyDescent="0.2">
      <c r="A166" t="s">
        <v>106</v>
      </c>
      <c r="B166">
        <v>12675</v>
      </c>
      <c r="C166">
        <v>23507</v>
      </c>
      <c r="D166" t="s">
        <v>210</v>
      </c>
      <c r="E166" t="s">
        <v>395</v>
      </c>
      <c r="F166">
        <v>269600</v>
      </c>
      <c r="G166" t="s">
        <v>747</v>
      </c>
      <c r="H166">
        <v>593843</v>
      </c>
      <c r="I166" t="s">
        <v>1450</v>
      </c>
      <c r="J166">
        <v>94803621</v>
      </c>
      <c r="K166" t="s">
        <v>1839</v>
      </c>
      <c r="L166" t="s">
        <v>1850</v>
      </c>
      <c r="M166" s="1">
        <v>84</v>
      </c>
      <c r="N166" t="s">
        <v>23</v>
      </c>
      <c r="O166">
        <v>304415</v>
      </c>
      <c r="P166" s="1">
        <v>25570.86</v>
      </c>
      <c r="S166" s="6" t="str">
        <f t="shared" si="2"/>
        <v xml:space="preserve"> </v>
      </c>
      <c r="T166" s="6">
        <f>IF(IF(COUNTIF(H$2:$H166,H166)=1,1,"")=1,SUMIF($H$2:$H$7997,H166,$S$2:$S$7997),"")</f>
        <v>0</v>
      </c>
      <c r="W166">
        <v>304415</v>
      </c>
      <c r="X166">
        <v>304415</v>
      </c>
      <c r="Y166">
        <v>0</v>
      </c>
      <c r="Z166">
        <v>0</v>
      </c>
      <c r="AA166" s="2">
        <v>1</v>
      </c>
      <c r="AB166" s="2">
        <v>0</v>
      </c>
      <c r="AC166" s="2">
        <v>0</v>
      </c>
      <c r="AD166">
        <v>0</v>
      </c>
      <c r="AE166" t="s">
        <v>1862</v>
      </c>
      <c r="AF166">
        <v>12768.03</v>
      </c>
      <c r="AG166">
        <v>416667</v>
      </c>
      <c r="AH166">
        <v>35000.03</v>
      </c>
      <c r="AI166" s="1" t="s">
        <v>395</v>
      </c>
      <c r="AJ166">
        <v>94685196</v>
      </c>
      <c r="AK166" s="1" t="s">
        <v>1867</v>
      </c>
      <c r="AL166" t="s">
        <v>2006</v>
      </c>
      <c r="AN166" t="s">
        <v>2054</v>
      </c>
      <c r="AO166" t="s">
        <v>2067</v>
      </c>
      <c r="AP166" t="s">
        <v>2094</v>
      </c>
      <c r="AQ166">
        <v>130953</v>
      </c>
      <c r="AR166" s="3">
        <v>46203</v>
      </c>
      <c r="AS166" s="3">
        <v>46189</v>
      </c>
      <c r="AT166" s="3">
        <v>46222</v>
      </c>
      <c r="AU166" t="s">
        <v>2124</v>
      </c>
      <c r="AW166" s="3">
        <v>46208.53701449134</v>
      </c>
    </row>
    <row r="167" spans="1:49" ht="16" hidden="1" x14ac:dyDescent="0.2">
      <c r="A167" t="s">
        <v>106</v>
      </c>
      <c r="B167">
        <v>12675</v>
      </c>
      <c r="C167">
        <v>23507</v>
      </c>
      <c r="D167" t="s">
        <v>210</v>
      </c>
      <c r="E167" t="s">
        <v>395</v>
      </c>
      <c r="F167">
        <v>269600</v>
      </c>
      <c r="G167" t="s">
        <v>747</v>
      </c>
      <c r="H167">
        <v>593843</v>
      </c>
      <c r="I167" t="s">
        <v>1451</v>
      </c>
      <c r="J167">
        <v>94803625</v>
      </c>
      <c r="K167" t="s">
        <v>1835</v>
      </c>
      <c r="L167" t="s">
        <v>1850</v>
      </c>
      <c r="M167" s="1">
        <v>84</v>
      </c>
      <c r="N167" t="s">
        <v>23</v>
      </c>
      <c r="O167">
        <v>128761</v>
      </c>
      <c r="P167" s="1">
        <v>10815.92</v>
      </c>
      <c r="S167" s="6" t="str">
        <f t="shared" si="2"/>
        <v xml:space="preserve"> </v>
      </c>
      <c r="T167" s="6" t="str">
        <f>IF(IF(COUNTIF(H$2:$H167,H167)=1,1,"")=1,SUMIF($H$2:$H$7997,H167,$S$2:$S$7997),"")</f>
        <v/>
      </c>
      <c r="W167">
        <v>128761</v>
      </c>
      <c r="X167">
        <v>128761</v>
      </c>
      <c r="Y167">
        <v>0</v>
      </c>
      <c r="Z167">
        <v>0</v>
      </c>
      <c r="AA167" s="2">
        <v>1</v>
      </c>
      <c r="AB167" s="2">
        <v>0</v>
      </c>
      <c r="AC167" s="2">
        <v>0</v>
      </c>
      <c r="AD167">
        <v>0</v>
      </c>
      <c r="AE167" t="s">
        <v>1862</v>
      </c>
      <c r="AF167">
        <v>5472.03</v>
      </c>
      <c r="AG167">
        <v>178572</v>
      </c>
      <c r="AH167">
        <v>15000.05</v>
      </c>
      <c r="AI167" s="1" t="s">
        <v>395</v>
      </c>
      <c r="AJ167">
        <v>94685196</v>
      </c>
      <c r="AK167" s="1" t="s">
        <v>1867</v>
      </c>
      <c r="AL167" t="s">
        <v>2006</v>
      </c>
      <c r="AN167" t="s">
        <v>2054</v>
      </c>
      <c r="AO167" t="s">
        <v>2067</v>
      </c>
      <c r="AP167" t="s">
        <v>2092</v>
      </c>
      <c r="AQ167">
        <v>130953</v>
      </c>
      <c r="AR167" s="3">
        <v>46203</v>
      </c>
      <c r="AS167" s="3">
        <v>46189</v>
      </c>
      <c r="AT167" s="3">
        <v>46222</v>
      </c>
      <c r="AU167" t="s">
        <v>2123</v>
      </c>
      <c r="AW167" s="3">
        <v>46208.53701449134</v>
      </c>
    </row>
    <row r="168" spans="1:49" ht="16" hidden="1" x14ac:dyDescent="0.2">
      <c r="A168" t="s">
        <v>106</v>
      </c>
      <c r="B168">
        <v>12675</v>
      </c>
      <c r="C168">
        <v>23507</v>
      </c>
      <c r="D168" t="s">
        <v>210</v>
      </c>
      <c r="E168" t="s">
        <v>395</v>
      </c>
      <c r="F168">
        <v>269600</v>
      </c>
      <c r="G168" t="s">
        <v>746</v>
      </c>
      <c r="H168">
        <v>593846</v>
      </c>
      <c r="I168" t="s">
        <v>1448</v>
      </c>
      <c r="J168">
        <v>94803591</v>
      </c>
      <c r="K168" t="s">
        <v>1839</v>
      </c>
      <c r="L168" t="s">
        <v>1850</v>
      </c>
      <c r="M168" s="1">
        <v>40</v>
      </c>
      <c r="N168" t="s">
        <v>1855</v>
      </c>
      <c r="O168">
        <v>181454</v>
      </c>
      <c r="P168" s="1">
        <v>7258.16</v>
      </c>
      <c r="S168" s="6" t="str">
        <f t="shared" si="2"/>
        <v xml:space="preserve"> </v>
      </c>
      <c r="T168" s="6">
        <f>IF(IF(COUNTIF(H$2:$H168,H168)=1,1,"")=1,SUMIF($H$2:$H$7997,H168,$S$2:$S$7997),"")</f>
        <v>0</v>
      </c>
      <c r="W168">
        <v>181454</v>
      </c>
      <c r="X168">
        <v>181454</v>
      </c>
      <c r="Y168">
        <v>0</v>
      </c>
      <c r="Z168">
        <v>0</v>
      </c>
      <c r="AA168" s="2">
        <v>1</v>
      </c>
      <c r="AB168" s="2">
        <v>0</v>
      </c>
      <c r="AC168" s="2">
        <v>0</v>
      </c>
      <c r="AD168">
        <v>0</v>
      </c>
      <c r="AE168" t="s">
        <v>1862</v>
      </c>
      <c r="AF168">
        <v>3550.33</v>
      </c>
      <c r="AG168">
        <v>375000</v>
      </c>
      <c r="AH168">
        <v>15000</v>
      </c>
      <c r="AI168" s="1" t="s">
        <v>395</v>
      </c>
      <c r="AJ168">
        <v>94685196</v>
      </c>
      <c r="AK168" s="1" t="s">
        <v>1868</v>
      </c>
      <c r="AL168" t="s">
        <v>2006</v>
      </c>
      <c r="AN168" t="s">
        <v>2054</v>
      </c>
      <c r="AO168" t="s">
        <v>2067</v>
      </c>
      <c r="AP168" t="s">
        <v>2093</v>
      </c>
      <c r="AQ168">
        <v>130953</v>
      </c>
      <c r="AR168" s="3">
        <v>46203</v>
      </c>
      <c r="AS168" s="3">
        <v>46189</v>
      </c>
      <c r="AT168" s="3">
        <v>46222</v>
      </c>
      <c r="AU168" t="s">
        <v>2124</v>
      </c>
      <c r="AW168" s="3">
        <v>46208.53701449134</v>
      </c>
    </row>
    <row r="169" spans="1:49" ht="16" hidden="1" x14ac:dyDescent="0.2">
      <c r="A169" t="s">
        <v>106</v>
      </c>
      <c r="B169">
        <v>12675</v>
      </c>
      <c r="C169">
        <v>23507</v>
      </c>
      <c r="D169" t="s">
        <v>210</v>
      </c>
      <c r="E169" t="s">
        <v>395</v>
      </c>
      <c r="F169">
        <v>269600</v>
      </c>
      <c r="G169" t="s">
        <v>746</v>
      </c>
      <c r="H169">
        <v>593846</v>
      </c>
      <c r="I169" t="s">
        <v>1449</v>
      </c>
      <c r="J169">
        <v>94803610</v>
      </c>
      <c r="K169" t="s">
        <v>1840</v>
      </c>
      <c r="L169" t="s">
        <v>1850</v>
      </c>
      <c r="M169" s="1">
        <v>40</v>
      </c>
      <c r="N169" t="s">
        <v>1855</v>
      </c>
      <c r="O169">
        <v>111355</v>
      </c>
      <c r="P169" s="1">
        <v>4454.2</v>
      </c>
      <c r="S169" s="6" t="str">
        <f t="shared" si="2"/>
        <v xml:space="preserve"> </v>
      </c>
      <c r="T169" s="6" t="str">
        <f>IF(IF(COUNTIF(H$2:$H169,H169)=1,1,"")=1,SUMIF($H$2:$H$7997,H169,$S$2:$S$7997),"")</f>
        <v/>
      </c>
      <c r="W169">
        <v>111355</v>
      </c>
      <c r="X169">
        <v>111355</v>
      </c>
      <c r="Y169">
        <v>0</v>
      </c>
      <c r="Z169">
        <v>0</v>
      </c>
      <c r="AA169" s="2">
        <v>1</v>
      </c>
      <c r="AB169" s="2">
        <v>0</v>
      </c>
      <c r="AC169" s="2">
        <v>0</v>
      </c>
      <c r="AD169">
        <v>0</v>
      </c>
      <c r="AE169" t="s">
        <v>1862</v>
      </c>
      <c r="AF169">
        <v>2366.89</v>
      </c>
      <c r="AG169">
        <v>250000</v>
      </c>
      <c r="AH169">
        <v>10000</v>
      </c>
      <c r="AI169" s="1" t="s">
        <v>395</v>
      </c>
      <c r="AJ169">
        <v>94685196</v>
      </c>
      <c r="AK169" s="1" t="s">
        <v>1868</v>
      </c>
      <c r="AL169" t="s">
        <v>2006</v>
      </c>
      <c r="AN169" t="s">
        <v>2054</v>
      </c>
      <c r="AO169" t="s">
        <v>2067</v>
      </c>
      <c r="AP169" t="s">
        <v>2083</v>
      </c>
      <c r="AQ169">
        <v>130953</v>
      </c>
      <c r="AR169" s="3">
        <v>46203</v>
      </c>
      <c r="AS169" s="3">
        <v>46189</v>
      </c>
      <c r="AT169" s="3">
        <v>46222</v>
      </c>
      <c r="AU169" t="s">
        <v>2123</v>
      </c>
      <c r="AW169" s="3">
        <v>46208.53701449134</v>
      </c>
    </row>
    <row r="170" spans="1:49" ht="16" hidden="1" x14ac:dyDescent="0.2">
      <c r="A170" t="s">
        <v>84</v>
      </c>
      <c r="B170">
        <v>10720</v>
      </c>
      <c r="C170">
        <v>3323</v>
      </c>
      <c r="D170" t="s">
        <v>151</v>
      </c>
      <c r="E170" t="s">
        <v>287</v>
      </c>
      <c r="F170">
        <v>268444</v>
      </c>
      <c r="G170" t="s">
        <v>525</v>
      </c>
      <c r="H170">
        <v>587185</v>
      </c>
      <c r="I170" t="s">
        <v>525</v>
      </c>
      <c r="J170">
        <v>93752033</v>
      </c>
      <c r="K170" t="s">
        <v>1837</v>
      </c>
      <c r="L170" t="s">
        <v>1850</v>
      </c>
      <c r="M170" s="1">
        <v>31.76</v>
      </c>
      <c r="N170" t="s">
        <v>1853</v>
      </c>
      <c r="O170">
        <v>0</v>
      </c>
      <c r="P170" s="1">
        <v>0</v>
      </c>
      <c r="S170" s="6" t="str">
        <f t="shared" si="2"/>
        <v xml:space="preserve"> </v>
      </c>
      <c r="T170" s="6">
        <f>IF(IF(COUNTIF(H$2:$H170,H170)=1,1,"")=1,SUMIF($H$2:$H$7997,H170,$S$2:$S$7997),"")</f>
        <v>0</v>
      </c>
      <c r="V170" t="s">
        <v>1860</v>
      </c>
      <c r="W170">
        <v>0</v>
      </c>
      <c r="X170">
        <v>0</v>
      </c>
      <c r="Y170">
        <v>0</v>
      </c>
      <c r="Z170">
        <v>0</v>
      </c>
      <c r="AA170" s="2">
        <v>1</v>
      </c>
      <c r="AB170" s="2">
        <v>0</v>
      </c>
      <c r="AC170" s="2">
        <v>0</v>
      </c>
      <c r="AD170">
        <v>0</v>
      </c>
      <c r="AE170" t="s">
        <v>1862</v>
      </c>
      <c r="AF170">
        <v>0</v>
      </c>
      <c r="AG170">
        <v>100</v>
      </c>
      <c r="AH170">
        <v>3.18</v>
      </c>
      <c r="AI170" s="1" t="s">
        <v>287</v>
      </c>
      <c r="AJ170">
        <v>268444</v>
      </c>
      <c r="AK170" s="1" t="s">
        <v>1867</v>
      </c>
      <c r="AL170">
        <v>192837</v>
      </c>
      <c r="AN170" t="s">
        <v>2061</v>
      </c>
      <c r="AO170" t="s">
        <v>2067</v>
      </c>
      <c r="AP170" t="s">
        <v>525</v>
      </c>
      <c r="AQ170">
        <v>127363</v>
      </c>
      <c r="AR170" s="3">
        <v>46203</v>
      </c>
      <c r="AS170" s="3">
        <v>46174</v>
      </c>
      <c r="AT170" s="3">
        <v>46203</v>
      </c>
      <c r="AU170" t="s">
        <v>2124</v>
      </c>
      <c r="AW170" s="3">
        <v>46208.53701449134</v>
      </c>
    </row>
    <row r="171" spans="1:49" ht="16" hidden="1" x14ac:dyDescent="0.2">
      <c r="A171" t="s">
        <v>70</v>
      </c>
      <c r="B171">
        <v>10969</v>
      </c>
      <c r="C171">
        <v>2153</v>
      </c>
      <c r="D171" t="s">
        <v>161</v>
      </c>
      <c r="E171" t="s">
        <v>300</v>
      </c>
      <c r="F171">
        <v>261387</v>
      </c>
      <c r="G171" t="s">
        <v>549</v>
      </c>
      <c r="H171">
        <v>581721</v>
      </c>
      <c r="I171" t="s">
        <v>1081</v>
      </c>
      <c r="J171">
        <v>93879812</v>
      </c>
      <c r="K171" t="s">
        <v>1839</v>
      </c>
      <c r="L171" t="s">
        <v>1850</v>
      </c>
      <c r="M171" s="1">
        <v>33.75</v>
      </c>
      <c r="N171" t="s">
        <v>23</v>
      </c>
      <c r="O171">
        <v>9637670</v>
      </c>
      <c r="P171" s="1">
        <v>325271.36</v>
      </c>
      <c r="S171" s="6" t="str">
        <f t="shared" si="2"/>
        <v xml:space="preserve"> </v>
      </c>
      <c r="T171" s="6">
        <f>IF(IF(COUNTIF(H$2:$H171,H171)=1,1,"")=1,SUMIF($H$2:$H$7997,H171,$S$2:$S$7997),"")</f>
        <v>0</v>
      </c>
      <c r="W171">
        <v>9637670</v>
      </c>
      <c r="X171">
        <v>9637670</v>
      </c>
      <c r="Y171">
        <v>0</v>
      </c>
      <c r="Z171">
        <v>0</v>
      </c>
      <c r="AA171" s="2">
        <v>1</v>
      </c>
      <c r="AB171" s="2">
        <v>0</v>
      </c>
      <c r="AC171" s="2">
        <v>0</v>
      </c>
      <c r="AD171">
        <v>0</v>
      </c>
      <c r="AE171" t="s">
        <v>1862</v>
      </c>
      <c r="AF171">
        <v>175631.51</v>
      </c>
      <c r="AG171">
        <v>14622222</v>
      </c>
      <c r="AH171">
        <v>493499.99</v>
      </c>
      <c r="AI171" s="1" t="s">
        <v>300</v>
      </c>
      <c r="AJ171">
        <v>93879806</v>
      </c>
      <c r="AK171" s="1" t="s">
        <v>1867</v>
      </c>
      <c r="AL171" t="s">
        <v>1934</v>
      </c>
      <c r="AN171" t="s">
        <v>2047</v>
      </c>
      <c r="AO171" t="s">
        <v>2067</v>
      </c>
      <c r="AP171" t="s">
        <v>2094</v>
      </c>
      <c r="AQ171">
        <v>127769</v>
      </c>
      <c r="AR171" s="3">
        <v>46203</v>
      </c>
      <c r="AS171" s="3">
        <v>46184</v>
      </c>
      <c r="AT171" s="3">
        <v>46222</v>
      </c>
      <c r="AU171" t="s">
        <v>2124</v>
      </c>
      <c r="AW171" s="3">
        <v>46208.53701449134</v>
      </c>
    </row>
    <row r="172" spans="1:49" ht="16" hidden="1" x14ac:dyDescent="0.2">
      <c r="A172" t="s">
        <v>70</v>
      </c>
      <c r="B172">
        <v>10969</v>
      </c>
      <c r="C172">
        <v>2153</v>
      </c>
      <c r="D172" t="s">
        <v>161</v>
      </c>
      <c r="E172" t="s">
        <v>300</v>
      </c>
      <c r="F172">
        <v>261387</v>
      </c>
      <c r="G172" t="s">
        <v>549</v>
      </c>
      <c r="H172">
        <v>581721</v>
      </c>
      <c r="I172" t="s">
        <v>1080</v>
      </c>
      <c r="J172">
        <v>93879809</v>
      </c>
      <c r="K172" t="s">
        <v>1835</v>
      </c>
      <c r="L172" t="s">
        <v>1850</v>
      </c>
      <c r="M172" s="1">
        <v>33.75</v>
      </c>
      <c r="N172" t="s">
        <v>23</v>
      </c>
      <c r="O172">
        <v>5196744</v>
      </c>
      <c r="P172" s="1">
        <v>175390.11</v>
      </c>
      <c r="S172" s="6" t="str">
        <f t="shared" si="2"/>
        <v xml:space="preserve"> </v>
      </c>
      <c r="T172" s="6" t="str">
        <f>IF(IF(COUNTIF(H$2:$H172,H172)=1,1,"")=1,SUMIF($H$2:$H$7997,H172,$S$2:$S$7997),"")</f>
        <v/>
      </c>
      <c r="W172">
        <v>5196744</v>
      </c>
      <c r="X172">
        <v>5196744</v>
      </c>
      <c r="Y172">
        <v>0</v>
      </c>
      <c r="Z172">
        <v>0</v>
      </c>
      <c r="AA172" s="2">
        <v>1</v>
      </c>
      <c r="AB172" s="2">
        <v>0</v>
      </c>
      <c r="AC172" s="2">
        <v>0</v>
      </c>
      <c r="AD172">
        <v>0</v>
      </c>
      <c r="AE172" t="s">
        <v>1862</v>
      </c>
      <c r="AF172">
        <v>75270.649999999994</v>
      </c>
      <c r="AG172">
        <v>6266667</v>
      </c>
      <c r="AH172">
        <v>211500.01</v>
      </c>
      <c r="AI172" s="1" t="s">
        <v>300</v>
      </c>
      <c r="AJ172">
        <v>93879806</v>
      </c>
      <c r="AK172" s="1" t="s">
        <v>1867</v>
      </c>
      <c r="AL172" t="s">
        <v>1934</v>
      </c>
      <c r="AN172" t="s">
        <v>2047</v>
      </c>
      <c r="AO172" t="s">
        <v>2067</v>
      </c>
      <c r="AP172" t="s">
        <v>2092</v>
      </c>
      <c r="AQ172">
        <v>127769</v>
      </c>
      <c r="AR172" s="3">
        <v>46203</v>
      </c>
      <c r="AS172" s="3">
        <v>46184</v>
      </c>
      <c r="AT172" s="3">
        <v>46222</v>
      </c>
      <c r="AU172" t="s">
        <v>2123</v>
      </c>
      <c r="AW172" s="3">
        <v>46208.53701449134</v>
      </c>
    </row>
    <row r="173" spans="1:49" ht="16" hidden="1" x14ac:dyDescent="0.2">
      <c r="A173" t="s">
        <v>70</v>
      </c>
      <c r="B173">
        <v>10969</v>
      </c>
      <c r="C173">
        <v>2153</v>
      </c>
      <c r="D173" t="s">
        <v>161</v>
      </c>
      <c r="E173" t="s">
        <v>300</v>
      </c>
      <c r="F173">
        <v>261387</v>
      </c>
      <c r="G173" t="s">
        <v>786</v>
      </c>
      <c r="H173">
        <v>581872</v>
      </c>
      <c r="I173" t="s">
        <v>1529</v>
      </c>
      <c r="J173">
        <v>7306811510</v>
      </c>
      <c r="K173" t="s">
        <v>1835</v>
      </c>
      <c r="L173" t="s">
        <v>1850</v>
      </c>
      <c r="M173" s="1">
        <v>6</v>
      </c>
      <c r="N173" t="s">
        <v>23</v>
      </c>
      <c r="O173">
        <v>0</v>
      </c>
      <c r="P173" s="1">
        <v>0</v>
      </c>
      <c r="S173" s="6" t="str">
        <f t="shared" si="2"/>
        <v xml:space="preserve"> </v>
      </c>
      <c r="T173" s="6">
        <f>IF(IF(COUNTIF(H$2:$H173,H173)=1,1,"")=1,SUMIF($H$2:$H$7997,H173,$S$2:$S$7997),"")</f>
        <v>0</v>
      </c>
      <c r="W173">
        <v>0</v>
      </c>
      <c r="X173">
        <v>0</v>
      </c>
      <c r="Y173">
        <v>0</v>
      </c>
      <c r="Z173">
        <v>0</v>
      </c>
      <c r="AA173" s="2">
        <v>1</v>
      </c>
      <c r="AB173" s="2">
        <v>0</v>
      </c>
      <c r="AC173" s="2">
        <v>0</v>
      </c>
      <c r="AD173">
        <v>0</v>
      </c>
      <c r="AE173" t="s">
        <v>1862</v>
      </c>
      <c r="AF173">
        <v>8729.1299999999992</v>
      </c>
      <c r="AG173">
        <v>7500000</v>
      </c>
      <c r="AH173">
        <v>45000</v>
      </c>
      <c r="AI173" s="1" t="s">
        <v>300</v>
      </c>
      <c r="AJ173">
        <v>261387</v>
      </c>
      <c r="AK173" s="1" t="s">
        <v>1867</v>
      </c>
      <c r="AL173" t="s">
        <v>1934</v>
      </c>
      <c r="AN173" t="s">
        <v>2047</v>
      </c>
      <c r="AO173" t="s">
        <v>2067</v>
      </c>
      <c r="AP173" t="s">
        <v>2103</v>
      </c>
      <c r="AQ173">
        <v>127769</v>
      </c>
      <c r="AR173" s="3">
        <v>46203</v>
      </c>
      <c r="AS173" s="3">
        <v>46184</v>
      </c>
      <c r="AT173" s="3">
        <v>46222</v>
      </c>
      <c r="AU173" t="s">
        <v>2126</v>
      </c>
      <c r="AW173" s="3">
        <v>46208.53701449134</v>
      </c>
    </row>
    <row r="174" spans="1:49" ht="16" hidden="1" x14ac:dyDescent="0.2">
      <c r="A174" t="s">
        <v>70</v>
      </c>
      <c r="B174">
        <v>10969</v>
      </c>
      <c r="C174">
        <v>2153</v>
      </c>
      <c r="D174" t="s">
        <v>161</v>
      </c>
      <c r="E174" t="s">
        <v>300</v>
      </c>
      <c r="F174">
        <v>261387</v>
      </c>
      <c r="G174" t="s">
        <v>861</v>
      </c>
      <c r="H174">
        <v>581894</v>
      </c>
      <c r="I174" t="s">
        <v>1657</v>
      </c>
      <c r="J174">
        <v>581896</v>
      </c>
      <c r="K174" t="s">
        <v>1847</v>
      </c>
      <c r="L174" t="s">
        <v>1851</v>
      </c>
      <c r="M174" s="1">
        <v>1000000</v>
      </c>
      <c r="N174" t="s">
        <v>1858</v>
      </c>
      <c r="O174">
        <v>0</v>
      </c>
      <c r="P174" s="1">
        <v>256410.26</v>
      </c>
      <c r="S174" s="6" t="str">
        <f t="shared" si="2"/>
        <v xml:space="preserve"> </v>
      </c>
      <c r="T174" s="6">
        <f>IF(IF(COUNTIF(H$2:$H174,H174)=1,1,"")=1,SUMIF($H$2:$H$7997,H174,$S$2:$S$7997),"")</f>
        <v>0</v>
      </c>
      <c r="W174">
        <v>0</v>
      </c>
      <c r="X174">
        <v>0</v>
      </c>
      <c r="Y174">
        <v>0</v>
      </c>
      <c r="Z174">
        <v>0</v>
      </c>
      <c r="AA174" s="2">
        <v>1</v>
      </c>
      <c r="AB174" s="2">
        <v>0</v>
      </c>
      <c r="AC174" s="2">
        <v>0</v>
      </c>
      <c r="AD174">
        <v>0</v>
      </c>
      <c r="AE174" t="s">
        <v>1863</v>
      </c>
      <c r="AF174">
        <v>256410.26</v>
      </c>
      <c r="AG174">
        <v>1</v>
      </c>
      <c r="AH174">
        <v>1000000</v>
      </c>
      <c r="AI174" s="1" t="s">
        <v>300</v>
      </c>
      <c r="AJ174">
        <v>261387</v>
      </c>
      <c r="AK174" s="1" t="s">
        <v>1867</v>
      </c>
      <c r="AL174" t="s">
        <v>1934</v>
      </c>
      <c r="AN174" t="s">
        <v>2047</v>
      </c>
      <c r="AO174" t="s">
        <v>2067</v>
      </c>
      <c r="AP174" t="s">
        <v>2112</v>
      </c>
      <c r="AQ174">
        <v>127769</v>
      </c>
      <c r="AR174" s="3">
        <v>46203</v>
      </c>
      <c r="AS174" s="3">
        <v>46184</v>
      </c>
      <c r="AT174" s="3">
        <v>46222</v>
      </c>
      <c r="AU174" t="s">
        <v>2130</v>
      </c>
      <c r="AW174" s="3">
        <v>46208.53701449134</v>
      </c>
    </row>
    <row r="175" spans="1:49" ht="16" hidden="1" x14ac:dyDescent="0.2">
      <c r="A175" t="s">
        <v>70</v>
      </c>
      <c r="B175">
        <v>10969</v>
      </c>
      <c r="C175">
        <v>2153</v>
      </c>
      <c r="D175" t="s">
        <v>161</v>
      </c>
      <c r="E175" t="s">
        <v>300</v>
      </c>
      <c r="F175">
        <v>261387</v>
      </c>
      <c r="G175" t="s">
        <v>784</v>
      </c>
      <c r="H175">
        <v>581899</v>
      </c>
      <c r="I175" t="s">
        <v>1525</v>
      </c>
      <c r="J175">
        <v>7305086875</v>
      </c>
      <c r="K175" t="s">
        <v>1835</v>
      </c>
      <c r="L175" t="s">
        <v>1851</v>
      </c>
      <c r="M175" s="1">
        <v>0</v>
      </c>
      <c r="N175" t="s">
        <v>1858</v>
      </c>
      <c r="O175">
        <v>0</v>
      </c>
      <c r="P175" s="1">
        <v>0</v>
      </c>
      <c r="S175" s="6" t="str">
        <f t="shared" si="2"/>
        <v xml:space="preserve"> </v>
      </c>
      <c r="T175" s="6">
        <f>IF(IF(COUNTIF(H$2:$H175,H175)=1,1,"")=1,SUMIF($H$2:$H$7997,H175,$S$2:$S$7997),"")</f>
        <v>0</v>
      </c>
      <c r="W175">
        <v>0</v>
      </c>
      <c r="X175">
        <v>0</v>
      </c>
      <c r="Y175">
        <v>0</v>
      </c>
      <c r="Z175">
        <v>0</v>
      </c>
      <c r="AA175" s="2">
        <v>1</v>
      </c>
      <c r="AB175" s="2">
        <v>0</v>
      </c>
      <c r="AC175" s="2">
        <v>0</v>
      </c>
      <c r="AD175">
        <v>0</v>
      </c>
      <c r="AE175" t="s">
        <v>1863</v>
      </c>
      <c r="AF175">
        <v>0</v>
      </c>
      <c r="AG175">
        <v>1</v>
      </c>
      <c r="AH175">
        <v>0</v>
      </c>
      <c r="AI175" s="1" t="s">
        <v>300</v>
      </c>
      <c r="AJ175">
        <v>261387</v>
      </c>
      <c r="AK175" s="1" t="s">
        <v>1867</v>
      </c>
      <c r="AL175" t="s">
        <v>1934</v>
      </c>
      <c r="AN175" t="s">
        <v>2047</v>
      </c>
      <c r="AO175" t="s">
        <v>2067</v>
      </c>
      <c r="AP175" t="s">
        <v>2105</v>
      </c>
      <c r="AQ175">
        <v>127769</v>
      </c>
      <c r="AR175" s="3">
        <v>46203</v>
      </c>
      <c r="AS175" s="3">
        <v>46191</v>
      </c>
      <c r="AT175" s="3">
        <v>46191</v>
      </c>
      <c r="AU175" t="s">
        <v>2126</v>
      </c>
      <c r="AW175" s="3">
        <v>46208.53701449134</v>
      </c>
    </row>
    <row r="176" spans="1:49" ht="16" hidden="1" x14ac:dyDescent="0.2">
      <c r="A176" t="s">
        <v>70</v>
      </c>
      <c r="B176">
        <v>10969</v>
      </c>
      <c r="C176">
        <v>2153</v>
      </c>
      <c r="D176" t="s">
        <v>161</v>
      </c>
      <c r="E176" t="s">
        <v>300</v>
      </c>
      <c r="F176">
        <v>261387</v>
      </c>
      <c r="G176" t="s">
        <v>784</v>
      </c>
      <c r="H176">
        <v>581899</v>
      </c>
      <c r="I176" t="s">
        <v>1526</v>
      </c>
      <c r="J176">
        <v>7305087001</v>
      </c>
      <c r="K176" t="s">
        <v>1835</v>
      </c>
      <c r="L176" t="s">
        <v>1851</v>
      </c>
      <c r="M176" s="1">
        <v>50000</v>
      </c>
      <c r="N176" t="s">
        <v>1858</v>
      </c>
      <c r="O176">
        <v>500</v>
      </c>
      <c r="P176" s="1">
        <v>25000</v>
      </c>
      <c r="S176" s="6" t="str">
        <f t="shared" si="2"/>
        <v xml:space="preserve"> </v>
      </c>
      <c r="T176" s="6" t="str">
        <f>IF(IF(COUNTIF(H$2:$H176,H176)=1,1,"")=1,SUMIF($H$2:$H$7997,H176,$S$2:$S$7997),"")</f>
        <v/>
      </c>
      <c r="W176">
        <v>0</v>
      </c>
      <c r="X176">
        <v>0</v>
      </c>
      <c r="Y176">
        <v>0</v>
      </c>
      <c r="Z176">
        <v>0</v>
      </c>
      <c r="AA176" s="2">
        <v>1</v>
      </c>
      <c r="AB176" s="2">
        <v>0</v>
      </c>
      <c r="AC176" s="2">
        <v>0</v>
      </c>
      <c r="AD176">
        <v>0</v>
      </c>
      <c r="AE176" t="s">
        <v>1863</v>
      </c>
      <c r="AF176">
        <v>25000</v>
      </c>
      <c r="AG176">
        <v>1</v>
      </c>
      <c r="AH176">
        <v>50000</v>
      </c>
      <c r="AI176" s="1" t="s">
        <v>300</v>
      </c>
      <c r="AJ176">
        <v>261387</v>
      </c>
      <c r="AK176" s="1" t="s">
        <v>1867</v>
      </c>
      <c r="AL176" t="s">
        <v>1934</v>
      </c>
      <c r="AN176" t="s">
        <v>2047</v>
      </c>
      <c r="AO176" t="s">
        <v>2067</v>
      </c>
      <c r="AP176" t="s">
        <v>2104</v>
      </c>
      <c r="AQ176">
        <v>127769</v>
      </c>
      <c r="AR176" s="3">
        <v>46203</v>
      </c>
      <c r="AS176" s="3">
        <v>46191</v>
      </c>
      <c r="AT176" s="3">
        <v>46191</v>
      </c>
      <c r="AU176" t="s">
        <v>2126</v>
      </c>
      <c r="AW176" s="3">
        <v>46208.53701449134</v>
      </c>
    </row>
    <row r="177" spans="1:49" ht="16" hidden="1" x14ac:dyDescent="0.2">
      <c r="A177" t="s">
        <v>70</v>
      </c>
      <c r="B177">
        <v>10969</v>
      </c>
      <c r="C177">
        <v>2153</v>
      </c>
      <c r="D177" t="s">
        <v>161</v>
      </c>
      <c r="E177" t="s">
        <v>300</v>
      </c>
      <c r="F177">
        <v>261387</v>
      </c>
      <c r="G177" t="s">
        <v>784</v>
      </c>
      <c r="H177">
        <v>581899</v>
      </c>
      <c r="I177" t="s">
        <v>1531</v>
      </c>
      <c r="J177">
        <v>7306811645</v>
      </c>
      <c r="K177" t="s">
        <v>1835</v>
      </c>
      <c r="L177" t="s">
        <v>1851</v>
      </c>
      <c r="M177" s="1">
        <v>50000</v>
      </c>
      <c r="N177" t="s">
        <v>1858</v>
      </c>
      <c r="O177">
        <v>500</v>
      </c>
      <c r="P177" s="1">
        <v>25000</v>
      </c>
      <c r="S177" s="6" t="str">
        <f t="shared" si="2"/>
        <v xml:space="preserve"> </v>
      </c>
      <c r="T177" s="6" t="str">
        <f>IF(IF(COUNTIF(H$2:$H177,H177)=1,1,"")=1,SUMIF($H$2:$H$7997,H177,$S$2:$S$7997),"")</f>
        <v/>
      </c>
      <c r="W177">
        <v>0</v>
      </c>
      <c r="X177">
        <v>0</v>
      </c>
      <c r="Y177">
        <v>0</v>
      </c>
      <c r="Z177">
        <v>0</v>
      </c>
      <c r="AA177" s="2">
        <v>1</v>
      </c>
      <c r="AB177" s="2">
        <v>0</v>
      </c>
      <c r="AC177" s="2">
        <v>0</v>
      </c>
      <c r="AD177">
        <v>0</v>
      </c>
      <c r="AE177" t="s">
        <v>1863</v>
      </c>
      <c r="AF177">
        <v>25000</v>
      </c>
      <c r="AG177">
        <v>1</v>
      </c>
      <c r="AH177">
        <v>50000</v>
      </c>
      <c r="AI177" s="1" t="s">
        <v>300</v>
      </c>
      <c r="AJ177">
        <v>261387</v>
      </c>
      <c r="AK177" s="1" t="s">
        <v>1867</v>
      </c>
      <c r="AL177" t="s">
        <v>1934</v>
      </c>
      <c r="AN177" t="s">
        <v>2047</v>
      </c>
      <c r="AO177" t="s">
        <v>2067</v>
      </c>
      <c r="AP177" t="s">
        <v>2104</v>
      </c>
      <c r="AQ177">
        <v>127769</v>
      </c>
      <c r="AR177" s="3">
        <v>46203</v>
      </c>
      <c r="AS177" s="3">
        <v>46191</v>
      </c>
      <c r="AT177" s="3">
        <v>46191</v>
      </c>
      <c r="AU177" t="s">
        <v>2126</v>
      </c>
      <c r="AW177" s="3">
        <v>46208.53701449134</v>
      </c>
    </row>
    <row r="178" spans="1:49" ht="16" hidden="1" x14ac:dyDescent="0.2">
      <c r="A178" t="s">
        <v>70</v>
      </c>
      <c r="B178">
        <v>10969</v>
      </c>
      <c r="C178">
        <v>2153</v>
      </c>
      <c r="D178" t="s">
        <v>161</v>
      </c>
      <c r="E178" t="s">
        <v>300</v>
      </c>
      <c r="F178">
        <v>261387</v>
      </c>
      <c r="G178" t="s">
        <v>784</v>
      </c>
      <c r="H178">
        <v>581899</v>
      </c>
      <c r="I178" t="s">
        <v>1532</v>
      </c>
      <c r="J178">
        <v>7306811675</v>
      </c>
      <c r="K178" t="s">
        <v>1835</v>
      </c>
      <c r="L178" t="s">
        <v>1851</v>
      </c>
      <c r="M178" s="1">
        <v>50000</v>
      </c>
      <c r="N178" t="s">
        <v>1858</v>
      </c>
      <c r="O178">
        <v>500</v>
      </c>
      <c r="P178" s="1">
        <v>25000</v>
      </c>
      <c r="S178" s="6" t="str">
        <f t="shared" si="2"/>
        <v xml:space="preserve"> </v>
      </c>
      <c r="T178" s="6" t="str">
        <f>IF(IF(COUNTIF(H$2:$H178,H178)=1,1,"")=1,SUMIF($H$2:$H$7997,H178,$S$2:$S$7997),"")</f>
        <v/>
      </c>
      <c r="W178">
        <v>0</v>
      </c>
      <c r="X178">
        <v>0</v>
      </c>
      <c r="Y178">
        <v>0</v>
      </c>
      <c r="Z178">
        <v>0</v>
      </c>
      <c r="AA178" s="2">
        <v>1</v>
      </c>
      <c r="AB178" s="2">
        <v>0</v>
      </c>
      <c r="AC178" s="2">
        <v>0</v>
      </c>
      <c r="AD178">
        <v>0</v>
      </c>
      <c r="AE178" t="s">
        <v>1863</v>
      </c>
      <c r="AF178">
        <v>25000</v>
      </c>
      <c r="AG178">
        <v>1</v>
      </c>
      <c r="AH178">
        <v>50000</v>
      </c>
      <c r="AI178" s="1" t="s">
        <v>300</v>
      </c>
      <c r="AJ178">
        <v>261387</v>
      </c>
      <c r="AK178" s="1" t="s">
        <v>1867</v>
      </c>
      <c r="AL178" t="s">
        <v>1934</v>
      </c>
      <c r="AN178" t="s">
        <v>2047</v>
      </c>
      <c r="AO178" t="s">
        <v>2067</v>
      </c>
      <c r="AP178" t="s">
        <v>2104</v>
      </c>
      <c r="AQ178">
        <v>127769</v>
      </c>
      <c r="AR178" s="3">
        <v>46203</v>
      </c>
      <c r="AS178" s="3">
        <v>46191</v>
      </c>
      <c r="AT178" s="3">
        <v>46191</v>
      </c>
      <c r="AU178" t="s">
        <v>2126</v>
      </c>
      <c r="AW178" s="3">
        <v>46208.53701449134</v>
      </c>
    </row>
    <row r="179" spans="1:49" ht="16" hidden="1" x14ac:dyDescent="0.2">
      <c r="A179" t="s">
        <v>70</v>
      </c>
      <c r="B179">
        <v>10969</v>
      </c>
      <c r="C179">
        <v>2153</v>
      </c>
      <c r="D179" t="s">
        <v>161</v>
      </c>
      <c r="E179" t="s">
        <v>300</v>
      </c>
      <c r="F179">
        <v>261387</v>
      </c>
      <c r="G179" t="s">
        <v>784</v>
      </c>
      <c r="H179">
        <v>581899</v>
      </c>
      <c r="I179" t="s">
        <v>1527</v>
      </c>
      <c r="J179">
        <v>7305087280</v>
      </c>
      <c r="K179" t="s">
        <v>1835</v>
      </c>
      <c r="L179" t="s">
        <v>1851</v>
      </c>
      <c r="M179" s="1">
        <v>50000</v>
      </c>
      <c r="N179" t="s">
        <v>1858</v>
      </c>
      <c r="O179">
        <v>500</v>
      </c>
      <c r="P179" s="1">
        <v>25000</v>
      </c>
      <c r="S179" s="6" t="str">
        <f t="shared" si="2"/>
        <v xml:space="preserve"> </v>
      </c>
      <c r="T179" s="6" t="str">
        <f>IF(IF(COUNTIF(H$2:$H179,H179)=1,1,"")=1,SUMIF($H$2:$H$7997,H179,$S$2:$S$7997),"")</f>
        <v/>
      </c>
      <c r="W179">
        <v>0</v>
      </c>
      <c r="X179">
        <v>0</v>
      </c>
      <c r="Y179">
        <v>0</v>
      </c>
      <c r="Z179">
        <v>0</v>
      </c>
      <c r="AA179" s="2">
        <v>1</v>
      </c>
      <c r="AB179" s="2">
        <v>0</v>
      </c>
      <c r="AC179" s="2">
        <v>0</v>
      </c>
      <c r="AD179">
        <v>0</v>
      </c>
      <c r="AE179" t="s">
        <v>1863</v>
      </c>
      <c r="AF179">
        <v>25000</v>
      </c>
      <c r="AG179">
        <v>1</v>
      </c>
      <c r="AH179">
        <v>50000</v>
      </c>
      <c r="AI179" s="1" t="s">
        <v>300</v>
      </c>
      <c r="AJ179">
        <v>261387</v>
      </c>
      <c r="AK179" s="1" t="s">
        <v>1867</v>
      </c>
      <c r="AL179" t="s">
        <v>1934</v>
      </c>
      <c r="AN179" t="s">
        <v>2047</v>
      </c>
      <c r="AO179" t="s">
        <v>2067</v>
      </c>
      <c r="AP179" t="s">
        <v>2104</v>
      </c>
      <c r="AQ179">
        <v>127769</v>
      </c>
      <c r="AR179" s="3">
        <v>46203</v>
      </c>
      <c r="AS179" s="3">
        <v>46191</v>
      </c>
      <c r="AT179" s="3">
        <v>46191</v>
      </c>
      <c r="AU179" t="s">
        <v>2126</v>
      </c>
      <c r="AW179" s="3">
        <v>46208.53701449134</v>
      </c>
    </row>
    <row r="180" spans="1:49" ht="16" hidden="1" x14ac:dyDescent="0.2">
      <c r="A180" t="s">
        <v>70</v>
      </c>
      <c r="B180">
        <v>10969</v>
      </c>
      <c r="C180">
        <v>2153</v>
      </c>
      <c r="D180" t="s">
        <v>161</v>
      </c>
      <c r="E180" t="s">
        <v>300</v>
      </c>
      <c r="F180">
        <v>261387</v>
      </c>
      <c r="G180" t="s">
        <v>784</v>
      </c>
      <c r="H180">
        <v>581899</v>
      </c>
      <c r="I180" t="s">
        <v>1530</v>
      </c>
      <c r="J180">
        <v>7306811516</v>
      </c>
      <c r="K180" t="s">
        <v>1835</v>
      </c>
      <c r="L180" t="s">
        <v>1851</v>
      </c>
      <c r="M180" s="1">
        <v>50000</v>
      </c>
      <c r="N180" t="s">
        <v>1858</v>
      </c>
      <c r="O180">
        <v>500</v>
      </c>
      <c r="P180" s="1">
        <v>25000</v>
      </c>
      <c r="S180" s="6" t="str">
        <f t="shared" si="2"/>
        <v xml:space="preserve"> </v>
      </c>
      <c r="T180" s="6" t="str">
        <f>IF(IF(COUNTIF(H$2:$H180,H180)=1,1,"")=1,SUMIF($H$2:$H$7997,H180,$S$2:$S$7997),"")</f>
        <v/>
      </c>
      <c r="W180">
        <v>0</v>
      </c>
      <c r="X180">
        <v>0</v>
      </c>
      <c r="Y180">
        <v>0</v>
      </c>
      <c r="Z180">
        <v>0</v>
      </c>
      <c r="AA180" s="2">
        <v>1</v>
      </c>
      <c r="AB180" s="2">
        <v>0</v>
      </c>
      <c r="AC180" s="2">
        <v>0</v>
      </c>
      <c r="AD180">
        <v>0</v>
      </c>
      <c r="AE180" t="s">
        <v>1863</v>
      </c>
      <c r="AF180">
        <v>25000</v>
      </c>
      <c r="AG180">
        <v>1</v>
      </c>
      <c r="AH180">
        <v>50000</v>
      </c>
      <c r="AI180" s="1" t="s">
        <v>300</v>
      </c>
      <c r="AJ180">
        <v>261387</v>
      </c>
      <c r="AK180" s="1" t="s">
        <v>1867</v>
      </c>
      <c r="AL180" t="s">
        <v>1934</v>
      </c>
      <c r="AN180" t="s">
        <v>2047</v>
      </c>
      <c r="AO180" t="s">
        <v>2067</v>
      </c>
      <c r="AP180" t="s">
        <v>2106</v>
      </c>
      <c r="AQ180">
        <v>127769</v>
      </c>
      <c r="AR180" s="3">
        <v>46203</v>
      </c>
      <c r="AS180" s="3">
        <v>46191</v>
      </c>
      <c r="AT180" s="3">
        <v>46191</v>
      </c>
      <c r="AU180" t="s">
        <v>2126</v>
      </c>
      <c r="AW180" s="3">
        <v>46208.53701449134</v>
      </c>
    </row>
    <row r="181" spans="1:49" ht="16" hidden="1" x14ac:dyDescent="0.2">
      <c r="A181" t="s">
        <v>70</v>
      </c>
      <c r="B181">
        <v>10969</v>
      </c>
      <c r="C181">
        <v>2153</v>
      </c>
      <c r="D181" t="s">
        <v>161</v>
      </c>
      <c r="E181" t="s">
        <v>300</v>
      </c>
      <c r="F181">
        <v>261387</v>
      </c>
      <c r="G181" t="s">
        <v>752</v>
      </c>
      <c r="H181">
        <v>595194</v>
      </c>
      <c r="I181" t="s">
        <v>1465</v>
      </c>
      <c r="J181">
        <v>94925545</v>
      </c>
      <c r="K181" t="s">
        <v>1839</v>
      </c>
      <c r="L181" t="s">
        <v>1850</v>
      </c>
      <c r="M181" s="1">
        <v>33.75</v>
      </c>
      <c r="N181" t="s">
        <v>23</v>
      </c>
      <c r="O181">
        <v>1314724</v>
      </c>
      <c r="P181" s="1">
        <v>0</v>
      </c>
      <c r="S181" s="6" t="str">
        <f t="shared" si="2"/>
        <v xml:space="preserve"> </v>
      </c>
      <c r="T181" s="6">
        <f>IF(IF(COUNTIF(H$2:$H181,H181)=1,1,"")=1,SUMIF($H$2:$H$7997,H181,$S$2:$S$7997),"")</f>
        <v>0</v>
      </c>
      <c r="W181">
        <v>1314724</v>
      </c>
      <c r="X181">
        <v>1314724</v>
      </c>
      <c r="Y181">
        <v>0</v>
      </c>
      <c r="Z181">
        <v>0</v>
      </c>
      <c r="AA181" s="2">
        <v>1</v>
      </c>
      <c r="AB181" s="2">
        <v>0</v>
      </c>
      <c r="AC181" s="2">
        <v>0</v>
      </c>
      <c r="AD181">
        <v>0</v>
      </c>
      <c r="AE181" t="s">
        <v>1862</v>
      </c>
      <c r="AF181">
        <v>0</v>
      </c>
      <c r="AG181">
        <v>1997541</v>
      </c>
      <c r="AH181">
        <v>0</v>
      </c>
      <c r="AI181" s="1" t="s">
        <v>300</v>
      </c>
      <c r="AJ181">
        <v>93879806</v>
      </c>
      <c r="AK181" s="1" t="s">
        <v>1867</v>
      </c>
      <c r="AL181" t="s">
        <v>1934</v>
      </c>
      <c r="AN181" t="s">
        <v>2047</v>
      </c>
      <c r="AO181" t="s">
        <v>2068</v>
      </c>
      <c r="AP181" t="s">
        <v>2094</v>
      </c>
      <c r="AQ181">
        <v>127769</v>
      </c>
      <c r="AR181" s="3">
        <v>46203</v>
      </c>
      <c r="AS181" s="3">
        <v>46195</v>
      </c>
      <c r="AT181" s="3">
        <v>46222</v>
      </c>
      <c r="AU181" t="s">
        <v>2124</v>
      </c>
      <c r="AW181" s="3">
        <v>46208.53701449134</v>
      </c>
    </row>
    <row r="182" spans="1:49" ht="16" hidden="1" x14ac:dyDescent="0.2">
      <c r="A182" t="s">
        <v>70</v>
      </c>
      <c r="B182">
        <v>10969</v>
      </c>
      <c r="C182">
        <v>2153</v>
      </c>
      <c r="D182" t="s">
        <v>161</v>
      </c>
      <c r="E182" t="s">
        <v>300</v>
      </c>
      <c r="F182">
        <v>261387</v>
      </c>
      <c r="G182" t="s">
        <v>752</v>
      </c>
      <c r="H182">
        <v>595194</v>
      </c>
      <c r="I182" t="s">
        <v>1464</v>
      </c>
      <c r="J182">
        <v>94925541</v>
      </c>
      <c r="K182" t="s">
        <v>1835</v>
      </c>
      <c r="L182" t="s">
        <v>1850</v>
      </c>
      <c r="M182" s="1">
        <v>33.75</v>
      </c>
      <c r="N182" t="s">
        <v>23</v>
      </c>
      <c r="O182">
        <v>581817</v>
      </c>
      <c r="P182" s="1">
        <v>0</v>
      </c>
      <c r="S182" s="6" t="str">
        <f t="shared" si="2"/>
        <v xml:space="preserve"> </v>
      </c>
      <c r="T182" s="6" t="str">
        <f>IF(IF(COUNTIF(H$2:$H182,H182)=1,1,"")=1,SUMIF($H$2:$H$7997,H182,$S$2:$S$7997),"")</f>
        <v/>
      </c>
      <c r="W182">
        <v>581817</v>
      </c>
      <c r="X182">
        <v>581817</v>
      </c>
      <c r="Y182">
        <v>0</v>
      </c>
      <c r="Z182">
        <v>0</v>
      </c>
      <c r="AA182" s="2">
        <v>1</v>
      </c>
      <c r="AB182" s="2">
        <v>0</v>
      </c>
      <c r="AC182" s="2">
        <v>0</v>
      </c>
      <c r="AD182">
        <v>0</v>
      </c>
      <c r="AE182" t="s">
        <v>1862</v>
      </c>
      <c r="AF182">
        <v>0</v>
      </c>
      <c r="AG182">
        <v>856089</v>
      </c>
      <c r="AH182">
        <v>0</v>
      </c>
      <c r="AI182" s="1" t="s">
        <v>300</v>
      </c>
      <c r="AJ182">
        <v>93879806</v>
      </c>
      <c r="AK182" s="1" t="s">
        <v>1867</v>
      </c>
      <c r="AL182" t="s">
        <v>1934</v>
      </c>
      <c r="AN182" t="s">
        <v>2047</v>
      </c>
      <c r="AO182" t="s">
        <v>2068</v>
      </c>
      <c r="AP182" t="s">
        <v>2092</v>
      </c>
      <c r="AQ182">
        <v>127769</v>
      </c>
      <c r="AR182" s="3">
        <v>46203</v>
      </c>
      <c r="AS182" s="3">
        <v>46195</v>
      </c>
      <c r="AT182" s="3">
        <v>46222</v>
      </c>
      <c r="AU182" t="s">
        <v>2123</v>
      </c>
      <c r="AW182" s="3">
        <v>46208.53701449134</v>
      </c>
    </row>
    <row r="183" spans="1:49" ht="16" hidden="1" x14ac:dyDescent="0.2">
      <c r="A183" t="s">
        <v>70</v>
      </c>
      <c r="B183">
        <v>10969</v>
      </c>
      <c r="C183">
        <v>2942</v>
      </c>
      <c r="D183" t="s">
        <v>135</v>
      </c>
      <c r="E183" t="s">
        <v>259</v>
      </c>
      <c r="F183">
        <v>265850</v>
      </c>
      <c r="G183" t="s">
        <v>479</v>
      </c>
      <c r="H183">
        <v>577035</v>
      </c>
      <c r="I183" t="s">
        <v>479</v>
      </c>
      <c r="J183">
        <v>93054458</v>
      </c>
      <c r="K183" t="s">
        <v>1835</v>
      </c>
      <c r="L183" t="s">
        <v>1850</v>
      </c>
      <c r="M183" s="1">
        <v>25.7</v>
      </c>
      <c r="N183" t="s">
        <v>1853</v>
      </c>
      <c r="O183">
        <v>280381</v>
      </c>
      <c r="P183" s="1">
        <v>7205.79</v>
      </c>
      <c r="S183" s="6" t="str">
        <f t="shared" si="2"/>
        <v xml:space="preserve"> </v>
      </c>
      <c r="T183" s="6">
        <f>IF(IF(COUNTIF(H$2:$H183,H183)=1,1,"")=1,SUMIF($H$2:$H$7997,H183,$S$2:$S$7997),"")</f>
        <v>0</v>
      </c>
      <c r="V183" t="s">
        <v>1860</v>
      </c>
      <c r="W183">
        <v>259586</v>
      </c>
      <c r="X183">
        <v>225242</v>
      </c>
      <c r="Y183">
        <v>323132</v>
      </c>
      <c r="Z183">
        <v>280381</v>
      </c>
      <c r="AA183" s="2">
        <v>1</v>
      </c>
      <c r="AB183" s="2">
        <v>1.244799907605243</v>
      </c>
      <c r="AC183" s="2">
        <v>0</v>
      </c>
      <c r="AD183">
        <v>0</v>
      </c>
      <c r="AE183" t="s">
        <v>1862</v>
      </c>
      <c r="AF183">
        <v>6666.7</v>
      </c>
      <c r="AG183">
        <v>778211</v>
      </c>
      <c r="AH183">
        <v>20000.02</v>
      </c>
      <c r="AI183" s="1" t="s">
        <v>259</v>
      </c>
      <c r="AJ183">
        <v>93054385</v>
      </c>
      <c r="AK183" s="1" t="s">
        <v>1867</v>
      </c>
      <c r="AL183" t="s">
        <v>1898</v>
      </c>
      <c r="AN183" t="s">
        <v>2047</v>
      </c>
      <c r="AO183" t="s">
        <v>2067</v>
      </c>
      <c r="AP183" t="s">
        <v>2076</v>
      </c>
      <c r="AQ183">
        <v>123965</v>
      </c>
      <c r="AR183" s="3">
        <v>46203</v>
      </c>
      <c r="AS183" s="3">
        <v>46113</v>
      </c>
      <c r="AT183" s="3">
        <v>46201</v>
      </c>
      <c r="AU183" t="s">
        <v>2123</v>
      </c>
      <c r="AW183" s="3">
        <v>46208.53701449134</v>
      </c>
    </row>
    <row r="184" spans="1:49" ht="16" hidden="1" x14ac:dyDescent="0.2">
      <c r="A184" t="s">
        <v>80</v>
      </c>
      <c r="B184">
        <v>11500</v>
      </c>
      <c r="C184">
        <v>8811</v>
      </c>
      <c r="D184" t="s">
        <v>146</v>
      </c>
      <c r="E184" t="s">
        <v>281</v>
      </c>
      <c r="F184">
        <v>267136</v>
      </c>
      <c r="G184" t="s">
        <v>515</v>
      </c>
      <c r="H184">
        <v>583352</v>
      </c>
      <c r="I184" t="s">
        <v>1019</v>
      </c>
      <c r="J184">
        <v>93653578</v>
      </c>
      <c r="K184" t="s">
        <v>1839</v>
      </c>
      <c r="L184" t="s">
        <v>1850</v>
      </c>
      <c r="M184" s="1">
        <v>21.25</v>
      </c>
      <c r="N184" t="s">
        <v>1855</v>
      </c>
      <c r="O184">
        <v>383876</v>
      </c>
      <c r="P184" s="1">
        <v>8157.36</v>
      </c>
      <c r="S184" s="6" t="str">
        <f t="shared" si="2"/>
        <v xml:space="preserve"> </v>
      </c>
      <c r="T184" s="6">
        <f>IF(IF(COUNTIF(H$2:$H184,H184)=1,1,"")=1,SUMIF($H$2:$H$7997,H184,$S$2:$S$7997),"")</f>
        <v>0</v>
      </c>
      <c r="W184">
        <v>268466</v>
      </c>
      <c r="X184">
        <v>383876</v>
      </c>
      <c r="Y184">
        <v>0</v>
      </c>
      <c r="Z184">
        <v>0</v>
      </c>
      <c r="AA184" s="2">
        <v>1</v>
      </c>
      <c r="AB184" s="2">
        <v>0</v>
      </c>
      <c r="AC184" s="2">
        <v>0</v>
      </c>
      <c r="AD184">
        <v>0</v>
      </c>
      <c r="AE184" t="s">
        <v>1862</v>
      </c>
      <c r="AF184">
        <v>2648.1</v>
      </c>
      <c r="AG184">
        <v>705882</v>
      </c>
      <c r="AH184">
        <v>14999.99</v>
      </c>
      <c r="AI184" s="1" t="s">
        <v>281</v>
      </c>
      <c r="AJ184">
        <v>93653565</v>
      </c>
      <c r="AK184" s="1" t="s">
        <v>1868</v>
      </c>
      <c r="AL184">
        <v>32013</v>
      </c>
      <c r="AN184" t="s">
        <v>2059</v>
      </c>
      <c r="AO184" t="s">
        <v>2067</v>
      </c>
      <c r="AP184" t="s">
        <v>2093</v>
      </c>
      <c r="AQ184">
        <v>126667</v>
      </c>
      <c r="AR184" s="3">
        <v>46203</v>
      </c>
      <c r="AS184" s="3">
        <v>46132</v>
      </c>
      <c r="AT184" s="3">
        <v>46203</v>
      </c>
      <c r="AU184" t="s">
        <v>2124</v>
      </c>
      <c r="AW184" s="3">
        <v>46208.53701449134</v>
      </c>
    </row>
    <row r="185" spans="1:49" ht="16" hidden="1" x14ac:dyDescent="0.2">
      <c r="A185" t="s">
        <v>80</v>
      </c>
      <c r="B185">
        <v>11500</v>
      </c>
      <c r="C185">
        <v>8811</v>
      </c>
      <c r="D185" t="s">
        <v>146</v>
      </c>
      <c r="E185" t="s">
        <v>281</v>
      </c>
      <c r="F185">
        <v>267136</v>
      </c>
      <c r="G185" t="s">
        <v>515</v>
      </c>
      <c r="H185">
        <v>583352</v>
      </c>
      <c r="I185" t="s">
        <v>1018</v>
      </c>
      <c r="J185">
        <v>93653574</v>
      </c>
      <c r="K185" t="s">
        <v>1840</v>
      </c>
      <c r="L185" t="s">
        <v>1850</v>
      </c>
      <c r="M185" s="1">
        <v>21.25</v>
      </c>
      <c r="N185" t="s">
        <v>1855</v>
      </c>
      <c r="O185">
        <v>884939</v>
      </c>
      <c r="P185" s="1">
        <v>18804.95</v>
      </c>
      <c r="S185" s="6" t="str">
        <f t="shared" si="2"/>
        <v xml:space="preserve"> </v>
      </c>
      <c r="T185" s="6" t="str">
        <f>IF(IF(COUNTIF(H$2:$H185,H185)=1,1,"")=1,SUMIF($H$2:$H$7997,H185,$S$2:$S$7997),"")</f>
        <v/>
      </c>
      <c r="W185">
        <v>619407</v>
      </c>
      <c r="X185">
        <v>884939</v>
      </c>
      <c r="Y185">
        <v>0</v>
      </c>
      <c r="Z185">
        <v>0</v>
      </c>
      <c r="AA185" s="2">
        <v>1</v>
      </c>
      <c r="AB185" s="2">
        <v>0</v>
      </c>
      <c r="AC185" s="2">
        <v>0</v>
      </c>
      <c r="AD185">
        <v>0</v>
      </c>
      <c r="AE185" t="s">
        <v>1862</v>
      </c>
      <c r="AF185">
        <v>6178.91</v>
      </c>
      <c r="AG185">
        <v>1647060</v>
      </c>
      <c r="AH185">
        <v>35000.03</v>
      </c>
      <c r="AI185" s="1" t="s">
        <v>281</v>
      </c>
      <c r="AJ185">
        <v>93653565</v>
      </c>
      <c r="AK185" s="1" t="s">
        <v>1868</v>
      </c>
      <c r="AL185">
        <v>32013</v>
      </c>
      <c r="AN185" t="s">
        <v>2059</v>
      </c>
      <c r="AO185" t="s">
        <v>2067</v>
      </c>
      <c r="AP185" t="s">
        <v>2083</v>
      </c>
      <c r="AQ185">
        <v>126667</v>
      </c>
      <c r="AR185" s="3">
        <v>46203</v>
      </c>
      <c r="AS185" s="3">
        <v>46132</v>
      </c>
      <c r="AT185" s="3">
        <v>46203</v>
      </c>
      <c r="AU185" t="s">
        <v>2123</v>
      </c>
      <c r="AW185" s="3">
        <v>46208.53701449134</v>
      </c>
    </row>
    <row r="186" spans="1:49" ht="16" hidden="1" x14ac:dyDescent="0.2">
      <c r="A186" t="s">
        <v>80</v>
      </c>
      <c r="B186">
        <v>11500</v>
      </c>
      <c r="C186">
        <v>8811</v>
      </c>
      <c r="D186" t="s">
        <v>146</v>
      </c>
      <c r="E186" t="s">
        <v>281</v>
      </c>
      <c r="F186">
        <v>267136</v>
      </c>
      <c r="G186" t="s">
        <v>516</v>
      </c>
      <c r="H186">
        <v>583356</v>
      </c>
      <c r="I186" t="s">
        <v>1021</v>
      </c>
      <c r="J186">
        <v>93653597</v>
      </c>
      <c r="K186" t="s">
        <v>1839</v>
      </c>
      <c r="L186" t="s">
        <v>1850</v>
      </c>
      <c r="M186" s="1">
        <v>21.25</v>
      </c>
      <c r="N186" t="s">
        <v>1855</v>
      </c>
      <c r="O186">
        <v>385316</v>
      </c>
      <c r="P186" s="1">
        <v>8187.97</v>
      </c>
      <c r="S186" s="6" t="str">
        <f t="shared" si="2"/>
        <v xml:space="preserve"> </v>
      </c>
      <c r="T186" s="6">
        <f>IF(IF(COUNTIF(H$2:$H186,H186)=1,1,"")=1,SUMIF($H$2:$H$7997,H186,$S$2:$S$7997),"")</f>
        <v>0</v>
      </c>
      <c r="W186">
        <v>267348</v>
      </c>
      <c r="X186">
        <v>385316</v>
      </c>
      <c r="Y186">
        <v>0</v>
      </c>
      <c r="Z186">
        <v>0</v>
      </c>
      <c r="AA186" s="2">
        <v>1</v>
      </c>
      <c r="AB186" s="2">
        <v>0</v>
      </c>
      <c r="AC186" s="2">
        <v>0</v>
      </c>
      <c r="AD186">
        <v>0</v>
      </c>
      <c r="AE186" t="s">
        <v>1862</v>
      </c>
      <c r="AF186">
        <v>2649.82</v>
      </c>
      <c r="AG186">
        <v>705882</v>
      </c>
      <c r="AH186">
        <v>14999.99</v>
      </c>
      <c r="AI186" s="1" t="s">
        <v>281</v>
      </c>
      <c r="AJ186">
        <v>93653565</v>
      </c>
      <c r="AK186" s="1" t="s">
        <v>1868</v>
      </c>
      <c r="AL186">
        <v>32013</v>
      </c>
      <c r="AN186" t="s">
        <v>2059</v>
      </c>
      <c r="AO186" t="s">
        <v>2067</v>
      </c>
      <c r="AP186" t="s">
        <v>2093</v>
      </c>
      <c r="AQ186">
        <v>126667</v>
      </c>
      <c r="AR186" s="3">
        <v>46203</v>
      </c>
      <c r="AS186" s="3">
        <v>46132</v>
      </c>
      <c r="AT186" s="3">
        <v>46203</v>
      </c>
      <c r="AU186" t="s">
        <v>2124</v>
      </c>
      <c r="AW186" s="3">
        <v>46208.53701449134</v>
      </c>
    </row>
    <row r="187" spans="1:49" ht="16" hidden="1" x14ac:dyDescent="0.2">
      <c r="A187" t="s">
        <v>80</v>
      </c>
      <c r="B187">
        <v>11500</v>
      </c>
      <c r="C187">
        <v>8811</v>
      </c>
      <c r="D187" t="s">
        <v>146</v>
      </c>
      <c r="E187" t="s">
        <v>281</v>
      </c>
      <c r="F187">
        <v>267136</v>
      </c>
      <c r="G187" t="s">
        <v>516</v>
      </c>
      <c r="H187">
        <v>583356</v>
      </c>
      <c r="I187" t="s">
        <v>1020</v>
      </c>
      <c r="J187">
        <v>93653581</v>
      </c>
      <c r="K187" t="s">
        <v>1840</v>
      </c>
      <c r="L187" t="s">
        <v>1850</v>
      </c>
      <c r="M187" s="1">
        <v>21.25</v>
      </c>
      <c r="N187" t="s">
        <v>1855</v>
      </c>
      <c r="O187">
        <v>876803</v>
      </c>
      <c r="P187" s="1">
        <v>18632.060000000001</v>
      </c>
      <c r="S187" s="6" t="str">
        <f t="shared" si="2"/>
        <v xml:space="preserve"> </v>
      </c>
      <c r="T187" s="6" t="str">
        <f>IF(IF(COUNTIF(H$2:$H187,H187)=1,1,"")=1,SUMIF($H$2:$H$7997,H187,$S$2:$S$7997),"")</f>
        <v/>
      </c>
      <c r="W187">
        <v>618752</v>
      </c>
      <c r="X187">
        <v>876803</v>
      </c>
      <c r="Y187">
        <v>0</v>
      </c>
      <c r="Z187">
        <v>0</v>
      </c>
      <c r="AA187" s="2">
        <v>1</v>
      </c>
      <c r="AB187" s="2">
        <v>0</v>
      </c>
      <c r="AC187" s="2">
        <v>0</v>
      </c>
      <c r="AD187">
        <v>0</v>
      </c>
      <c r="AE187" t="s">
        <v>1862</v>
      </c>
      <c r="AF187">
        <v>6182.92</v>
      </c>
      <c r="AG187">
        <v>1647060</v>
      </c>
      <c r="AH187">
        <v>35000.03</v>
      </c>
      <c r="AI187" s="1" t="s">
        <v>281</v>
      </c>
      <c r="AJ187">
        <v>93653565</v>
      </c>
      <c r="AK187" s="1" t="s">
        <v>1868</v>
      </c>
      <c r="AL187">
        <v>32013</v>
      </c>
      <c r="AN187" t="s">
        <v>2059</v>
      </c>
      <c r="AO187" t="s">
        <v>2067</v>
      </c>
      <c r="AP187" t="s">
        <v>2083</v>
      </c>
      <c r="AQ187">
        <v>126667</v>
      </c>
      <c r="AR187" s="3">
        <v>46203</v>
      </c>
      <c r="AS187" s="3">
        <v>46132</v>
      </c>
      <c r="AT187" s="3">
        <v>46203</v>
      </c>
      <c r="AU187" t="s">
        <v>2123</v>
      </c>
      <c r="AW187" s="3">
        <v>46208.53701449134</v>
      </c>
    </row>
    <row r="188" spans="1:49" ht="16" hidden="1" x14ac:dyDescent="0.2">
      <c r="A188" t="s">
        <v>58</v>
      </c>
      <c r="B188">
        <v>10562</v>
      </c>
      <c r="C188">
        <v>7735</v>
      </c>
      <c r="D188" t="s">
        <v>121</v>
      </c>
      <c r="E188" t="s">
        <v>239</v>
      </c>
      <c r="F188">
        <v>264809</v>
      </c>
      <c r="G188" t="s">
        <v>452</v>
      </c>
      <c r="H188">
        <v>573327</v>
      </c>
      <c r="I188" t="s">
        <v>937</v>
      </c>
      <c r="J188">
        <v>92612619</v>
      </c>
      <c r="K188" t="s">
        <v>1836</v>
      </c>
      <c r="L188" t="s">
        <v>1850</v>
      </c>
      <c r="M188" s="1">
        <v>25.21</v>
      </c>
      <c r="N188" t="s">
        <v>1853</v>
      </c>
      <c r="O188">
        <v>4725488</v>
      </c>
      <c r="P188" s="1">
        <v>119129.55</v>
      </c>
      <c r="S188" s="6" t="str">
        <f t="shared" si="2"/>
        <v xml:space="preserve"> </v>
      </c>
      <c r="T188" s="6">
        <f>IF(IF(COUNTIF(H$2:$H188,H188)=1,1,"")=1,SUMIF($H$2:$H$7997,H188,$S$2:$S$7997),"")</f>
        <v>0</v>
      </c>
      <c r="V188" t="s">
        <v>1860</v>
      </c>
      <c r="W188">
        <v>6881088</v>
      </c>
      <c r="X188">
        <v>6658293</v>
      </c>
      <c r="Y188">
        <v>4883609</v>
      </c>
      <c r="Z188">
        <v>4725488</v>
      </c>
      <c r="AA188" s="2">
        <v>1</v>
      </c>
      <c r="AB188" s="2">
        <v>0.70971474782458821</v>
      </c>
      <c r="AC188" s="2">
        <v>0</v>
      </c>
      <c r="AD188">
        <v>0</v>
      </c>
      <c r="AE188" t="s">
        <v>1862</v>
      </c>
      <c r="AF188">
        <v>114375.67999999999</v>
      </c>
      <c r="AG188">
        <v>20735819</v>
      </c>
      <c r="AH188">
        <v>522750</v>
      </c>
      <c r="AI188" s="1" t="s">
        <v>239</v>
      </c>
      <c r="AJ188">
        <v>92612615</v>
      </c>
      <c r="AK188" s="1" t="s">
        <v>1870</v>
      </c>
      <c r="AL188" t="s">
        <v>1883</v>
      </c>
      <c r="AN188" t="s">
        <v>2048</v>
      </c>
      <c r="AO188" t="s">
        <v>2067</v>
      </c>
      <c r="AP188" t="s">
        <v>2072</v>
      </c>
      <c r="AQ188">
        <v>120470</v>
      </c>
      <c r="AR188" s="3">
        <v>46203</v>
      </c>
      <c r="AS188" s="3">
        <v>46111</v>
      </c>
      <c r="AT188" s="3">
        <v>46201</v>
      </c>
      <c r="AU188" t="s">
        <v>2124</v>
      </c>
      <c r="AW188" s="3">
        <v>46208.53701449134</v>
      </c>
    </row>
    <row r="189" spans="1:49" ht="16" hidden="1" x14ac:dyDescent="0.2">
      <c r="A189" t="s">
        <v>58</v>
      </c>
      <c r="B189">
        <v>10562</v>
      </c>
      <c r="C189">
        <v>7735</v>
      </c>
      <c r="D189" t="s">
        <v>121</v>
      </c>
      <c r="E189" t="s">
        <v>405</v>
      </c>
      <c r="F189">
        <v>271670</v>
      </c>
      <c r="G189" t="s">
        <v>757</v>
      </c>
      <c r="H189">
        <v>595020</v>
      </c>
      <c r="I189" t="s">
        <v>1483</v>
      </c>
      <c r="J189">
        <v>94978471</v>
      </c>
      <c r="K189" t="s">
        <v>1836</v>
      </c>
      <c r="L189" t="s">
        <v>1850</v>
      </c>
      <c r="M189" s="1">
        <v>25.21</v>
      </c>
      <c r="N189" t="s">
        <v>1853</v>
      </c>
      <c r="O189">
        <v>45910</v>
      </c>
      <c r="P189" s="1">
        <v>1157.3900000000001</v>
      </c>
      <c r="S189" s="6" t="str">
        <f t="shared" si="2"/>
        <v xml:space="preserve"> </v>
      </c>
      <c r="T189" s="6">
        <f>IF(IF(COUNTIF(H$2:$H189,H189)=1,1,"")=1,SUMIF($H$2:$H$7997,H189,$S$2:$S$7997),"")</f>
        <v>0</v>
      </c>
      <c r="V189" t="s">
        <v>1860</v>
      </c>
      <c r="W189">
        <v>147622</v>
      </c>
      <c r="X189">
        <v>147622</v>
      </c>
      <c r="Y189">
        <v>45910</v>
      </c>
      <c r="Z189">
        <v>45910</v>
      </c>
      <c r="AA189" s="2">
        <v>1</v>
      </c>
      <c r="AB189" s="2">
        <v>0.31100090289318377</v>
      </c>
      <c r="AC189" s="2">
        <v>0</v>
      </c>
      <c r="AD189">
        <v>0</v>
      </c>
      <c r="AE189" t="s">
        <v>1862</v>
      </c>
      <c r="AF189">
        <v>1201.81</v>
      </c>
      <c r="AG189">
        <v>10286214</v>
      </c>
      <c r="AH189">
        <v>259315.45</v>
      </c>
      <c r="AI189" s="1" t="s">
        <v>405</v>
      </c>
      <c r="AJ189">
        <v>94978468</v>
      </c>
      <c r="AK189" s="1" t="s">
        <v>1870</v>
      </c>
      <c r="AL189" t="s">
        <v>2013</v>
      </c>
      <c r="AN189" t="s">
        <v>2048</v>
      </c>
      <c r="AO189" t="s">
        <v>2067</v>
      </c>
      <c r="AP189" t="s">
        <v>2072</v>
      </c>
      <c r="AQ189">
        <v>132902</v>
      </c>
      <c r="AR189" s="3">
        <v>46203</v>
      </c>
      <c r="AS189" s="3">
        <v>46202</v>
      </c>
      <c r="AT189" s="3">
        <v>46271</v>
      </c>
      <c r="AU189" t="s">
        <v>2124</v>
      </c>
      <c r="AW189" s="3">
        <v>46208.53701449134</v>
      </c>
    </row>
    <row r="190" spans="1:49" ht="16" hidden="1" x14ac:dyDescent="0.2">
      <c r="A190" t="s">
        <v>58</v>
      </c>
      <c r="B190">
        <v>10562</v>
      </c>
      <c r="C190">
        <v>7735</v>
      </c>
      <c r="D190" t="s">
        <v>121</v>
      </c>
      <c r="E190" t="s">
        <v>248</v>
      </c>
      <c r="F190">
        <v>264953</v>
      </c>
      <c r="G190" t="s">
        <v>460</v>
      </c>
      <c r="H190">
        <v>574553</v>
      </c>
      <c r="I190" t="s">
        <v>950</v>
      </c>
      <c r="J190">
        <v>92798793</v>
      </c>
      <c r="K190" t="s">
        <v>1837</v>
      </c>
      <c r="L190" t="s">
        <v>1850</v>
      </c>
      <c r="M190" s="1">
        <v>32.25</v>
      </c>
      <c r="N190" t="s">
        <v>1853</v>
      </c>
      <c r="O190">
        <v>38005</v>
      </c>
      <c r="P190" s="1">
        <v>618.78</v>
      </c>
      <c r="S190" s="6" t="str">
        <f t="shared" si="2"/>
        <v xml:space="preserve"> </v>
      </c>
      <c r="T190" s="6">
        <f>IF(IF(COUNTIF(H$2:$H190,H190)=1,1,"")=1,SUMIF($H$2:$H$7997,H190,$S$2:$S$7997),"")</f>
        <v>0</v>
      </c>
      <c r="W190">
        <v>202</v>
      </c>
      <c r="X190">
        <v>32257</v>
      </c>
      <c r="Y190">
        <v>238</v>
      </c>
      <c r="Z190">
        <v>38005</v>
      </c>
      <c r="AA190" s="2">
        <v>1</v>
      </c>
      <c r="AB190" s="2">
        <v>1.1782178217821779</v>
      </c>
      <c r="AC190" s="2">
        <v>0</v>
      </c>
      <c r="AD190">
        <v>0</v>
      </c>
      <c r="AE190" t="s">
        <v>1864</v>
      </c>
      <c r="AF190">
        <v>618.78</v>
      </c>
      <c r="AG190">
        <v>241953</v>
      </c>
      <c r="AH190">
        <v>7802.98</v>
      </c>
      <c r="AI190" s="1" t="s">
        <v>248</v>
      </c>
      <c r="AJ190">
        <v>92798790</v>
      </c>
      <c r="AK190" s="1" t="s">
        <v>1867</v>
      </c>
      <c r="AL190" t="s">
        <v>1888</v>
      </c>
      <c r="AN190" t="s">
        <v>2041</v>
      </c>
      <c r="AO190" t="s">
        <v>2067</v>
      </c>
      <c r="AP190" t="s">
        <v>2085</v>
      </c>
      <c r="AQ190">
        <v>121802</v>
      </c>
      <c r="AR190" s="3">
        <v>46203</v>
      </c>
      <c r="AS190" s="3">
        <v>46106</v>
      </c>
      <c r="AT190" s="3">
        <v>46292</v>
      </c>
      <c r="AU190" t="s">
        <v>2124</v>
      </c>
      <c r="AW190" s="3">
        <v>46208.53701449134</v>
      </c>
    </row>
    <row r="191" spans="1:49" ht="16" hidden="1" x14ac:dyDescent="0.2">
      <c r="A191" t="s">
        <v>58</v>
      </c>
      <c r="B191">
        <v>10562</v>
      </c>
      <c r="C191">
        <v>7735</v>
      </c>
      <c r="D191" t="s">
        <v>121</v>
      </c>
      <c r="E191" t="s">
        <v>297</v>
      </c>
      <c r="F191">
        <v>267744</v>
      </c>
      <c r="G191" t="s">
        <v>542</v>
      </c>
      <c r="H191">
        <v>587212</v>
      </c>
      <c r="I191" t="s">
        <v>1068</v>
      </c>
      <c r="J191">
        <v>93849548</v>
      </c>
      <c r="K191" t="s">
        <v>1836</v>
      </c>
      <c r="L191" t="s">
        <v>1850</v>
      </c>
      <c r="M191" s="1">
        <v>25.21</v>
      </c>
      <c r="N191" t="s">
        <v>1853</v>
      </c>
      <c r="O191">
        <v>3259305</v>
      </c>
      <c r="P191" s="1">
        <v>82167.08</v>
      </c>
      <c r="S191" s="6" t="str">
        <f t="shared" si="2"/>
        <v xml:space="preserve"> </v>
      </c>
      <c r="T191" s="6">
        <f>IF(IF(COUNTIF(H$2:$H191,H191)=1,1,"")=1,SUMIF($H$2:$H$7997,H191,$S$2:$S$7997),"")</f>
        <v>0</v>
      </c>
      <c r="V191" t="s">
        <v>1860</v>
      </c>
      <c r="W191">
        <v>4391183</v>
      </c>
      <c r="X191">
        <v>4657136</v>
      </c>
      <c r="Y191">
        <v>3073178</v>
      </c>
      <c r="Z191">
        <v>3259305</v>
      </c>
      <c r="AA191" s="2">
        <v>1</v>
      </c>
      <c r="AB191" s="2">
        <v>0.69985195881928752</v>
      </c>
      <c r="AC191" s="2">
        <v>0</v>
      </c>
      <c r="AD191">
        <v>0</v>
      </c>
      <c r="AE191" t="s">
        <v>1862</v>
      </c>
      <c r="AF191">
        <v>76849.38</v>
      </c>
      <c r="AG191">
        <v>6743356</v>
      </c>
      <c r="AH191">
        <v>170000</v>
      </c>
      <c r="AI191" s="1" t="s">
        <v>297</v>
      </c>
      <c r="AJ191">
        <v>93849545</v>
      </c>
      <c r="AK191" s="1" t="s">
        <v>1870</v>
      </c>
      <c r="AL191" t="s">
        <v>1931</v>
      </c>
      <c r="AN191" t="s">
        <v>2048</v>
      </c>
      <c r="AO191" t="s">
        <v>2067</v>
      </c>
      <c r="AP191" t="s">
        <v>2074</v>
      </c>
      <c r="AQ191">
        <v>127692</v>
      </c>
      <c r="AR191" s="3">
        <v>46203</v>
      </c>
      <c r="AS191" s="3">
        <v>46153</v>
      </c>
      <c r="AT191" s="3">
        <v>46201</v>
      </c>
      <c r="AU191" t="s">
        <v>2124</v>
      </c>
      <c r="AW191" s="3">
        <v>46208.53701449134</v>
      </c>
    </row>
    <row r="192" spans="1:49" ht="16" hidden="1" x14ac:dyDescent="0.2">
      <c r="A192" t="s">
        <v>58</v>
      </c>
      <c r="B192">
        <v>10562</v>
      </c>
      <c r="C192">
        <v>7735</v>
      </c>
      <c r="D192" t="s">
        <v>121</v>
      </c>
      <c r="E192" t="s">
        <v>409</v>
      </c>
      <c r="F192">
        <v>271008</v>
      </c>
      <c r="G192" t="s">
        <v>763</v>
      </c>
      <c r="H192">
        <v>595079</v>
      </c>
      <c r="I192" t="s">
        <v>1492</v>
      </c>
      <c r="J192">
        <v>95040251</v>
      </c>
      <c r="K192" t="s">
        <v>1836</v>
      </c>
      <c r="L192" t="s">
        <v>1850</v>
      </c>
      <c r="M192" s="1">
        <v>25.21</v>
      </c>
      <c r="N192" t="s">
        <v>1853</v>
      </c>
      <c r="O192">
        <v>51624</v>
      </c>
      <c r="P192" s="1">
        <v>1301.44</v>
      </c>
      <c r="S192" s="6" t="str">
        <f t="shared" si="2"/>
        <v xml:space="preserve"> </v>
      </c>
      <c r="T192" s="6">
        <f>IF(IF(COUNTIF(H$2:$H192,H192)=1,1,"")=1,SUMIF($H$2:$H$7997,H192,$S$2:$S$7997),"")</f>
        <v>0</v>
      </c>
      <c r="V192" t="s">
        <v>1860</v>
      </c>
      <c r="W192">
        <v>89924</v>
      </c>
      <c r="X192">
        <v>89924</v>
      </c>
      <c r="Y192">
        <v>51624</v>
      </c>
      <c r="Z192">
        <v>51624</v>
      </c>
      <c r="AA192" s="2">
        <v>1</v>
      </c>
      <c r="AB192" s="2">
        <v>0.57408975444538524</v>
      </c>
      <c r="AC192" s="2">
        <v>0</v>
      </c>
      <c r="AD192">
        <v>0</v>
      </c>
      <c r="AE192" t="s">
        <v>1862</v>
      </c>
      <c r="AF192">
        <v>1420.28</v>
      </c>
      <c r="AG192">
        <v>6743357</v>
      </c>
      <c r="AH192">
        <v>170000.03</v>
      </c>
      <c r="AI192" s="1" t="s">
        <v>409</v>
      </c>
      <c r="AJ192">
        <v>95040242</v>
      </c>
      <c r="AK192" s="1" t="s">
        <v>1870</v>
      </c>
      <c r="AL192" t="s">
        <v>2017</v>
      </c>
      <c r="AN192" t="s">
        <v>2048</v>
      </c>
      <c r="AO192" t="s">
        <v>2067</v>
      </c>
      <c r="AP192" t="s">
        <v>2074</v>
      </c>
      <c r="AQ192">
        <v>133123</v>
      </c>
      <c r="AR192" s="3">
        <v>46203</v>
      </c>
      <c r="AS192" s="3">
        <v>46202</v>
      </c>
      <c r="AT192" s="3">
        <v>46271</v>
      </c>
      <c r="AU192" t="s">
        <v>2124</v>
      </c>
      <c r="AW192" s="3">
        <v>46208.53701449134</v>
      </c>
    </row>
    <row r="193" spans="1:49" ht="16" hidden="1" x14ac:dyDescent="0.2">
      <c r="A193" t="s">
        <v>58</v>
      </c>
      <c r="B193">
        <v>10562</v>
      </c>
      <c r="C193">
        <v>7735</v>
      </c>
      <c r="D193" t="s">
        <v>121</v>
      </c>
      <c r="E193" t="s">
        <v>247</v>
      </c>
      <c r="F193">
        <v>265145</v>
      </c>
      <c r="G193" t="s">
        <v>459</v>
      </c>
      <c r="H193">
        <v>574576</v>
      </c>
      <c r="I193" t="s">
        <v>949</v>
      </c>
      <c r="J193">
        <v>92798772</v>
      </c>
      <c r="K193" t="s">
        <v>1837</v>
      </c>
      <c r="L193" t="s">
        <v>1850</v>
      </c>
      <c r="M193" s="1">
        <v>32.25</v>
      </c>
      <c r="N193" t="s">
        <v>1853</v>
      </c>
      <c r="O193">
        <v>37553</v>
      </c>
      <c r="P193" s="1">
        <v>1211.08</v>
      </c>
      <c r="S193" s="6" t="str">
        <f t="shared" si="2"/>
        <v xml:space="preserve"> </v>
      </c>
      <c r="T193" s="6">
        <f>IF(IF(COUNTIF(H$2:$H193,H193)=1,1,"")=1,SUMIF($H$2:$H$7997,H193,$S$2:$S$7997),"")</f>
        <v>0</v>
      </c>
      <c r="W193">
        <v>195</v>
      </c>
      <c r="X193">
        <v>31978</v>
      </c>
      <c r="Y193">
        <v>229</v>
      </c>
      <c r="Z193">
        <v>37553</v>
      </c>
      <c r="AA193" s="2">
        <v>1</v>
      </c>
      <c r="AB193" s="2">
        <v>1.174358974358974</v>
      </c>
      <c r="AC193" s="2">
        <v>0</v>
      </c>
      <c r="AD193">
        <v>0</v>
      </c>
      <c r="AE193" t="s">
        <v>1862</v>
      </c>
      <c r="AF193">
        <v>3.37</v>
      </c>
      <c r="AG193">
        <v>241953</v>
      </c>
      <c r="AH193">
        <v>7802.98</v>
      </c>
      <c r="AI193" s="1" t="s">
        <v>247</v>
      </c>
      <c r="AJ193">
        <v>92798769</v>
      </c>
      <c r="AK193" s="1" t="s">
        <v>1867</v>
      </c>
      <c r="AL193" t="s">
        <v>1887</v>
      </c>
      <c r="AN193" t="s">
        <v>2041</v>
      </c>
      <c r="AO193" t="s">
        <v>2067</v>
      </c>
      <c r="AP193" t="s">
        <v>2085</v>
      </c>
      <c r="AQ193">
        <v>121817</v>
      </c>
      <c r="AR193" s="3">
        <v>46203</v>
      </c>
      <c r="AS193" s="3">
        <v>46106</v>
      </c>
      <c r="AT193" s="3">
        <v>46292</v>
      </c>
      <c r="AU193" t="s">
        <v>2124</v>
      </c>
      <c r="AW193" s="3">
        <v>46208.53701449134</v>
      </c>
    </row>
    <row r="194" spans="1:49" ht="16" hidden="1" x14ac:dyDescent="0.2">
      <c r="A194" t="s">
        <v>58</v>
      </c>
      <c r="B194">
        <v>10562</v>
      </c>
      <c r="C194">
        <v>7735</v>
      </c>
      <c r="D194" t="s">
        <v>121</v>
      </c>
      <c r="E194" t="s">
        <v>238</v>
      </c>
      <c r="F194">
        <v>264814</v>
      </c>
      <c r="G194" t="s">
        <v>451</v>
      </c>
      <c r="H194">
        <v>573368</v>
      </c>
      <c r="I194" t="s">
        <v>936</v>
      </c>
      <c r="J194">
        <v>92612560</v>
      </c>
      <c r="K194" t="s">
        <v>1836</v>
      </c>
      <c r="L194" t="s">
        <v>1850</v>
      </c>
      <c r="M194" s="1">
        <v>27.6</v>
      </c>
      <c r="N194" t="s">
        <v>1853</v>
      </c>
      <c r="O194">
        <v>3765033</v>
      </c>
      <c r="P194" s="1">
        <v>95610.65</v>
      </c>
      <c r="S194" s="6" t="str">
        <f t="shared" si="2"/>
        <v xml:space="preserve"> </v>
      </c>
      <c r="T194" s="6">
        <f>IF(IF(COUNTIF(H$2:$H194,H194)=1,1,"")=1,SUMIF($H$2:$H$7997,H194,$S$2:$S$7997),"")</f>
        <v>0</v>
      </c>
      <c r="V194" t="s">
        <v>1860</v>
      </c>
      <c r="W194">
        <v>5005708</v>
      </c>
      <c r="X194">
        <v>5254513</v>
      </c>
      <c r="Y194">
        <v>3586756</v>
      </c>
      <c r="Z194">
        <v>3765033</v>
      </c>
      <c r="AA194" s="2">
        <v>1</v>
      </c>
      <c r="AB194" s="2">
        <v>0.71653332684872217</v>
      </c>
      <c r="AC194" s="2">
        <v>0</v>
      </c>
      <c r="AD194">
        <v>0</v>
      </c>
      <c r="AE194" t="s">
        <v>1864</v>
      </c>
      <c r="AF194">
        <v>95610.65</v>
      </c>
      <c r="AG194">
        <v>9042029</v>
      </c>
      <c r="AH194">
        <v>249560</v>
      </c>
      <c r="AI194" s="1" t="s">
        <v>238</v>
      </c>
      <c r="AJ194">
        <v>92612554</v>
      </c>
      <c r="AK194" s="1" t="s">
        <v>1869</v>
      </c>
      <c r="AL194" t="s">
        <v>1882</v>
      </c>
      <c r="AN194" t="s">
        <v>2048</v>
      </c>
      <c r="AO194" t="s">
        <v>2067</v>
      </c>
      <c r="AP194" t="s">
        <v>2072</v>
      </c>
      <c r="AQ194">
        <v>120477</v>
      </c>
      <c r="AR194" s="3">
        <v>46203</v>
      </c>
      <c r="AS194" s="3">
        <v>46125</v>
      </c>
      <c r="AT194" s="3">
        <v>46201</v>
      </c>
      <c r="AU194" t="s">
        <v>2124</v>
      </c>
      <c r="AW194" s="3">
        <v>46208.53701449134</v>
      </c>
    </row>
    <row r="195" spans="1:49" ht="16" hidden="1" x14ac:dyDescent="0.2">
      <c r="A195" t="s">
        <v>58</v>
      </c>
      <c r="B195">
        <v>10562</v>
      </c>
      <c r="C195">
        <v>7735</v>
      </c>
      <c r="D195" t="s">
        <v>121</v>
      </c>
      <c r="E195" t="s">
        <v>238</v>
      </c>
      <c r="F195">
        <v>264814</v>
      </c>
      <c r="G195" t="s">
        <v>451</v>
      </c>
      <c r="H195">
        <v>573368</v>
      </c>
      <c r="I195" t="s">
        <v>935</v>
      </c>
      <c r="J195">
        <v>92612557</v>
      </c>
      <c r="K195" t="s">
        <v>1838</v>
      </c>
      <c r="L195" t="s">
        <v>1850</v>
      </c>
      <c r="M195" s="1">
        <v>27.6</v>
      </c>
      <c r="N195" t="s">
        <v>1854</v>
      </c>
      <c r="O195">
        <v>187926</v>
      </c>
      <c r="P195" s="1">
        <v>4780.54</v>
      </c>
      <c r="S195" s="6" t="str">
        <f t="shared" ref="S195:S258" si="3">IF(ISBLANK(R195)," ",ROUND(R195*(IF(ISBLANK(Q195),(M195/1000),(Q195/1000))),2))</f>
        <v xml:space="preserve"> </v>
      </c>
      <c r="T195" s="6" t="str">
        <f>IF(IF(COUNTIF(H$2:$H195,H195)=1,1,"")=1,SUMIF($H$2:$H$7997,H195,$S$2:$S$7997),"")</f>
        <v/>
      </c>
      <c r="W195">
        <v>325383</v>
      </c>
      <c r="X195">
        <v>325383</v>
      </c>
      <c r="Y195">
        <v>187926</v>
      </c>
      <c r="Z195">
        <v>187926</v>
      </c>
      <c r="AA195" s="2">
        <v>1</v>
      </c>
      <c r="AB195" s="2">
        <v>0.57755577840658678</v>
      </c>
      <c r="AC195" s="2">
        <v>1</v>
      </c>
      <c r="AD195">
        <v>325383</v>
      </c>
      <c r="AE195" t="s">
        <v>1864</v>
      </c>
      <c r="AF195">
        <v>4780.54</v>
      </c>
      <c r="AG195">
        <v>452102</v>
      </c>
      <c r="AH195">
        <v>12478.02</v>
      </c>
      <c r="AI195" s="1" t="s">
        <v>238</v>
      </c>
      <c r="AJ195">
        <v>92612554</v>
      </c>
      <c r="AK195" s="1" t="s">
        <v>1869</v>
      </c>
      <c r="AL195" t="s">
        <v>1882</v>
      </c>
      <c r="AN195" t="s">
        <v>2048</v>
      </c>
      <c r="AO195" t="s">
        <v>2067</v>
      </c>
      <c r="AP195" t="s">
        <v>2079</v>
      </c>
      <c r="AQ195">
        <v>120477</v>
      </c>
      <c r="AR195" s="3">
        <v>46203</v>
      </c>
      <c r="AS195" s="3">
        <v>46125</v>
      </c>
      <c r="AT195" s="3">
        <v>46201</v>
      </c>
      <c r="AU195" t="s">
        <v>2124</v>
      </c>
      <c r="AW195" s="3">
        <v>46208.53701449134</v>
      </c>
    </row>
    <row r="196" spans="1:49" ht="16" hidden="1" x14ac:dyDescent="0.2">
      <c r="A196" t="s">
        <v>58</v>
      </c>
      <c r="B196">
        <v>10562</v>
      </c>
      <c r="C196">
        <v>7735</v>
      </c>
      <c r="D196" t="s">
        <v>121</v>
      </c>
      <c r="E196" t="s">
        <v>415</v>
      </c>
      <c r="F196">
        <v>271686</v>
      </c>
      <c r="G196" t="s">
        <v>770</v>
      </c>
      <c r="H196">
        <v>595073</v>
      </c>
      <c r="I196" t="s">
        <v>1503</v>
      </c>
      <c r="J196">
        <v>95097760</v>
      </c>
      <c r="K196" t="s">
        <v>1836</v>
      </c>
      <c r="L196" t="s">
        <v>1850</v>
      </c>
      <c r="M196" s="1">
        <v>27.6</v>
      </c>
      <c r="N196" t="s">
        <v>1853</v>
      </c>
      <c r="O196">
        <v>60414</v>
      </c>
      <c r="P196" s="1">
        <v>40842.639999999999</v>
      </c>
      <c r="S196" s="6" t="str">
        <f t="shared" si="3"/>
        <v xml:space="preserve"> </v>
      </c>
      <c r="T196" s="6">
        <f>IF(IF(COUNTIF(H$2:$H196,H196)=1,1,"")=1,SUMIF($H$2:$H$7997,H196,$S$2:$S$7997),"")</f>
        <v>0</v>
      </c>
      <c r="V196" t="s">
        <v>1860</v>
      </c>
      <c r="W196">
        <v>99466</v>
      </c>
      <c r="X196">
        <v>99466</v>
      </c>
      <c r="Y196">
        <v>60414</v>
      </c>
      <c r="Z196">
        <v>60414</v>
      </c>
      <c r="AA196" s="2">
        <v>1</v>
      </c>
      <c r="AB196" s="2">
        <v>0.60739290605049467</v>
      </c>
      <c r="AC196" s="2">
        <v>0</v>
      </c>
      <c r="AD196">
        <v>0</v>
      </c>
      <c r="AE196" t="s">
        <v>1864</v>
      </c>
      <c r="AF196">
        <v>40842.639999999999</v>
      </c>
      <c r="AG196">
        <v>5919224</v>
      </c>
      <c r="AH196">
        <v>163370.57999999999</v>
      </c>
      <c r="AI196" s="1" t="s">
        <v>415</v>
      </c>
      <c r="AJ196">
        <v>95097754</v>
      </c>
      <c r="AK196" s="1" t="s">
        <v>1869</v>
      </c>
      <c r="AL196" t="s">
        <v>2023</v>
      </c>
      <c r="AN196" t="s">
        <v>2048</v>
      </c>
      <c r="AO196" t="s">
        <v>2067</v>
      </c>
      <c r="AP196" t="s">
        <v>2072</v>
      </c>
      <c r="AQ196">
        <v>133943</v>
      </c>
      <c r="AR196" s="3">
        <v>46203</v>
      </c>
      <c r="AS196" s="3">
        <v>46202</v>
      </c>
      <c r="AT196" s="3">
        <v>46292</v>
      </c>
      <c r="AU196" t="s">
        <v>2124</v>
      </c>
      <c r="AW196" s="3">
        <v>46208.53701449134</v>
      </c>
    </row>
    <row r="197" spans="1:49" ht="16" hidden="1" x14ac:dyDescent="0.2">
      <c r="A197" t="s">
        <v>58</v>
      </c>
      <c r="B197">
        <v>10562</v>
      </c>
      <c r="C197">
        <v>7735</v>
      </c>
      <c r="D197" t="s">
        <v>121</v>
      </c>
      <c r="E197" t="s">
        <v>415</v>
      </c>
      <c r="F197">
        <v>271686</v>
      </c>
      <c r="G197" t="s">
        <v>770</v>
      </c>
      <c r="H197">
        <v>595073</v>
      </c>
      <c r="I197" t="s">
        <v>1502</v>
      </c>
      <c r="J197">
        <v>95097757</v>
      </c>
      <c r="K197" t="s">
        <v>1838</v>
      </c>
      <c r="L197" t="s">
        <v>1850</v>
      </c>
      <c r="M197" s="1">
        <v>27.6</v>
      </c>
      <c r="N197" t="s">
        <v>1854</v>
      </c>
      <c r="O197">
        <v>3354</v>
      </c>
      <c r="P197" s="1">
        <v>2149.61</v>
      </c>
      <c r="S197" s="6" t="str">
        <f t="shared" si="3"/>
        <v xml:space="preserve"> </v>
      </c>
      <c r="T197" s="6" t="str">
        <f>IF(IF(COUNTIF(H$2:$H197,H197)=1,1,"")=1,SUMIF($H$2:$H$7997,H197,$S$2:$S$7997),"")</f>
        <v/>
      </c>
      <c r="W197">
        <v>7490</v>
      </c>
      <c r="X197">
        <v>7490</v>
      </c>
      <c r="Y197">
        <v>3354</v>
      </c>
      <c r="Z197">
        <v>3354</v>
      </c>
      <c r="AA197" s="2">
        <v>1</v>
      </c>
      <c r="AB197" s="2">
        <v>0.44790681224138867</v>
      </c>
      <c r="AC197" s="2">
        <v>1</v>
      </c>
      <c r="AD197">
        <v>7490</v>
      </c>
      <c r="AE197" t="s">
        <v>1864</v>
      </c>
      <c r="AF197">
        <v>2149.61</v>
      </c>
      <c r="AG197">
        <v>311538</v>
      </c>
      <c r="AH197">
        <v>8598.4500000000007</v>
      </c>
      <c r="AI197" s="1" t="s">
        <v>415</v>
      </c>
      <c r="AJ197">
        <v>95097754</v>
      </c>
      <c r="AK197" s="1" t="s">
        <v>1869</v>
      </c>
      <c r="AL197" t="s">
        <v>2023</v>
      </c>
      <c r="AN197" t="s">
        <v>2048</v>
      </c>
      <c r="AO197" t="s">
        <v>2067</v>
      </c>
      <c r="AP197" t="s">
        <v>2079</v>
      </c>
      <c r="AQ197">
        <v>133943</v>
      </c>
      <c r="AR197" s="3">
        <v>46203</v>
      </c>
      <c r="AS197" s="3">
        <v>46202</v>
      </c>
      <c r="AT197" s="3">
        <v>46292</v>
      </c>
      <c r="AU197" t="s">
        <v>2124</v>
      </c>
      <c r="AW197" s="3">
        <v>46208.53701449134</v>
      </c>
    </row>
    <row r="198" spans="1:49" ht="16" hidden="1" x14ac:dyDescent="0.2">
      <c r="A198" t="s">
        <v>58</v>
      </c>
      <c r="B198">
        <v>10562</v>
      </c>
      <c r="C198">
        <v>7732</v>
      </c>
      <c r="D198" t="s">
        <v>128</v>
      </c>
      <c r="E198" t="s">
        <v>250</v>
      </c>
      <c r="F198">
        <v>265310</v>
      </c>
      <c r="G198" t="s">
        <v>462</v>
      </c>
      <c r="H198">
        <v>575165</v>
      </c>
      <c r="I198" t="s">
        <v>952</v>
      </c>
      <c r="J198">
        <v>92873150</v>
      </c>
      <c r="K198" t="s">
        <v>1836</v>
      </c>
      <c r="L198" t="s">
        <v>1850</v>
      </c>
      <c r="M198" s="1">
        <v>17.87</v>
      </c>
      <c r="N198" t="s">
        <v>1855</v>
      </c>
      <c r="O198">
        <v>1190021</v>
      </c>
      <c r="P198" s="1">
        <v>21265.68</v>
      </c>
      <c r="S198" s="6" t="str">
        <f t="shared" si="3"/>
        <v xml:space="preserve"> </v>
      </c>
      <c r="T198" s="6">
        <f>IF(IF(COUNTIF(H$2:$H198,H198)=1,1,"")=1,SUMIF($H$2:$H$7997,H198,$S$2:$S$7997),"")</f>
        <v>0</v>
      </c>
      <c r="V198" t="s">
        <v>1860</v>
      </c>
      <c r="W198">
        <v>949348</v>
      </c>
      <c r="X198">
        <v>1190021</v>
      </c>
      <c r="Y198">
        <v>0</v>
      </c>
      <c r="Z198">
        <v>0</v>
      </c>
      <c r="AA198" s="2">
        <v>1</v>
      </c>
      <c r="AB198" s="2">
        <v>0</v>
      </c>
      <c r="AC198" s="2">
        <v>0</v>
      </c>
      <c r="AD198">
        <v>0</v>
      </c>
      <c r="AE198" t="s">
        <v>1862</v>
      </c>
      <c r="AF198">
        <v>15162.18</v>
      </c>
      <c r="AG198">
        <v>3357583</v>
      </c>
      <c r="AH198">
        <v>60000.01</v>
      </c>
      <c r="AI198" s="1" t="s">
        <v>250</v>
      </c>
      <c r="AJ198">
        <v>92873089</v>
      </c>
      <c r="AK198" s="1" t="s">
        <v>1868</v>
      </c>
      <c r="AL198">
        <v>1</v>
      </c>
      <c r="AN198" t="s">
        <v>2048</v>
      </c>
      <c r="AO198" t="s">
        <v>2067</v>
      </c>
      <c r="AP198" t="s">
        <v>2074</v>
      </c>
      <c r="AQ198">
        <v>122543</v>
      </c>
      <c r="AR198" s="3">
        <v>46203</v>
      </c>
      <c r="AS198" s="3">
        <v>46111</v>
      </c>
      <c r="AT198" s="3">
        <v>46201</v>
      </c>
      <c r="AU198" t="s">
        <v>2124</v>
      </c>
      <c r="AW198" s="3">
        <v>46208.53701449134</v>
      </c>
    </row>
    <row r="199" spans="1:49" ht="16" hidden="1" x14ac:dyDescent="0.2">
      <c r="A199" t="s">
        <v>64</v>
      </c>
      <c r="B199">
        <v>11185</v>
      </c>
      <c r="C199">
        <v>486</v>
      </c>
      <c r="D199" t="s">
        <v>127</v>
      </c>
      <c r="E199" t="s">
        <v>249</v>
      </c>
      <c r="F199">
        <v>264954</v>
      </c>
      <c r="G199" t="s">
        <v>461</v>
      </c>
      <c r="H199">
        <v>576210</v>
      </c>
      <c r="I199" t="s">
        <v>951</v>
      </c>
      <c r="J199">
        <v>92822873</v>
      </c>
      <c r="K199" t="s">
        <v>1835</v>
      </c>
      <c r="L199" t="s">
        <v>1850</v>
      </c>
      <c r="M199" s="1">
        <v>28.75</v>
      </c>
      <c r="N199" t="s">
        <v>1853</v>
      </c>
      <c r="O199">
        <v>394126</v>
      </c>
      <c r="P199" s="1">
        <v>11331.12</v>
      </c>
      <c r="S199" s="6" t="str">
        <f t="shared" si="3"/>
        <v xml:space="preserve"> </v>
      </c>
      <c r="T199" s="6">
        <f>IF(IF(COUNTIF(H$2:$H199,H199)=1,1,"")=1,SUMIF($H$2:$H$7997,H199,$S$2:$S$7997),"")</f>
        <v>0</v>
      </c>
      <c r="W199">
        <v>660</v>
      </c>
      <c r="X199">
        <v>320744</v>
      </c>
      <c r="Y199">
        <v>811</v>
      </c>
      <c r="Z199">
        <v>394126</v>
      </c>
      <c r="AA199" s="2">
        <v>1</v>
      </c>
      <c r="AB199" s="2">
        <v>1.228787878787879</v>
      </c>
      <c r="AC199" s="2">
        <v>0</v>
      </c>
      <c r="AD199">
        <v>0</v>
      </c>
      <c r="AE199" t="s">
        <v>1862</v>
      </c>
      <c r="AF199">
        <v>11.54</v>
      </c>
      <c r="AG199">
        <v>695652</v>
      </c>
      <c r="AH199">
        <v>20000</v>
      </c>
      <c r="AI199" s="1" t="s">
        <v>249</v>
      </c>
      <c r="AJ199">
        <v>92822870</v>
      </c>
      <c r="AK199" s="1" t="s">
        <v>1867</v>
      </c>
      <c r="AL199" t="s">
        <v>1889</v>
      </c>
      <c r="AN199" t="s">
        <v>2041</v>
      </c>
      <c r="AO199" t="s">
        <v>2067</v>
      </c>
      <c r="AP199" t="s">
        <v>2086</v>
      </c>
      <c r="AQ199">
        <v>121997</v>
      </c>
      <c r="AR199" s="3">
        <v>46203</v>
      </c>
      <c r="AS199" s="3">
        <v>46113</v>
      </c>
      <c r="AT199" s="3">
        <v>46203</v>
      </c>
      <c r="AU199" t="s">
        <v>2123</v>
      </c>
      <c r="AW199" s="3">
        <v>46208.53701449134</v>
      </c>
    </row>
    <row r="200" spans="1:49" ht="16" hidden="1" x14ac:dyDescent="0.2">
      <c r="A200" t="s">
        <v>64</v>
      </c>
      <c r="B200">
        <v>11185</v>
      </c>
      <c r="C200">
        <v>6935</v>
      </c>
      <c r="D200" t="s">
        <v>148</v>
      </c>
      <c r="E200" t="s">
        <v>284</v>
      </c>
      <c r="F200">
        <v>268218</v>
      </c>
      <c r="G200" t="s">
        <v>521</v>
      </c>
      <c r="H200">
        <v>586794</v>
      </c>
      <c r="I200" t="s">
        <v>1033</v>
      </c>
      <c r="J200">
        <v>93727553</v>
      </c>
      <c r="K200" t="s">
        <v>1836</v>
      </c>
      <c r="L200" t="s">
        <v>1850</v>
      </c>
      <c r="M200" s="1">
        <v>8.5</v>
      </c>
      <c r="N200" t="s">
        <v>1853</v>
      </c>
      <c r="O200">
        <v>1230363</v>
      </c>
      <c r="P200" s="1">
        <v>10054</v>
      </c>
      <c r="S200" s="6" t="str">
        <f t="shared" si="3"/>
        <v xml:space="preserve"> </v>
      </c>
      <c r="T200" s="6">
        <f>IF(IF(COUNTIF(H$2:$H200,H200)=1,1,"")=1,SUMIF($H$2:$H$7997,H200,$S$2:$S$7997),"")</f>
        <v>0</v>
      </c>
      <c r="W200">
        <v>978834</v>
      </c>
      <c r="X200">
        <v>978834</v>
      </c>
      <c r="Y200">
        <v>1230363</v>
      </c>
      <c r="Z200">
        <v>1230363</v>
      </c>
      <c r="AA200" s="2">
        <v>1</v>
      </c>
      <c r="AB200" s="2">
        <v>1.2569683280097379</v>
      </c>
      <c r="AC200" s="2">
        <v>0</v>
      </c>
      <c r="AD200">
        <v>0</v>
      </c>
      <c r="AE200" t="s">
        <v>1862</v>
      </c>
      <c r="AF200">
        <v>5027</v>
      </c>
      <c r="AG200">
        <v>1182824</v>
      </c>
      <c r="AH200">
        <v>10054</v>
      </c>
      <c r="AI200" s="1" t="s">
        <v>284</v>
      </c>
      <c r="AJ200">
        <v>93727535</v>
      </c>
      <c r="AK200" s="1" t="s">
        <v>1867</v>
      </c>
      <c r="AL200">
        <v>1</v>
      </c>
      <c r="AN200" t="s">
        <v>2048</v>
      </c>
      <c r="AO200" t="s">
        <v>2067</v>
      </c>
      <c r="AP200" t="s">
        <v>2098</v>
      </c>
      <c r="AQ200">
        <v>127106</v>
      </c>
      <c r="AR200" s="3">
        <v>46203</v>
      </c>
      <c r="AS200" s="3">
        <v>46174</v>
      </c>
      <c r="AT200" s="3">
        <v>46180</v>
      </c>
      <c r="AU200" t="s">
        <v>2124</v>
      </c>
      <c r="AW200" s="3">
        <v>46208.53701449134</v>
      </c>
    </row>
    <row r="201" spans="1:49" ht="16" hidden="1" x14ac:dyDescent="0.2">
      <c r="A201" t="s">
        <v>64</v>
      </c>
      <c r="B201">
        <v>11185</v>
      </c>
      <c r="C201">
        <v>6935</v>
      </c>
      <c r="D201" t="s">
        <v>148</v>
      </c>
      <c r="E201" t="s">
        <v>284</v>
      </c>
      <c r="F201">
        <v>268218</v>
      </c>
      <c r="G201" t="s">
        <v>521</v>
      </c>
      <c r="H201">
        <v>586796</v>
      </c>
      <c r="I201" t="s">
        <v>1033</v>
      </c>
      <c r="J201">
        <v>93727538</v>
      </c>
      <c r="K201" t="s">
        <v>1836</v>
      </c>
      <c r="L201" t="s">
        <v>1850</v>
      </c>
      <c r="M201" s="1">
        <v>8.5</v>
      </c>
      <c r="N201" t="s">
        <v>1853</v>
      </c>
      <c r="O201">
        <v>1222159</v>
      </c>
      <c r="P201" s="1">
        <v>10054</v>
      </c>
      <c r="S201" s="6" t="str">
        <f t="shared" si="3"/>
        <v xml:space="preserve"> </v>
      </c>
      <c r="T201" s="6">
        <f>IF(IF(COUNTIF(H$2:$H201,H201)=1,1,"")=1,SUMIF($H$2:$H$7997,H201,$S$2:$S$7997),"")</f>
        <v>0</v>
      </c>
      <c r="W201">
        <v>967015</v>
      </c>
      <c r="X201">
        <v>967015</v>
      </c>
      <c r="Y201">
        <v>1222159</v>
      </c>
      <c r="Z201">
        <v>1222159</v>
      </c>
      <c r="AA201" s="2">
        <v>1</v>
      </c>
      <c r="AB201" s="2">
        <v>1.263847641572333</v>
      </c>
      <c r="AC201" s="2">
        <v>0</v>
      </c>
      <c r="AD201">
        <v>0</v>
      </c>
      <c r="AE201" t="s">
        <v>1862</v>
      </c>
      <c r="AF201">
        <v>5027</v>
      </c>
      <c r="AG201">
        <v>1182824</v>
      </c>
      <c r="AH201">
        <v>10054</v>
      </c>
      <c r="AI201" s="1" t="s">
        <v>284</v>
      </c>
      <c r="AJ201">
        <v>93727535</v>
      </c>
      <c r="AK201" s="1" t="s">
        <v>1867</v>
      </c>
      <c r="AL201">
        <v>1</v>
      </c>
      <c r="AN201" t="s">
        <v>2048</v>
      </c>
      <c r="AO201" t="s">
        <v>2067</v>
      </c>
      <c r="AP201" t="s">
        <v>2098</v>
      </c>
      <c r="AQ201">
        <v>127106</v>
      </c>
      <c r="AR201" s="3">
        <v>46203</v>
      </c>
      <c r="AS201" s="3">
        <v>46181</v>
      </c>
      <c r="AT201" s="3">
        <v>46187</v>
      </c>
      <c r="AU201" t="s">
        <v>2124</v>
      </c>
      <c r="AW201" s="3">
        <v>46208.53701449134</v>
      </c>
    </row>
    <row r="202" spans="1:49" ht="16" hidden="1" x14ac:dyDescent="0.2">
      <c r="A202" t="s">
        <v>64</v>
      </c>
      <c r="B202">
        <v>11185</v>
      </c>
      <c r="C202">
        <v>6935</v>
      </c>
      <c r="D202" t="s">
        <v>148</v>
      </c>
      <c r="E202" t="s">
        <v>284</v>
      </c>
      <c r="F202">
        <v>268218</v>
      </c>
      <c r="G202" t="s">
        <v>521</v>
      </c>
      <c r="H202">
        <v>586798</v>
      </c>
      <c r="I202" t="s">
        <v>1033</v>
      </c>
      <c r="J202">
        <v>93727544</v>
      </c>
      <c r="K202" t="s">
        <v>1836</v>
      </c>
      <c r="L202" t="s">
        <v>1850</v>
      </c>
      <c r="M202" s="1">
        <v>8.5</v>
      </c>
      <c r="N202" t="s">
        <v>1853</v>
      </c>
      <c r="O202">
        <v>529921</v>
      </c>
      <c r="P202" s="1">
        <v>4504.33</v>
      </c>
      <c r="S202" s="6" t="str">
        <f t="shared" si="3"/>
        <v xml:space="preserve"> </v>
      </c>
      <c r="T202" s="6">
        <f>IF(IF(COUNTIF(H$2:$H202,H202)=1,1,"")=1,SUMIF($H$2:$H$7997,H202,$S$2:$S$7997),"")</f>
        <v>0</v>
      </c>
      <c r="W202">
        <v>414826</v>
      </c>
      <c r="X202">
        <v>414826</v>
      </c>
      <c r="Y202">
        <v>529921</v>
      </c>
      <c r="Z202">
        <v>529921</v>
      </c>
      <c r="AA202" s="2">
        <v>1</v>
      </c>
      <c r="AB202" s="2">
        <v>1.277454673972366</v>
      </c>
      <c r="AC202" s="2">
        <v>0</v>
      </c>
      <c r="AD202">
        <v>0</v>
      </c>
      <c r="AE202" t="s">
        <v>1862</v>
      </c>
      <c r="AF202">
        <v>2010</v>
      </c>
      <c r="AG202">
        <v>1182824</v>
      </c>
      <c r="AH202">
        <v>10054</v>
      </c>
      <c r="AI202" s="1" t="s">
        <v>284</v>
      </c>
      <c r="AJ202">
        <v>93727535</v>
      </c>
      <c r="AK202" s="1" t="s">
        <v>1867</v>
      </c>
      <c r="AL202">
        <v>1</v>
      </c>
      <c r="AN202" t="s">
        <v>2048</v>
      </c>
      <c r="AO202" t="s">
        <v>2067</v>
      </c>
      <c r="AP202" t="s">
        <v>2098</v>
      </c>
      <c r="AQ202">
        <v>127106</v>
      </c>
      <c r="AR202" s="3">
        <v>46203</v>
      </c>
      <c r="AS202" s="3">
        <v>46188</v>
      </c>
      <c r="AT202" s="3">
        <v>46194</v>
      </c>
      <c r="AU202" t="s">
        <v>2124</v>
      </c>
      <c r="AW202" s="3">
        <v>46208.53701449134</v>
      </c>
    </row>
    <row r="203" spans="1:49" ht="16" hidden="1" x14ac:dyDescent="0.2">
      <c r="A203" t="s">
        <v>64</v>
      </c>
      <c r="B203">
        <v>11185</v>
      </c>
      <c r="C203">
        <v>6935</v>
      </c>
      <c r="D203" t="s">
        <v>148</v>
      </c>
      <c r="E203" t="s">
        <v>284</v>
      </c>
      <c r="F203">
        <v>268218</v>
      </c>
      <c r="G203" t="s">
        <v>521</v>
      </c>
      <c r="H203">
        <v>586800</v>
      </c>
      <c r="I203" t="s">
        <v>1033</v>
      </c>
      <c r="J203">
        <v>93727550</v>
      </c>
      <c r="K203" t="s">
        <v>1836</v>
      </c>
      <c r="L203" t="s">
        <v>1850</v>
      </c>
      <c r="M203" s="1">
        <v>8.5</v>
      </c>
      <c r="N203" t="s">
        <v>1853</v>
      </c>
      <c r="O203">
        <v>650450</v>
      </c>
      <c r="P203" s="1">
        <v>5528.82</v>
      </c>
      <c r="S203" s="6" t="str">
        <f t="shared" si="3"/>
        <v xml:space="preserve"> </v>
      </c>
      <c r="T203" s="6">
        <f>IF(IF(COUNTIF(H$2:$H203,H203)=1,1,"")=1,SUMIF($H$2:$H$7997,H203,$S$2:$S$7997),"")</f>
        <v>0</v>
      </c>
      <c r="W203">
        <v>518842</v>
      </c>
      <c r="X203">
        <v>518842</v>
      </c>
      <c r="Y203">
        <v>650450</v>
      </c>
      <c r="Z203">
        <v>650450</v>
      </c>
      <c r="AA203" s="2">
        <v>1</v>
      </c>
      <c r="AB203" s="2">
        <v>1.253657242619669</v>
      </c>
      <c r="AC203" s="2">
        <v>0</v>
      </c>
      <c r="AD203">
        <v>0</v>
      </c>
      <c r="AE203" t="s">
        <v>1862</v>
      </c>
      <c r="AF203">
        <v>2388.48</v>
      </c>
      <c r="AG203">
        <v>1182824</v>
      </c>
      <c r="AH203">
        <v>10054</v>
      </c>
      <c r="AI203" s="1" t="s">
        <v>284</v>
      </c>
      <c r="AJ203">
        <v>93727535</v>
      </c>
      <c r="AK203" s="1" t="s">
        <v>1867</v>
      </c>
      <c r="AL203">
        <v>1</v>
      </c>
      <c r="AN203" t="s">
        <v>2048</v>
      </c>
      <c r="AO203" t="s">
        <v>2067</v>
      </c>
      <c r="AP203" t="s">
        <v>2098</v>
      </c>
      <c r="AQ203">
        <v>127106</v>
      </c>
      <c r="AR203" s="3">
        <v>46203</v>
      </c>
      <c r="AS203" s="3">
        <v>46195</v>
      </c>
      <c r="AT203" s="3">
        <v>46201</v>
      </c>
      <c r="AU203" t="s">
        <v>2124</v>
      </c>
      <c r="AW203" s="3">
        <v>46208.53701449134</v>
      </c>
    </row>
    <row r="204" spans="1:49" ht="16" hidden="1" x14ac:dyDescent="0.2">
      <c r="A204" t="s">
        <v>64</v>
      </c>
      <c r="B204">
        <v>11185</v>
      </c>
      <c r="C204">
        <v>6935</v>
      </c>
      <c r="D204" t="s">
        <v>148</v>
      </c>
      <c r="E204" t="s">
        <v>284</v>
      </c>
      <c r="F204">
        <v>268218</v>
      </c>
      <c r="G204" t="s">
        <v>521</v>
      </c>
      <c r="H204">
        <v>586802</v>
      </c>
      <c r="I204" t="s">
        <v>1033</v>
      </c>
      <c r="J204">
        <v>93727564</v>
      </c>
      <c r="K204" t="s">
        <v>1836</v>
      </c>
      <c r="L204" t="s">
        <v>1850</v>
      </c>
      <c r="M204" s="1">
        <v>8.5</v>
      </c>
      <c r="N204" t="s">
        <v>1853</v>
      </c>
      <c r="O204">
        <v>103745</v>
      </c>
      <c r="P204" s="1">
        <v>881.83</v>
      </c>
      <c r="S204" s="6" t="str">
        <f t="shared" si="3"/>
        <v xml:space="preserve"> </v>
      </c>
      <c r="T204" s="6">
        <f>IF(IF(COUNTIF(H$2:$H204,H204)=1,1,"")=1,SUMIF($H$2:$H$7997,H204,$S$2:$S$7997),"")</f>
        <v>0</v>
      </c>
      <c r="W204">
        <v>137381</v>
      </c>
      <c r="X204">
        <v>137381</v>
      </c>
      <c r="Y204">
        <v>103745</v>
      </c>
      <c r="Z204">
        <v>103745</v>
      </c>
      <c r="AA204" s="2">
        <v>1</v>
      </c>
      <c r="AB204" s="2">
        <v>0.7551658390993552</v>
      </c>
      <c r="AC204" s="2">
        <v>0</v>
      </c>
      <c r="AD204">
        <v>0</v>
      </c>
      <c r="AE204" t="s">
        <v>1862</v>
      </c>
      <c r="AF204">
        <v>439.42</v>
      </c>
      <c r="AG204">
        <v>322588</v>
      </c>
      <c r="AH204">
        <v>2742</v>
      </c>
      <c r="AI204" s="1" t="s">
        <v>284</v>
      </c>
      <c r="AJ204">
        <v>93727535</v>
      </c>
      <c r="AK204" s="1" t="s">
        <v>1867</v>
      </c>
      <c r="AL204">
        <v>1</v>
      </c>
      <c r="AN204" t="s">
        <v>2048</v>
      </c>
      <c r="AO204" t="s">
        <v>2067</v>
      </c>
      <c r="AP204" t="s">
        <v>2098</v>
      </c>
      <c r="AQ204">
        <v>127106</v>
      </c>
      <c r="AR204" s="3">
        <v>46203</v>
      </c>
      <c r="AS204" s="3">
        <v>46202</v>
      </c>
      <c r="AT204" s="3">
        <v>46203</v>
      </c>
      <c r="AU204" t="s">
        <v>2124</v>
      </c>
      <c r="AW204" s="3">
        <v>46208.53701449134</v>
      </c>
    </row>
    <row r="205" spans="1:49" ht="16" hidden="1" x14ac:dyDescent="0.2">
      <c r="A205" t="s">
        <v>67</v>
      </c>
      <c r="B205">
        <v>11514</v>
      </c>
      <c r="C205">
        <v>2079</v>
      </c>
      <c r="D205" t="s">
        <v>131</v>
      </c>
      <c r="E205" t="s">
        <v>253</v>
      </c>
      <c r="F205">
        <v>266239</v>
      </c>
      <c r="G205" t="s">
        <v>466</v>
      </c>
      <c r="H205">
        <v>578272</v>
      </c>
      <c r="I205" t="s">
        <v>958</v>
      </c>
      <c r="J205">
        <v>92916124</v>
      </c>
      <c r="K205" t="s">
        <v>1840</v>
      </c>
      <c r="L205" t="s">
        <v>1850</v>
      </c>
      <c r="M205" s="1">
        <v>19.46</v>
      </c>
      <c r="N205" t="s">
        <v>1855</v>
      </c>
      <c r="O205">
        <v>3500742</v>
      </c>
      <c r="P205" s="1">
        <v>68124.44</v>
      </c>
      <c r="S205" s="6" t="str">
        <f t="shared" si="3"/>
        <v xml:space="preserve"> </v>
      </c>
      <c r="T205" s="6">
        <f>IF(IF(COUNTIF(H$2:$H205,H205)=1,1,"")=1,SUMIF($H$2:$H$7997,H205,$S$2:$S$7997),"")</f>
        <v>0</v>
      </c>
      <c r="W205">
        <v>2730075</v>
      </c>
      <c r="X205">
        <v>3500742</v>
      </c>
      <c r="Y205">
        <v>0</v>
      </c>
      <c r="Z205">
        <v>0</v>
      </c>
      <c r="AA205" s="2">
        <v>1</v>
      </c>
      <c r="AB205" s="2">
        <v>0</v>
      </c>
      <c r="AC205" s="2">
        <v>0</v>
      </c>
      <c r="AD205">
        <v>0</v>
      </c>
      <c r="AE205" t="s">
        <v>1862</v>
      </c>
      <c r="AF205">
        <v>43314.83</v>
      </c>
      <c r="AG205">
        <v>9819478</v>
      </c>
      <c r="AH205">
        <v>191087.04</v>
      </c>
      <c r="AI205" s="1" t="s">
        <v>253</v>
      </c>
      <c r="AJ205">
        <v>92916106</v>
      </c>
      <c r="AK205" s="1" t="s">
        <v>1868</v>
      </c>
      <c r="AL205" t="s">
        <v>1892</v>
      </c>
      <c r="AN205" t="s">
        <v>2053</v>
      </c>
      <c r="AO205" t="s">
        <v>2067</v>
      </c>
      <c r="AP205" t="s">
        <v>2088</v>
      </c>
      <c r="AQ205">
        <v>122827</v>
      </c>
      <c r="AR205" s="3">
        <v>46203</v>
      </c>
      <c r="AS205" s="3">
        <v>46111</v>
      </c>
      <c r="AT205" s="3">
        <v>46201</v>
      </c>
      <c r="AU205" t="s">
        <v>2123</v>
      </c>
      <c r="AW205" s="3">
        <v>46208.53701449134</v>
      </c>
    </row>
    <row r="206" spans="1:49" ht="16" hidden="1" x14ac:dyDescent="0.2">
      <c r="A206" t="s">
        <v>67</v>
      </c>
      <c r="B206">
        <v>11514</v>
      </c>
      <c r="C206">
        <v>2079</v>
      </c>
      <c r="D206" t="s">
        <v>131</v>
      </c>
      <c r="E206" t="s">
        <v>253</v>
      </c>
      <c r="F206">
        <v>266239</v>
      </c>
      <c r="G206" t="s">
        <v>466</v>
      </c>
      <c r="H206">
        <v>578272</v>
      </c>
      <c r="I206" t="s">
        <v>956</v>
      </c>
      <c r="J206">
        <v>92916109</v>
      </c>
      <c r="K206" t="s">
        <v>1840</v>
      </c>
      <c r="L206" t="s">
        <v>1850</v>
      </c>
      <c r="M206" s="1">
        <v>19.46</v>
      </c>
      <c r="N206" t="s">
        <v>1855</v>
      </c>
      <c r="O206">
        <v>1716149</v>
      </c>
      <c r="P206" s="1">
        <v>33396.26</v>
      </c>
      <c r="S206" s="6" t="str">
        <f t="shared" si="3"/>
        <v xml:space="preserve"> </v>
      </c>
      <c r="T206" s="6" t="str">
        <f>IF(IF(COUNTIF(H$2:$H206,H206)=1,1,"")=1,SUMIF($H$2:$H$7997,H206,$S$2:$S$7997),"")</f>
        <v/>
      </c>
      <c r="V206" t="s">
        <v>1860</v>
      </c>
      <c r="W206">
        <v>994704</v>
      </c>
      <c r="X206">
        <v>1716149</v>
      </c>
      <c r="Y206">
        <v>0</v>
      </c>
      <c r="Z206">
        <v>0</v>
      </c>
      <c r="AA206" s="2">
        <v>1</v>
      </c>
      <c r="AB206" s="2">
        <v>0</v>
      </c>
      <c r="AC206" s="2">
        <v>0</v>
      </c>
      <c r="AD206">
        <v>0</v>
      </c>
      <c r="AE206" t="s">
        <v>1862</v>
      </c>
      <c r="AF206">
        <v>19021.04</v>
      </c>
      <c r="AG206">
        <v>4312074</v>
      </c>
      <c r="AH206">
        <v>83912.960000000006</v>
      </c>
      <c r="AI206" s="1" t="s">
        <v>253</v>
      </c>
      <c r="AJ206">
        <v>92916106</v>
      </c>
      <c r="AK206" s="1" t="s">
        <v>1868</v>
      </c>
      <c r="AL206" t="s">
        <v>1892</v>
      </c>
      <c r="AN206" t="s">
        <v>2053</v>
      </c>
      <c r="AO206" t="s">
        <v>2067</v>
      </c>
      <c r="AP206" t="s">
        <v>2082</v>
      </c>
      <c r="AQ206">
        <v>122827</v>
      </c>
      <c r="AR206" s="3">
        <v>46203</v>
      </c>
      <c r="AS206" s="3">
        <v>46111</v>
      </c>
      <c r="AT206" s="3">
        <v>46201</v>
      </c>
      <c r="AU206" t="s">
        <v>2124</v>
      </c>
      <c r="AW206" s="3">
        <v>46208.53701449134</v>
      </c>
    </row>
    <row r="207" spans="1:49" ht="16" hidden="1" x14ac:dyDescent="0.2">
      <c r="A207" t="s">
        <v>67</v>
      </c>
      <c r="B207">
        <v>11514</v>
      </c>
      <c r="C207">
        <v>2079</v>
      </c>
      <c r="D207" t="s">
        <v>131</v>
      </c>
      <c r="E207" t="s">
        <v>253</v>
      </c>
      <c r="F207">
        <v>266239</v>
      </c>
      <c r="G207" t="s">
        <v>467</v>
      </c>
      <c r="H207">
        <v>578275</v>
      </c>
      <c r="I207" t="s">
        <v>957</v>
      </c>
      <c r="J207">
        <v>92916118</v>
      </c>
      <c r="K207" t="s">
        <v>1841</v>
      </c>
      <c r="L207" t="s">
        <v>1850</v>
      </c>
      <c r="M207" s="1">
        <v>24</v>
      </c>
      <c r="N207" t="s">
        <v>23</v>
      </c>
      <c r="O207">
        <v>414521</v>
      </c>
      <c r="P207" s="1">
        <v>9948.5</v>
      </c>
      <c r="S207" s="6" t="str">
        <f t="shared" si="3"/>
        <v xml:space="preserve"> </v>
      </c>
      <c r="T207" s="6">
        <f>IF(IF(COUNTIF(H$2:$H207,H207)=1,1,"")=1,SUMIF($H$2:$H$7997,H207,$S$2:$S$7997),"")</f>
        <v>0</v>
      </c>
      <c r="W207">
        <v>260282</v>
      </c>
      <c r="X207">
        <v>414521</v>
      </c>
      <c r="Y207">
        <v>0</v>
      </c>
      <c r="Z207">
        <v>0</v>
      </c>
      <c r="AA207" s="2">
        <v>1</v>
      </c>
      <c r="AB207" s="2">
        <v>0</v>
      </c>
      <c r="AC207" s="2">
        <v>0</v>
      </c>
      <c r="AD207">
        <v>0</v>
      </c>
      <c r="AE207" t="s">
        <v>1862</v>
      </c>
      <c r="AF207">
        <v>5192.66</v>
      </c>
      <c r="AG207">
        <v>1041667</v>
      </c>
      <c r="AH207">
        <v>25000.01</v>
      </c>
      <c r="AI207" s="1" t="s">
        <v>253</v>
      </c>
      <c r="AJ207">
        <v>92916106</v>
      </c>
      <c r="AK207" s="1" t="s">
        <v>1867</v>
      </c>
      <c r="AL207" t="s">
        <v>1892</v>
      </c>
      <c r="AN207" t="s">
        <v>2053</v>
      </c>
      <c r="AO207" t="s">
        <v>2067</v>
      </c>
      <c r="AP207" t="s">
        <v>2087</v>
      </c>
      <c r="AQ207">
        <v>122827</v>
      </c>
      <c r="AR207" s="3">
        <v>46203</v>
      </c>
      <c r="AS207" s="3">
        <v>46111</v>
      </c>
      <c r="AT207" s="3">
        <v>46201</v>
      </c>
      <c r="AU207" t="s">
        <v>2124</v>
      </c>
      <c r="AW207" s="3">
        <v>46208.53701449134</v>
      </c>
    </row>
    <row r="208" spans="1:49" ht="16" hidden="1" x14ac:dyDescent="0.2">
      <c r="A208" t="s">
        <v>67</v>
      </c>
      <c r="B208">
        <v>11514</v>
      </c>
      <c r="C208">
        <v>23743</v>
      </c>
      <c r="D208" t="s">
        <v>205</v>
      </c>
      <c r="E208" t="s">
        <v>388</v>
      </c>
      <c r="F208">
        <v>270497</v>
      </c>
      <c r="G208" t="s">
        <v>822</v>
      </c>
      <c r="H208">
        <v>591846</v>
      </c>
      <c r="I208" t="s">
        <v>1609</v>
      </c>
      <c r="J208">
        <v>7330903612</v>
      </c>
      <c r="K208" t="s">
        <v>1835</v>
      </c>
      <c r="L208" t="s">
        <v>1850</v>
      </c>
      <c r="M208" s="1">
        <v>6</v>
      </c>
      <c r="N208" t="s">
        <v>22</v>
      </c>
      <c r="O208">
        <v>0</v>
      </c>
      <c r="P208" s="1">
        <v>0</v>
      </c>
      <c r="S208" s="6" t="str">
        <f t="shared" si="3"/>
        <v xml:space="preserve"> </v>
      </c>
      <c r="T208" s="6">
        <f>IF(IF(COUNTIF(H$2:$H208,H208)=1,1,"")=1,SUMIF($H$2:$H$7997,H208,$S$2:$S$7997),"")</f>
        <v>0</v>
      </c>
      <c r="W208">
        <v>0</v>
      </c>
      <c r="X208">
        <v>0</v>
      </c>
      <c r="Y208">
        <v>0</v>
      </c>
      <c r="Z208">
        <v>0</v>
      </c>
      <c r="AA208" s="2">
        <v>1</v>
      </c>
      <c r="AB208" s="2">
        <v>0</v>
      </c>
      <c r="AC208" s="2">
        <v>0</v>
      </c>
      <c r="AD208">
        <v>0</v>
      </c>
      <c r="AE208" t="s">
        <v>1862</v>
      </c>
      <c r="AF208">
        <v>9129.0400000000009</v>
      </c>
      <c r="AG208">
        <v>6250000</v>
      </c>
      <c r="AH208">
        <v>37500</v>
      </c>
      <c r="AI208" s="1" t="s">
        <v>388</v>
      </c>
      <c r="AJ208">
        <v>270497</v>
      </c>
      <c r="AK208" s="1" t="s">
        <v>1867</v>
      </c>
      <c r="AL208" t="s">
        <v>2002</v>
      </c>
      <c r="AN208" t="s">
        <v>2041</v>
      </c>
      <c r="AO208" t="s">
        <v>2067</v>
      </c>
      <c r="AP208" t="s">
        <v>2103</v>
      </c>
      <c r="AQ208">
        <v>130472</v>
      </c>
      <c r="AR208" s="3">
        <v>46203</v>
      </c>
      <c r="AS208" s="3">
        <v>46185</v>
      </c>
      <c r="AT208" s="3">
        <v>46222</v>
      </c>
      <c r="AU208" t="s">
        <v>2126</v>
      </c>
      <c r="AW208" s="3">
        <v>46208.53701449134</v>
      </c>
    </row>
    <row r="209" spans="1:49" ht="16" hidden="1" x14ac:dyDescent="0.2">
      <c r="A209" t="s">
        <v>67</v>
      </c>
      <c r="B209">
        <v>11514</v>
      </c>
      <c r="C209">
        <v>23743</v>
      </c>
      <c r="D209" t="s">
        <v>205</v>
      </c>
      <c r="E209" t="s">
        <v>388</v>
      </c>
      <c r="F209">
        <v>270497</v>
      </c>
      <c r="G209" t="s">
        <v>716</v>
      </c>
      <c r="H209">
        <v>591847</v>
      </c>
      <c r="I209" t="s">
        <v>1387</v>
      </c>
      <c r="J209">
        <v>94485763</v>
      </c>
      <c r="K209" t="s">
        <v>1839</v>
      </c>
      <c r="L209" t="s">
        <v>1850</v>
      </c>
      <c r="M209" s="1">
        <v>44</v>
      </c>
      <c r="N209" t="s">
        <v>22</v>
      </c>
      <c r="O209">
        <v>3348</v>
      </c>
      <c r="P209" s="1">
        <v>147.31</v>
      </c>
      <c r="S209" s="6" t="str">
        <f t="shared" si="3"/>
        <v xml:space="preserve"> </v>
      </c>
      <c r="T209" s="6">
        <f>IF(IF(COUNTIF(H$2:$H209,H209)=1,1,"")=1,SUMIF($H$2:$H$7997,H209,$S$2:$S$7997),"")</f>
        <v>0</v>
      </c>
      <c r="W209">
        <v>3348</v>
      </c>
      <c r="X209">
        <v>3348</v>
      </c>
      <c r="Y209">
        <v>0</v>
      </c>
      <c r="Z209">
        <v>0</v>
      </c>
      <c r="AA209" s="2">
        <v>1</v>
      </c>
      <c r="AB209" s="2">
        <v>0</v>
      </c>
      <c r="AC209" s="2">
        <v>0</v>
      </c>
      <c r="AD209">
        <v>0</v>
      </c>
      <c r="AE209" t="s">
        <v>1862</v>
      </c>
      <c r="AF209">
        <v>16001.63</v>
      </c>
      <c r="AG209">
        <v>3579545</v>
      </c>
      <c r="AH209">
        <v>157499.98000000001</v>
      </c>
      <c r="AI209" s="1" t="s">
        <v>388</v>
      </c>
      <c r="AJ209">
        <v>94485750</v>
      </c>
      <c r="AK209" s="1" t="s">
        <v>1867</v>
      </c>
      <c r="AL209" t="s">
        <v>2002</v>
      </c>
      <c r="AN209" t="s">
        <v>2041</v>
      </c>
      <c r="AO209" t="s">
        <v>2067</v>
      </c>
      <c r="AP209" t="s">
        <v>2094</v>
      </c>
      <c r="AQ209">
        <v>130472</v>
      </c>
      <c r="AR209" s="3">
        <v>46203</v>
      </c>
      <c r="AS209" s="3">
        <v>46185</v>
      </c>
      <c r="AT209" s="3">
        <v>46222</v>
      </c>
      <c r="AU209" t="s">
        <v>2124</v>
      </c>
      <c r="AW209" s="3">
        <v>46208.53701449134</v>
      </c>
    </row>
    <row r="210" spans="1:49" ht="16" hidden="1" x14ac:dyDescent="0.2">
      <c r="A210" t="s">
        <v>67</v>
      </c>
      <c r="B210">
        <v>11514</v>
      </c>
      <c r="C210">
        <v>23743</v>
      </c>
      <c r="D210" t="s">
        <v>205</v>
      </c>
      <c r="E210" t="s">
        <v>388</v>
      </c>
      <c r="F210">
        <v>270497</v>
      </c>
      <c r="G210" t="s">
        <v>716</v>
      </c>
      <c r="H210">
        <v>591847</v>
      </c>
      <c r="I210" t="s">
        <v>1386</v>
      </c>
      <c r="J210">
        <v>94485755</v>
      </c>
      <c r="K210" t="s">
        <v>1835</v>
      </c>
      <c r="L210" t="s">
        <v>1850</v>
      </c>
      <c r="M210" s="1">
        <v>44</v>
      </c>
      <c r="N210" t="s">
        <v>22</v>
      </c>
      <c r="O210">
        <v>1035719</v>
      </c>
      <c r="P210" s="1">
        <v>45571.64</v>
      </c>
      <c r="S210" s="6" t="str">
        <f t="shared" si="3"/>
        <v xml:space="preserve"> </v>
      </c>
      <c r="T210" s="6" t="str">
        <f>IF(IF(COUNTIF(H$2:$H210,H210)=1,1,"")=1,SUMIF($H$2:$H$7997,H210,$S$2:$S$7997),"")</f>
        <v/>
      </c>
      <c r="W210">
        <v>1035719</v>
      </c>
      <c r="X210">
        <v>1035719</v>
      </c>
      <c r="Y210">
        <v>0</v>
      </c>
      <c r="Z210">
        <v>0</v>
      </c>
      <c r="AA210" s="2">
        <v>1</v>
      </c>
      <c r="AB210" s="2">
        <v>0</v>
      </c>
      <c r="AC210" s="2">
        <v>0</v>
      </c>
      <c r="AD210">
        <v>0</v>
      </c>
      <c r="AE210" t="s">
        <v>1862</v>
      </c>
      <c r="AF210">
        <v>6857.85</v>
      </c>
      <c r="AG210">
        <v>1534092</v>
      </c>
      <c r="AH210">
        <v>67500.05</v>
      </c>
      <c r="AI210" s="1" t="s">
        <v>388</v>
      </c>
      <c r="AJ210">
        <v>94485750</v>
      </c>
      <c r="AK210" s="1" t="s">
        <v>1867</v>
      </c>
      <c r="AL210" t="s">
        <v>2002</v>
      </c>
      <c r="AN210" t="s">
        <v>2041</v>
      </c>
      <c r="AO210" t="s">
        <v>2067</v>
      </c>
      <c r="AP210" t="s">
        <v>2092</v>
      </c>
      <c r="AQ210">
        <v>130472</v>
      </c>
      <c r="AR210" s="3">
        <v>46203</v>
      </c>
      <c r="AS210" s="3">
        <v>46185</v>
      </c>
      <c r="AT210" s="3">
        <v>46222</v>
      </c>
      <c r="AU210" t="s">
        <v>2123</v>
      </c>
      <c r="AW210" s="3">
        <v>46208.53701449134</v>
      </c>
    </row>
    <row r="211" spans="1:49" ht="16" hidden="1" x14ac:dyDescent="0.2">
      <c r="A211" t="s">
        <v>67</v>
      </c>
      <c r="B211">
        <v>11514</v>
      </c>
      <c r="C211">
        <v>23743</v>
      </c>
      <c r="D211" t="s">
        <v>205</v>
      </c>
      <c r="E211" t="s">
        <v>388</v>
      </c>
      <c r="F211">
        <v>270497</v>
      </c>
      <c r="G211" t="s">
        <v>830</v>
      </c>
      <c r="H211">
        <v>591848</v>
      </c>
      <c r="I211" t="s">
        <v>1688</v>
      </c>
      <c r="J211">
        <v>591852</v>
      </c>
      <c r="K211" t="s">
        <v>1846</v>
      </c>
      <c r="L211" t="s">
        <v>1851</v>
      </c>
      <c r="M211" s="1">
        <v>0.15</v>
      </c>
      <c r="N211" t="s">
        <v>1858</v>
      </c>
      <c r="O211">
        <v>270833267</v>
      </c>
      <c r="P211" s="1">
        <v>40624.99</v>
      </c>
      <c r="S211" s="6" t="str">
        <f t="shared" si="3"/>
        <v xml:space="preserve"> </v>
      </c>
      <c r="T211" s="6">
        <f>IF(IF(COUNTIF(H$2:$H211,H211)=1,1,"")=1,SUMIF($H$2:$H$7997,H211,$S$2:$S$7997),"")</f>
        <v>0</v>
      </c>
      <c r="W211">
        <v>0</v>
      </c>
      <c r="X211">
        <v>0</v>
      </c>
      <c r="Y211">
        <v>0</v>
      </c>
      <c r="Z211">
        <v>0</v>
      </c>
      <c r="AA211" s="2">
        <v>1</v>
      </c>
      <c r="AB211" s="2">
        <v>0</v>
      </c>
      <c r="AC211" s="2">
        <v>0</v>
      </c>
      <c r="AD211">
        <v>0</v>
      </c>
      <c r="AE211" t="s">
        <v>1864</v>
      </c>
      <c r="AF211">
        <v>40624.99</v>
      </c>
      <c r="AG211">
        <v>1083333</v>
      </c>
      <c r="AH211">
        <v>162499.95000000001</v>
      </c>
      <c r="AI211" s="1" t="s">
        <v>388</v>
      </c>
      <c r="AJ211">
        <v>270497</v>
      </c>
      <c r="AK211" s="1" t="s">
        <v>1867</v>
      </c>
      <c r="AL211" t="s">
        <v>2002</v>
      </c>
      <c r="AN211" t="s">
        <v>2041</v>
      </c>
      <c r="AO211" t="s">
        <v>2067</v>
      </c>
      <c r="AP211" t="s">
        <v>2110</v>
      </c>
      <c r="AQ211">
        <v>130472</v>
      </c>
      <c r="AR211" s="3">
        <v>46203</v>
      </c>
      <c r="AS211" s="3">
        <v>46185</v>
      </c>
      <c r="AT211" s="3">
        <v>46222</v>
      </c>
      <c r="AU211" t="s">
        <v>2128</v>
      </c>
      <c r="AW211" s="3">
        <v>46208.53701449134</v>
      </c>
    </row>
    <row r="212" spans="1:49" ht="16" hidden="1" x14ac:dyDescent="0.2">
      <c r="A212" t="s">
        <v>67</v>
      </c>
      <c r="B212">
        <v>11514</v>
      </c>
      <c r="C212">
        <v>23743</v>
      </c>
      <c r="D212" t="s">
        <v>205</v>
      </c>
      <c r="E212" t="s">
        <v>388</v>
      </c>
      <c r="F212">
        <v>270497</v>
      </c>
      <c r="G212" t="s">
        <v>830</v>
      </c>
      <c r="H212">
        <v>591848</v>
      </c>
      <c r="I212" t="s">
        <v>1767</v>
      </c>
      <c r="J212">
        <v>591855</v>
      </c>
      <c r="K212" t="s">
        <v>1844</v>
      </c>
      <c r="L212" t="s">
        <v>1851</v>
      </c>
      <c r="M212" s="1">
        <v>0.15</v>
      </c>
      <c r="N212" t="s">
        <v>1858</v>
      </c>
      <c r="O212">
        <v>270833267</v>
      </c>
      <c r="P212" s="1">
        <v>40624.99</v>
      </c>
      <c r="S212" s="6" t="str">
        <f t="shared" si="3"/>
        <v xml:space="preserve"> </v>
      </c>
      <c r="T212" s="6" t="str">
        <f>IF(IF(COUNTIF(H$2:$H212,H212)=1,1,"")=1,SUMIF($H$2:$H$7997,H212,$S$2:$S$7997),"")</f>
        <v/>
      </c>
      <c r="W212">
        <v>0</v>
      </c>
      <c r="X212">
        <v>0</v>
      </c>
      <c r="Y212">
        <v>0</v>
      </c>
      <c r="Z212">
        <v>0</v>
      </c>
      <c r="AA212" s="2">
        <v>1</v>
      </c>
      <c r="AB212" s="2">
        <v>0</v>
      </c>
      <c r="AC212" s="2">
        <v>0</v>
      </c>
      <c r="AD212">
        <v>0</v>
      </c>
      <c r="AE212" t="s">
        <v>1864</v>
      </c>
      <c r="AF212">
        <v>40624.99</v>
      </c>
      <c r="AG212">
        <v>1083333</v>
      </c>
      <c r="AH212">
        <v>162499.95000000001</v>
      </c>
      <c r="AI212" s="1" t="s">
        <v>388</v>
      </c>
      <c r="AJ212">
        <v>270497</v>
      </c>
      <c r="AK212" s="1" t="s">
        <v>1867</v>
      </c>
      <c r="AL212" t="s">
        <v>2002</v>
      </c>
      <c r="AN212" t="s">
        <v>2041</v>
      </c>
      <c r="AO212" t="s">
        <v>2067</v>
      </c>
      <c r="AP212" t="s">
        <v>2107</v>
      </c>
      <c r="AQ212">
        <v>130472</v>
      </c>
      <c r="AR212" s="3">
        <v>46203</v>
      </c>
      <c r="AS212" s="3">
        <v>46185</v>
      </c>
      <c r="AT212" s="3">
        <v>46222</v>
      </c>
      <c r="AU212" t="s">
        <v>2127</v>
      </c>
      <c r="AW212" s="3">
        <v>46208.53701449134</v>
      </c>
    </row>
    <row r="213" spans="1:49" ht="16" hidden="1" x14ac:dyDescent="0.2">
      <c r="A213" t="s">
        <v>67</v>
      </c>
      <c r="B213">
        <v>11514</v>
      </c>
      <c r="C213">
        <v>23743</v>
      </c>
      <c r="D213" t="s">
        <v>205</v>
      </c>
      <c r="E213" t="s">
        <v>388</v>
      </c>
      <c r="F213">
        <v>270497</v>
      </c>
      <c r="G213" t="s">
        <v>830</v>
      </c>
      <c r="H213">
        <v>591848</v>
      </c>
      <c r="I213" t="s">
        <v>1624</v>
      </c>
      <c r="J213">
        <v>591854</v>
      </c>
      <c r="K213" t="s">
        <v>1835</v>
      </c>
      <c r="L213" t="s">
        <v>1851</v>
      </c>
      <c r="M213" s="1">
        <v>0.15</v>
      </c>
      <c r="N213" t="s">
        <v>1858</v>
      </c>
      <c r="O213">
        <v>270833533</v>
      </c>
      <c r="P213" s="1">
        <v>40625.03</v>
      </c>
      <c r="S213" s="6" t="str">
        <f t="shared" si="3"/>
        <v xml:space="preserve"> </v>
      </c>
      <c r="T213" s="6" t="str">
        <f>IF(IF(COUNTIF(H$2:$H213,H213)=1,1,"")=1,SUMIF($H$2:$H$7997,H213,$S$2:$S$7997),"")</f>
        <v/>
      </c>
      <c r="W213">
        <v>0</v>
      </c>
      <c r="X213">
        <v>0</v>
      </c>
      <c r="Y213">
        <v>0</v>
      </c>
      <c r="Z213">
        <v>0</v>
      </c>
      <c r="AA213" s="2">
        <v>1</v>
      </c>
      <c r="AB213" s="2">
        <v>0</v>
      </c>
      <c r="AC213" s="2">
        <v>0</v>
      </c>
      <c r="AD213">
        <v>0</v>
      </c>
      <c r="AE213" t="s">
        <v>1864</v>
      </c>
      <c r="AF213">
        <v>40625.03</v>
      </c>
      <c r="AG213">
        <v>1083334</v>
      </c>
      <c r="AH213">
        <v>162500.1</v>
      </c>
      <c r="AI213" s="1" t="s">
        <v>388</v>
      </c>
      <c r="AJ213">
        <v>270497</v>
      </c>
      <c r="AK213" s="1" t="s">
        <v>1867</v>
      </c>
      <c r="AL213" t="s">
        <v>2002</v>
      </c>
      <c r="AN213" t="s">
        <v>2041</v>
      </c>
      <c r="AO213" t="s">
        <v>2067</v>
      </c>
      <c r="AP213" t="s">
        <v>2109</v>
      </c>
      <c r="AQ213">
        <v>130472</v>
      </c>
      <c r="AR213" s="3">
        <v>46203</v>
      </c>
      <c r="AS213" s="3">
        <v>46185</v>
      </c>
      <c r="AT213" s="3">
        <v>46222</v>
      </c>
      <c r="AU213" t="s">
        <v>2129</v>
      </c>
      <c r="AW213" s="3">
        <v>46208.53701449134</v>
      </c>
    </row>
    <row r="214" spans="1:49" ht="16" hidden="1" x14ac:dyDescent="0.2">
      <c r="A214" t="s">
        <v>100</v>
      </c>
      <c r="B214">
        <v>11640</v>
      </c>
      <c r="C214">
        <v>21282</v>
      </c>
      <c r="D214" t="s">
        <v>198</v>
      </c>
      <c r="E214" t="s">
        <v>372</v>
      </c>
      <c r="F214">
        <v>270436</v>
      </c>
      <c r="G214" t="s">
        <v>692</v>
      </c>
      <c r="H214">
        <v>591579</v>
      </c>
      <c r="I214" t="s">
        <v>1343</v>
      </c>
      <c r="J214">
        <v>94376505</v>
      </c>
      <c r="K214" t="s">
        <v>1839</v>
      </c>
      <c r="L214" t="s">
        <v>1850</v>
      </c>
      <c r="M214" s="1">
        <v>42</v>
      </c>
      <c r="N214" t="s">
        <v>23</v>
      </c>
      <c r="O214">
        <v>2311845</v>
      </c>
      <c r="P214" s="1">
        <v>97097.49</v>
      </c>
      <c r="S214" s="6" t="str">
        <f t="shared" si="3"/>
        <v xml:space="preserve"> </v>
      </c>
      <c r="T214" s="6">
        <f>IF(IF(COUNTIF(H$2:$H214,H214)=1,1,"")=1,SUMIF($H$2:$H$7997,H214,$S$2:$S$7997),"")</f>
        <v>0</v>
      </c>
      <c r="W214">
        <v>2311845</v>
      </c>
      <c r="X214">
        <v>2311845</v>
      </c>
      <c r="Y214">
        <v>0</v>
      </c>
      <c r="Z214">
        <v>0</v>
      </c>
      <c r="AA214" s="2">
        <v>1</v>
      </c>
      <c r="AB214" s="2">
        <v>0</v>
      </c>
      <c r="AC214" s="2">
        <v>0</v>
      </c>
      <c r="AD214">
        <v>0</v>
      </c>
      <c r="AE214" t="s">
        <v>1862</v>
      </c>
      <c r="AF214">
        <v>45290.67</v>
      </c>
      <c r="AG214">
        <v>3000000</v>
      </c>
      <c r="AH214">
        <v>126000</v>
      </c>
      <c r="AI214" s="1" t="s">
        <v>372</v>
      </c>
      <c r="AJ214">
        <v>94376491</v>
      </c>
      <c r="AK214" s="1" t="s">
        <v>1867</v>
      </c>
      <c r="AL214" t="s">
        <v>1989</v>
      </c>
      <c r="AN214" t="s">
        <v>2062</v>
      </c>
      <c r="AO214" t="s">
        <v>2067</v>
      </c>
      <c r="AP214" t="s">
        <v>2094</v>
      </c>
      <c r="AQ214">
        <v>129941</v>
      </c>
      <c r="AR214" s="3">
        <v>46203</v>
      </c>
      <c r="AS214" s="3">
        <v>46175</v>
      </c>
      <c r="AT214" s="3">
        <v>46222</v>
      </c>
      <c r="AU214" t="s">
        <v>2124</v>
      </c>
      <c r="AW214" s="3">
        <v>46208.53701449134</v>
      </c>
    </row>
    <row r="215" spans="1:49" ht="16" hidden="1" x14ac:dyDescent="0.2">
      <c r="A215" t="s">
        <v>100</v>
      </c>
      <c r="B215">
        <v>11640</v>
      </c>
      <c r="C215">
        <v>21282</v>
      </c>
      <c r="D215" t="s">
        <v>198</v>
      </c>
      <c r="E215" t="s">
        <v>372</v>
      </c>
      <c r="F215">
        <v>270436</v>
      </c>
      <c r="G215" t="s">
        <v>692</v>
      </c>
      <c r="H215">
        <v>591579</v>
      </c>
      <c r="I215" t="s">
        <v>1341</v>
      </c>
      <c r="J215">
        <v>94376498</v>
      </c>
      <c r="K215" t="s">
        <v>1839</v>
      </c>
      <c r="L215" t="s">
        <v>1850</v>
      </c>
      <c r="M215" s="1">
        <v>42</v>
      </c>
      <c r="N215" t="s">
        <v>23</v>
      </c>
      <c r="O215">
        <v>1354894</v>
      </c>
      <c r="P215" s="1">
        <v>56905.55</v>
      </c>
      <c r="S215" s="6" t="str">
        <f t="shared" si="3"/>
        <v xml:space="preserve"> </v>
      </c>
      <c r="T215" s="6" t="str">
        <f>IF(IF(COUNTIF(H$2:$H215,H215)=1,1,"")=1,SUMIF($H$2:$H$7997,H215,$S$2:$S$7997),"")</f>
        <v/>
      </c>
      <c r="W215">
        <v>1354894</v>
      </c>
      <c r="X215">
        <v>1354894</v>
      </c>
      <c r="Y215">
        <v>0</v>
      </c>
      <c r="Z215">
        <v>0</v>
      </c>
      <c r="AA215" s="2">
        <v>1</v>
      </c>
      <c r="AB215" s="2">
        <v>0</v>
      </c>
      <c r="AC215" s="2">
        <v>0</v>
      </c>
      <c r="AD215">
        <v>0</v>
      </c>
      <c r="AE215" t="s">
        <v>1862</v>
      </c>
      <c r="AF215">
        <v>30193.78</v>
      </c>
      <c r="AG215">
        <v>2000000</v>
      </c>
      <c r="AH215">
        <v>84000</v>
      </c>
      <c r="AI215" s="1" t="s">
        <v>372</v>
      </c>
      <c r="AJ215">
        <v>94376491</v>
      </c>
      <c r="AK215" s="1" t="s">
        <v>1867</v>
      </c>
      <c r="AL215" t="s">
        <v>1989</v>
      </c>
      <c r="AN215" t="s">
        <v>2062</v>
      </c>
      <c r="AO215" t="s">
        <v>2067</v>
      </c>
      <c r="AP215" t="s">
        <v>2094</v>
      </c>
      <c r="AQ215">
        <v>129941</v>
      </c>
      <c r="AR215" s="3">
        <v>46203</v>
      </c>
      <c r="AS215" s="3">
        <v>46175</v>
      </c>
      <c r="AT215" s="3">
        <v>46222</v>
      </c>
      <c r="AU215" t="s">
        <v>2124</v>
      </c>
      <c r="AW215" s="3">
        <v>46208.53701449134</v>
      </c>
    </row>
    <row r="216" spans="1:49" ht="16" hidden="1" x14ac:dyDescent="0.2">
      <c r="A216" t="s">
        <v>100</v>
      </c>
      <c r="B216">
        <v>11640</v>
      </c>
      <c r="C216">
        <v>21282</v>
      </c>
      <c r="D216" t="s">
        <v>198</v>
      </c>
      <c r="E216" t="s">
        <v>372</v>
      </c>
      <c r="F216">
        <v>270436</v>
      </c>
      <c r="G216" t="s">
        <v>692</v>
      </c>
      <c r="H216">
        <v>591579</v>
      </c>
      <c r="I216" t="s">
        <v>1342</v>
      </c>
      <c r="J216">
        <v>94376501</v>
      </c>
      <c r="K216" t="s">
        <v>1835</v>
      </c>
      <c r="L216" t="s">
        <v>1850</v>
      </c>
      <c r="M216" s="1">
        <v>42</v>
      </c>
      <c r="N216" t="s">
        <v>23</v>
      </c>
      <c r="O216">
        <v>892056</v>
      </c>
      <c r="P216" s="1">
        <v>37466.35</v>
      </c>
      <c r="S216" s="6" t="str">
        <f t="shared" si="3"/>
        <v xml:space="preserve"> </v>
      </c>
      <c r="T216" s="6" t="str">
        <f>IF(IF(COUNTIF(H$2:$H216,H216)=1,1,"")=1,SUMIF($H$2:$H$7997,H216,$S$2:$S$7997),"")</f>
        <v/>
      </c>
      <c r="W216">
        <v>892056</v>
      </c>
      <c r="X216">
        <v>892056</v>
      </c>
      <c r="Y216">
        <v>0</v>
      </c>
      <c r="Z216">
        <v>0</v>
      </c>
      <c r="AA216" s="2">
        <v>1</v>
      </c>
      <c r="AB216" s="2">
        <v>0</v>
      </c>
      <c r="AC216" s="2">
        <v>0</v>
      </c>
      <c r="AD216">
        <v>0</v>
      </c>
      <c r="AE216" t="s">
        <v>1862</v>
      </c>
      <c r="AF216">
        <v>19410.3</v>
      </c>
      <c r="AG216">
        <v>1285715</v>
      </c>
      <c r="AH216">
        <v>54000.03</v>
      </c>
      <c r="AI216" s="1" t="s">
        <v>372</v>
      </c>
      <c r="AJ216">
        <v>94376491</v>
      </c>
      <c r="AK216" s="1" t="s">
        <v>1867</v>
      </c>
      <c r="AL216" t="s">
        <v>1989</v>
      </c>
      <c r="AN216" t="s">
        <v>2062</v>
      </c>
      <c r="AO216" t="s">
        <v>2067</v>
      </c>
      <c r="AP216" t="s">
        <v>2092</v>
      </c>
      <c r="AQ216">
        <v>129941</v>
      </c>
      <c r="AR216" s="3">
        <v>46203</v>
      </c>
      <c r="AS216" s="3">
        <v>46175</v>
      </c>
      <c r="AT216" s="3">
        <v>46222</v>
      </c>
      <c r="AU216" t="s">
        <v>2123</v>
      </c>
      <c r="AW216" s="3">
        <v>46208.53701449134</v>
      </c>
    </row>
    <row r="217" spans="1:49" ht="16" hidden="1" x14ac:dyDescent="0.2">
      <c r="A217" t="s">
        <v>100</v>
      </c>
      <c r="B217">
        <v>11640</v>
      </c>
      <c r="C217">
        <v>21282</v>
      </c>
      <c r="D217" t="s">
        <v>198</v>
      </c>
      <c r="E217" t="s">
        <v>372</v>
      </c>
      <c r="F217">
        <v>270436</v>
      </c>
      <c r="G217" t="s">
        <v>692</v>
      </c>
      <c r="H217">
        <v>591579</v>
      </c>
      <c r="I217" t="s">
        <v>1340</v>
      </c>
      <c r="J217">
        <v>94376494</v>
      </c>
      <c r="K217" t="s">
        <v>1835</v>
      </c>
      <c r="L217" t="s">
        <v>1850</v>
      </c>
      <c r="M217" s="1">
        <v>42</v>
      </c>
      <c r="N217" t="s">
        <v>23</v>
      </c>
      <c r="O217">
        <v>590098</v>
      </c>
      <c r="P217" s="1">
        <v>24784.12</v>
      </c>
      <c r="S217" s="6" t="str">
        <f t="shared" si="3"/>
        <v xml:space="preserve"> </v>
      </c>
      <c r="T217" s="6" t="str">
        <f>IF(IF(COUNTIF(H$2:$H217,H217)=1,1,"")=1,SUMIF($H$2:$H$7997,H217,$S$2:$S$7997),"")</f>
        <v/>
      </c>
      <c r="W217">
        <v>590098</v>
      </c>
      <c r="X217">
        <v>590098</v>
      </c>
      <c r="Y217">
        <v>0</v>
      </c>
      <c r="Z217">
        <v>0</v>
      </c>
      <c r="AA217" s="2">
        <v>1</v>
      </c>
      <c r="AB217" s="2">
        <v>0</v>
      </c>
      <c r="AC217" s="2">
        <v>0</v>
      </c>
      <c r="AD217">
        <v>0</v>
      </c>
      <c r="AE217" t="s">
        <v>1862</v>
      </c>
      <c r="AF217">
        <v>12940.19</v>
      </c>
      <c r="AG217">
        <v>857143</v>
      </c>
      <c r="AH217">
        <v>36000.01</v>
      </c>
      <c r="AI217" s="1" t="s">
        <v>372</v>
      </c>
      <c r="AJ217">
        <v>94376491</v>
      </c>
      <c r="AK217" s="1" t="s">
        <v>1867</v>
      </c>
      <c r="AL217" t="s">
        <v>1989</v>
      </c>
      <c r="AN217" t="s">
        <v>2062</v>
      </c>
      <c r="AO217" t="s">
        <v>2067</v>
      </c>
      <c r="AP217" t="s">
        <v>2092</v>
      </c>
      <c r="AQ217">
        <v>129941</v>
      </c>
      <c r="AR217" s="3">
        <v>46203</v>
      </c>
      <c r="AS217" s="3">
        <v>46175</v>
      </c>
      <c r="AT217" s="3">
        <v>46222</v>
      </c>
      <c r="AU217" t="s">
        <v>2123</v>
      </c>
      <c r="AW217" s="3">
        <v>46208.53701449134</v>
      </c>
    </row>
    <row r="218" spans="1:49" ht="16" hidden="1" x14ac:dyDescent="0.2">
      <c r="A218" t="s">
        <v>55</v>
      </c>
      <c r="B218">
        <v>11563</v>
      </c>
      <c r="C218">
        <v>4806</v>
      </c>
      <c r="D218" t="s">
        <v>155</v>
      </c>
      <c r="E218" t="s">
        <v>292</v>
      </c>
      <c r="F218">
        <v>257594</v>
      </c>
      <c r="G218" t="s">
        <v>534</v>
      </c>
      <c r="H218">
        <v>580820</v>
      </c>
      <c r="I218" t="s">
        <v>1052</v>
      </c>
      <c r="J218">
        <v>93819867</v>
      </c>
      <c r="K218" t="s">
        <v>1835</v>
      </c>
      <c r="L218" t="s">
        <v>1850</v>
      </c>
      <c r="M218" s="1">
        <v>35</v>
      </c>
      <c r="N218" t="s">
        <v>23</v>
      </c>
      <c r="O218">
        <v>699810</v>
      </c>
      <c r="P218" s="1">
        <v>24493.35</v>
      </c>
      <c r="S218" s="6" t="str">
        <f t="shared" si="3"/>
        <v xml:space="preserve"> </v>
      </c>
      <c r="T218" s="6">
        <f>IF(IF(COUNTIF(H$2:$H218,H218)=1,1,"")=1,SUMIF($H$2:$H$7997,H218,$S$2:$S$7997),"")</f>
        <v>0</v>
      </c>
      <c r="W218">
        <v>699810</v>
      </c>
      <c r="X218">
        <v>699810</v>
      </c>
      <c r="Y218">
        <v>0</v>
      </c>
      <c r="Z218">
        <v>0</v>
      </c>
      <c r="AA218" s="2">
        <v>1</v>
      </c>
      <c r="AB218" s="2">
        <v>0</v>
      </c>
      <c r="AC218" s="2">
        <v>0</v>
      </c>
      <c r="AD218">
        <v>0</v>
      </c>
      <c r="AE218" t="s">
        <v>1862</v>
      </c>
      <c r="AF218">
        <v>12747.64</v>
      </c>
      <c r="AG218">
        <v>1620000</v>
      </c>
      <c r="AH218">
        <v>56700</v>
      </c>
      <c r="AI218" s="1" t="s">
        <v>292</v>
      </c>
      <c r="AJ218">
        <v>93819864</v>
      </c>
      <c r="AK218" s="1" t="s">
        <v>1867</v>
      </c>
      <c r="AL218" t="s">
        <v>1926</v>
      </c>
      <c r="AN218" t="s">
        <v>2057</v>
      </c>
      <c r="AO218" t="s">
        <v>2067</v>
      </c>
      <c r="AP218" t="s">
        <v>2092</v>
      </c>
      <c r="AQ218">
        <v>127378</v>
      </c>
      <c r="AR218" s="3">
        <v>46203</v>
      </c>
      <c r="AS218" s="3">
        <v>46174</v>
      </c>
      <c r="AT218" s="3">
        <v>46222</v>
      </c>
      <c r="AU218" t="s">
        <v>2123</v>
      </c>
      <c r="AW218" s="3">
        <v>46208.53701449134</v>
      </c>
    </row>
    <row r="219" spans="1:49" ht="16" hidden="1" x14ac:dyDescent="0.2">
      <c r="A219" t="s">
        <v>55</v>
      </c>
      <c r="B219">
        <v>11563</v>
      </c>
      <c r="C219">
        <v>4806</v>
      </c>
      <c r="D219" t="s">
        <v>155</v>
      </c>
      <c r="E219" t="s">
        <v>292</v>
      </c>
      <c r="F219">
        <v>257594</v>
      </c>
      <c r="G219" t="s">
        <v>534</v>
      </c>
      <c r="H219">
        <v>580820</v>
      </c>
      <c r="I219" t="s">
        <v>1096</v>
      </c>
      <c r="J219">
        <v>93934717</v>
      </c>
      <c r="K219" t="s">
        <v>1839</v>
      </c>
      <c r="L219" t="s">
        <v>1850</v>
      </c>
      <c r="M219" s="1">
        <v>35</v>
      </c>
      <c r="N219" t="s">
        <v>23</v>
      </c>
      <c r="O219">
        <v>1729347</v>
      </c>
      <c r="P219" s="1">
        <v>60527.14</v>
      </c>
      <c r="S219" s="6" t="str">
        <f t="shared" si="3"/>
        <v xml:space="preserve"> </v>
      </c>
      <c r="T219" s="6" t="str">
        <f>IF(IF(COUNTIF(H$2:$H219,H219)=1,1,"")=1,SUMIF($H$2:$H$7997,H219,$S$2:$S$7997),"")</f>
        <v/>
      </c>
      <c r="W219">
        <v>1729347</v>
      </c>
      <c r="X219">
        <v>1729347</v>
      </c>
      <c r="Y219">
        <v>0</v>
      </c>
      <c r="Z219">
        <v>0</v>
      </c>
      <c r="AA219" s="2">
        <v>1</v>
      </c>
      <c r="AB219" s="2">
        <v>0</v>
      </c>
      <c r="AC219" s="2">
        <v>0</v>
      </c>
      <c r="AD219">
        <v>0</v>
      </c>
      <c r="AE219" t="s">
        <v>1862</v>
      </c>
      <c r="AF219">
        <v>29744.48</v>
      </c>
      <c r="AG219">
        <v>3780000</v>
      </c>
      <c r="AH219">
        <v>132300</v>
      </c>
      <c r="AI219" s="1" t="s">
        <v>292</v>
      </c>
      <c r="AJ219">
        <v>93819864</v>
      </c>
      <c r="AK219" s="1" t="s">
        <v>1867</v>
      </c>
      <c r="AL219" t="s">
        <v>1926</v>
      </c>
      <c r="AN219" t="s">
        <v>2057</v>
      </c>
      <c r="AO219" t="s">
        <v>2067</v>
      </c>
      <c r="AP219" t="s">
        <v>2094</v>
      </c>
      <c r="AQ219">
        <v>127378</v>
      </c>
      <c r="AR219" s="3">
        <v>46203</v>
      </c>
      <c r="AS219" s="3">
        <v>46174</v>
      </c>
      <c r="AT219" s="3">
        <v>46222</v>
      </c>
      <c r="AU219" t="s">
        <v>2124</v>
      </c>
      <c r="AW219" s="3">
        <v>46208.53701449134</v>
      </c>
    </row>
    <row r="220" spans="1:49" ht="16" hidden="1" x14ac:dyDescent="0.2">
      <c r="A220" t="s">
        <v>55</v>
      </c>
      <c r="B220">
        <v>11563</v>
      </c>
      <c r="C220">
        <v>4806</v>
      </c>
      <c r="D220" t="s">
        <v>155</v>
      </c>
      <c r="E220" t="s">
        <v>292</v>
      </c>
      <c r="F220">
        <v>257594</v>
      </c>
      <c r="G220" t="s">
        <v>535</v>
      </c>
      <c r="H220">
        <v>580823</v>
      </c>
      <c r="I220" t="s">
        <v>1053</v>
      </c>
      <c r="J220">
        <v>93820067</v>
      </c>
      <c r="K220" t="s">
        <v>1835</v>
      </c>
      <c r="L220" t="s">
        <v>1850</v>
      </c>
      <c r="M220" s="1">
        <v>25</v>
      </c>
      <c r="N220" t="s">
        <v>1853</v>
      </c>
      <c r="O220">
        <v>498841</v>
      </c>
      <c r="P220" s="1">
        <v>12471.02</v>
      </c>
      <c r="S220" s="6" t="str">
        <f t="shared" si="3"/>
        <v xml:space="preserve"> </v>
      </c>
      <c r="T220" s="6">
        <f>IF(IF(COUNTIF(H$2:$H220,H220)=1,1,"")=1,SUMIF($H$2:$H$7997,H220,$S$2:$S$7997),"")</f>
        <v>0</v>
      </c>
      <c r="W220">
        <v>425246</v>
      </c>
      <c r="X220">
        <v>425246</v>
      </c>
      <c r="Y220">
        <v>498841</v>
      </c>
      <c r="Z220">
        <v>498841</v>
      </c>
      <c r="AA220" s="2">
        <v>1</v>
      </c>
      <c r="AB220" s="2">
        <v>1.1730666710504991</v>
      </c>
      <c r="AC220" s="2">
        <v>0</v>
      </c>
      <c r="AD220">
        <v>0</v>
      </c>
      <c r="AE220" t="s">
        <v>1862</v>
      </c>
      <c r="AF220">
        <v>5198.0200000000004</v>
      </c>
      <c r="AG220">
        <v>1000000</v>
      </c>
      <c r="AH220">
        <v>25000</v>
      </c>
      <c r="AI220" s="1" t="s">
        <v>292</v>
      </c>
      <c r="AJ220">
        <v>93819864</v>
      </c>
      <c r="AK220" s="1" t="s">
        <v>1867</v>
      </c>
      <c r="AL220" t="s">
        <v>1926</v>
      </c>
      <c r="AN220" t="s">
        <v>2057</v>
      </c>
      <c r="AO220" t="s">
        <v>2067</v>
      </c>
      <c r="AP220" t="s">
        <v>2091</v>
      </c>
      <c r="AQ220">
        <v>127378</v>
      </c>
      <c r="AR220" s="3">
        <v>46203</v>
      </c>
      <c r="AS220" s="3">
        <v>46174</v>
      </c>
      <c r="AT220" s="3">
        <v>46222</v>
      </c>
      <c r="AU220" t="s">
        <v>2123</v>
      </c>
      <c r="AW220" s="3">
        <v>46208.53701449134</v>
      </c>
    </row>
    <row r="221" spans="1:49" ht="16" hidden="1" x14ac:dyDescent="0.2">
      <c r="A221" t="s">
        <v>55</v>
      </c>
      <c r="B221">
        <v>11563</v>
      </c>
      <c r="C221">
        <v>4806</v>
      </c>
      <c r="D221" t="s">
        <v>155</v>
      </c>
      <c r="E221" t="s">
        <v>292</v>
      </c>
      <c r="F221">
        <v>257594</v>
      </c>
      <c r="G221" t="s">
        <v>779</v>
      </c>
      <c r="H221">
        <v>580825</v>
      </c>
      <c r="I221" t="s">
        <v>1520</v>
      </c>
      <c r="J221">
        <v>7299167181</v>
      </c>
      <c r="K221" t="s">
        <v>1835</v>
      </c>
      <c r="L221" t="s">
        <v>1850</v>
      </c>
      <c r="M221" s="1">
        <v>6</v>
      </c>
      <c r="N221" t="s">
        <v>23</v>
      </c>
      <c r="O221">
        <v>0</v>
      </c>
      <c r="P221" s="1">
        <v>0</v>
      </c>
      <c r="S221" s="6" t="str">
        <f t="shared" si="3"/>
        <v xml:space="preserve"> </v>
      </c>
      <c r="T221" s="6">
        <f>IF(IF(COUNTIF(H$2:$H221,H221)=1,1,"")=1,SUMIF($H$2:$H$7997,H221,$S$2:$S$7997),"")</f>
        <v>0</v>
      </c>
      <c r="W221">
        <v>0</v>
      </c>
      <c r="X221">
        <v>0</v>
      </c>
      <c r="Y221">
        <v>0</v>
      </c>
      <c r="Z221">
        <v>0</v>
      </c>
      <c r="AA221" s="2">
        <v>1</v>
      </c>
      <c r="AB221" s="2">
        <v>0</v>
      </c>
      <c r="AC221" s="2">
        <v>0</v>
      </c>
      <c r="AD221">
        <v>0</v>
      </c>
      <c r="AE221" t="s">
        <v>1862</v>
      </c>
      <c r="AF221">
        <v>18183.080000000002</v>
      </c>
      <c r="AG221">
        <v>8333333</v>
      </c>
      <c r="AH221">
        <v>50000</v>
      </c>
      <c r="AI221" s="1" t="s">
        <v>292</v>
      </c>
      <c r="AJ221">
        <v>257594</v>
      </c>
      <c r="AK221" s="1" t="s">
        <v>1867</v>
      </c>
      <c r="AL221" t="s">
        <v>1926</v>
      </c>
      <c r="AN221" t="s">
        <v>2057</v>
      </c>
      <c r="AO221" t="s">
        <v>2067</v>
      </c>
      <c r="AP221" t="s">
        <v>2103</v>
      </c>
      <c r="AQ221">
        <v>127378</v>
      </c>
      <c r="AR221" s="3">
        <v>46203</v>
      </c>
      <c r="AS221" s="3">
        <v>46174</v>
      </c>
      <c r="AT221" s="3">
        <v>46222</v>
      </c>
      <c r="AU221" t="s">
        <v>2126</v>
      </c>
      <c r="AW221" s="3">
        <v>46208.53701449134</v>
      </c>
    </row>
    <row r="222" spans="1:49" ht="16" hidden="1" x14ac:dyDescent="0.2">
      <c r="A222" t="s">
        <v>55</v>
      </c>
      <c r="B222">
        <v>11563</v>
      </c>
      <c r="C222">
        <v>4806</v>
      </c>
      <c r="D222" t="s">
        <v>155</v>
      </c>
      <c r="E222" t="s">
        <v>292</v>
      </c>
      <c r="F222">
        <v>257594</v>
      </c>
      <c r="G222" t="s">
        <v>888</v>
      </c>
      <c r="H222">
        <v>580840</v>
      </c>
      <c r="I222" t="s">
        <v>1828</v>
      </c>
      <c r="J222">
        <v>580841</v>
      </c>
      <c r="K222" t="s">
        <v>1846</v>
      </c>
      <c r="L222" t="s">
        <v>1851</v>
      </c>
      <c r="M222" s="1">
        <v>60000</v>
      </c>
      <c r="N222" t="s">
        <v>1858</v>
      </c>
      <c r="O222">
        <v>0</v>
      </c>
      <c r="P222" s="1">
        <v>18367.349999999999</v>
      </c>
      <c r="S222" s="6" t="str">
        <f t="shared" si="3"/>
        <v xml:space="preserve"> </v>
      </c>
      <c r="T222" s="6">
        <f>IF(IF(COUNTIF(H$2:$H222,H222)=1,1,"")=1,SUMIF($H$2:$H$7997,H222,$S$2:$S$7997),"")</f>
        <v>0</v>
      </c>
      <c r="W222">
        <v>0</v>
      </c>
      <c r="X222">
        <v>0</v>
      </c>
      <c r="Y222">
        <v>0</v>
      </c>
      <c r="Z222">
        <v>0</v>
      </c>
      <c r="AA222" s="2">
        <v>1</v>
      </c>
      <c r="AB222" s="2">
        <v>0</v>
      </c>
      <c r="AC222" s="2">
        <v>0</v>
      </c>
      <c r="AD222">
        <v>0</v>
      </c>
      <c r="AE222" t="s">
        <v>1863</v>
      </c>
      <c r="AF222">
        <v>18367.349999999999</v>
      </c>
      <c r="AG222">
        <v>1</v>
      </c>
      <c r="AH222">
        <v>60000</v>
      </c>
      <c r="AI222" s="1" t="s">
        <v>292</v>
      </c>
      <c r="AJ222">
        <v>257594</v>
      </c>
      <c r="AK222" s="1" t="s">
        <v>1867</v>
      </c>
      <c r="AL222" t="s">
        <v>1926</v>
      </c>
      <c r="AN222" t="s">
        <v>2057</v>
      </c>
      <c r="AO222" t="s">
        <v>2067</v>
      </c>
      <c r="AP222" t="s">
        <v>2110</v>
      </c>
      <c r="AQ222">
        <v>127378</v>
      </c>
      <c r="AR222" s="3">
        <v>46203</v>
      </c>
      <c r="AS222" s="3">
        <v>46174</v>
      </c>
      <c r="AT222" s="3">
        <v>46222</v>
      </c>
      <c r="AU222" t="s">
        <v>2128</v>
      </c>
      <c r="AW222" s="3">
        <v>46208.53701449134</v>
      </c>
    </row>
    <row r="223" spans="1:49" ht="16" hidden="1" x14ac:dyDescent="0.2">
      <c r="A223" t="s">
        <v>55</v>
      </c>
      <c r="B223">
        <v>11563</v>
      </c>
      <c r="C223">
        <v>4806</v>
      </c>
      <c r="D223" t="s">
        <v>155</v>
      </c>
      <c r="E223" t="s">
        <v>292</v>
      </c>
      <c r="F223">
        <v>257594</v>
      </c>
      <c r="G223" t="s">
        <v>888</v>
      </c>
      <c r="H223">
        <v>580840</v>
      </c>
      <c r="I223" t="s">
        <v>1768</v>
      </c>
      <c r="J223">
        <v>580844</v>
      </c>
      <c r="K223" t="s">
        <v>1844</v>
      </c>
      <c r="L223" t="s">
        <v>1851</v>
      </c>
      <c r="M223" s="1">
        <v>60000</v>
      </c>
      <c r="N223" t="s">
        <v>1858</v>
      </c>
      <c r="O223">
        <v>0</v>
      </c>
      <c r="P223" s="1">
        <v>18367.349999999999</v>
      </c>
      <c r="S223" s="6" t="str">
        <f t="shared" si="3"/>
        <v xml:space="preserve"> </v>
      </c>
      <c r="T223" s="6" t="str">
        <f>IF(IF(COUNTIF(H$2:$H223,H223)=1,1,"")=1,SUMIF($H$2:$H$7997,H223,$S$2:$S$7997),"")</f>
        <v/>
      </c>
      <c r="W223">
        <v>0</v>
      </c>
      <c r="X223">
        <v>0</v>
      </c>
      <c r="Y223">
        <v>0</v>
      </c>
      <c r="Z223">
        <v>0</v>
      </c>
      <c r="AA223" s="2">
        <v>1</v>
      </c>
      <c r="AB223" s="2">
        <v>0</v>
      </c>
      <c r="AC223" s="2">
        <v>0</v>
      </c>
      <c r="AD223">
        <v>0</v>
      </c>
      <c r="AE223" t="s">
        <v>1863</v>
      </c>
      <c r="AF223">
        <v>18367.349999999999</v>
      </c>
      <c r="AG223">
        <v>1</v>
      </c>
      <c r="AH223">
        <v>60000</v>
      </c>
      <c r="AI223" s="1" t="s">
        <v>292</v>
      </c>
      <c r="AJ223">
        <v>257594</v>
      </c>
      <c r="AK223" s="1" t="s">
        <v>1867</v>
      </c>
      <c r="AL223" t="s">
        <v>1926</v>
      </c>
      <c r="AN223" t="s">
        <v>2057</v>
      </c>
      <c r="AO223" t="s">
        <v>2067</v>
      </c>
      <c r="AP223" t="s">
        <v>2107</v>
      </c>
      <c r="AQ223">
        <v>127378</v>
      </c>
      <c r="AR223" s="3">
        <v>46203</v>
      </c>
      <c r="AS223" s="3">
        <v>46174</v>
      </c>
      <c r="AT223" s="3">
        <v>46222</v>
      </c>
      <c r="AU223" t="s">
        <v>2127</v>
      </c>
      <c r="AW223" s="3">
        <v>46208.53701449134</v>
      </c>
    </row>
    <row r="224" spans="1:49" ht="16" hidden="1" x14ac:dyDescent="0.2">
      <c r="A224" t="s">
        <v>55</v>
      </c>
      <c r="B224">
        <v>11563</v>
      </c>
      <c r="C224">
        <v>4806</v>
      </c>
      <c r="D224" t="s">
        <v>155</v>
      </c>
      <c r="E224" t="s">
        <v>292</v>
      </c>
      <c r="F224">
        <v>257594</v>
      </c>
      <c r="G224" t="s">
        <v>888</v>
      </c>
      <c r="H224">
        <v>580840</v>
      </c>
      <c r="I224" t="s">
        <v>1698</v>
      </c>
      <c r="J224">
        <v>580843</v>
      </c>
      <c r="K224" t="s">
        <v>1835</v>
      </c>
      <c r="L224" t="s">
        <v>1851</v>
      </c>
      <c r="M224" s="1">
        <v>60000</v>
      </c>
      <c r="N224" t="s">
        <v>1858</v>
      </c>
      <c r="O224">
        <v>0</v>
      </c>
      <c r="P224" s="1">
        <v>18367.349999999999</v>
      </c>
      <c r="S224" s="6" t="str">
        <f t="shared" si="3"/>
        <v xml:space="preserve"> </v>
      </c>
      <c r="T224" s="6" t="str">
        <f>IF(IF(COUNTIF(H$2:$H224,H224)=1,1,"")=1,SUMIF($H$2:$H$7997,H224,$S$2:$S$7997),"")</f>
        <v/>
      </c>
      <c r="W224">
        <v>0</v>
      </c>
      <c r="X224">
        <v>0</v>
      </c>
      <c r="Y224">
        <v>0</v>
      </c>
      <c r="Z224">
        <v>0</v>
      </c>
      <c r="AA224" s="2">
        <v>1</v>
      </c>
      <c r="AB224" s="2">
        <v>0</v>
      </c>
      <c r="AC224" s="2">
        <v>0</v>
      </c>
      <c r="AD224">
        <v>0</v>
      </c>
      <c r="AE224" t="s">
        <v>1863</v>
      </c>
      <c r="AF224">
        <v>18367.349999999999</v>
      </c>
      <c r="AG224">
        <v>1</v>
      </c>
      <c r="AH224">
        <v>60000</v>
      </c>
      <c r="AI224" s="1" t="s">
        <v>292</v>
      </c>
      <c r="AJ224">
        <v>257594</v>
      </c>
      <c r="AK224" s="1" t="s">
        <v>1867</v>
      </c>
      <c r="AL224" t="s">
        <v>1926</v>
      </c>
      <c r="AN224" t="s">
        <v>2057</v>
      </c>
      <c r="AO224" t="s">
        <v>2067</v>
      </c>
      <c r="AP224" t="s">
        <v>2109</v>
      </c>
      <c r="AQ224">
        <v>127378</v>
      </c>
      <c r="AR224" s="3">
        <v>46203</v>
      </c>
      <c r="AS224" s="3">
        <v>46174</v>
      </c>
      <c r="AT224" s="3">
        <v>46222</v>
      </c>
      <c r="AU224" t="s">
        <v>2129</v>
      </c>
      <c r="AW224" s="3">
        <v>46208.53701449134</v>
      </c>
    </row>
    <row r="225" spans="1:49" ht="16" hidden="1" x14ac:dyDescent="0.2">
      <c r="A225" t="s">
        <v>55</v>
      </c>
      <c r="B225">
        <v>11563</v>
      </c>
      <c r="C225">
        <v>4806</v>
      </c>
      <c r="D225" t="s">
        <v>155</v>
      </c>
      <c r="E225" t="s">
        <v>292</v>
      </c>
      <c r="F225">
        <v>257594</v>
      </c>
      <c r="G225" t="s">
        <v>536</v>
      </c>
      <c r="H225">
        <v>582660</v>
      </c>
      <c r="I225" t="s">
        <v>1055</v>
      </c>
      <c r="J225">
        <v>93820103</v>
      </c>
      <c r="K225" t="s">
        <v>1840</v>
      </c>
      <c r="L225" t="s">
        <v>1850</v>
      </c>
      <c r="M225" s="1">
        <v>21</v>
      </c>
      <c r="N225" t="s">
        <v>1855</v>
      </c>
      <c r="O225">
        <v>1943544</v>
      </c>
      <c r="P225" s="1">
        <v>40814.42</v>
      </c>
      <c r="S225" s="6" t="str">
        <f t="shared" si="3"/>
        <v xml:space="preserve"> </v>
      </c>
      <c r="T225" s="6">
        <f>IF(IF(COUNTIF(H$2:$H225,H225)=1,1,"")=1,SUMIF($H$2:$H$7997,H225,$S$2:$S$7997),"")</f>
        <v>0</v>
      </c>
      <c r="W225">
        <v>1943544</v>
      </c>
      <c r="X225">
        <v>1943544</v>
      </c>
      <c r="Y225">
        <v>0</v>
      </c>
      <c r="Z225">
        <v>0</v>
      </c>
      <c r="AA225" s="2">
        <v>1</v>
      </c>
      <c r="AB225" s="2">
        <v>0</v>
      </c>
      <c r="AC225" s="2">
        <v>0</v>
      </c>
      <c r="AD225">
        <v>0</v>
      </c>
      <c r="AE225" t="s">
        <v>1862</v>
      </c>
      <c r="AF225">
        <v>20534.07</v>
      </c>
      <c r="AG225">
        <v>2952380</v>
      </c>
      <c r="AH225">
        <v>61999.98</v>
      </c>
      <c r="AI225" s="1" t="s">
        <v>292</v>
      </c>
      <c r="AJ225">
        <v>93819864</v>
      </c>
      <c r="AK225" s="1" t="s">
        <v>1868</v>
      </c>
      <c r="AL225" t="s">
        <v>1926</v>
      </c>
      <c r="AN225" t="s">
        <v>2057</v>
      </c>
      <c r="AO225" t="s">
        <v>2067</v>
      </c>
      <c r="AP225" t="s">
        <v>2083</v>
      </c>
      <c r="AQ225">
        <v>127378</v>
      </c>
      <c r="AR225" s="3">
        <v>46203</v>
      </c>
      <c r="AS225" s="3">
        <v>46174</v>
      </c>
      <c r="AT225" s="3">
        <v>46222</v>
      </c>
      <c r="AU225" t="s">
        <v>2123</v>
      </c>
      <c r="AW225" s="3">
        <v>46208.53701449134</v>
      </c>
    </row>
    <row r="226" spans="1:49" ht="16" hidden="1" x14ac:dyDescent="0.2">
      <c r="A226" t="s">
        <v>55</v>
      </c>
      <c r="B226">
        <v>11563</v>
      </c>
      <c r="C226">
        <v>4806</v>
      </c>
      <c r="D226" t="s">
        <v>155</v>
      </c>
      <c r="E226" t="s">
        <v>292</v>
      </c>
      <c r="F226">
        <v>257594</v>
      </c>
      <c r="G226" t="s">
        <v>536</v>
      </c>
      <c r="H226">
        <v>582660</v>
      </c>
      <c r="I226" t="s">
        <v>1054</v>
      </c>
      <c r="J226">
        <v>93820094</v>
      </c>
      <c r="K226" t="s">
        <v>1839</v>
      </c>
      <c r="L226" t="s">
        <v>1850</v>
      </c>
      <c r="M226" s="1">
        <v>21</v>
      </c>
      <c r="N226" t="s">
        <v>1855</v>
      </c>
      <c r="O226">
        <v>2938078</v>
      </c>
      <c r="P226" s="1">
        <v>61699.64</v>
      </c>
      <c r="S226" s="6" t="str">
        <f t="shared" si="3"/>
        <v xml:space="preserve"> </v>
      </c>
      <c r="T226" s="6" t="str">
        <f>IF(IF(COUNTIF(H$2:$H226,H226)=1,1,"")=1,SUMIF($H$2:$H$7997,H226,$S$2:$S$7997),"")</f>
        <v/>
      </c>
      <c r="W226">
        <v>2938078</v>
      </c>
      <c r="X226">
        <v>2938078</v>
      </c>
      <c r="Y226">
        <v>0</v>
      </c>
      <c r="Z226">
        <v>0</v>
      </c>
      <c r="AA226" s="2">
        <v>1</v>
      </c>
      <c r="AB226" s="2">
        <v>0</v>
      </c>
      <c r="AC226" s="2">
        <v>0</v>
      </c>
      <c r="AD226">
        <v>0</v>
      </c>
      <c r="AE226" t="s">
        <v>1862</v>
      </c>
      <c r="AF226">
        <v>30801.13</v>
      </c>
      <c r="AG226">
        <v>4428573</v>
      </c>
      <c r="AH226">
        <v>93000.03</v>
      </c>
      <c r="AI226" s="1" t="s">
        <v>292</v>
      </c>
      <c r="AJ226">
        <v>93819864</v>
      </c>
      <c r="AK226" s="1" t="s">
        <v>1868</v>
      </c>
      <c r="AL226" t="s">
        <v>1926</v>
      </c>
      <c r="AN226" t="s">
        <v>2057</v>
      </c>
      <c r="AO226" t="s">
        <v>2067</v>
      </c>
      <c r="AP226" t="s">
        <v>2093</v>
      </c>
      <c r="AQ226">
        <v>127378</v>
      </c>
      <c r="AR226" s="3">
        <v>46203</v>
      </c>
      <c r="AS226" s="3">
        <v>46174</v>
      </c>
      <c r="AT226" s="3">
        <v>46222</v>
      </c>
      <c r="AU226" t="s">
        <v>2124</v>
      </c>
      <c r="AW226" s="3">
        <v>46208.53701449134</v>
      </c>
    </row>
    <row r="227" spans="1:49" ht="16" hidden="1" x14ac:dyDescent="0.2">
      <c r="A227" t="s">
        <v>55</v>
      </c>
      <c r="B227">
        <v>11563</v>
      </c>
      <c r="C227">
        <v>4806</v>
      </c>
      <c r="D227" t="s">
        <v>155</v>
      </c>
      <c r="E227" t="s">
        <v>292</v>
      </c>
      <c r="F227">
        <v>257594</v>
      </c>
      <c r="G227" t="s">
        <v>790</v>
      </c>
      <c r="H227">
        <v>587925</v>
      </c>
      <c r="I227" t="s">
        <v>1543</v>
      </c>
      <c r="J227">
        <v>7309213366</v>
      </c>
      <c r="K227" t="s">
        <v>1835</v>
      </c>
      <c r="L227" t="s">
        <v>1850</v>
      </c>
      <c r="M227" s="1">
        <v>6</v>
      </c>
      <c r="N227" t="s">
        <v>23</v>
      </c>
      <c r="O227">
        <v>0</v>
      </c>
      <c r="P227" s="1">
        <v>0</v>
      </c>
      <c r="S227" s="6" t="str">
        <f t="shared" si="3"/>
        <v xml:space="preserve"> </v>
      </c>
      <c r="T227" s="6">
        <f>IF(IF(COUNTIF(H$2:$H227,H227)=1,1,"")=1,SUMIF($H$2:$H$7997,H227,$S$2:$S$7997),"")</f>
        <v>0</v>
      </c>
      <c r="W227">
        <v>0</v>
      </c>
      <c r="X227">
        <v>0</v>
      </c>
      <c r="Y227">
        <v>0</v>
      </c>
      <c r="Z227">
        <v>0</v>
      </c>
      <c r="AA227" s="2">
        <v>1</v>
      </c>
      <c r="AB227" s="2">
        <v>0</v>
      </c>
      <c r="AC227" s="2">
        <v>0</v>
      </c>
      <c r="AD227">
        <v>0</v>
      </c>
      <c r="AE227" t="s">
        <v>1862</v>
      </c>
      <c r="AF227">
        <v>108.99</v>
      </c>
      <c r="AG227">
        <v>166667</v>
      </c>
      <c r="AH227">
        <v>1000</v>
      </c>
      <c r="AI227" s="1" t="s">
        <v>292</v>
      </c>
      <c r="AJ227">
        <v>257594</v>
      </c>
      <c r="AK227" s="1" t="s">
        <v>1867</v>
      </c>
      <c r="AL227" t="s">
        <v>1926</v>
      </c>
      <c r="AN227" t="s">
        <v>2057</v>
      </c>
      <c r="AO227" t="s">
        <v>2067</v>
      </c>
      <c r="AP227" t="s">
        <v>2102</v>
      </c>
      <c r="AQ227">
        <v>127378</v>
      </c>
      <c r="AR227" s="3">
        <v>46203</v>
      </c>
      <c r="AS227" s="3">
        <v>46174</v>
      </c>
      <c r="AT227" s="3">
        <v>46222</v>
      </c>
      <c r="AU227" t="s">
        <v>2126</v>
      </c>
      <c r="AW227" s="3">
        <v>46208.53701449134</v>
      </c>
    </row>
    <row r="228" spans="1:49" ht="16" x14ac:dyDescent="0.2">
      <c r="A228" t="s">
        <v>55</v>
      </c>
      <c r="B228">
        <v>11563</v>
      </c>
      <c r="C228">
        <v>8592</v>
      </c>
      <c r="D228" t="s">
        <v>139</v>
      </c>
      <c r="E228" t="s">
        <v>304</v>
      </c>
      <c r="F228">
        <v>258950</v>
      </c>
      <c r="G228" t="s">
        <v>557</v>
      </c>
      <c r="H228">
        <v>581023</v>
      </c>
      <c r="I228" t="s">
        <v>1094</v>
      </c>
      <c r="J228">
        <v>93933372</v>
      </c>
      <c r="K228" t="s">
        <v>1835</v>
      </c>
      <c r="L228" t="s">
        <v>1850</v>
      </c>
      <c r="M228" s="1">
        <v>25</v>
      </c>
      <c r="N228" t="s">
        <v>1854</v>
      </c>
      <c r="O228">
        <v>548881</v>
      </c>
      <c r="P228" s="1">
        <v>13722.02</v>
      </c>
      <c r="S228" s="6" t="str">
        <f t="shared" si="3"/>
        <v xml:space="preserve"> </v>
      </c>
      <c r="T228" s="6">
        <f>IF(IF(COUNTIF(H$2:$H228,H228)=1,1,"")=1,SUMIF($H$2:$H$7997,H228,$S$2:$S$7997),"")</f>
        <v>0</v>
      </c>
      <c r="W228">
        <v>444031</v>
      </c>
      <c r="X228">
        <v>444031</v>
      </c>
      <c r="Y228">
        <v>548881</v>
      </c>
      <c r="Z228">
        <v>548881</v>
      </c>
      <c r="AA228" s="2">
        <v>1</v>
      </c>
      <c r="AB228" s="2">
        <v>1.236132455218625</v>
      </c>
      <c r="AC228" s="2">
        <v>0</v>
      </c>
      <c r="AD228">
        <v>0</v>
      </c>
      <c r="AE228" t="s">
        <v>1862</v>
      </c>
      <c r="AF228">
        <v>6860.83</v>
      </c>
      <c r="AG228">
        <v>1000000</v>
      </c>
      <c r="AH228">
        <v>25000</v>
      </c>
      <c r="AI228" s="1" t="s">
        <v>304</v>
      </c>
      <c r="AJ228">
        <v>93933353</v>
      </c>
      <c r="AK228" s="1" t="s">
        <v>1867</v>
      </c>
      <c r="AL228" t="s">
        <v>1937</v>
      </c>
      <c r="AN228" t="s">
        <v>2057</v>
      </c>
      <c r="AO228" t="s">
        <v>2067</v>
      </c>
      <c r="AP228" t="s">
        <v>2091</v>
      </c>
      <c r="AQ228">
        <v>128041</v>
      </c>
      <c r="AR228" s="3">
        <v>46203</v>
      </c>
      <c r="AS228" s="3">
        <v>46174</v>
      </c>
      <c r="AT228" s="3">
        <v>46222</v>
      </c>
      <c r="AU228" t="s">
        <v>2123</v>
      </c>
      <c r="AW228" s="3">
        <v>46208.53701449134</v>
      </c>
    </row>
    <row r="229" spans="1:49" ht="16" x14ac:dyDescent="0.2">
      <c r="A229" t="s">
        <v>55</v>
      </c>
      <c r="B229">
        <v>11563</v>
      </c>
      <c r="C229">
        <v>8592</v>
      </c>
      <c r="D229" t="s">
        <v>139</v>
      </c>
      <c r="E229" t="s">
        <v>304</v>
      </c>
      <c r="F229">
        <v>258950</v>
      </c>
      <c r="G229" t="s">
        <v>791</v>
      </c>
      <c r="H229">
        <v>581025</v>
      </c>
      <c r="I229" t="s">
        <v>1544</v>
      </c>
      <c r="J229">
        <v>7310117465</v>
      </c>
      <c r="K229" t="s">
        <v>1835</v>
      </c>
      <c r="L229" t="s">
        <v>1850</v>
      </c>
      <c r="M229" s="1">
        <v>6</v>
      </c>
      <c r="N229" t="s">
        <v>22</v>
      </c>
      <c r="O229">
        <v>0</v>
      </c>
      <c r="P229" s="1">
        <v>0</v>
      </c>
      <c r="S229" s="6" t="str">
        <f t="shared" si="3"/>
        <v xml:space="preserve"> </v>
      </c>
      <c r="T229" s="6">
        <f>IF(IF(COUNTIF(H$2:$H229,H229)=1,1,"")=1,SUMIF($H$2:$H$7997,H229,$S$2:$S$7997),"")</f>
        <v>0</v>
      </c>
      <c r="W229">
        <v>0</v>
      </c>
      <c r="X229">
        <v>0</v>
      </c>
      <c r="Y229">
        <v>0</v>
      </c>
      <c r="Z229">
        <v>0</v>
      </c>
      <c r="AA229" s="2">
        <v>1</v>
      </c>
      <c r="AB229" s="2">
        <v>0</v>
      </c>
      <c r="AC229" s="2">
        <v>0</v>
      </c>
      <c r="AD229">
        <v>0</v>
      </c>
      <c r="AE229" t="s">
        <v>1862</v>
      </c>
      <c r="AF229">
        <v>47687.09</v>
      </c>
      <c r="AG229">
        <v>45833333</v>
      </c>
      <c r="AH229">
        <v>275000</v>
      </c>
      <c r="AI229" s="1" t="s">
        <v>304</v>
      </c>
      <c r="AJ229">
        <v>258950</v>
      </c>
      <c r="AK229" s="1" t="s">
        <v>1867</v>
      </c>
      <c r="AL229" t="s">
        <v>1937</v>
      </c>
      <c r="AN229" t="s">
        <v>2057</v>
      </c>
      <c r="AO229" t="s">
        <v>2067</v>
      </c>
      <c r="AP229" t="s">
        <v>2103</v>
      </c>
      <c r="AQ229">
        <v>128041</v>
      </c>
      <c r="AR229" s="3">
        <v>46203</v>
      </c>
      <c r="AS229" s="3">
        <v>46174</v>
      </c>
      <c r="AT229" s="3">
        <v>46222</v>
      </c>
      <c r="AU229" t="s">
        <v>2126</v>
      </c>
      <c r="AW229" s="3">
        <v>46208.53701449134</v>
      </c>
    </row>
    <row r="230" spans="1:49" ht="16" x14ac:dyDescent="0.2">
      <c r="A230" t="s">
        <v>55</v>
      </c>
      <c r="B230">
        <v>11563</v>
      </c>
      <c r="C230">
        <v>8592</v>
      </c>
      <c r="D230" t="s">
        <v>139</v>
      </c>
      <c r="E230" t="s">
        <v>304</v>
      </c>
      <c r="F230">
        <v>258950</v>
      </c>
      <c r="G230" t="s">
        <v>556</v>
      </c>
      <c r="H230">
        <v>581027</v>
      </c>
      <c r="I230" t="s">
        <v>1093</v>
      </c>
      <c r="J230">
        <v>93933360</v>
      </c>
      <c r="K230" t="s">
        <v>1835</v>
      </c>
      <c r="L230" t="s">
        <v>1850</v>
      </c>
      <c r="M230" s="1">
        <v>30</v>
      </c>
      <c r="N230" t="s">
        <v>22</v>
      </c>
      <c r="O230">
        <v>1852091</v>
      </c>
      <c r="P230" s="1">
        <v>55562.73</v>
      </c>
      <c r="S230" s="6" t="str">
        <f t="shared" si="3"/>
        <v xml:space="preserve"> </v>
      </c>
      <c r="T230" s="6">
        <f>IF(IF(COUNTIF(H$2:$H230,H230)=1,1,"")=1,SUMIF($H$2:$H$7997,H230,$S$2:$S$7997),"")</f>
        <v>0</v>
      </c>
      <c r="W230">
        <v>1852091</v>
      </c>
      <c r="X230">
        <v>1852091</v>
      </c>
      <c r="Y230">
        <v>0</v>
      </c>
      <c r="Z230">
        <v>0</v>
      </c>
      <c r="AA230" s="2">
        <v>1</v>
      </c>
      <c r="AB230" s="2">
        <v>0</v>
      </c>
      <c r="AC230" s="2">
        <v>0</v>
      </c>
      <c r="AD230">
        <v>0</v>
      </c>
      <c r="AE230" t="s">
        <v>1862</v>
      </c>
      <c r="AF230">
        <v>27375.41</v>
      </c>
      <c r="AG230">
        <v>2750000</v>
      </c>
      <c r="AH230">
        <v>82500</v>
      </c>
      <c r="AI230" s="1" t="s">
        <v>304</v>
      </c>
      <c r="AJ230">
        <v>93933353</v>
      </c>
      <c r="AK230" s="1" t="s">
        <v>1867</v>
      </c>
      <c r="AL230" t="s">
        <v>1937</v>
      </c>
      <c r="AN230" t="s">
        <v>2057</v>
      </c>
      <c r="AO230" t="s">
        <v>2067</v>
      </c>
      <c r="AP230" t="s">
        <v>2092</v>
      </c>
      <c r="AQ230">
        <v>128041</v>
      </c>
      <c r="AR230" s="3">
        <v>46203</v>
      </c>
      <c r="AS230" s="3">
        <v>46174</v>
      </c>
      <c r="AT230" s="3">
        <v>46222</v>
      </c>
      <c r="AU230" t="s">
        <v>2123</v>
      </c>
      <c r="AW230" s="3">
        <v>46208.53701449134</v>
      </c>
    </row>
    <row r="231" spans="1:49" ht="16" x14ac:dyDescent="0.2">
      <c r="A231" t="s">
        <v>55</v>
      </c>
      <c r="B231">
        <v>11563</v>
      </c>
      <c r="C231">
        <v>8592</v>
      </c>
      <c r="D231" t="s">
        <v>139</v>
      </c>
      <c r="E231" t="s">
        <v>304</v>
      </c>
      <c r="F231">
        <v>258950</v>
      </c>
      <c r="G231" t="s">
        <v>556</v>
      </c>
      <c r="H231">
        <v>581027</v>
      </c>
      <c r="I231" t="s">
        <v>1097</v>
      </c>
      <c r="J231">
        <v>93943468</v>
      </c>
      <c r="K231" t="s">
        <v>1839</v>
      </c>
      <c r="L231" t="s">
        <v>1850</v>
      </c>
      <c r="M231" s="1">
        <v>30</v>
      </c>
      <c r="N231" t="s">
        <v>22</v>
      </c>
      <c r="O231">
        <v>4231334</v>
      </c>
      <c r="P231" s="1">
        <v>126940.02</v>
      </c>
      <c r="S231" s="6" t="str">
        <f t="shared" si="3"/>
        <v xml:space="preserve"> </v>
      </c>
      <c r="T231" s="6" t="str">
        <f>IF(IF(COUNTIF(H$2:$H231,H231)=1,1,"")=1,SUMIF($H$2:$H$7997,H231,$S$2:$S$7997),"")</f>
        <v/>
      </c>
      <c r="W231">
        <v>4231334</v>
      </c>
      <c r="X231">
        <v>4231334</v>
      </c>
      <c r="Y231">
        <v>0</v>
      </c>
      <c r="Z231">
        <v>0</v>
      </c>
      <c r="AA231" s="2">
        <v>1</v>
      </c>
      <c r="AB231" s="2">
        <v>0</v>
      </c>
      <c r="AC231" s="2">
        <v>0</v>
      </c>
      <c r="AD231">
        <v>0</v>
      </c>
      <c r="AE231" t="s">
        <v>1862</v>
      </c>
      <c r="AF231">
        <v>63875.96</v>
      </c>
      <c r="AG231">
        <v>6416667</v>
      </c>
      <c r="AH231">
        <v>192500.01</v>
      </c>
      <c r="AI231" s="1" t="s">
        <v>304</v>
      </c>
      <c r="AJ231">
        <v>93933353</v>
      </c>
      <c r="AK231" s="1" t="s">
        <v>1867</v>
      </c>
      <c r="AL231" t="s">
        <v>1937</v>
      </c>
      <c r="AN231" t="s">
        <v>2057</v>
      </c>
      <c r="AO231" t="s">
        <v>2067</v>
      </c>
      <c r="AP231" t="s">
        <v>2094</v>
      </c>
      <c r="AQ231">
        <v>128041</v>
      </c>
      <c r="AR231" s="3">
        <v>46203</v>
      </c>
      <c r="AS231" s="3">
        <v>46174</v>
      </c>
      <c r="AT231" s="3">
        <v>46222</v>
      </c>
      <c r="AU231" t="s">
        <v>2124</v>
      </c>
      <c r="AW231" s="3">
        <v>46208.53701449134</v>
      </c>
    </row>
    <row r="232" spans="1:49" s="14" customFormat="1" ht="16" x14ac:dyDescent="0.2">
      <c r="A232" s="14" t="s">
        <v>55</v>
      </c>
      <c r="B232" s="14">
        <v>11563</v>
      </c>
      <c r="C232" s="14">
        <v>8592</v>
      </c>
      <c r="D232" s="14" t="s">
        <v>139</v>
      </c>
      <c r="E232" s="14" t="s">
        <v>304</v>
      </c>
      <c r="F232" s="14">
        <v>258950</v>
      </c>
      <c r="G232" s="14" t="s">
        <v>860</v>
      </c>
      <c r="H232" s="14">
        <v>581030</v>
      </c>
      <c r="I232" s="14" t="s">
        <v>1656</v>
      </c>
      <c r="J232" s="14">
        <v>581031</v>
      </c>
      <c r="K232" s="14" t="s">
        <v>1846</v>
      </c>
      <c r="L232" s="14" t="s">
        <v>1851</v>
      </c>
      <c r="M232" s="15">
        <v>100000</v>
      </c>
      <c r="N232" s="14" t="s">
        <v>1858</v>
      </c>
      <c r="O232" s="14">
        <v>0</v>
      </c>
      <c r="P232" s="15">
        <v>30612.240000000002</v>
      </c>
      <c r="S232" s="16" t="str">
        <f t="shared" si="3"/>
        <v xml:space="preserve"> </v>
      </c>
      <c r="T232" s="16">
        <f>IF(IF(COUNTIF(H$2:$H232,H232)=1,1,"")=1,SUMIF($H$2:$H$7997,H232,$S$2:$S$7997),"")</f>
        <v>0</v>
      </c>
      <c r="W232" s="14">
        <v>0</v>
      </c>
      <c r="X232" s="14">
        <v>0</v>
      </c>
      <c r="Y232" s="14">
        <v>0</v>
      </c>
      <c r="Z232" s="14">
        <v>0</v>
      </c>
      <c r="AA232" s="17">
        <v>1</v>
      </c>
      <c r="AB232" s="17">
        <v>0</v>
      </c>
      <c r="AC232" s="17">
        <v>0</v>
      </c>
      <c r="AD232" s="14">
        <v>0</v>
      </c>
      <c r="AE232" s="14" t="s">
        <v>1863</v>
      </c>
      <c r="AF232" s="14">
        <v>30612.240000000002</v>
      </c>
      <c r="AG232" s="14">
        <v>1</v>
      </c>
      <c r="AH232" s="14">
        <v>100000</v>
      </c>
      <c r="AI232" s="15" t="s">
        <v>304</v>
      </c>
      <c r="AJ232" s="14">
        <v>258950</v>
      </c>
      <c r="AK232" s="15" t="s">
        <v>1867</v>
      </c>
      <c r="AL232" s="14" t="s">
        <v>1937</v>
      </c>
      <c r="AN232" s="14" t="s">
        <v>2057</v>
      </c>
      <c r="AO232" s="14" t="s">
        <v>2067</v>
      </c>
      <c r="AP232" s="14" t="s">
        <v>2110</v>
      </c>
      <c r="AQ232" s="14">
        <v>128041</v>
      </c>
      <c r="AR232" s="18">
        <v>46203</v>
      </c>
      <c r="AS232" s="18">
        <v>46174</v>
      </c>
      <c r="AT232" s="18">
        <v>46222</v>
      </c>
      <c r="AU232" s="14" t="s">
        <v>2128</v>
      </c>
      <c r="AW232" s="18">
        <v>46208.53701449134</v>
      </c>
    </row>
    <row r="233" spans="1:49" s="14" customFormat="1" ht="16" x14ac:dyDescent="0.2">
      <c r="A233" s="14" t="s">
        <v>55</v>
      </c>
      <c r="B233" s="14">
        <v>11563</v>
      </c>
      <c r="C233" s="14">
        <v>8592</v>
      </c>
      <c r="D233" s="14" t="s">
        <v>139</v>
      </c>
      <c r="E233" s="14" t="s">
        <v>304</v>
      </c>
      <c r="F233" s="14">
        <v>258950</v>
      </c>
      <c r="G233" s="14" t="s">
        <v>860</v>
      </c>
      <c r="H233" s="14">
        <v>581030</v>
      </c>
      <c r="I233" s="14" t="s">
        <v>1669</v>
      </c>
      <c r="J233" s="14">
        <v>581034</v>
      </c>
      <c r="K233" s="14" t="s">
        <v>1844</v>
      </c>
      <c r="L233" s="14" t="s">
        <v>1851</v>
      </c>
      <c r="M233" s="15">
        <v>100000</v>
      </c>
      <c r="N233" s="14" t="s">
        <v>1858</v>
      </c>
      <c r="O233" s="14">
        <v>0</v>
      </c>
      <c r="P233" s="15">
        <v>30612.240000000002</v>
      </c>
      <c r="S233" s="16" t="str">
        <f t="shared" si="3"/>
        <v xml:space="preserve"> </v>
      </c>
      <c r="T233" s="16" t="str">
        <f>IF(IF(COUNTIF(H$2:$H233,H233)=1,1,"")=1,SUMIF($H$2:$H$7997,H233,$S$2:$S$7997),"")</f>
        <v/>
      </c>
      <c r="W233" s="14">
        <v>0</v>
      </c>
      <c r="X233" s="14">
        <v>0</v>
      </c>
      <c r="Y233" s="14">
        <v>0</v>
      </c>
      <c r="Z233" s="14">
        <v>0</v>
      </c>
      <c r="AA233" s="17">
        <v>1</v>
      </c>
      <c r="AB233" s="17">
        <v>0</v>
      </c>
      <c r="AC233" s="17">
        <v>0</v>
      </c>
      <c r="AD233" s="14">
        <v>0</v>
      </c>
      <c r="AE233" s="14" t="s">
        <v>1863</v>
      </c>
      <c r="AF233" s="14">
        <v>30612.240000000002</v>
      </c>
      <c r="AG233" s="14">
        <v>1</v>
      </c>
      <c r="AH233" s="14">
        <v>100000</v>
      </c>
      <c r="AI233" s="15" t="s">
        <v>304</v>
      </c>
      <c r="AJ233" s="14">
        <v>258950</v>
      </c>
      <c r="AK233" s="15" t="s">
        <v>1867</v>
      </c>
      <c r="AL233" s="14" t="s">
        <v>1937</v>
      </c>
      <c r="AN233" s="14" t="s">
        <v>2057</v>
      </c>
      <c r="AO233" s="14" t="s">
        <v>2067</v>
      </c>
      <c r="AP233" s="14" t="s">
        <v>2107</v>
      </c>
      <c r="AQ233" s="14">
        <v>128041</v>
      </c>
      <c r="AR233" s="18">
        <v>46203</v>
      </c>
      <c r="AS233" s="18">
        <v>46174</v>
      </c>
      <c r="AT233" s="18">
        <v>46222</v>
      </c>
      <c r="AU233" s="14" t="s">
        <v>2127</v>
      </c>
      <c r="AW233" s="18">
        <v>46208.53701449134</v>
      </c>
    </row>
    <row r="234" spans="1:49" s="14" customFormat="1" ht="16" x14ac:dyDescent="0.2">
      <c r="A234" s="14" t="s">
        <v>55</v>
      </c>
      <c r="B234" s="14">
        <v>11563</v>
      </c>
      <c r="C234" s="14">
        <v>8592</v>
      </c>
      <c r="D234" s="14" t="s">
        <v>139</v>
      </c>
      <c r="E234" s="14" t="s">
        <v>304</v>
      </c>
      <c r="F234" s="14">
        <v>258950</v>
      </c>
      <c r="G234" s="14" t="s">
        <v>860</v>
      </c>
      <c r="H234" s="14">
        <v>581030</v>
      </c>
      <c r="I234" s="14" t="s">
        <v>1754</v>
      </c>
      <c r="J234" s="14">
        <v>581033</v>
      </c>
      <c r="K234" s="14" t="s">
        <v>1835</v>
      </c>
      <c r="L234" s="14" t="s">
        <v>1851</v>
      </c>
      <c r="M234" s="15">
        <v>100000</v>
      </c>
      <c r="N234" s="14" t="s">
        <v>1858</v>
      </c>
      <c r="O234" s="14">
        <v>0</v>
      </c>
      <c r="P234" s="15">
        <v>30612.240000000002</v>
      </c>
      <c r="S234" s="16" t="str">
        <f t="shared" si="3"/>
        <v xml:space="preserve"> </v>
      </c>
      <c r="T234" s="16" t="str">
        <f>IF(IF(COUNTIF(H$2:$H234,H234)=1,1,"")=1,SUMIF($H$2:$H$7997,H234,$S$2:$S$7997),"")</f>
        <v/>
      </c>
      <c r="W234" s="14">
        <v>0</v>
      </c>
      <c r="X234" s="14">
        <v>0</v>
      </c>
      <c r="Y234" s="14">
        <v>0</v>
      </c>
      <c r="Z234" s="14">
        <v>0</v>
      </c>
      <c r="AA234" s="17">
        <v>1</v>
      </c>
      <c r="AB234" s="17">
        <v>0</v>
      </c>
      <c r="AC234" s="17">
        <v>0</v>
      </c>
      <c r="AD234" s="14">
        <v>0</v>
      </c>
      <c r="AE234" s="14" t="s">
        <v>1863</v>
      </c>
      <c r="AF234" s="14">
        <v>30612.240000000002</v>
      </c>
      <c r="AG234" s="14">
        <v>1</v>
      </c>
      <c r="AH234" s="14">
        <v>100000</v>
      </c>
      <c r="AI234" s="15" t="s">
        <v>304</v>
      </c>
      <c r="AJ234" s="14">
        <v>258950</v>
      </c>
      <c r="AK234" s="15" t="s">
        <v>1867</v>
      </c>
      <c r="AL234" s="14" t="s">
        <v>1937</v>
      </c>
      <c r="AN234" s="14" t="s">
        <v>2057</v>
      </c>
      <c r="AO234" s="14" t="s">
        <v>2067</v>
      </c>
      <c r="AP234" s="14" t="s">
        <v>2109</v>
      </c>
      <c r="AQ234" s="14">
        <v>128041</v>
      </c>
      <c r="AR234" s="18">
        <v>46203</v>
      </c>
      <c r="AS234" s="18">
        <v>46174</v>
      </c>
      <c r="AT234" s="18">
        <v>46222</v>
      </c>
      <c r="AU234" s="14" t="s">
        <v>2129</v>
      </c>
      <c r="AW234" s="18">
        <v>46208.53701449134</v>
      </c>
    </row>
    <row r="235" spans="1:49" ht="16" x14ac:dyDescent="0.2">
      <c r="A235" t="s">
        <v>55</v>
      </c>
      <c r="B235">
        <v>11563</v>
      </c>
      <c r="C235">
        <v>8592</v>
      </c>
      <c r="D235" t="s">
        <v>139</v>
      </c>
      <c r="E235" t="s">
        <v>304</v>
      </c>
      <c r="F235">
        <v>258950</v>
      </c>
      <c r="G235" t="s">
        <v>555</v>
      </c>
      <c r="H235">
        <v>582669</v>
      </c>
      <c r="I235" t="s">
        <v>1095</v>
      </c>
      <c r="J235">
        <v>93933384</v>
      </c>
      <c r="K235" t="s">
        <v>1840</v>
      </c>
      <c r="L235" t="s">
        <v>1850</v>
      </c>
      <c r="M235" s="1">
        <v>23.53</v>
      </c>
      <c r="N235" t="s">
        <v>1859</v>
      </c>
      <c r="O235">
        <v>1262126</v>
      </c>
      <c r="P235" s="1">
        <v>29697.82</v>
      </c>
      <c r="S235" s="6" t="str">
        <f t="shared" si="3"/>
        <v xml:space="preserve"> </v>
      </c>
      <c r="T235" s="6">
        <f>IF(IF(COUNTIF(H$2:$H235,H235)=1,1,"")=1,SUMIF($H$2:$H$7997,H235,$S$2:$S$7997),"")</f>
        <v>0</v>
      </c>
      <c r="W235">
        <v>1262126</v>
      </c>
      <c r="X235">
        <v>1262126</v>
      </c>
      <c r="Y235">
        <v>0</v>
      </c>
      <c r="Z235">
        <v>0</v>
      </c>
      <c r="AA235" s="2">
        <v>1</v>
      </c>
      <c r="AB235" s="2">
        <v>0</v>
      </c>
      <c r="AC235" s="2">
        <v>0</v>
      </c>
      <c r="AD235">
        <v>0</v>
      </c>
      <c r="AE235" t="s">
        <v>1862</v>
      </c>
      <c r="AF235">
        <v>14998.93</v>
      </c>
      <c r="AG235">
        <v>1938512</v>
      </c>
      <c r="AH235">
        <v>45613.19</v>
      </c>
      <c r="AI235" s="1" t="s">
        <v>304</v>
      </c>
      <c r="AJ235">
        <v>93933353</v>
      </c>
      <c r="AK235" s="1" t="s">
        <v>1868</v>
      </c>
      <c r="AL235" t="s">
        <v>1937</v>
      </c>
      <c r="AN235" t="s">
        <v>2057</v>
      </c>
      <c r="AO235" t="s">
        <v>2067</v>
      </c>
      <c r="AP235" t="s">
        <v>2083</v>
      </c>
      <c r="AQ235">
        <v>128041</v>
      </c>
      <c r="AR235" s="3">
        <v>46203</v>
      </c>
      <c r="AS235" s="3">
        <v>46174</v>
      </c>
      <c r="AT235" s="3">
        <v>46222</v>
      </c>
      <c r="AU235" t="s">
        <v>2123</v>
      </c>
      <c r="AW235" s="3">
        <v>46208.53701449134</v>
      </c>
    </row>
    <row r="236" spans="1:49" ht="16" x14ac:dyDescent="0.2">
      <c r="A236" t="s">
        <v>55</v>
      </c>
      <c r="B236">
        <v>11563</v>
      </c>
      <c r="C236">
        <v>8592</v>
      </c>
      <c r="D236" t="s">
        <v>139</v>
      </c>
      <c r="E236" t="s">
        <v>304</v>
      </c>
      <c r="F236">
        <v>258950</v>
      </c>
      <c r="G236" t="s">
        <v>555</v>
      </c>
      <c r="H236">
        <v>582669</v>
      </c>
      <c r="I236" t="s">
        <v>1092</v>
      </c>
      <c r="J236">
        <v>93933356</v>
      </c>
      <c r="K236" t="s">
        <v>1839</v>
      </c>
      <c r="L236" t="s">
        <v>1850</v>
      </c>
      <c r="M236" s="1">
        <v>23.53</v>
      </c>
      <c r="N236" t="s">
        <v>1859</v>
      </c>
      <c r="O236">
        <v>1925068</v>
      </c>
      <c r="P236" s="1">
        <v>45296.85</v>
      </c>
      <c r="S236" s="6" t="str">
        <f t="shared" si="3"/>
        <v xml:space="preserve"> </v>
      </c>
      <c r="T236" s="6" t="str">
        <f>IF(IF(COUNTIF(H$2:$H236,H236)=1,1,"")=1,SUMIF($H$2:$H$7997,H236,$S$2:$S$7997),"")</f>
        <v/>
      </c>
      <c r="W236">
        <v>1925068</v>
      </c>
      <c r="X236">
        <v>1925068</v>
      </c>
      <c r="Y236">
        <v>0</v>
      </c>
      <c r="Z236">
        <v>0</v>
      </c>
      <c r="AA236" s="2">
        <v>1</v>
      </c>
      <c r="AB236" s="2">
        <v>0</v>
      </c>
      <c r="AC236" s="2">
        <v>0</v>
      </c>
      <c r="AD236">
        <v>0</v>
      </c>
      <c r="AE236" t="s">
        <v>1862</v>
      </c>
      <c r="AF236">
        <v>22498.41</v>
      </c>
      <c r="AG236">
        <v>2907770</v>
      </c>
      <c r="AH236">
        <v>68419.83</v>
      </c>
      <c r="AI236" s="1" t="s">
        <v>304</v>
      </c>
      <c r="AJ236">
        <v>93933353</v>
      </c>
      <c r="AK236" s="1" t="s">
        <v>1868</v>
      </c>
      <c r="AL236" t="s">
        <v>1937</v>
      </c>
      <c r="AN236" t="s">
        <v>2057</v>
      </c>
      <c r="AO236" t="s">
        <v>2067</v>
      </c>
      <c r="AP236" t="s">
        <v>2093</v>
      </c>
      <c r="AQ236">
        <v>128041</v>
      </c>
      <c r="AR236" s="3">
        <v>46203</v>
      </c>
      <c r="AS236" s="3">
        <v>46174</v>
      </c>
      <c r="AT236" s="3">
        <v>46222</v>
      </c>
      <c r="AU236" t="s">
        <v>2124</v>
      </c>
      <c r="AW236" s="3">
        <v>46208.53701449134</v>
      </c>
    </row>
    <row r="237" spans="1:49" ht="16" hidden="1" x14ac:dyDescent="0.2">
      <c r="A237" t="s">
        <v>55</v>
      </c>
      <c r="B237">
        <v>11563</v>
      </c>
      <c r="C237">
        <v>8592</v>
      </c>
      <c r="D237" t="s">
        <v>139</v>
      </c>
      <c r="E237" t="s">
        <v>268</v>
      </c>
      <c r="F237">
        <v>251886</v>
      </c>
      <c r="G237" t="s">
        <v>497</v>
      </c>
      <c r="H237">
        <v>534730</v>
      </c>
      <c r="I237" t="s">
        <v>994</v>
      </c>
      <c r="J237">
        <v>93476181</v>
      </c>
      <c r="K237" t="s">
        <v>1835</v>
      </c>
      <c r="L237" t="s">
        <v>1850</v>
      </c>
      <c r="M237" s="1">
        <v>25</v>
      </c>
      <c r="N237" t="s">
        <v>1854</v>
      </c>
      <c r="O237">
        <v>206503</v>
      </c>
      <c r="P237" s="1">
        <v>5101.58</v>
      </c>
      <c r="S237" s="6" t="str">
        <f t="shared" si="3"/>
        <v xml:space="preserve"> </v>
      </c>
      <c r="T237" s="6">
        <f>IF(IF(COUNTIF(H$2:$H237,H237)=1,1,"")=1,SUMIF($H$2:$H$7997,H237,$S$2:$S$7997),"")</f>
        <v>0</v>
      </c>
      <c r="V237" t="s">
        <v>1860</v>
      </c>
      <c r="W237">
        <v>169926</v>
      </c>
      <c r="X237">
        <v>169926</v>
      </c>
      <c r="Y237">
        <v>206503</v>
      </c>
      <c r="Z237">
        <v>206503</v>
      </c>
      <c r="AA237" s="2">
        <v>1</v>
      </c>
      <c r="AB237" s="2">
        <v>1.215257525870179</v>
      </c>
      <c r="AC237" s="2">
        <v>0</v>
      </c>
      <c r="AD237">
        <v>0</v>
      </c>
      <c r="AE237" t="s">
        <v>1862</v>
      </c>
      <c r="AF237">
        <v>2277.27</v>
      </c>
      <c r="AG237">
        <v>204063</v>
      </c>
      <c r="AH237">
        <v>5101.58</v>
      </c>
      <c r="AI237" s="1" t="s">
        <v>268</v>
      </c>
      <c r="AJ237">
        <v>88709807</v>
      </c>
      <c r="AK237" s="1" t="s">
        <v>1867</v>
      </c>
      <c r="AL237" t="s">
        <v>1906</v>
      </c>
      <c r="AN237" t="s">
        <v>2057</v>
      </c>
      <c r="AO237" t="s">
        <v>2067</v>
      </c>
      <c r="AP237" t="s">
        <v>2071</v>
      </c>
      <c r="AQ237">
        <v>96408</v>
      </c>
      <c r="AR237" s="3">
        <v>46203</v>
      </c>
      <c r="AS237" s="3">
        <v>46113</v>
      </c>
      <c r="AT237" s="3">
        <v>46203</v>
      </c>
      <c r="AU237" t="s">
        <v>2123</v>
      </c>
      <c r="AW237" s="3">
        <v>46208.53701449134</v>
      </c>
    </row>
    <row r="238" spans="1:49" ht="16" hidden="1" x14ac:dyDescent="0.2">
      <c r="A238" t="s">
        <v>55</v>
      </c>
      <c r="B238">
        <v>11563</v>
      </c>
      <c r="C238">
        <v>8592</v>
      </c>
      <c r="D238" t="s">
        <v>139</v>
      </c>
      <c r="E238" t="s">
        <v>268</v>
      </c>
      <c r="F238">
        <v>251886</v>
      </c>
      <c r="G238" t="s">
        <v>497</v>
      </c>
      <c r="H238">
        <v>534730</v>
      </c>
      <c r="I238" t="s">
        <v>1339</v>
      </c>
      <c r="J238">
        <v>94376472</v>
      </c>
      <c r="K238" t="s">
        <v>1843</v>
      </c>
      <c r="L238" t="s">
        <v>1850</v>
      </c>
      <c r="M238" s="1">
        <v>25</v>
      </c>
      <c r="N238" t="s">
        <v>22</v>
      </c>
      <c r="O238">
        <v>409207</v>
      </c>
      <c r="P238" s="1">
        <v>10000</v>
      </c>
      <c r="S238" s="6" t="str">
        <f t="shared" si="3"/>
        <v xml:space="preserve"> </v>
      </c>
      <c r="T238" s="6" t="str">
        <f>IF(IF(COUNTIF(H$2:$H238,H238)=1,1,"")=1,SUMIF($H$2:$H$7997,H238,$S$2:$S$7997),"")</f>
        <v/>
      </c>
      <c r="W238">
        <v>409207</v>
      </c>
      <c r="X238">
        <v>409207</v>
      </c>
      <c r="Y238">
        <v>0</v>
      </c>
      <c r="Z238">
        <v>0</v>
      </c>
      <c r="AA238" s="2">
        <v>1</v>
      </c>
      <c r="AB238" s="2">
        <v>0.99297504015996041</v>
      </c>
      <c r="AC238" s="2">
        <v>0</v>
      </c>
      <c r="AD238">
        <v>0</v>
      </c>
      <c r="AE238" t="s">
        <v>1862</v>
      </c>
      <c r="AF238">
        <v>4463.8500000000004</v>
      </c>
      <c r="AG238">
        <v>400000</v>
      </c>
      <c r="AH238">
        <v>10000</v>
      </c>
      <c r="AI238" s="1" t="s">
        <v>268</v>
      </c>
      <c r="AJ238">
        <v>88709807</v>
      </c>
      <c r="AK238" s="1" t="s">
        <v>1867</v>
      </c>
      <c r="AL238" t="s">
        <v>1906</v>
      </c>
      <c r="AN238" t="s">
        <v>2057</v>
      </c>
      <c r="AO238" t="s">
        <v>2067</v>
      </c>
      <c r="AP238" t="s">
        <v>2099</v>
      </c>
      <c r="AQ238">
        <v>96408</v>
      </c>
      <c r="AR238" s="3">
        <v>46203</v>
      </c>
      <c r="AS238" s="3">
        <v>46113</v>
      </c>
      <c r="AT238" s="3">
        <v>46203</v>
      </c>
      <c r="AU238" t="s">
        <v>2125</v>
      </c>
      <c r="AW238" s="3">
        <v>46208.53701449134</v>
      </c>
    </row>
    <row r="239" spans="1:49" ht="16" hidden="1" x14ac:dyDescent="0.2">
      <c r="A239" t="s">
        <v>55</v>
      </c>
      <c r="B239">
        <v>11563</v>
      </c>
      <c r="C239">
        <v>9010</v>
      </c>
      <c r="D239" t="s">
        <v>118</v>
      </c>
      <c r="E239" t="s">
        <v>232</v>
      </c>
      <c r="F239">
        <v>257492</v>
      </c>
      <c r="G239" t="s">
        <v>444</v>
      </c>
      <c r="H239">
        <v>549546</v>
      </c>
      <c r="I239" t="s">
        <v>929</v>
      </c>
      <c r="J239">
        <v>90185501</v>
      </c>
      <c r="K239" t="s">
        <v>1836</v>
      </c>
      <c r="L239" t="s">
        <v>1850</v>
      </c>
      <c r="M239" s="1">
        <v>20.100000000000001</v>
      </c>
      <c r="N239" t="s">
        <v>1853</v>
      </c>
      <c r="O239">
        <v>2241805</v>
      </c>
      <c r="P239" s="1">
        <v>45060.28</v>
      </c>
      <c r="S239" s="6" t="str">
        <f t="shared" si="3"/>
        <v xml:space="preserve"> </v>
      </c>
      <c r="T239" s="6">
        <f>IF(IF(COUNTIF(H$2:$H239,H239)=1,1,"")=1,SUMIF($H$2:$H$7997,H239,$S$2:$S$7997),"")</f>
        <v>0</v>
      </c>
      <c r="V239" t="s">
        <v>1860</v>
      </c>
      <c r="W239">
        <v>400572</v>
      </c>
      <c r="X239">
        <v>1680988</v>
      </c>
      <c r="Y239">
        <v>534212</v>
      </c>
      <c r="Z239">
        <v>2241805</v>
      </c>
      <c r="AA239" s="2">
        <v>1</v>
      </c>
      <c r="AB239" s="2">
        <v>1.33362370425098</v>
      </c>
      <c r="AC239" s="2">
        <v>0</v>
      </c>
      <c r="AD239">
        <v>0</v>
      </c>
      <c r="AE239" t="s">
        <v>1862</v>
      </c>
      <c r="AF239">
        <v>9809.91</v>
      </c>
      <c r="AG239">
        <v>9950249</v>
      </c>
      <c r="AH239">
        <v>200000</v>
      </c>
      <c r="AI239" s="1" t="s">
        <v>232</v>
      </c>
      <c r="AJ239">
        <v>90185496</v>
      </c>
      <c r="AK239" s="1" t="s">
        <v>1867</v>
      </c>
      <c r="AL239" t="s">
        <v>1878</v>
      </c>
      <c r="AN239" t="s">
        <v>2046</v>
      </c>
      <c r="AO239" t="s">
        <v>2067</v>
      </c>
      <c r="AP239" t="s">
        <v>2074</v>
      </c>
      <c r="AQ239">
        <v>105784</v>
      </c>
      <c r="AR239" s="3">
        <v>46203</v>
      </c>
      <c r="AS239" s="3">
        <v>46125</v>
      </c>
      <c r="AT239" s="3">
        <v>46295</v>
      </c>
      <c r="AU239" t="s">
        <v>2124</v>
      </c>
      <c r="AW239" s="3">
        <v>46208.53701449134</v>
      </c>
    </row>
    <row r="240" spans="1:49" ht="16" hidden="1" x14ac:dyDescent="0.2">
      <c r="A240" t="s">
        <v>55</v>
      </c>
      <c r="B240">
        <v>11563</v>
      </c>
      <c r="C240">
        <v>9010</v>
      </c>
      <c r="D240" t="s">
        <v>118</v>
      </c>
      <c r="E240" t="s">
        <v>232</v>
      </c>
      <c r="F240">
        <v>257492</v>
      </c>
      <c r="G240" t="s">
        <v>443</v>
      </c>
      <c r="H240">
        <v>549549</v>
      </c>
      <c r="I240" t="s">
        <v>928</v>
      </c>
      <c r="J240">
        <v>90185499</v>
      </c>
      <c r="K240" t="s">
        <v>1836</v>
      </c>
      <c r="L240" t="s">
        <v>1850</v>
      </c>
      <c r="M240" s="1">
        <v>34</v>
      </c>
      <c r="N240" t="s">
        <v>1856</v>
      </c>
      <c r="O240">
        <v>264776</v>
      </c>
      <c r="P240" s="1">
        <v>9002.4</v>
      </c>
      <c r="S240" s="6" t="str">
        <f t="shared" si="3"/>
        <v xml:space="preserve"> </v>
      </c>
      <c r="T240" s="6">
        <f>IF(IF(COUNTIF(H$2:$H240,H240)=1,1,"")=1,SUMIF($H$2:$H$7997,H240,$S$2:$S$7997),"")</f>
        <v>0</v>
      </c>
      <c r="W240">
        <v>220647</v>
      </c>
      <c r="X240">
        <v>220647</v>
      </c>
      <c r="Y240">
        <v>264776</v>
      </c>
      <c r="Z240">
        <v>264776</v>
      </c>
      <c r="AA240" s="2">
        <v>1</v>
      </c>
      <c r="AB240" s="2">
        <v>1.2</v>
      </c>
      <c r="AC240" s="2">
        <v>0</v>
      </c>
      <c r="AD240">
        <v>0</v>
      </c>
      <c r="AE240" t="s">
        <v>1862</v>
      </c>
      <c r="AF240">
        <v>7518.83</v>
      </c>
      <c r="AG240">
        <v>1470589</v>
      </c>
      <c r="AH240">
        <v>50000.03</v>
      </c>
      <c r="AI240" s="1" t="s">
        <v>232</v>
      </c>
      <c r="AJ240">
        <v>90185496</v>
      </c>
      <c r="AK240" s="1" t="s">
        <v>1867</v>
      </c>
      <c r="AL240" t="s">
        <v>1878</v>
      </c>
      <c r="AN240" t="s">
        <v>2046</v>
      </c>
      <c r="AO240" t="s">
        <v>2067</v>
      </c>
      <c r="AP240" t="s">
        <v>2073</v>
      </c>
      <c r="AQ240">
        <v>105784</v>
      </c>
      <c r="AR240" s="3">
        <v>46203</v>
      </c>
      <c r="AS240" s="3">
        <v>46162</v>
      </c>
      <c r="AT240" s="3">
        <v>46177</v>
      </c>
      <c r="AU240" t="s">
        <v>2124</v>
      </c>
      <c r="AW240" s="3">
        <v>46208.53701449134</v>
      </c>
    </row>
    <row r="241" spans="1:49" ht="16" hidden="1" x14ac:dyDescent="0.2">
      <c r="A241" t="s">
        <v>55</v>
      </c>
      <c r="B241">
        <v>11563</v>
      </c>
      <c r="C241">
        <v>9010</v>
      </c>
      <c r="D241" t="s">
        <v>118</v>
      </c>
      <c r="E241" t="s">
        <v>232</v>
      </c>
      <c r="F241">
        <v>257492</v>
      </c>
      <c r="G241" t="s">
        <v>828</v>
      </c>
      <c r="H241">
        <v>549554</v>
      </c>
      <c r="I241" t="s">
        <v>828</v>
      </c>
      <c r="J241">
        <v>549554</v>
      </c>
      <c r="K241" t="s">
        <v>1845</v>
      </c>
      <c r="L241" t="s">
        <v>1851</v>
      </c>
      <c r="M241" s="1">
        <v>50000</v>
      </c>
      <c r="N241" t="s">
        <v>1858</v>
      </c>
      <c r="O241">
        <v>0</v>
      </c>
      <c r="P241" s="1">
        <v>18181.82</v>
      </c>
      <c r="S241" s="6" t="str">
        <f t="shared" si="3"/>
        <v xml:space="preserve"> </v>
      </c>
      <c r="T241" s="6">
        <f>IF(IF(COUNTIF(H$2:$H241,H241)=1,1,"")=1,SUMIF($H$2:$H$7997,H241,$S$2:$S$7997),"")</f>
        <v>0</v>
      </c>
      <c r="W241">
        <v>0</v>
      </c>
      <c r="X241">
        <v>0</v>
      </c>
      <c r="Y241">
        <v>0</v>
      </c>
      <c r="Z241">
        <v>0</v>
      </c>
      <c r="AA241" s="2">
        <v>1</v>
      </c>
      <c r="AB241" s="2">
        <v>0</v>
      </c>
      <c r="AC241" s="2">
        <v>0</v>
      </c>
      <c r="AD241">
        <v>0</v>
      </c>
      <c r="AE241" t="s">
        <v>1863</v>
      </c>
      <c r="AF241">
        <v>18181.82</v>
      </c>
      <c r="AG241">
        <v>1</v>
      </c>
      <c r="AH241">
        <v>50000</v>
      </c>
      <c r="AI241" s="1" t="s">
        <v>232</v>
      </c>
      <c r="AJ241">
        <v>257492</v>
      </c>
      <c r="AK241" s="1" t="s">
        <v>1867</v>
      </c>
      <c r="AL241" t="s">
        <v>1878</v>
      </c>
      <c r="AN241" t="s">
        <v>2046</v>
      </c>
      <c r="AO241" t="s">
        <v>2067</v>
      </c>
      <c r="AP241" t="s">
        <v>2108</v>
      </c>
      <c r="AQ241">
        <v>105784</v>
      </c>
      <c r="AR241" s="3">
        <v>46203</v>
      </c>
      <c r="AS241" s="3">
        <v>46160</v>
      </c>
      <c r="AT241" s="3">
        <v>46181</v>
      </c>
      <c r="AU241" t="s">
        <v>2128</v>
      </c>
      <c r="AW241" s="3">
        <v>46208.53701449134</v>
      </c>
    </row>
    <row r="242" spans="1:49" ht="16" hidden="1" x14ac:dyDescent="0.2">
      <c r="A242" t="s">
        <v>55</v>
      </c>
      <c r="B242">
        <v>11563</v>
      </c>
      <c r="C242">
        <v>3802</v>
      </c>
      <c r="D242" t="s">
        <v>164</v>
      </c>
      <c r="E242" t="s">
        <v>306</v>
      </c>
      <c r="F242">
        <v>258952</v>
      </c>
      <c r="G242" t="s">
        <v>561</v>
      </c>
      <c r="H242">
        <v>582543</v>
      </c>
      <c r="I242" t="s">
        <v>1105</v>
      </c>
      <c r="J242">
        <v>93956985</v>
      </c>
      <c r="K242" t="s">
        <v>1835</v>
      </c>
      <c r="L242" t="s">
        <v>1850</v>
      </c>
      <c r="M242" s="1">
        <v>30</v>
      </c>
      <c r="N242" t="s">
        <v>23</v>
      </c>
      <c r="O242">
        <v>1132847</v>
      </c>
      <c r="P242" s="1">
        <v>33750</v>
      </c>
      <c r="S242" s="6" t="str">
        <f t="shared" si="3"/>
        <v xml:space="preserve"> </v>
      </c>
      <c r="T242" s="6">
        <f>IF(IF(COUNTIF(H$2:$H242,H242)=1,1,"")=1,SUMIF($H$2:$H$7997,H242,$S$2:$S$7997),"")</f>
        <v>0</v>
      </c>
      <c r="W242">
        <v>1132847</v>
      </c>
      <c r="X242">
        <v>1132847</v>
      </c>
      <c r="Y242">
        <v>0</v>
      </c>
      <c r="Z242">
        <v>0</v>
      </c>
      <c r="AA242" s="2">
        <v>1</v>
      </c>
      <c r="AB242" s="2">
        <v>0</v>
      </c>
      <c r="AC242" s="2">
        <v>0</v>
      </c>
      <c r="AD242">
        <v>0</v>
      </c>
      <c r="AE242" t="s">
        <v>1862</v>
      </c>
      <c r="AF242">
        <v>16875</v>
      </c>
      <c r="AG242">
        <v>1125000</v>
      </c>
      <c r="AH242">
        <v>33750</v>
      </c>
      <c r="AI242" s="1" t="s">
        <v>306</v>
      </c>
      <c r="AJ242">
        <v>93956943</v>
      </c>
      <c r="AK242" s="1" t="s">
        <v>1867</v>
      </c>
      <c r="AL242" t="s">
        <v>1939</v>
      </c>
      <c r="AN242" t="s">
        <v>2057</v>
      </c>
      <c r="AO242" t="s">
        <v>2067</v>
      </c>
      <c r="AP242" t="s">
        <v>2092</v>
      </c>
      <c r="AQ242">
        <v>128160</v>
      </c>
      <c r="AR242" s="3">
        <v>46203</v>
      </c>
      <c r="AS242" s="3">
        <v>46174</v>
      </c>
      <c r="AT242" s="3">
        <v>46203</v>
      </c>
      <c r="AU242" t="s">
        <v>2123</v>
      </c>
      <c r="AW242" s="3">
        <v>46208.53701449134</v>
      </c>
    </row>
    <row r="243" spans="1:49" ht="16" hidden="1" x14ac:dyDescent="0.2">
      <c r="A243" t="s">
        <v>55</v>
      </c>
      <c r="B243">
        <v>11563</v>
      </c>
      <c r="C243">
        <v>3802</v>
      </c>
      <c r="D243" t="s">
        <v>164</v>
      </c>
      <c r="E243" t="s">
        <v>306</v>
      </c>
      <c r="F243">
        <v>258952</v>
      </c>
      <c r="G243" t="s">
        <v>561</v>
      </c>
      <c r="H243">
        <v>582543</v>
      </c>
      <c r="I243" t="s">
        <v>1102</v>
      </c>
      <c r="J243">
        <v>93956961</v>
      </c>
      <c r="K243" t="s">
        <v>1839</v>
      </c>
      <c r="L243" t="s">
        <v>1850</v>
      </c>
      <c r="M243" s="1">
        <v>30</v>
      </c>
      <c r="N243" t="s">
        <v>23</v>
      </c>
      <c r="O243">
        <v>2699673</v>
      </c>
      <c r="P243" s="1">
        <v>78750</v>
      </c>
      <c r="S243" s="6" t="str">
        <f t="shared" si="3"/>
        <v xml:space="preserve"> </v>
      </c>
      <c r="T243" s="6" t="str">
        <f>IF(IF(COUNTIF(H$2:$H243,H243)=1,1,"")=1,SUMIF($H$2:$H$7997,H243,$S$2:$S$7997),"")</f>
        <v/>
      </c>
      <c r="W243">
        <v>2699673</v>
      </c>
      <c r="X243">
        <v>2699673</v>
      </c>
      <c r="Y243">
        <v>0</v>
      </c>
      <c r="Z243">
        <v>0</v>
      </c>
      <c r="AA243" s="2">
        <v>1</v>
      </c>
      <c r="AB243" s="2">
        <v>0</v>
      </c>
      <c r="AC243" s="2">
        <v>0</v>
      </c>
      <c r="AD243">
        <v>0</v>
      </c>
      <c r="AE243" t="s">
        <v>1862</v>
      </c>
      <c r="AF243">
        <v>39375</v>
      </c>
      <c r="AG243">
        <v>2625000</v>
      </c>
      <c r="AH243">
        <v>78750</v>
      </c>
      <c r="AI243" s="1" t="s">
        <v>306</v>
      </c>
      <c r="AJ243">
        <v>93956943</v>
      </c>
      <c r="AK243" s="1" t="s">
        <v>1867</v>
      </c>
      <c r="AL243" t="s">
        <v>1939</v>
      </c>
      <c r="AN243" t="s">
        <v>2057</v>
      </c>
      <c r="AO243" t="s">
        <v>2067</v>
      </c>
      <c r="AP243" t="s">
        <v>2094</v>
      </c>
      <c r="AQ243">
        <v>128160</v>
      </c>
      <c r="AR243" s="3">
        <v>46203</v>
      </c>
      <c r="AS243" s="3">
        <v>46174</v>
      </c>
      <c r="AT243" s="3">
        <v>46203</v>
      </c>
      <c r="AU243" t="s">
        <v>2124</v>
      </c>
      <c r="AW243" s="3">
        <v>46208.53701449134</v>
      </c>
    </row>
    <row r="244" spans="1:49" ht="16" hidden="1" x14ac:dyDescent="0.2">
      <c r="A244" t="s">
        <v>55</v>
      </c>
      <c r="B244">
        <v>11563</v>
      </c>
      <c r="C244">
        <v>3802</v>
      </c>
      <c r="D244" t="s">
        <v>164</v>
      </c>
      <c r="E244" t="s">
        <v>306</v>
      </c>
      <c r="F244">
        <v>258952</v>
      </c>
      <c r="G244" t="s">
        <v>862</v>
      </c>
      <c r="H244">
        <v>582735</v>
      </c>
      <c r="I244" t="s">
        <v>1817</v>
      </c>
      <c r="J244">
        <v>582736</v>
      </c>
      <c r="K244" t="s">
        <v>1846</v>
      </c>
      <c r="L244" t="s">
        <v>1851</v>
      </c>
      <c r="M244" s="1">
        <v>150000</v>
      </c>
      <c r="N244" t="s">
        <v>1858</v>
      </c>
      <c r="O244">
        <v>0</v>
      </c>
      <c r="P244" s="1">
        <v>75000</v>
      </c>
      <c r="S244" s="6" t="str">
        <f t="shared" si="3"/>
        <v xml:space="preserve"> </v>
      </c>
      <c r="T244" s="6">
        <f>IF(IF(COUNTIF(H$2:$H244,H244)=1,1,"")=1,SUMIF($H$2:$H$7997,H244,$S$2:$S$7997),"")</f>
        <v>0</v>
      </c>
      <c r="W244">
        <v>0</v>
      </c>
      <c r="X244">
        <v>0</v>
      </c>
      <c r="Y244">
        <v>0</v>
      </c>
      <c r="Z244">
        <v>0</v>
      </c>
      <c r="AA244" s="2">
        <v>1</v>
      </c>
      <c r="AB244" s="2">
        <v>0</v>
      </c>
      <c r="AC244" s="2">
        <v>0</v>
      </c>
      <c r="AD244">
        <v>0</v>
      </c>
      <c r="AE244" t="s">
        <v>1863</v>
      </c>
      <c r="AF244">
        <v>75000</v>
      </c>
      <c r="AG244">
        <v>1</v>
      </c>
      <c r="AH244">
        <v>150000</v>
      </c>
      <c r="AI244" s="1" t="s">
        <v>306</v>
      </c>
      <c r="AJ244">
        <v>258952</v>
      </c>
      <c r="AK244" s="1" t="s">
        <v>1867</v>
      </c>
      <c r="AL244" t="s">
        <v>1939</v>
      </c>
      <c r="AN244" t="s">
        <v>2057</v>
      </c>
      <c r="AO244" t="s">
        <v>2067</v>
      </c>
      <c r="AP244" t="s">
        <v>2110</v>
      </c>
      <c r="AQ244">
        <v>128160</v>
      </c>
      <c r="AR244" s="3">
        <v>46203</v>
      </c>
      <c r="AS244" s="3">
        <v>46174</v>
      </c>
      <c r="AT244" s="3">
        <v>46203</v>
      </c>
      <c r="AU244" t="s">
        <v>2128</v>
      </c>
      <c r="AW244" s="3">
        <v>46208.53701449134</v>
      </c>
    </row>
    <row r="245" spans="1:49" ht="16" hidden="1" x14ac:dyDescent="0.2">
      <c r="A245" t="s">
        <v>55</v>
      </c>
      <c r="B245">
        <v>11563</v>
      </c>
      <c r="C245">
        <v>3802</v>
      </c>
      <c r="D245" t="s">
        <v>164</v>
      </c>
      <c r="E245" t="s">
        <v>306</v>
      </c>
      <c r="F245">
        <v>258952</v>
      </c>
      <c r="G245" t="s">
        <v>862</v>
      </c>
      <c r="H245">
        <v>582735</v>
      </c>
      <c r="I245" t="s">
        <v>1658</v>
      </c>
      <c r="J245">
        <v>582739</v>
      </c>
      <c r="K245" t="s">
        <v>1844</v>
      </c>
      <c r="L245" t="s">
        <v>1851</v>
      </c>
      <c r="M245" s="1">
        <v>150000</v>
      </c>
      <c r="N245" t="s">
        <v>1858</v>
      </c>
      <c r="O245">
        <v>0</v>
      </c>
      <c r="P245" s="1">
        <v>75000</v>
      </c>
      <c r="S245" s="6" t="str">
        <f t="shared" si="3"/>
        <v xml:space="preserve"> </v>
      </c>
      <c r="T245" s="6" t="str">
        <f>IF(IF(COUNTIF(H$2:$H245,H245)=1,1,"")=1,SUMIF($H$2:$H$7997,H245,$S$2:$S$7997),"")</f>
        <v/>
      </c>
      <c r="W245">
        <v>0</v>
      </c>
      <c r="X245">
        <v>0</v>
      </c>
      <c r="Y245">
        <v>0</v>
      </c>
      <c r="Z245">
        <v>0</v>
      </c>
      <c r="AA245" s="2">
        <v>1</v>
      </c>
      <c r="AB245" s="2">
        <v>0</v>
      </c>
      <c r="AC245" s="2">
        <v>0</v>
      </c>
      <c r="AD245">
        <v>0</v>
      </c>
      <c r="AE245" t="s">
        <v>1863</v>
      </c>
      <c r="AF245">
        <v>75000</v>
      </c>
      <c r="AG245">
        <v>1</v>
      </c>
      <c r="AH245">
        <v>150000</v>
      </c>
      <c r="AI245" s="1" t="s">
        <v>306</v>
      </c>
      <c r="AJ245">
        <v>258952</v>
      </c>
      <c r="AK245" s="1" t="s">
        <v>1867</v>
      </c>
      <c r="AL245" t="s">
        <v>1939</v>
      </c>
      <c r="AN245" t="s">
        <v>2057</v>
      </c>
      <c r="AO245" t="s">
        <v>2067</v>
      </c>
      <c r="AP245" t="s">
        <v>2107</v>
      </c>
      <c r="AQ245">
        <v>128160</v>
      </c>
      <c r="AR245" s="3">
        <v>46203</v>
      </c>
      <c r="AS245" s="3">
        <v>46174</v>
      </c>
      <c r="AT245" s="3">
        <v>46203</v>
      </c>
      <c r="AU245" t="s">
        <v>2127</v>
      </c>
      <c r="AW245" s="3">
        <v>46208.53701449134</v>
      </c>
    </row>
    <row r="246" spans="1:49" ht="16" hidden="1" x14ac:dyDescent="0.2">
      <c r="A246" t="s">
        <v>55</v>
      </c>
      <c r="B246">
        <v>11563</v>
      </c>
      <c r="C246">
        <v>3802</v>
      </c>
      <c r="D246" t="s">
        <v>164</v>
      </c>
      <c r="E246" t="s">
        <v>306</v>
      </c>
      <c r="F246">
        <v>258952</v>
      </c>
      <c r="G246" t="s">
        <v>862</v>
      </c>
      <c r="H246">
        <v>582735</v>
      </c>
      <c r="I246" t="s">
        <v>1685</v>
      </c>
      <c r="J246">
        <v>582738</v>
      </c>
      <c r="K246" t="s">
        <v>1835</v>
      </c>
      <c r="L246" t="s">
        <v>1851</v>
      </c>
      <c r="M246" s="1">
        <v>150000</v>
      </c>
      <c r="N246" t="s">
        <v>1858</v>
      </c>
      <c r="O246">
        <v>0</v>
      </c>
      <c r="P246" s="1">
        <v>75000</v>
      </c>
      <c r="S246" s="6" t="str">
        <f t="shared" si="3"/>
        <v xml:space="preserve"> </v>
      </c>
      <c r="T246" s="6" t="str">
        <f>IF(IF(COUNTIF(H$2:$H246,H246)=1,1,"")=1,SUMIF($H$2:$H$7997,H246,$S$2:$S$7997),"")</f>
        <v/>
      </c>
      <c r="W246">
        <v>0</v>
      </c>
      <c r="X246">
        <v>0</v>
      </c>
      <c r="Y246">
        <v>0</v>
      </c>
      <c r="Z246">
        <v>0</v>
      </c>
      <c r="AA246" s="2">
        <v>1</v>
      </c>
      <c r="AB246" s="2">
        <v>0</v>
      </c>
      <c r="AC246" s="2">
        <v>0</v>
      </c>
      <c r="AD246">
        <v>0</v>
      </c>
      <c r="AE246" t="s">
        <v>1863</v>
      </c>
      <c r="AF246">
        <v>75000</v>
      </c>
      <c r="AG246">
        <v>1</v>
      </c>
      <c r="AH246">
        <v>150000</v>
      </c>
      <c r="AI246" s="1" t="s">
        <v>306</v>
      </c>
      <c r="AJ246">
        <v>258952</v>
      </c>
      <c r="AK246" s="1" t="s">
        <v>1867</v>
      </c>
      <c r="AL246" t="s">
        <v>1939</v>
      </c>
      <c r="AN246" t="s">
        <v>2057</v>
      </c>
      <c r="AO246" t="s">
        <v>2067</v>
      </c>
      <c r="AP246" t="s">
        <v>2109</v>
      </c>
      <c r="AQ246">
        <v>128160</v>
      </c>
      <c r="AR246" s="3">
        <v>46203</v>
      </c>
      <c r="AS246" s="3">
        <v>46174</v>
      </c>
      <c r="AT246" s="3">
        <v>46203</v>
      </c>
      <c r="AU246" t="s">
        <v>2129</v>
      </c>
      <c r="AW246" s="3">
        <v>46208.53701449134</v>
      </c>
    </row>
    <row r="247" spans="1:49" ht="16" hidden="1" x14ac:dyDescent="0.2">
      <c r="A247" t="s">
        <v>55</v>
      </c>
      <c r="B247">
        <v>11563</v>
      </c>
      <c r="C247">
        <v>3802</v>
      </c>
      <c r="D247" t="s">
        <v>164</v>
      </c>
      <c r="E247" t="s">
        <v>306</v>
      </c>
      <c r="F247">
        <v>258952</v>
      </c>
      <c r="G247" t="s">
        <v>881</v>
      </c>
      <c r="H247">
        <v>582741</v>
      </c>
      <c r="I247" t="s">
        <v>1691</v>
      </c>
      <c r="J247">
        <v>582743</v>
      </c>
      <c r="K247" t="s">
        <v>1847</v>
      </c>
      <c r="L247" t="s">
        <v>1851</v>
      </c>
      <c r="M247" s="1">
        <v>425000</v>
      </c>
      <c r="N247" t="s">
        <v>1858</v>
      </c>
      <c r="O247">
        <v>0</v>
      </c>
      <c r="P247" s="1">
        <v>212500</v>
      </c>
      <c r="S247" s="6" t="str">
        <f t="shared" si="3"/>
        <v xml:space="preserve"> </v>
      </c>
      <c r="T247" s="6">
        <f>IF(IF(COUNTIF(H$2:$H247,H247)=1,1,"")=1,SUMIF($H$2:$H$7997,H247,$S$2:$S$7997),"")</f>
        <v>0</v>
      </c>
      <c r="W247">
        <v>0</v>
      </c>
      <c r="X247">
        <v>0</v>
      </c>
      <c r="Y247">
        <v>0</v>
      </c>
      <c r="Z247">
        <v>0</v>
      </c>
      <c r="AA247" s="2">
        <v>1</v>
      </c>
      <c r="AB247" s="2">
        <v>0</v>
      </c>
      <c r="AC247" s="2">
        <v>0</v>
      </c>
      <c r="AD247">
        <v>0</v>
      </c>
      <c r="AE247" t="s">
        <v>1863</v>
      </c>
      <c r="AF247">
        <v>212500</v>
      </c>
      <c r="AG247">
        <v>1</v>
      </c>
      <c r="AH247">
        <v>425000</v>
      </c>
      <c r="AI247" s="1" t="s">
        <v>306</v>
      </c>
      <c r="AJ247">
        <v>258952</v>
      </c>
      <c r="AK247" s="1" t="s">
        <v>1867</v>
      </c>
      <c r="AL247" t="s">
        <v>1939</v>
      </c>
      <c r="AN247" t="s">
        <v>2057</v>
      </c>
      <c r="AO247" t="s">
        <v>2067</v>
      </c>
      <c r="AP247" t="s">
        <v>2112</v>
      </c>
      <c r="AQ247">
        <v>128160</v>
      </c>
      <c r="AR247" s="3">
        <v>46203</v>
      </c>
      <c r="AS247" s="3">
        <v>46174</v>
      </c>
      <c r="AT247" s="3">
        <v>46203</v>
      </c>
      <c r="AU247" t="s">
        <v>2130</v>
      </c>
      <c r="AW247" s="3">
        <v>46208.53701449134</v>
      </c>
    </row>
    <row r="248" spans="1:49" ht="16" hidden="1" x14ac:dyDescent="0.2">
      <c r="A248" t="s">
        <v>55</v>
      </c>
      <c r="B248">
        <v>11563</v>
      </c>
      <c r="C248">
        <v>3802</v>
      </c>
      <c r="D248" t="s">
        <v>164</v>
      </c>
      <c r="E248" t="s">
        <v>306</v>
      </c>
      <c r="F248">
        <v>258952</v>
      </c>
      <c r="G248" t="s">
        <v>563</v>
      </c>
      <c r="H248">
        <v>582751</v>
      </c>
      <c r="I248" t="s">
        <v>1106</v>
      </c>
      <c r="J248">
        <v>93956991</v>
      </c>
      <c r="K248" t="s">
        <v>1835</v>
      </c>
      <c r="L248" t="s">
        <v>1850</v>
      </c>
      <c r="M248" s="1">
        <v>28</v>
      </c>
      <c r="N248" t="s">
        <v>23</v>
      </c>
      <c r="O248">
        <v>1348134</v>
      </c>
      <c r="P248" s="1">
        <v>37500.01</v>
      </c>
      <c r="S248" s="6" t="str">
        <f t="shared" si="3"/>
        <v xml:space="preserve"> </v>
      </c>
      <c r="T248" s="6">
        <f>IF(IF(COUNTIF(H$2:$H248,H248)=1,1,"")=1,SUMIF($H$2:$H$7997,H248,$S$2:$S$7997),"")</f>
        <v>0</v>
      </c>
      <c r="W248">
        <v>1348134</v>
      </c>
      <c r="X248">
        <v>1348134</v>
      </c>
      <c r="Y248">
        <v>0</v>
      </c>
      <c r="Z248">
        <v>0</v>
      </c>
      <c r="AA248" s="2">
        <v>1</v>
      </c>
      <c r="AB248" s="2">
        <v>0</v>
      </c>
      <c r="AC248" s="2">
        <v>0</v>
      </c>
      <c r="AD248">
        <v>0</v>
      </c>
      <c r="AE248" t="s">
        <v>1862</v>
      </c>
      <c r="AF248">
        <v>18750.009999999998</v>
      </c>
      <c r="AG248">
        <v>1339286</v>
      </c>
      <c r="AH248">
        <v>37500.01</v>
      </c>
      <c r="AI248" s="1" t="s">
        <v>306</v>
      </c>
      <c r="AJ248">
        <v>93956943</v>
      </c>
      <c r="AK248" s="1" t="s">
        <v>1867</v>
      </c>
      <c r="AL248" t="s">
        <v>1939</v>
      </c>
      <c r="AN248" t="s">
        <v>2057</v>
      </c>
      <c r="AO248" t="s">
        <v>2067</v>
      </c>
      <c r="AP248" t="s">
        <v>2092</v>
      </c>
      <c r="AQ248">
        <v>128160</v>
      </c>
      <c r="AR248" s="3">
        <v>46203</v>
      </c>
      <c r="AS248" s="3">
        <v>46174</v>
      </c>
      <c r="AT248" s="3">
        <v>46203</v>
      </c>
      <c r="AU248" t="s">
        <v>2123</v>
      </c>
      <c r="AW248" s="3">
        <v>46208.53701449134</v>
      </c>
    </row>
    <row r="249" spans="1:49" ht="16" hidden="1" x14ac:dyDescent="0.2">
      <c r="A249" t="s">
        <v>55</v>
      </c>
      <c r="B249">
        <v>11563</v>
      </c>
      <c r="C249">
        <v>3802</v>
      </c>
      <c r="D249" t="s">
        <v>164</v>
      </c>
      <c r="E249" t="s">
        <v>306</v>
      </c>
      <c r="F249">
        <v>258952</v>
      </c>
      <c r="G249" t="s">
        <v>560</v>
      </c>
      <c r="H249">
        <v>587736</v>
      </c>
      <c r="I249" t="s">
        <v>1101</v>
      </c>
      <c r="J249">
        <v>93956955</v>
      </c>
      <c r="K249" t="s">
        <v>1835</v>
      </c>
      <c r="L249" t="s">
        <v>1850</v>
      </c>
      <c r="M249" s="1">
        <v>30</v>
      </c>
      <c r="N249" t="s">
        <v>23</v>
      </c>
      <c r="O249">
        <v>1809329</v>
      </c>
      <c r="P249" s="1">
        <v>54000</v>
      </c>
      <c r="S249" s="6" t="str">
        <f t="shared" si="3"/>
        <v xml:space="preserve"> </v>
      </c>
      <c r="T249" s="6">
        <f>IF(IF(COUNTIF(H$2:$H249,H249)=1,1,"")=1,SUMIF($H$2:$H$7997,H249,$S$2:$S$7997),"")</f>
        <v>0</v>
      </c>
      <c r="W249">
        <v>1809329</v>
      </c>
      <c r="X249">
        <v>1809329</v>
      </c>
      <c r="Y249">
        <v>0</v>
      </c>
      <c r="Z249">
        <v>0</v>
      </c>
      <c r="AA249" s="2">
        <v>1</v>
      </c>
      <c r="AB249" s="2">
        <v>0</v>
      </c>
      <c r="AC249" s="2">
        <v>0</v>
      </c>
      <c r="AD249">
        <v>0</v>
      </c>
      <c r="AE249" t="s">
        <v>1862</v>
      </c>
      <c r="AF249">
        <v>27000</v>
      </c>
      <c r="AG249">
        <v>1800000</v>
      </c>
      <c r="AH249">
        <v>54000</v>
      </c>
      <c r="AI249" s="1" t="s">
        <v>306</v>
      </c>
      <c r="AJ249">
        <v>93956943</v>
      </c>
      <c r="AK249" s="1" t="s">
        <v>1867</v>
      </c>
      <c r="AL249" t="s">
        <v>1939</v>
      </c>
      <c r="AN249" t="s">
        <v>2057</v>
      </c>
      <c r="AO249" t="s">
        <v>2067</v>
      </c>
      <c r="AP249" t="s">
        <v>2092</v>
      </c>
      <c r="AQ249">
        <v>128160</v>
      </c>
      <c r="AR249" s="3">
        <v>46203</v>
      </c>
      <c r="AS249" s="3">
        <v>46174</v>
      </c>
      <c r="AT249" s="3">
        <v>46203</v>
      </c>
      <c r="AU249" t="s">
        <v>2123</v>
      </c>
      <c r="AW249" s="3">
        <v>46208.53701449134</v>
      </c>
    </row>
    <row r="250" spans="1:49" ht="16" hidden="1" x14ac:dyDescent="0.2">
      <c r="A250" t="s">
        <v>55</v>
      </c>
      <c r="B250">
        <v>11563</v>
      </c>
      <c r="C250">
        <v>3802</v>
      </c>
      <c r="D250" t="s">
        <v>164</v>
      </c>
      <c r="E250" t="s">
        <v>306</v>
      </c>
      <c r="F250">
        <v>258952</v>
      </c>
      <c r="G250" t="s">
        <v>560</v>
      </c>
      <c r="H250">
        <v>587736</v>
      </c>
      <c r="I250" t="s">
        <v>1107</v>
      </c>
      <c r="J250">
        <v>93956997</v>
      </c>
      <c r="K250" t="s">
        <v>1839</v>
      </c>
      <c r="L250" t="s">
        <v>1850</v>
      </c>
      <c r="M250" s="1">
        <v>30</v>
      </c>
      <c r="N250" t="s">
        <v>23</v>
      </c>
      <c r="O250">
        <v>4321470</v>
      </c>
      <c r="P250" s="1">
        <v>126000</v>
      </c>
      <c r="S250" s="6" t="str">
        <f t="shared" si="3"/>
        <v xml:space="preserve"> </v>
      </c>
      <c r="T250" s="6" t="str">
        <f>IF(IF(COUNTIF(H$2:$H250,H250)=1,1,"")=1,SUMIF($H$2:$H$7997,H250,$S$2:$S$7997),"")</f>
        <v/>
      </c>
      <c r="W250">
        <v>4321470</v>
      </c>
      <c r="X250">
        <v>4321470</v>
      </c>
      <c r="Y250">
        <v>0</v>
      </c>
      <c r="Z250">
        <v>0</v>
      </c>
      <c r="AA250" s="2">
        <v>1</v>
      </c>
      <c r="AB250" s="2">
        <v>0</v>
      </c>
      <c r="AC250" s="2">
        <v>0</v>
      </c>
      <c r="AD250">
        <v>0</v>
      </c>
      <c r="AE250" t="s">
        <v>1862</v>
      </c>
      <c r="AF250">
        <v>63000</v>
      </c>
      <c r="AG250">
        <v>4200000</v>
      </c>
      <c r="AH250">
        <v>126000</v>
      </c>
      <c r="AI250" s="1" t="s">
        <v>306</v>
      </c>
      <c r="AJ250">
        <v>93956943</v>
      </c>
      <c r="AK250" s="1" t="s">
        <v>1867</v>
      </c>
      <c r="AL250" t="s">
        <v>1939</v>
      </c>
      <c r="AN250" t="s">
        <v>2057</v>
      </c>
      <c r="AO250" t="s">
        <v>2067</v>
      </c>
      <c r="AP250" t="s">
        <v>2094</v>
      </c>
      <c r="AQ250">
        <v>128160</v>
      </c>
      <c r="AR250" s="3">
        <v>46203</v>
      </c>
      <c r="AS250" s="3">
        <v>46174</v>
      </c>
      <c r="AT250" s="3">
        <v>46203</v>
      </c>
      <c r="AU250" t="s">
        <v>2124</v>
      </c>
      <c r="AW250" s="3">
        <v>46208.53701449134</v>
      </c>
    </row>
    <row r="251" spans="1:49" ht="16" hidden="1" x14ac:dyDescent="0.2">
      <c r="A251" t="s">
        <v>55</v>
      </c>
      <c r="B251">
        <v>11563</v>
      </c>
      <c r="C251">
        <v>3802</v>
      </c>
      <c r="D251" t="s">
        <v>164</v>
      </c>
      <c r="E251" t="s">
        <v>306</v>
      </c>
      <c r="F251">
        <v>258952</v>
      </c>
      <c r="G251" t="s">
        <v>559</v>
      </c>
      <c r="H251">
        <v>587739</v>
      </c>
      <c r="I251" t="s">
        <v>1100</v>
      </c>
      <c r="J251">
        <v>93956949</v>
      </c>
      <c r="K251" t="s">
        <v>1835</v>
      </c>
      <c r="L251" t="s">
        <v>1850</v>
      </c>
      <c r="M251" s="1">
        <v>30</v>
      </c>
      <c r="N251" t="s">
        <v>23</v>
      </c>
      <c r="O251">
        <v>1584248</v>
      </c>
      <c r="P251" s="1">
        <v>47250</v>
      </c>
      <c r="S251" s="6" t="str">
        <f t="shared" si="3"/>
        <v xml:space="preserve"> </v>
      </c>
      <c r="T251" s="6">
        <f>IF(IF(COUNTIF(H$2:$H251,H251)=1,1,"")=1,SUMIF($H$2:$H$7997,H251,$S$2:$S$7997),"")</f>
        <v>0</v>
      </c>
      <c r="W251">
        <v>1584248</v>
      </c>
      <c r="X251">
        <v>1584248</v>
      </c>
      <c r="Y251">
        <v>0</v>
      </c>
      <c r="Z251">
        <v>0</v>
      </c>
      <c r="AA251" s="2">
        <v>1</v>
      </c>
      <c r="AB251" s="2">
        <v>0</v>
      </c>
      <c r="AC251" s="2">
        <v>0</v>
      </c>
      <c r="AD251">
        <v>0</v>
      </c>
      <c r="AE251" t="s">
        <v>1862</v>
      </c>
      <c r="AF251">
        <v>23625</v>
      </c>
      <c r="AG251">
        <v>1575000</v>
      </c>
      <c r="AH251">
        <v>47250</v>
      </c>
      <c r="AI251" s="1" t="s">
        <v>306</v>
      </c>
      <c r="AJ251">
        <v>93956943</v>
      </c>
      <c r="AK251" s="1" t="s">
        <v>1867</v>
      </c>
      <c r="AL251" t="s">
        <v>1939</v>
      </c>
      <c r="AN251" t="s">
        <v>2057</v>
      </c>
      <c r="AO251" t="s">
        <v>2067</v>
      </c>
      <c r="AP251" t="s">
        <v>2092</v>
      </c>
      <c r="AQ251">
        <v>128160</v>
      </c>
      <c r="AR251" s="3">
        <v>46203</v>
      </c>
      <c r="AS251" s="3">
        <v>46174</v>
      </c>
      <c r="AT251" s="3">
        <v>46203</v>
      </c>
      <c r="AU251" t="s">
        <v>2123</v>
      </c>
      <c r="AW251" s="3">
        <v>46208.53701449134</v>
      </c>
    </row>
    <row r="252" spans="1:49" ht="16" hidden="1" x14ac:dyDescent="0.2">
      <c r="A252" t="s">
        <v>55</v>
      </c>
      <c r="B252">
        <v>11563</v>
      </c>
      <c r="C252">
        <v>3802</v>
      </c>
      <c r="D252" t="s">
        <v>164</v>
      </c>
      <c r="E252" t="s">
        <v>306</v>
      </c>
      <c r="F252">
        <v>258952</v>
      </c>
      <c r="G252" t="s">
        <v>559</v>
      </c>
      <c r="H252">
        <v>587739</v>
      </c>
      <c r="I252" t="s">
        <v>1103</v>
      </c>
      <c r="J252">
        <v>93956973</v>
      </c>
      <c r="K252" t="s">
        <v>1839</v>
      </c>
      <c r="L252" t="s">
        <v>1850</v>
      </c>
      <c r="M252" s="1">
        <v>30</v>
      </c>
      <c r="N252" t="s">
        <v>23</v>
      </c>
      <c r="O252">
        <v>3781094</v>
      </c>
      <c r="P252" s="1">
        <v>110250</v>
      </c>
      <c r="S252" s="6" t="str">
        <f t="shared" si="3"/>
        <v xml:space="preserve"> </v>
      </c>
      <c r="T252" s="6" t="str">
        <f>IF(IF(COUNTIF(H$2:$H252,H252)=1,1,"")=1,SUMIF($H$2:$H$7997,H252,$S$2:$S$7997),"")</f>
        <v/>
      </c>
      <c r="W252">
        <v>3781094</v>
      </c>
      <c r="X252">
        <v>3781094</v>
      </c>
      <c r="Y252">
        <v>0</v>
      </c>
      <c r="Z252">
        <v>0</v>
      </c>
      <c r="AA252" s="2">
        <v>1</v>
      </c>
      <c r="AB252" s="2">
        <v>0</v>
      </c>
      <c r="AC252" s="2">
        <v>0</v>
      </c>
      <c r="AD252">
        <v>0</v>
      </c>
      <c r="AE252" t="s">
        <v>1862</v>
      </c>
      <c r="AF252">
        <v>55125</v>
      </c>
      <c r="AG252">
        <v>3675000</v>
      </c>
      <c r="AH252">
        <v>110250</v>
      </c>
      <c r="AI252" s="1" t="s">
        <v>306</v>
      </c>
      <c r="AJ252">
        <v>93956943</v>
      </c>
      <c r="AK252" s="1" t="s">
        <v>1867</v>
      </c>
      <c r="AL252" t="s">
        <v>1939</v>
      </c>
      <c r="AN252" t="s">
        <v>2057</v>
      </c>
      <c r="AO252" t="s">
        <v>2067</v>
      </c>
      <c r="AP252" t="s">
        <v>2094</v>
      </c>
      <c r="AQ252">
        <v>128160</v>
      </c>
      <c r="AR252" s="3">
        <v>46203</v>
      </c>
      <c r="AS252" s="3">
        <v>46174</v>
      </c>
      <c r="AT252" s="3">
        <v>46203</v>
      </c>
      <c r="AU252" t="s">
        <v>2124</v>
      </c>
      <c r="AW252" s="3">
        <v>46208.53701449134</v>
      </c>
    </row>
    <row r="253" spans="1:49" ht="16" hidden="1" x14ac:dyDescent="0.2">
      <c r="A253" t="s">
        <v>55</v>
      </c>
      <c r="B253">
        <v>11563</v>
      </c>
      <c r="C253">
        <v>3802</v>
      </c>
      <c r="D253" t="s">
        <v>164</v>
      </c>
      <c r="E253" t="s">
        <v>306</v>
      </c>
      <c r="F253">
        <v>258952</v>
      </c>
      <c r="G253" t="s">
        <v>562</v>
      </c>
      <c r="H253">
        <v>587885</v>
      </c>
      <c r="I253" t="s">
        <v>1104</v>
      </c>
      <c r="J253">
        <v>93956979</v>
      </c>
      <c r="K253" t="s">
        <v>1835</v>
      </c>
      <c r="L253" t="s">
        <v>1850</v>
      </c>
      <c r="M253" s="1">
        <v>28</v>
      </c>
      <c r="N253" t="s">
        <v>23</v>
      </c>
      <c r="O253">
        <v>1348316</v>
      </c>
      <c r="P253" s="1">
        <v>37500.01</v>
      </c>
      <c r="S253" s="6" t="str">
        <f t="shared" si="3"/>
        <v xml:space="preserve"> </v>
      </c>
      <c r="T253" s="6">
        <f>IF(IF(COUNTIF(H$2:$H253,H253)=1,1,"")=1,SUMIF($H$2:$H$7997,H253,$S$2:$S$7997),"")</f>
        <v>0</v>
      </c>
      <c r="W253">
        <v>1348316</v>
      </c>
      <c r="X253">
        <v>1348316</v>
      </c>
      <c r="Y253">
        <v>0</v>
      </c>
      <c r="Z253">
        <v>0</v>
      </c>
      <c r="AA253" s="2">
        <v>1</v>
      </c>
      <c r="AB253" s="2">
        <v>0</v>
      </c>
      <c r="AC253" s="2">
        <v>0</v>
      </c>
      <c r="AD253">
        <v>0</v>
      </c>
      <c r="AE253" t="s">
        <v>1862</v>
      </c>
      <c r="AF253">
        <v>18750.009999999998</v>
      </c>
      <c r="AG253">
        <v>1339286</v>
      </c>
      <c r="AH253">
        <v>37500.01</v>
      </c>
      <c r="AI253" s="1" t="s">
        <v>306</v>
      </c>
      <c r="AJ253">
        <v>93956943</v>
      </c>
      <c r="AK253" s="1" t="s">
        <v>1867</v>
      </c>
      <c r="AL253" t="s">
        <v>1939</v>
      </c>
      <c r="AN253" t="s">
        <v>2057</v>
      </c>
      <c r="AO253" t="s">
        <v>2067</v>
      </c>
      <c r="AP253" t="s">
        <v>2092</v>
      </c>
      <c r="AQ253">
        <v>128160</v>
      </c>
      <c r="AR253" s="3">
        <v>46203</v>
      </c>
      <c r="AS253" s="3">
        <v>46174</v>
      </c>
      <c r="AT253" s="3">
        <v>46203</v>
      </c>
      <c r="AU253" t="s">
        <v>2123</v>
      </c>
      <c r="AW253" s="3">
        <v>46208.53701449134</v>
      </c>
    </row>
    <row r="254" spans="1:49" ht="16" hidden="1" x14ac:dyDescent="0.2">
      <c r="A254" t="s">
        <v>108</v>
      </c>
      <c r="B254">
        <v>11121</v>
      </c>
      <c r="C254">
        <v>6177</v>
      </c>
      <c r="D254" t="s">
        <v>216</v>
      </c>
      <c r="E254" t="s">
        <v>416</v>
      </c>
      <c r="F254">
        <v>272533</v>
      </c>
      <c r="G254" t="s">
        <v>771</v>
      </c>
      <c r="H254">
        <v>596793</v>
      </c>
      <c r="I254" t="s">
        <v>1505</v>
      </c>
      <c r="J254">
        <v>95103578</v>
      </c>
      <c r="K254" t="s">
        <v>1834</v>
      </c>
      <c r="L254" t="s">
        <v>1850</v>
      </c>
      <c r="M254" s="1">
        <v>55</v>
      </c>
      <c r="N254" t="s">
        <v>23</v>
      </c>
      <c r="O254">
        <v>163084</v>
      </c>
      <c r="P254" s="1">
        <v>8969.6200000000008</v>
      </c>
      <c r="S254" s="6" t="str">
        <f t="shared" si="3"/>
        <v xml:space="preserve"> </v>
      </c>
      <c r="T254" s="6">
        <f>IF(IF(COUNTIF(H$2:$H254,H254)=1,1,"")=1,SUMIF($H$2:$H$7997,H254,$S$2:$S$7997),"")</f>
        <v>0</v>
      </c>
      <c r="W254">
        <v>163084</v>
      </c>
      <c r="X254">
        <v>163084</v>
      </c>
      <c r="Y254">
        <v>0</v>
      </c>
      <c r="Z254">
        <v>0</v>
      </c>
      <c r="AA254" s="2">
        <v>1</v>
      </c>
      <c r="AB254" s="2">
        <v>0</v>
      </c>
      <c r="AC254" s="2">
        <v>0</v>
      </c>
      <c r="AD254">
        <v>0</v>
      </c>
      <c r="AE254" t="s">
        <v>1862</v>
      </c>
      <c r="AF254">
        <v>4486.6400000000003</v>
      </c>
      <c r="AG254">
        <v>3471109</v>
      </c>
      <c r="AH254">
        <v>190911</v>
      </c>
      <c r="AI254" s="1" t="s">
        <v>416</v>
      </c>
      <c r="AJ254">
        <v>95103571</v>
      </c>
      <c r="AK254" s="1" t="s">
        <v>1867</v>
      </c>
      <c r="AL254" t="s">
        <v>1987</v>
      </c>
      <c r="AN254" t="s">
        <v>2049</v>
      </c>
      <c r="AO254" t="s">
        <v>2067</v>
      </c>
      <c r="AP254" t="s">
        <v>2094</v>
      </c>
      <c r="AQ254">
        <v>133902</v>
      </c>
      <c r="AR254" s="3">
        <v>46203</v>
      </c>
      <c r="AS254" s="3">
        <v>46203</v>
      </c>
      <c r="AT254" s="3">
        <v>46222</v>
      </c>
      <c r="AU254" t="s">
        <v>2124</v>
      </c>
      <c r="AW254" s="3">
        <v>46208.53701449134</v>
      </c>
    </row>
    <row r="255" spans="1:49" ht="16" hidden="1" x14ac:dyDescent="0.2">
      <c r="A255" t="s">
        <v>108</v>
      </c>
      <c r="B255">
        <v>11121</v>
      </c>
      <c r="C255">
        <v>6177</v>
      </c>
      <c r="D255" t="s">
        <v>216</v>
      </c>
      <c r="E255" t="s">
        <v>416</v>
      </c>
      <c r="F255">
        <v>272533</v>
      </c>
      <c r="G255" t="s">
        <v>771</v>
      </c>
      <c r="H255">
        <v>596793</v>
      </c>
      <c r="I255" t="s">
        <v>1504</v>
      </c>
      <c r="J255">
        <v>95103574</v>
      </c>
      <c r="K255" t="s">
        <v>1835</v>
      </c>
      <c r="L255" t="s">
        <v>1850</v>
      </c>
      <c r="M255" s="1">
        <v>55</v>
      </c>
      <c r="N255" t="s">
        <v>23</v>
      </c>
      <c r="O255">
        <v>70998</v>
      </c>
      <c r="P255" s="1">
        <v>3904.89</v>
      </c>
      <c r="S255" s="6" t="str">
        <f t="shared" si="3"/>
        <v xml:space="preserve"> </v>
      </c>
      <c r="T255" s="6" t="str">
        <f>IF(IF(COUNTIF(H$2:$H255,H255)=1,1,"")=1,SUMIF($H$2:$H$7997,H255,$S$2:$S$7997),"")</f>
        <v/>
      </c>
      <c r="W255">
        <v>70998</v>
      </c>
      <c r="X255">
        <v>70998</v>
      </c>
      <c r="Y255">
        <v>0</v>
      </c>
      <c r="Z255">
        <v>0</v>
      </c>
      <c r="AA255" s="2">
        <v>1</v>
      </c>
      <c r="AB255" s="2">
        <v>0</v>
      </c>
      <c r="AC255" s="2">
        <v>0</v>
      </c>
      <c r="AD255">
        <v>0</v>
      </c>
      <c r="AE255" t="s">
        <v>1862</v>
      </c>
      <c r="AF255">
        <v>1922.84</v>
      </c>
      <c r="AG255">
        <v>1487619</v>
      </c>
      <c r="AH255">
        <v>81819.05</v>
      </c>
      <c r="AI255" s="1" t="s">
        <v>416</v>
      </c>
      <c r="AJ255">
        <v>95103571</v>
      </c>
      <c r="AK255" s="1" t="s">
        <v>1867</v>
      </c>
      <c r="AL255" t="s">
        <v>1987</v>
      </c>
      <c r="AN255" t="s">
        <v>2049</v>
      </c>
      <c r="AO255" t="s">
        <v>2067</v>
      </c>
      <c r="AP255" t="s">
        <v>2092</v>
      </c>
      <c r="AQ255">
        <v>133902</v>
      </c>
      <c r="AR255" s="3">
        <v>46203</v>
      </c>
      <c r="AS255" s="3">
        <v>46203</v>
      </c>
      <c r="AT255" s="3">
        <v>46222</v>
      </c>
      <c r="AU255" t="s">
        <v>2123</v>
      </c>
      <c r="AW255" s="3">
        <v>46208.53701449134</v>
      </c>
    </row>
    <row r="256" spans="1:49" ht="16" hidden="1" x14ac:dyDescent="0.2">
      <c r="A256" t="s">
        <v>90</v>
      </c>
      <c r="B256">
        <v>12215</v>
      </c>
      <c r="C256">
        <v>19443</v>
      </c>
      <c r="D256" t="s">
        <v>168</v>
      </c>
      <c r="E256" t="s">
        <v>312</v>
      </c>
      <c r="F256">
        <v>267002</v>
      </c>
      <c r="G256" t="s">
        <v>578</v>
      </c>
      <c r="H256">
        <v>581781</v>
      </c>
      <c r="I256" t="s">
        <v>1136</v>
      </c>
      <c r="J256">
        <v>93986099</v>
      </c>
      <c r="K256" t="s">
        <v>1839</v>
      </c>
      <c r="L256" t="s">
        <v>1850</v>
      </c>
      <c r="M256" s="1">
        <v>40</v>
      </c>
      <c r="N256" t="s">
        <v>23</v>
      </c>
      <c r="O256">
        <v>1204091</v>
      </c>
      <c r="P256" s="1">
        <v>48163.64</v>
      </c>
      <c r="S256" s="6" t="str">
        <f t="shared" si="3"/>
        <v xml:space="preserve"> </v>
      </c>
      <c r="T256" s="6">
        <f>IF(IF(COUNTIF(H$2:$H256,H256)=1,1,"")=1,SUMIF($H$2:$H$7997,H256,$S$2:$S$7997),"")</f>
        <v>0</v>
      </c>
      <c r="W256">
        <v>1204091</v>
      </c>
      <c r="X256">
        <v>1204091</v>
      </c>
      <c r="Y256">
        <v>0</v>
      </c>
      <c r="Z256">
        <v>0</v>
      </c>
      <c r="AA256" s="2">
        <v>1</v>
      </c>
      <c r="AB256" s="2">
        <v>0</v>
      </c>
      <c r="AC256" s="2">
        <v>0</v>
      </c>
      <c r="AD256">
        <v>0</v>
      </c>
      <c r="AE256" t="s">
        <v>1862</v>
      </c>
      <c r="AF256">
        <v>24349.9</v>
      </c>
      <c r="AG256">
        <v>1816665</v>
      </c>
      <c r="AH256">
        <v>72666.600000000006</v>
      </c>
      <c r="AI256" s="1" t="s">
        <v>312</v>
      </c>
      <c r="AJ256">
        <v>93986073</v>
      </c>
      <c r="AK256" s="1" t="s">
        <v>1867</v>
      </c>
      <c r="AN256" t="s">
        <v>2043</v>
      </c>
      <c r="AO256" t="s">
        <v>2067</v>
      </c>
      <c r="AP256" t="s">
        <v>2094</v>
      </c>
      <c r="AQ256">
        <v>127993</v>
      </c>
      <c r="AR256" s="3">
        <v>46203</v>
      </c>
      <c r="AS256" s="3">
        <v>46174</v>
      </c>
      <c r="AT256" s="3">
        <v>46222</v>
      </c>
      <c r="AU256" t="s">
        <v>2124</v>
      </c>
      <c r="AW256" s="3">
        <v>46208.53701449134</v>
      </c>
    </row>
    <row r="257" spans="1:49" ht="16" hidden="1" x14ac:dyDescent="0.2">
      <c r="A257" t="s">
        <v>90</v>
      </c>
      <c r="B257">
        <v>12215</v>
      </c>
      <c r="C257">
        <v>19443</v>
      </c>
      <c r="D257" t="s">
        <v>168</v>
      </c>
      <c r="E257" t="s">
        <v>312</v>
      </c>
      <c r="F257">
        <v>267002</v>
      </c>
      <c r="G257" t="s">
        <v>578</v>
      </c>
      <c r="H257">
        <v>581781</v>
      </c>
      <c r="I257" t="s">
        <v>1135</v>
      </c>
      <c r="J257">
        <v>93986096</v>
      </c>
      <c r="K257" t="s">
        <v>1835</v>
      </c>
      <c r="L257" t="s">
        <v>1850</v>
      </c>
      <c r="M257" s="1">
        <v>40</v>
      </c>
      <c r="N257" t="s">
        <v>23</v>
      </c>
      <c r="O257">
        <v>2855632</v>
      </c>
      <c r="P257" s="1">
        <v>114225.28</v>
      </c>
      <c r="S257" s="6" t="str">
        <f t="shared" si="3"/>
        <v xml:space="preserve"> </v>
      </c>
      <c r="T257" s="6" t="str">
        <f>IF(IF(COUNTIF(H$2:$H257,H257)=1,1,"")=1,SUMIF($H$2:$H$7997,H257,$S$2:$S$7997),"")</f>
        <v/>
      </c>
      <c r="W257">
        <v>2855632</v>
      </c>
      <c r="X257">
        <v>2855632</v>
      </c>
      <c r="Y257">
        <v>0</v>
      </c>
      <c r="Z257">
        <v>0</v>
      </c>
      <c r="AA257" s="2">
        <v>1</v>
      </c>
      <c r="AB257" s="2">
        <v>0</v>
      </c>
      <c r="AC257" s="2">
        <v>0</v>
      </c>
      <c r="AD257">
        <v>0</v>
      </c>
      <c r="AE257" t="s">
        <v>1862</v>
      </c>
      <c r="AF257">
        <v>56816.42</v>
      </c>
      <c r="AG257">
        <v>4238885</v>
      </c>
      <c r="AH257">
        <v>169555.4</v>
      </c>
      <c r="AI257" s="1" t="s">
        <v>312</v>
      </c>
      <c r="AJ257">
        <v>93986073</v>
      </c>
      <c r="AK257" s="1" t="s">
        <v>1867</v>
      </c>
      <c r="AN257" t="s">
        <v>2043</v>
      </c>
      <c r="AO257" t="s">
        <v>2067</v>
      </c>
      <c r="AP257" t="s">
        <v>2092</v>
      </c>
      <c r="AQ257">
        <v>127993</v>
      </c>
      <c r="AR257" s="3">
        <v>46203</v>
      </c>
      <c r="AS257" s="3">
        <v>46174</v>
      </c>
      <c r="AT257" s="3">
        <v>46222</v>
      </c>
      <c r="AU257" t="s">
        <v>2123</v>
      </c>
      <c r="AW257" s="3">
        <v>46208.53701449134</v>
      </c>
    </row>
    <row r="258" spans="1:49" ht="16" hidden="1" x14ac:dyDescent="0.2">
      <c r="A258" t="s">
        <v>90</v>
      </c>
      <c r="B258">
        <v>12215</v>
      </c>
      <c r="C258">
        <v>19443</v>
      </c>
      <c r="D258" t="s">
        <v>168</v>
      </c>
      <c r="E258" t="s">
        <v>312</v>
      </c>
      <c r="F258">
        <v>267002</v>
      </c>
      <c r="G258" t="s">
        <v>577</v>
      </c>
      <c r="H258">
        <v>581784</v>
      </c>
      <c r="I258" t="s">
        <v>1132</v>
      </c>
      <c r="J258">
        <v>93986079</v>
      </c>
      <c r="K258" t="s">
        <v>1839</v>
      </c>
      <c r="L258" t="s">
        <v>1850</v>
      </c>
      <c r="M258" s="1">
        <v>15.85</v>
      </c>
      <c r="N258" t="s">
        <v>23</v>
      </c>
      <c r="O258">
        <v>1036907</v>
      </c>
      <c r="P258" s="1">
        <v>16434.98</v>
      </c>
      <c r="S258" s="6" t="str">
        <f t="shared" si="3"/>
        <v xml:space="preserve"> </v>
      </c>
      <c r="T258" s="6">
        <f>IF(IF(COUNTIF(H$2:$H258,H258)=1,1,"")=1,SUMIF($H$2:$H$7997,H258,$S$2:$S$7997),"")</f>
        <v>0</v>
      </c>
      <c r="W258">
        <v>1036907</v>
      </c>
      <c r="X258">
        <v>1036907</v>
      </c>
      <c r="Y258">
        <v>0</v>
      </c>
      <c r="Z258">
        <v>0</v>
      </c>
      <c r="AA258" s="2">
        <v>1</v>
      </c>
      <c r="AB258" s="2">
        <v>0</v>
      </c>
      <c r="AC258" s="2">
        <v>0</v>
      </c>
      <c r="AD258">
        <v>0</v>
      </c>
      <c r="AE258" t="s">
        <v>1862</v>
      </c>
      <c r="AF258">
        <v>8116.99</v>
      </c>
      <c r="AG258">
        <v>1514195</v>
      </c>
      <c r="AH258">
        <v>23999.99</v>
      </c>
      <c r="AI258" s="1" t="s">
        <v>312</v>
      </c>
      <c r="AJ258">
        <v>93986073</v>
      </c>
      <c r="AK258" s="1" t="s">
        <v>1867</v>
      </c>
      <c r="AN258" t="s">
        <v>2043</v>
      </c>
      <c r="AO258" t="s">
        <v>2067</v>
      </c>
      <c r="AP258" t="s">
        <v>2093</v>
      </c>
      <c r="AQ258">
        <v>127993</v>
      </c>
      <c r="AR258" s="3">
        <v>46203</v>
      </c>
      <c r="AS258" s="3">
        <v>46174</v>
      </c>
      <c r="AT258" s="3">
        <v>46222</v>
      </c>
      <c r="AU258" t="s">
        <v>2124</v>
      </c>
      <c r="AW258" s="3">
        <v>46208.53701449134</v>
      </c>
    </row>
    <row r="259" spans="1:49" ht="16" hidden="1" x14ac:dyDescent="0.2">
      <c r="A259" t="s">
        <v>90</v>
      </c>
      <c r="B259">
        <v>12215</v>
      </c>
      <c r="C259">
        <v>19443</v>
      </c>
      <c r="D259" t="s">
        <v>168</v>
      </c>
      <c r="E259" t="s">
        <v>312</v>
      </c>
      <c r="F259">
        <v>267002</v>
      </c>
      <c r="G259" t="s">
        <v>577</v>
      </c>
      <c r="H259">
        <v>581784</v>
      </c>
      <c r="I259" t="s">
        <v>1134</v>
      </c>
      <c r="J259">
        <v>93986092</v>
      </c>
      <c r="K259" t="s">
        <v>1840</v>
      </c>
      <c r="L259" t="s">
        <v>1850</v>
      </c>
      <c r="M259" s="1">
        <v>15.85</v>
      </c>
      <c r="N259" t="s">
        <v>23</v>
      </c>
      <c r="O259">
        <v>2388128</v>
      </c>
      <c r="P259" s="1">
        <v>37851.83</v>
      </c>
      <c r="S259" s="6" t="str">
        <f t="shared" ref="S259:S322" si="4">IF(ISBLANK(R259)," ",ROUND(R259*(IF(ISBLANK(Q259),(M259/1000),(Q259/1000))),2))</f>
        <v xml:space="preserve"> </v>
      </c>
      <c r="T259" s="6" t="str">
        <f>IF(IF(COUNTIF(H$2:$H259,H259)=1,1,"")=1,SUMIF($H$2:$H$7997,H259,$S$2:$S$7997),"")</f>
        <v/>
      </c>
      <c r="W259">
        <v>2388128</v>
      </c>
      <c r="X259">
        <v>2388128</v>
      </c>
      <c r="Y259">
        <v>0</v>
      </c>
      <c r="Z259">
        <v>0</v>
      </c>
      <c r="AA259" s="2">
        <v>1</v>
      </c>
      <c r="AB259" s="2">
        <v>0</v>
      </c>
      <c r="AC259" s="2">
        <v>0</v>
      </c>
      <c r="AD259">
        <v>0</v>
      </c>
      <c r="AE259" t="s">
        <v>1862</v>
      </c>
      <c r="AF259">
        <v>18939.650000000001</v>
      </c>
      <c r="AG259">
        <v>3533124</v>
      </c>
      <c r="AH259">
        <v>56000.02</v>
      </c>
      <c r="AI259" s="1" t="s">
        <v>312</v>
      </c>
      <c r="AJ259">
        <v>93986073</v>
      </c>
      <c r="AK259" s="1" t="s">
        <v>1867</v>
      </c>
      <c r="AN259" t="s">
        <v>2043</v>
      </c>
      <c r="AO259" t="s">
        <v>2067</v>
      </c>
      <c r="AP259" t="s">
        <v>2083</v>
      </c>
      <c r="AQ259">
        <v>127993</v>
      </c>
      <c r="AR259" s="3">
        <v>46203</v>
      </c>
      <c r="AS259" s="3">
        <v>46174</v>
      </c>
      <c r="AT259" s="3">
        <v>46222</v>
      </c>
      <c r="AU259" t="s">
        <v>2123</v>
      </c>
      <c r="AW259" s="3">
        <v>46208.53701449134</v>
      </c>
    </row>
    <row r="260" spans="1:49" ht="16" hidden="1" x14ac:dyDescent="0.2">
      <c r="A260" t="s">
        <v>90</v>
      </c>
      <c r="B260">
        <v>12215</v>
      </c>
      <c r="C260">
        <v>19443</v>
      </c>
      <c r="D260" t="s">
        <v>168</v>
      </c>
      <c r="E260" t="s">
        <v>312</v>
      </c>
      <c r="F260">
        <v>267002</v>
      </c>
      <c r="G260" t="s">
        <v>576</v>
      </c>
      <c r="H260">
        <v>587864</v>
      </c>
      <c r="I260" t="s">
        <v>1131</v>
      </c>
      <c r="J260">
        <v>93986076</v>
      </c>
      <c r="K260" t="s">
        <v>1839</v>
      </c>
      <c r="L260" t="s">
        <v>1850</v>
      </c>
      <c r="M260" s="1">
        <v>40</v>
      </c>
      <c r="N260" t="s">
        <v>23</v>
      </c>
      <c r="O260">
        <v>6113640</v>
      </c>
      <c r="P260" s="1">
        <v>244545.6</v>
      </c>
      <c r="S260" s="6" t="str">
        <f t="shared" si="4"/>
        <v xml:space="preserve"> </v>
      </c>
      <c r="T260" s="6">
        <f>IF(IF(COUNTIF(H$2:$H260,H260)=1,1,"")=1,SUMIF($H$2:$H$7997,H260,$S$2:$S$7997),"")</f>
        <v>0</v>
      </c>
      <c r="W260">
        <v>6113640</v>
      </c>
      <c r="X260">
        <v>6113640</v>
      </c>
      <c r="Y260">
        <v>0</v>
      </c>
      <c r="Z260">
        <v>0</v>
      </c>
      <c r="AA260" s="2">
        <v>1</v>
      </c>
      <c r="AB260" s="2">
        <v>0</v>
      </c>
      <c r="AC260" s="2">
        <v>0</v>
      </c>
      <c r="AD260">
        <v>0</v>
      </c>
      <c r="AE260" t="s">
        <v>1862</v>
      </c>
      <c r="AF260">
        <v>119726</v>
      </c>
      <c r="AG260">
        <v>8477805</v>
      </c>
      <c r="AH260">
        <v>339112.2</v>
      </c>
      <c r="AI260" s="1" t="s">
        <v>312</v>
      </c>
      <c r="AJ260">
        <v>93986073</v>
      </c>
      <c r="AK260" s="1" t="s">
        <v>1867</v>
      </c>
      <c r="AN260" t="s">
        <v>2043</v>
      </c>
      <c r="AO260" t="s">
        <v>2067</v>
      </c>
      <c r="AP260" t="s">
        <v>2094</v>
      </c>
      <c r="AQ260">
        <v>127993</v>
      </c>
      <c r="AR260" s="3">
        <v>46203</v>
      </c>
      <c r="AS260" s="3">
        <v>46174</v>
      </c>
      <c r="AT260" s="3">
        <v>46222</v>
      </c>
      <c r="AU260" t="s">
        <v>2124</v>
      </c>
      <c r="AW260" s="3">
        <v>46208.53701449134</v>
      </c>
    </row>
    <row r="261" spans="1:49" ht="16" hidden="1" x14ac:dyDescent="0.2">
      <c r="A261" t="s">
        <v>90</v>
      </c>
      <c r="B261">
        <v>12215</v>
      </c>
      <c r="C261">
        <v>19443</v>
      </c>
      <c r="D261" t="s">
        <v>168</v>
      </c>
      <c r="E261" t="s">
        <v>312</v>
      </c>
      <c r="F261">
        <v>267002</v>
      </c>
      <c r="G261" t="s">
        <v>576</v>
      </c>
      <c r="H261">
        <v>587864</v>
      </c>
      <c r="I261" t="s">
        <v>1133</v>
      </c>
      <c r="J261">
        <v>93986089</v>
      </c>
      <c r="K261" t="s">
        <v>1835</v>
      </c>
      <c r="L261" t="s">
        <v>1850</v>
      </c>
      <c r="M261" s="1">
        <v>40</v>
      </c>
      <c r="N261" t="s">
        <v>23</v>
      </c>
      <c r="O261">
        <v>2457338</v>
      </c>
      <c r="P261" s="1">
        <v>98293.52</v>
      </c>
      <c r="S261" s="6" t="str">
        <f t="shared" si="4"/>
        <v xml:space="preserve"> </v>
      </c>
      <c r="T261" s="6" t="str">
        <f>IF(IF(COUNTIF(H$2:$H261,H261)=1,1,"")=1,SUMIF($H$2:$H$7997,H261,$S$2:$S$7997),"")</f>
        <v/>
      </c>
      <c r="W261">
        <v>2457338</v>
      </c>
      <c r="X261">
        <v>2457338</v>
      </c>
      <c r="Y261">
        <v>0</v>
      </c>
      <c r="Z261">
        <v>0</v>
      </c>
      <c r="AA261" s="2">
        <v>1</v>
      </c>
      <c r="AB261" s="2">
        <v>0</v>
      </c>
      <c r="AC261" s="2">
        <v>0</v>
      </c>
      <c r="AD261">
        <v>0</v>
      </c>
      <c r="AE261" t="s">
        <v>1862</v>
      </c>
      <c r="AF261">
        <v>51311.14</v>
      </c>
      <c r="AG261">
        <v>3633345</v>
      </c>
      <c r="AH261">
        <v>145333.79999999999</v>
      </c>
      <c r="AI261" s="1" t="s">
        <v>312</v>
      </c>
      <c r="AJ261">
        <v>93986073</v>
      </c>
      <c r="AK261" s="1" t="s">
        <v>1867</v>
      </c>
      <c r="AN261" t="s">
        <v>2043</v>
      </c>
      <c r="AO261" t="s">
        <v>2067</v>
      </c>
      <c r="AP261" t="s">
        <v>2092</v>
      </c>
      <c r="AQ261">
        <v>127993</v>
      </c>
      <c r="AR261" s="3">
        <v>46203</v>
      </c>
      <c r="AS261" s="3">
        <v>46174</v>
      </c>
      <c r="AT261" s="3">
        <v>46222</v>
      </c>
      <c r="AU261" t="s">
        <v>2123</v>
      </c>
      <c r="AW261" s="3">
        <v>46208.53701449134</v>
      </c>
    </row>
    <row r="262" spans="1:49" ht="16" hidden="1" x14ac:dyDescent="0.2">
      <c r="A262" t="s">
        <v>90</v>
      </c>
      <c r="B262">
        <v>12215</v>
      </c>
      <c r="C262">
        <v>19443</v>
      </c>
      <c r="D262" t="s">
        <v>168</v>
      </c>
      <c r="E262" t="s">
        <v>312</v>
      </c>
      <c r="F262">
        <v>267002</v>
      </c>
      <c r="G262" t="s">
        <v>579</v>
      </c>
      <c r="H262">
        <v>587867</v>
      </c>
      <c r="I262" t="s">
        <v>1137</v>
      </c>
      <c r="J262">
        <v>93986102</v>
      </c>
      <c r="K262" t="s">
        <v>1839</v>
      </c>
      <c r="L262" t="s">
        <v>1850</v>
      </c>
      <c r="M262" s="1">
        <v>15.85</v>
      </c>
      <c r="N262" t="s">
        <v>23</v>
      </c>
      <c r="O262">
        <v>2008149</v>
      </c>
      <c r="P262" s="1">
        <v>31829.16</v>
      </c>
      <c r="S262" s="6" t="str">
        <f t="shared" si="4"/>
        <v xml:space="preserve"> </v>
      </c>
      <c r="T262" s="6">
        <f>IF(IF(COUNTIF(H$2:$H262,H262)=1,1,"")=1,SUMIF($H$2:$H$7997,H262,$S$2:$S$7997),"")</f>
        <v>0</v>
      </c>
      <c r="W262">
        <v>2008149</v>
      </c>
      <c r="X262">
        <v>2008149</v>
      </c>
      <c r="Y262">
        <v>0</v>
      </c>
      <c r="Z262">
        <v>0</v>
      </c>
      <c r="AA262" s="2">
        <v>1</v>
      </c>
      <c r="AB262" s="2">
        <v>0</v>
      </c>
      <c r="AC262" s="2">
        <v>0</v>
      </c>
      <c r="AD262">
        <v>0</v>
      </c>
      <c r="AE262" t="s">
        <v>1862</v>
      </c>
      <c r="AF262">
        <v>15703.82</v>
      </c>
      <c r="AG262">
        <v>3028391</v>
      </c>
      <c r="AH262">
        <v>48000</v>
      </c>
      <c r="AI262" s="1" t="s">
        <v>312</v>
      </c>
      <c r="AJ262">
        <v>93986073</v>
      </c>
      <c r="AK262" s="1" t="s">
        <v>1867</v>
      </c>
      <c r="AN262" t="s">
        <v>2043</v>
      </c>
      <c r="AO262" t="s">
        <v>2067</v>
      </c>
      <c r="AP262" t="s">
        <v>2093</v>
      </c>
      <c r="AQ262">
        <v>127993</v>
      </c>
      <c r="AR262" s="3">
        <v>46203</v>
      </c>
      <c r="AS262" s="3">
        <v>46174</v>
      </c>
      <c r="AT262" s="3">
        <v>46222</v>
      </c>
      <c r="AU262" t="s">
        <v>2124</v>
      </c>
      <c r="AW262" s="3">
        <v>46208.53701449134</v>
      </c>
    </row>
    <row r="263" spans="1:49" ht="16" hidden="1" x14ac:dyDescent="0.2">
      <c r="A263" t="s">
        <v>90</v>
      </c>
      <c r="B263">
        <v>12215</v>
      </c>
      <c r="C263">
        <v>19443</v>
      </c>
      <c r="D263" t="s">
        <v>168</v>
      </c>
      <c r="E263" t="s">
        <v>312</v>
      </c>
      <c r="F263">
        <v>267002</v>
      </c>
      <c r="G263" t="s">
        <v>579</v>
      </c>
      <c r="H263">
        <v>587867</v>
      </c>
      <c r="I263" t="s">
        <v>1138</v>
      </c>
      <c r="J263">
        <v>93986105</v>
      </c>
      <c r="K263" t="s">
        <v>1840</v>
      </c>
      <c r="L263" t="s">
        <v>1850</v>
      </c>
      <c r="M263" s="1">
        <v>15.85</v>
      </c>
      <c r="N263" t="s">
        <v>23</v>
      </c>
      <c r="O263">
        <v>4637080</v>
      </c>
      <c r="P263" s="1">
        <v>73497.72</v>
      </c>
      <c r="S263" s="6" t="str">
        <f t="shared" si="4"/>
        <v xml:space="preserve"> </v>
      </c>
      <c r="T263" s="6" t="str">
        <f>IF(IF(COUNTIF(H$2:$H263,H263)=1,1,"")=1,SUMIF($H$2:$H$7997,H263,$S$2:$S$7997),"")</f>
        <v/>
      </c>
      <c r="W263">
        <v>4637080</v>
      </c>
      <c r="X263">
        <v>4637080</v>
      </c>
      <c r="Y263">
        <v>0</v>
      </c>
      <c r="Z263">
        <v>0</v>
      </c>
      <c r="AA263" s="2">
        <v>1</v>
      </c>
      <c r="AB263" s="2">
        <v>0</v>
      </c>
      <c r="AC263" s="2">
        <v>0</v>
      </c>
      <c r="AD263">
        <v>0</v>
      </c>
      <c r="AE263" t="s">
        <v>1862</v>
      </c>
      <c r="AF263">
        <v>36642.25</v>
      </c>
      <c r="AG263">
        <v>7066246</v>
      </c>
      <c r="AH263">
        <v>112000</v>
      </c>
      <c r="AI263" s="1" t="s">
        <v>312</v>
      </c>
      <c r="AJ263">
        <v>93986073</v>
      </c>
      <c r="AK263" s="1" t="s">
        <v>1867</v>
      </c>
      <c r="AN263" t="s">
        <v>2043</v>
      </c>
      <c r="AO263" t="s">
        <v>2067</v>
      </c>
      <c r="AP263" t="s">
        <v>2083</v>
      </c>
      <c r="AQ263">
        <v>127993</v>
      </c>
      <c r="AR263" s="3">
        <v>46203</v>
      </c>
      <c r="AS263" s="3">
        <v>46174</v>
      </c>
      <c r="AT263" s="3">
        <v>46222</v>
      </c>
      <c r="AU263" t="s">
        <v>2123</v>
      </c>
      <c r="AW263" s="3">
        <v>46208.53701449134</v>
      </c>
    </row>
    <row r="264" spans="1:49" ht="16" hidden="1" x14ac:dyDescent="0.2">
      <c r="A264" t="s">
        <v>90</v>
      </c>
      <c r="B264">
        <v>12215</v>
      </c>
      <c r="C264">
        <v>19443</v>
      </c>
      <c r="D264" t="s">
        <v>168</v>
      </c>
      <c r="E264" t="s">
        <v>312</v>
      </c>
      <c r="F264">
        <v>267002</v>
      </c>
      <c r="G264" t="s">
        <v>896</v>
      </c>
      <c r="H264">
        <v>587870</v>
      </c>
      <c r="I264" t="s">
        <v>1725</v>
      </c>
      <c r="J264">
        <v>587871</v>
      </c>
      <c r="K264" t="s">
        <v>1846</v>
      </c>
      <c r="L264" t="s">
        <v>1851</v>
      </c>
      <c r="M264" s="1">
        <v>0.15</v>
      </c>
      <c r="N264" t="s">
        <v>1858</v>
      </c>
      <c r="O264">
        <v>129629733</v>
      </c>
      <c r="P264" s="1">
        <v>19444.46</v>
      </c>
      <c r="S264" s="6" t="str">
        <f t="shared" si="4"/>
        <v xml:space="preserve"> </v>
      </c>
      <c r="T264" s="6">
        <f>IF(IF(COUNTIF(H$2:$H264,H264)=1,1,"")=1,SUMIF($H$2:$H$7997,H264,$S$2:$S$7997),"")</f>
        <v>0</v>
      </c>
      <c r="W264">
        <v>0</v>
      </c>
      <c r="X264">
        <v>0</v>
      </c>
      <c r="Y264">
        <v>0</v>
      </c>
      <c r="Z264">
        <v>0</v>
      </c>
      <c r="AA264" s="2">
        <v>1</v>
      </c>
      <c r="AB264" s="2">
        <v>0</v>
      </c>
      <c r="AC264" s="2">
        <v>0</v>
      </c>
      <c r="AD264">
        <v>0</v>
      </c>
      <c r="AE264" t="s">
        <v>1864</v>
      </c>
      <c r="AF264">
        <v>19444.46</v>
      </c>
      <c r="AG264">
        <v>518519</v>
      </c>
      <c r="AH264">
        <v>77777.850000000006</v>
      </c>
      <c r="AI264" s="1" t="s">
        <v>312</v>
      </c>
      <c r="AJ264">
        <v>267002</v>
      </c>
      <c r="AK264" s="1" t="s">
        <v>1867</v>
      </c>
      <c r="AN264" t="s">
        <v>2043</v>
      </c>
      <c r="AO264" t="s">
        <v>2067</v>
      </c>
      <c r="AP264" t="s">
        <v>2110</v>
      </c>
      <c r="AQ264">
        <v>127993</v>
      </c>
      <c r="AR264" s="3">
        <v>46203</v>
      </c>
      <c r="AS264" s="3">
        <v>46174</v>
      </c>
      <c r="AT264" s="3">
        <v>46222</v>
      </c>
      <c r="AU264" t="s">
        <v>2128</v>
      </c>
      <c r="AW264" s="3">
        <v>46208.53701449134</v>
      </c>
    </row>
    <row r="265" spans="1:49" ht="16" hidden="1" x14ac:dyDescent="0.2">
      <c r="A265" t="s">
        <v>90</v>
      </c>
      <c r="B265">
        <v>12215</v>
      </c>
      <c r="C265">
        <v>19443</v>
      </c>
      <c r="D265" t="s">
        <v>168</v>
      </c>
      <c r="E265" t="s">
        <v>312</v>
      </c>
      <c r="F265">
        <v>267002</v>
      </c>
      <c r="G265" t="s">
        <v>896</v>
      </c>
      <c r="H265">
        <v>587870</v>
      </c>
      <c r="I265" t="s">
        <v>1801</v>
      </c>
      <c r="J265">
        <v>587874</v>
      </c>
      <c r="K265" t="s">
        <v>1844</v>
      </c>
      <c r="L265" t="s">
        <v>1851</v>
      </c>
      <c r="M265" s="1">
        <v>0.15</v>
      </c>
      <c r="N265" t="s">
        <v>1858</v>
      </c>
      <c r="O265">
        <v>129629733</v>
      </c>
      <c r="P265" s="1">
        <v>19444.46</v>
      </c>
      <c r="S265" s="6" t="str">
        <f t="shared" si="4"/>
        <v xml:space="preserve"> </v>
      </c>
      <c r="T265" s="6" t="str">
        <f>IF(IF(COUNTIF(H$2:$H265,H265)=1,1,"")=1,SUMIF($H$2:$H$7997,H265,$S$2:$S$7997),"")</f>
        <v/>
      </c>
      <c r="W265">
        <v>0</v>
      </c>
      <c r="X265">
        <v>0</v>
      </c>
      <c r="Y265">
        <v>0</v>
      </c>
      <c r="Z265">
        <v>0</v>
      </c>
      <c r="AA265" s="2">
        <v>1</v>
      </c>
      <c r="AB265" s="2">
        <v>0</v>
      </c>
      <c r="AC265" s="2">
        <v>0</v>
      </c>
      <c r="AD265">
        <v>0</v>
      </c>
      <c r="AE265" t="s">
        <v>1864</v>
      </c>
      <c r="AF265">
        <v>19444.46</v>
      </c>
      <c r="AG265">
        <v>518519</v>
      </c>
      <c r="AH265">
        <v>77777.850000000006</v>
      </c>
      <c r="AI265" s="1" t="s">
        <v>312</v>
      </c>
      <c r="AJ265">
        <v>267002</v>
      </c>
      <c r="AK265" s="1" t="s">
        <v>1867</v>
      </c>
      <c r="AN265" t="s">
        <v>2043</v>
      </c>
      <c r="AO265" t="s">
        <v>2067</v>
      </c>
      <c r="AP265" t="s">
        <v>2107</v>
      </c>
      <c r="AQ265">
        <v>127993</v>
      </c>
      <c r="AR265" s="3">
        <v>46203</v>
      </c>
      <c r="AS265" s="3">
        <v>46174</v>
      </c>
      <c r="AT265" s="3">
        <v>46222</v>
      </c>
      <c r="AU265" t="s">
        <v>2127</v>
      </c>
      <c r="AW265" s="3">
        <v>46208.53701449134</v>
      </c>
    </row>
    <row r="266" spans="1:49" ht="16" hidden="1" x14ac:dyDescent="0.2">
      <c r="A266" t="s">
        <v>90</v>
      </c>
      <c r="B266">
        <v>12215</v>
      </c>
      <c r="C266">
        <v>19443</v>
      </c>
      <c r="D266" t="s">
        <v>168</v>
      </c>
      <c r="E266" t="s">
        <v>312</v>
      </c>
      <c r="F266">
        <v>267002</v>
      </c>
      <c r="G266" t="s">
        <v>896</v>
      </c>
      <c r="H266">
        <v>587870</v>
      </c>
      <c r="I266" t="s">
        <v>1733</v>
      </c>
      <c r="J266">
        <v>587873</v>
      </c>
      <c r="K266" t="s">
        <v>1835</v>
      </c>
      <c r="L266" t="s">
        <v>1851</v>
      </c>
      <c r="M266" s="1">
        <v>0.15</v>
      </c>
      <c r="N266" t="s">
        <v>1858</v>
      </c>
      <c r="O266">
        <v>129629533</v>
      </c>
      <c r="P266" s="1">
        <v>19444.43</v>
      </c>
      <c r="S266" s="6" t="str">
        <f t="shared" si="4"/>
        <v xml:space="preserve"> </v>
      </c>
      <c r="T266" s="6" t="str">
        <f>IF(IF(COUNTIF(H$2:$H266,H266)=1,1,"")=1,SUMIF($H$2:$H$7997,H266,$S$2:$S$7997),"")</f>
        <v/>
      </c>
      <c r="W266">
        <v>0</v>
      </c>
      <c r="X266">
        <v>0</v>
      </c>
      <c r="Y266">
        <v>0</v>
      </c>
      <c r="Z266">
        <v>0</v>
      </c>
      <c r="AA266" s="2">
        <v>1</v>
      </c>
      <c r="AB266" s="2">
        <v>0</v>
      </c>
      <c r="AC266" s="2">
        <v>0</v>
      </c>
      <c r="AD266">
        <v>0</v>
      </c>
      <c r="AE266" t="s">
        <v>1864</v>
      </c>
      <c r="AF266">
        <v>19444.43</v>
      </c>
      <c r="AG266">
        <v>518518</v>
      </c>
      <c r="AH266">
        <v>77777.7</v>
      </c>
      <c r="AI266" s="1" t="s">
        <v>312</v>
      </c>
      <c r="AJ266">
        <v>267002</v>
      </c>
      <c r="AK266" s="1" t="s">
        <v>1867</v>
      </c>
      <c r="AN266" t="s">
        <v>2043</v>
      </c>
      <c r="AO266" t="s">
        <v>2067</v>
      </c>
      <c r="AP266" t="s">
        <v>2109</v>
      </c>
      <c r="AQ266">
        <v>127993</v>
      </c>
      <c r="AR266" s="3">
        <v>46203</v>
      </c>
      <c r="AS266" s="3">
        <v>46174</v>
      </c>
      <c r="AT266" s="3">
        <v>46222</v>
      </c>
      <c r="AU266" t="s">
        <v>2129</v>
      </c>
      <c r="AW266" s="3">
        <v>46208.53701449134</v>
      </c>
    </row>
    <row r="267" spans="1:49" ht="16" hidden="1" x14ac:dyDescent="0.2">
      <c r="A267" t="s">
        <v>90</v>
      </c>
      <c r="B267">
        <v>12215</v>
      </c>
      <c r="C267">
        <v>19443</v>
      </c>
      <c r="D267" t="s">
        <v>168</v>
      </c>
      <c r="E267" t="s">
        <v>312</v>
      </c>
      <c r="F267">
        <v>267002</v>
      </c>
      <c r="G267" t="s">
        <v>874</v>
      </c>
      <c r="H267">
        <v>587876</v>
      </c>
      <c r="I267" t="s">
        <v>1795</v>
      </c>
      <c r="J267">
        <v>587877</v>
      </c>
      <c r="K267" t="s">
        <v>1846</v>
      </c>
      <c r="L267" t="s">
        <v>1851</v>
      </c>
      <c r="M267" s="1">
        <v>0.15</v>
      </c>
      <c r="N267" t="s">
        <v>1858</v>
      </c>
      <c r="O267">
        <v>129629733</v>
      </c>
      <c r="P267" s="1">
        <v>19444.46</v>
      </c>
      <c r="S267" s="6" t="str">
        <f t="shared" si="4"/>
        <v xml:space="preserve"> </v>
      </c>
      <c r="T267" s="6">
        <f>IF(IF(COUNTIF(H$2:$H267,H267)=1,1,"")=1,SUMIF($H$2:$H$7997,H267,$S$2:$S$7997),"")</f>
        <v>0</v>
      </c>
      <c r="W267">
        <v>0</v>
      </c>
      <c r="X267">
        <v>0</v>
      </c>
      <c r="Y267">
        <v>0</v>
      </c>
      <c r="Z267">
        <v>0</v>
      </c>
      <c r="AA267" s="2">
        <v>1</v>
      </c>
      <c r="AB267" s="2">
        <v>0</v>
      </c>
      <c r="AC267" s="2">
        <v>0</v>
      </c>
      <c r="AD267">
        <v>0</v>
      </c>
      <c r="AE267" t="s">
        <v>1864</v>
      </c>
      <c r="AF267">
        <v>19444.46</v>
      </c>
      <c r="AG267">
        <v>518519</v>
      </c>
      <c r="AH267">
        <v>77777.850000000006</v>
      </c>
      <c r="AI267" s="1" t="s">
        <v>312</v>
      </c>
      <c r="AJ267">
        <v>267002</v>
      </c>
      <c r="AK267" s="1" t="s">
        <v>1867</v>
      </c>
      <c r="AN267" t="s">
        <v>2043</v>
      </c>
      <c r="AO267" t="s">
        <v>2067</v>
      </c>
      <c r="AP267" t="s">
        <v>2110</v>
      </c>
      <c r="AQ267">
        <v>127993</v>
      </c>
      <c r="AR267" s="3">
        <v>46203</v>
      </c>
      <c r="AS267" s="3">
        <v>46174</v>
      </c>
      <c r="AT267" s="3">
        <v>46222</v>
      </c>
      <c r="AU267" t="s">
        <v>2128</v>
      </c>
      <c r="AW267" s="3">
        <v>46208.53701449134</v>
      </c>
    </row>
    <row r="268" spans="1:49" ht="16" hidden="1" x14ac:dyDescent="0.2">
      <c r="A268" t="s">
        <v>90</v>
      </c>
      <c r="B268">
        <v>12215</v>
      </c>
      <c r="C268">
        <v>19443</v>
      </c>
      <c r="D268" t="s">
        <v>168</v>
      </c>
      <c r="E268" t="s">
        <v>312</v>
      </c>
      <c r="F268">
        <v>267002</v>
      </c>
      <c r="G268" t="s">
        <v>874</v>
      </c>
      <c r="H268">
        <v>587876</v>
      </c>
      <c r="I268" t="s">
        <v>1677</v>
      </c>
      <c r="J268">
        <v>587879</v>
      </c>
      <c r="K268" t="s">
        <v>1844</v>
      </c>
      <c r="L268" t="s">
        <v>1851</v>
      </c>
      <c r="M268" s="1">
        <v>0.15</v>
      </c>
      <c r="N268" t="s">
        <v>1858</v>
      </c>
      <c r="O268">
        <v>129629733</v>
      </c>
      <c r="P268" s="1">
        <v>19444.46</v>
      </c>
      <c r="S268" s="6" t="str">
        <f t="shared" si="4"/>
        <v xml:space="preserve"> </v>
      </c>
      <c r="T268" s="6" t="str">
        <f>IF(IF(COUNTIF(H$2:$H268,H268)=1,1,"")=1,SUMIF($H$2:$H$7997,H268,$S$2:$S$7997),"")</f>
        <v/>
      </c>
      <c r="W268">
        <v>0</v>
      </c>
      <c r="X268">
        <v>0</v>
      </c>
      <c r="Y268">
        <v>0</v>
      </c>
      <c r="Z268">
        <v>0</v>
      </c>
      <c r="AA268" s="2">
        <v>1</v>
      </c>
      <c r="AB268" s="2">
        <v>0</v>
      </c>
      <c r="AC268" s="2">
        <v>0</v>
      </c>
      <c r="AD268">
        <v>0</v>
      </c>
      <c r="AE268" t="s">
        <v>1864</v>
      </c>
      <c r="AF268">
        <v>19444.46</v>
      </c>
      <c r="AG268">
        <v>518519</v>
      </c>
      <c r="AH268">
        <v>77777.850000000006</v>
      </c>
      <c r="AI268" s="1" t="s">
        <v>312</v>
      </c>
      <c r="AJ268">
        <v>267002</v>
      </c>
      <c r="AK268" s="1" t="s">
        <v>1867</v>
      </c>
      <c r="AN268" t="s">
        <v>2043</v>
      </c>
      <c r="AO268" t="s">
        <v>2067</v>
      </c>
      <c r="AP268" t="s">
        <v>2107</v>
      </c>
      <c r="AQ268">
        <v>127993</v>
      </c>
      <c r="AR268" s="3">
        <v>46203</v>
      </c>
      <c r="AS268" s="3">
        <v>46174</v>
      </c>
      <c r="AT268" s="3">
        <v>46222</v>
      </c>
      <c r="AU268" t="s">
        <v>2127</v>
      </c>
      <c r="AW268" s="3">
        <v>46208.53701449134</v>
      </c>
    </row>
    <row r="269" spans="1:49" ht="16" hidden="1" x14ac:dyDescent="0.2">
      <c r="A269" t="s">
        <v>90</v>
      </c>
      <c r="B269">
        <v>12215</v>
      </c>
      <c r="C269">
        <v>19443</v>
      </c>
      <c r="D269" t="s">
        <v>168</v>
      </c>
      <c r="E269" t="s">
        <v>312</v>
      </c>
      <c r="F269">
        <v>267002</v>
      </c>
      <c r="G269" t="s">
        <v>874</v>
      </c>
      <c r="H269">
        <v>587876</v>
      </c>
      <c r="I269" t="s">
        <v>1823</v>
      </c>
      <c r="J269">
        <v>587878</v>
      </c>
      <c r="K269" t="s">
        <v>1835</v>
      </c>
      <c r="L269" t="s">
        <v>1851</v>
      </c>
      <c r="M269" s="1">
        <v>0.15</v>
      </c>
      <c r="N269" t="s">
        <v>1858</v>
      </c>
      <c r="O269">
        <v>129629533</v>
      </c>
      <c r="P269" s="1">
        <v>19444.43</v>
      </c>
      <c r="S269" s="6" t="str">
        <f t="shared" si="4"/>
        <v xml:space="preserve"> </v>
      </c>
      <c r="T269" s="6" t="str">
        <f>IF(IF(COUNTIF(H$2:$H269,H269)=1,1,"")=1,SUMIF($H$2:$H$7997,H269,$S$2:$S$7997),"")</f>
        <v/>
      </c>
      <c r="W269">
        <v>0</v>
      </c>
      <c r="X269">
        <v>0</v>
      </c>
      <c r="Y269">
        <v>0</v>
      </c>
      <c r="Z269">
        <v>0</v>
      </c>
      <c r="AA269" s="2">
        <v>1</v>
      </c>
      <c r="AB269" s="2">
        <v>0</v>
      </c>
      <c r="AC269" s="2">
        <v>0</v>
      </c>
      <c r="AD269">
        <v>0</v>
      </c>
      <c r="AE269" t="s">
        <v>1864</v>
      </c>
      <c r="AF269">
        <v>19444.43</v>
      </c>
      <c r="AG269">
        <v>518518</v>
      </c>
      <c r="AH269">
        <v>77777.7</v>
      </c>
      <c r="AI269" s="1" t="s">
        <v>312</v>
      </c>
      <c r="AJ269">
        <v>267002</v>
      </c>
      <c r="AK269" s="1" t="s">
        <v>1867</v>
      </c>
      <c r="AN269" t="s">
        <v>2043</v>
      </c>
      <c r="AO269" t="s">
        <v>2067</v>
      </c>
      <c r="AP269" t="s">
        <v>2109</v>
      </c>
      <c r="AQ269">
        <v>127993</v>
      </c>
      <c r="AR269" s="3">
        <v>46203</v>
      </c>
      <c r="AS269" s="3">
        <v>46174</v>
      </c>
      <c r="AT269" s="3">
        <v>46222</v>
      </c>
      <c r="AU269" t="s">
        <v>2129</v>
      </c>
      <c r="AW269" s="3">
        <v>46208.53701449134</v>
      </c>
    </row>
    <row r="270" spans="1:49" ht="16" hidden="1" x14ac:dyDescent="0.2">
      <c r="A270" t="s">
        <v>90</v>
      </c>
      <c r="B270">
        <v>12215</v>
      </c>
      <c r="C270">
        <v>19443</v>
      </c>
      <c r="D270" t="s">
        <v>168</v>
      </c>
      <c r="E270" t="s">
        <v>312</v>
      </c>
      <c r="F270">
        <v>267002</v>
      </c>
      <c r="G270" t="s">
        <v>870</v>
      </c>
      <c r="H270">
        <v>587880</v>
      </c>
      <c r="I270" t="s">
        <v>1668</v>
      </c>
      <c r="J270">
        <v>587881</v>
      </c>
      <c r="K270" t="s">
        <v>1846</v>
      </c>
      <c r="L270" t="s">
        <v>1851</v>
      </c>
      <c r="M270" s="1">
        <v>0.15</v>
      </c>
      <c r="N270" t="s">
        <v>1858</v>
      </c>
      <c r="O270">
        <v>129629733</v>
      </c>
      <c r="P270" s="1">
        <v>19444.46</v>
      </c>
      <c r="S270" s="6" t="str">
        <f t="shared" si="4"/>
        <v xml:space="preserve"> </v>
      </c>
      <c r="T270" s="6">
        <f>IF(IF(COUNTIF(H$2:$H270,H270)=1,1,"")=1,SUMIF($H$2:$H$7997,H270,$S$2:$S$7997),"")</f>
        <v>0</v>
      </c>
      <c r="W270">
        <v>0</v>
      </c>
      <c r="X270">
        <v>0</v>
      </c>
      <c r="Y270">
        <v>0</v>
      </c>
      <c r="Z270">
        <v>0</v>
      </c>
      <c r="AA270" s="2">
        <v>1</v>
      </c>
      <c r="AB270" s="2">
        <v>0</v>
      </c>
      <c r="AC270" s="2">
        <v>0</v>
      </c>
      <c r="AD270">
        <v>0</v>
      </c>
      <c r="AE270" t="s">
        <v>1864</v>
      </c>
      <c r="AF270">
        <v>19444.46</v>
      </c>
      <c r="AG270">
        <v>518519</v>
      </c>
      <c r="AH270">
        <v>77777.850000000006</v>
      </c>
      <c r="AI270" s="1" t="s">
        <v>312</v>
      </c>
      <c r="AJ270">
        <v>267002</v>
      </c>
      <c r="AK270" s="1" t="s">
        <v>1867</v>
      </c>
      <c r="AN270" t="s">
        <v>2043</v>
      </c>
      <c r="AO270" t="s">
        <v>2067</v>
      </c>
      <c r="AP270" t="s">
        <v>2110</v>
      </c>
      <c r="AQ270">
        <v>127993</v>
      </c>
      <c r="AR270" s="3">
        <v>46203</v>
      </c>
      <c r="AS270" s="3">
        <v>46174</v>
      </c>
      <c r="AT270" s="3">
        <v>46222</v>
      </c>
      <c r="AU270" t="s">
        <v>2128</v>
      </c>
      <c r="AW270" s="3">
        <v>46208.53701449134</v>
      </c>
    </row>
    <row r="271" spans="1:49" ht="16" hidden="1" x14ac:dyDescent="0.2">
      <c r="A271" t="s">
        <v>90</v>
      </c>
      <c r="B271">
        <v>12215</v>
      </c>
      <c r="C271">
        <v>19443</v>
      </c>
      <c r="D271" t="s">
        <v>168</v>
      </c>
      <c r="E271" t="s">
        <v>312</v>
      </c>
      <c r="F271">
        <v>267002</v>
      </c>
      <c r="G271" t="s">
        <v>870</v>
      </c>
      <c r="H271">
        <v>587880</v>
      </c>
      <c r="I271" t="s">
        <v>1686</v>
      </c>
      <c r="J271">
        <v>587883</v>
      </c>
      <c r="K271" t="s">
        <v>1844</v>
      </c>
      <c r="L271" t="s">
        <v>1851</v>
      </c>
      <c r="M271" s="1">
        <v>0.15</v>
      </c>
      <c r="N271" t="s">
        <v>1858</v>
      </c>
      <c r="O271">
        <v>129629733</v>
      </c>
      <c r="P271" s="1">
        <v>19444.46</v>
      </c>
      <c r="S271" s="6" t="str">
        <f t="shared" si="4"/>
        <v xml:space="preserve"> </v>
      </c>
      <c r="T271" s="6" t="str">
        <f>IF(IF(COUNTIF(H$2:$H271,H271)=1,1,"")=1,SUMIF($H$2:$H$7997,H271,$S$2:$S$7997),"")</f>
        <v/>
      </c>
      <c r="W271">
        <v>0</v>
      </c>
      <c r="X271">
        <v>0</v>
      </c>
      <c r="Y271">
        <v>0</v>
      </c>
      <c r="Z271">
        <v>0</v>
      </c>
      <c r="AA271" s="2">
        <v>1</v>
      </c>
      <c r="AB271" s="2">
        <v>0</v>
      </c>
      <c r="AC271" s="2">
        <v>0</v>
      </c>
      <c r="AD271">
        <v>0</v>
      </c>
      <c r="AE271" t="s">
        <v>1864</v>
      </c>
      <c r="AF271">
        <v>19444.46</v>
      </c>
      <c r="AG271">
        <v>518519</v>
      </c>
      <c r="AH271">
        <v>77777.850000000006</v>
      </c>
      <c r="AI271" s="1" t="s">
        <v>312</v>
      </c>
      <c r="AJ271">
        <v>267002</v>
      </c>
      <c r="AK271" s="1" t="s">
        <v>1867</v>
      </c>
      <c r="AN271" t="s">
        <v>2043</v>
      </c>
      <c r="AO271" t="s">
        <v>2067</v>
      </c>
      <c r="AP271" t="s">
        <v>2107</v>
      </c>
      <c r="AQ271">
        <v>127993</v>
      </c>
      <c r="AR271" s="3">
        <v>46203</v>
      </c>
      <c r="AS271" s="3">
        <v>46174</v>
      </c>
      <c r="AT271" s="3">
        <v>46222</v>
      </c>
      <c r="AU271" t="s">
        <v>2127</v>
      </c>
      <c r="AW271" s="3">
        <v>46208.53701449134</v>
      </c>
    </row>
    <row r="272" spans="1:49" ht="16" hidden="1" x14ac:dyDescent="0.2">
      <c r="A272" t="s">
        <v>90</v>
      </c>
      <c r="B272">
        <v>12215</v>
      </c>
      <c r="C272">
        <v>19443</v>
      </c>
      <c r="D272" t="s">
        <v>168</v>
      </c>
      <c r="E272" t="s">
        <v>312</v>
      </c>
      <c r="F272">
        <v>267002</v>
      </c>
      <c r="G272" t="s">
        <v>870</v>
      </c>
      <c r="H272">
        <v>587880</v>
      </c>
      <c r="I272" t="s">
        <v>1805</v>
      </c>
      <c r="J272">
        <v>587882</v>
      </c>
      <c r="K272" t="s">
        <v>1835</v>
      </c>
      <c r="L272" t="s">
        <v>1851</v>
      </c>
      <c r="M272" s="1">
        <v>0.15</v>
      </c>
      <c r="N272" t="s">
        <v>1858</v>
      </c>
      <c r="O272">
        <v>129629533</v>
      </c>
      <c r="P272" s="1">
        <v>19444.43</v>
      </c>
      <c r="S272" s="6" t="str">
        <f t="shared" si="4"/>
        <v xml:space="preserve"> </v>
      </c>
      <c r="T272" s="6" t="str">
        <f>IF(IF(COUNTIF(H$2:$H272,H272)=1,1,"")=1,SUMIF($H$2:$H$7997,H272,$S$2:$S$7997),"")</f>
        <v/>
      </c>
      <c r="W272">
        <v>0</v>
      </c>
      <c r="X272">
        <v>0</v>
      </c>
      <c r="Y272">
        <v>0</v>
      </c>
      <c r="Z272">
        <v>0</v>
      </c>
      <c r="AA272" s="2">
        <v>1</v>
      </c>
      <c r="AB272" s="2">
        <v>0</v>
      </c>
      <c r="AC272" s="2">
        <v>0</v>
      </c>
      <c r="AD272">
        <v>0</v>
      </c>
      <c r="AE272" t="s">
        <v>1864</v>
      </c>
      <c r="AF272">
        <v>19444.43</v>
      </c>
      <c r="AG272">
        <v>518518</v>
      </c>
      <c r="AH272">
        <v>77777.7</v>
      </c>
      <c r="AI272" s="1" t="s">
        <v>312</v>
      </c>
      <c r="AJ272">
        <v>267002</v>
      </c>
      <c r="AK272" s="1" t="s">
        <v>1867</v>
      </c>
      <c r="AN272" t="s">
        <v>2043</v>
      </c>
      <c r="AO272" t="s">
        <v>2067</v>
      </c>
      <c r="AP272" t="s">
        <v>2109</v>
      </c>
      <c r="AQ272">
        <v>127993</v>
      </c>
      <c r="AR272" s="3">
        <v>46203</v>
      </c>
      <c r="AS272" s="3">
        <v>46174</v>
      </c>
      <c r="AT272" s="3">
        <v>46222</v>
      </c>
      <c r="AU272" t="s">
        <v>2129</v>
      </c>
      <c r="AW272" s="3">
        <v>46208.53701449134</v>
      </c>
    </row>
    <row r="273" spans="1:49" ht="16" hidden="1" x14ac:dyDescent="0.2">
      <c r="A273" t="s">
        <v>90</v>
      </c>
      <c r="B273">
        <v>12215</v>
      </c>
      <c r="C273">
        <v>7358</v>
      </c>
      <c r="D273" t="s">
        <v>195</v>
      </c>
      <c r="E273" t="s">
        <v>366</v>
      </c>
      <c r="F273">
        <v>257491</v>
      </c>
      <c r="G273" t="s">
        <v>901</v>
      </c>
      <c r="H273">
        <v>581882</v>
      </c>
      <c r="I273" t="s">
        <v>1797</v>
      </c>
      <c r="J273">
        <v>581883</v>
      </c>
      <c r="K273" t="s">
        <v>1846</v>
      </c>
      <c r="L273" t="s">
        <v>1851</v>
      </c>
      <c r="M273" s="1">
        <v>0.15</v>
      </c>
      <c r="N273" t="s">
        <v>1858</v>
      </c>
      <c r="O273">
        <v>69444733</v>
      </c>
      <c r="P273" s="1">
        <v>10416.709999999999</v>
      </c>
      <c r="S273" s="6" t="str">
        <f t="shared" si="4"/>
        <v xml:space="preserve"> </v>
      </c>
      <c r="T273" s="6">
        <f>IF(IF(COUNTIF(H$2:$H273,H273)=1,1,"")=1,SUMIF($H$2:$H$7997,H273,$S$2:$S$7997),"")</f>
        <v>0</v>
      </c>
      <c r="W273">
        <v>0</v>
      </c>
      <c r="X273">
        <v>0</v>
      </c>
      <c r="Y273">
        <v>0</v>
      </c>
      <c r="Z273">
        <v>0</v>
      </c>
      <c r="AA273" s="2">
        <v>1</v>
      </c>
      <c r="AB273" s="2">
        <v>0</v>
      </c>
      <c r="AC273" s="2">
        <v>0</v>
      </c>
      <c r="AD273">
        <v>0</v>
      </c>
      <c r="AE273" t="s">
        <v>1864</v>
      </c>
      <c r="AF273">
        <v>10416.709999999999</v>
      </c>
      <c r="AG273">
        <v>277779</v>
      </c>
      <c r="AH273">
        <v>41666.85</v>
      </c>
      <c r="AI273" s="1" t="s">
        <v>366</v>
      </c>
      <c r="AJ273">
        <v>257491</v>
      </c>
      <c r="AK273" s="1" t="s">
        <v>1867</v>
      </c>
      <c r="AL273" t="s">
        <v>1911</v>
      </c>
      <c r="AN273" t="s">
        <v>2043</v>
      </c>
      <c r="AO273" t="s">
        <v>2067</v>
      </c>
      <c r="AP273" t="s">
        <v>2110</v>
      </c>
      <c r="AQ273">
        <v>127990</v>
      </c>
      <c r="AR273" s="3">
        <v>46203</v>
      </c>
      <c r="AS273" s="3">
        <v>46174</v>
      </c>
      <c r="AT273" s="3">
        <v>46222</v>
      </c>
      <c r="AU273" t="s">
        <v>2128</v>
      </c>
      <c r="AW273" s="3">
        <v>46208.53701449134</v>
      </c>
    </row>
    <row r="274" spans="1:49" ht="16" hidden="1" x14ac:dyDescent="0.2">
      <c r="A274" t="s">
        <v>90</v>
      </c>
      <c r="B274">
        <v>12215</v>
      </c>
      <c r="C274">
        <v>7358</v>
      </c>
      <c r="D274" t="s">
        <v>195</v>
      </c>
      <c r="E274" t="s">
        <v>366</v>
      </c>
      <c r="F274">
        <v>257491</v>
      </c>
      <c r="G274" t="s">
        <v>901</v>
      </c>
      <c r="H274">
        <v>581882</v>
      </c>
      <c r="I274" t="s">
        <v>1745</v>
      </c>
      <c r="J274">
        <v>581886</v>
      </c>
      <c r="K274" t="s">
        <v>1844</v>
      </c>
      <c r="L274" t="s">
        <v>1851</v>
      </c>
      <c r="M274" s="1">
        <v>0.15</v>
      </c>
      <c r="N274" t="s">
        <v>1858</v>
      </c>
      <c r="O274">
        <v>69444733</v>
      </c>
      <c r="P274" s="1">
        <v>10416.709999999999</v>
      </c>
      <c r="S274" s="6" t="str">
        <f t="shared" si="4"/>
        <v xml:space="preserve"> </v>
      </c>
      <c r="T274" s="6" t="str">
        <f>IF(IF(COUNTIF(H$2:$H274,H274)=1,1,"")=1,SUMIF($H$2:$H$7997,H274,$S$2:$S$7997),"")</f>
        <v/>
      </c>
      <c r="W274">
        <v>0</v>
      </c>
      <c r="X274">
        <v>0</v>
      </c>
      <c r="Y274">
        <v>0</v>
      </c>
      <c r="Z274">
        <v>0</v>
      </c>
      <c r="AA274" s="2">
        <v>1</v>
      </c>
      <c r="AB274" s="2">
        <v>0</v>
      </c>
      <c r="AC274" s="2">
        <v>0</v>
      </c>
      <c r="AD274">
        <v>0</v>
      </c>
      <c r="AE274" t="s">
        <v>1864</v>
      </c>
      <c r="AF274">
        <v>10416.709999999999</v>
      </c>
      <c r="AG274">
        <v>277779</v>
      </c>
      <c r="AH274">
        <v>41666.85</v>
      </c>
      <c r="AI274" s="1" t="s">
        <v>366</v>
      </c>
      <c r="AJ274">
        <v>257491</v>
      </c>
      <c r="AK274" s="1" t="s">
        <v>1867</v>
      </c>
      <c r="AL274" t="s">
        <v>1911</v>
      </c>
      <c r="AN274" t="s">
        <v>2043</v>
      </c>
      <c r="AO274" t="s">
        <v>2067</v>
      </c>
      <c r="AP274" t="s">
        <v>2107</v>
      </c>
      <c r="AQ274">
        <v>127990</v>
      </c>
      <c r="AR274" s="3">
        <v>46203</v>
      </c>
      <c r="AS274" s="3">
        <v>46174</v>
      </c>
      <c r="AT274" s="3">
        <v>46222</v>
      </c>
      <c r="AU274" t="s">
        <v>2127</v>
      </c>
      <c r="AW274" s="3">
        <v>46208.53701449134</v>
      </c>
    </row>
    <row r="275" spans="1:49" ht="16" hidden="1" x14ac:dyDescent="0.2">
      <c r="A275" t="s">
        <v>90</v>
      </c>
      <c r="B275">
        <v>12215</v>
      </c>
      <c r="C275">
        <v>7358</v>
      </c>
      <c r="D275" t="s">
        <v>195</v>
      </c>
      <c r="E275" t="s">
        <v>366</v>
      </c>
      <c r="F275">
        <v>257491</v>
      </c>
      <c r="G275" t="s">
        <v>901</v>
      </c>
      <c r="H275">
        <v>581882</v>
      </c>
      <c r="I275" t="s">
        <v>1793</v>
      </c>
      <c r="J275">
        <v>581884</v>
      </c>
      <c r="K275" t="s">
        <v>1847</v>
      </c>
      <c r="L275" t="s">
        <v>1851</v>
      </c>
      <c r="M275" s="1">
        <v>0.15</v>
      </c>
      <c r="N275" t="s">
        <v>1858</v>
      </c>
      <c r="O275">
        <v>69444467</v>
      </c>
      <c r="P275" s="1">
        <v>10416.67</v>
      </c>
      <c r="S275" s="6" t="str">
        <f t="shared" si="4"/>
        <v xml:space="preserve"> </v>
      </c>
      <c r="T275" s="6" t="str">
        <f>IF(IF(COUNTIF(H$2:$H275,H275)=1,1,"")=1,SUMIF($H$2:$H$7997,H275,$S$2:$S$7997),"")</f>
        <v/>
      </c>
      <c r="W275">
        <v>0</v>
      </c>
      <c r="X275">
        <v>0</v>
      </c>
      <c r="Y275">
        <v>0</v>
      </c>
      <c r="Z275">
        <v>0</v>
      </c>
      <c r="AA275" s="2">
        <v>1</v>
      </c>
      <c r="AB275" s="2">
        <v>0</v>
      </c>
      <c r="AC275" s="2">
        <v>0</v>
      </c>
      <c r="AD275">
        <v>0</v>
      </c>
      <c r="AE275" t="s">
        <v>1864</v>
      </c>
      <c r="AF275">
        <v>10416.67</v>
      </c>
      <c r="AG275">
        <v>277778</v>
      </c>
      <c r="AH275">
        <v>41666.699999999997</v>
      </c>
      <c r="AI275" s="1" t="s">
        <v>366</v>
      </c>
      <c r="AJ275">
        <v>257491</v>
      </c>
      <c r="AK275" s="1" t="s">
        <v>1867</v>
      </c>
      <c r="AL275" t="s">
        <v>1911</v>
      </c>
      <c r="AN275" t="s">
        <v>2043</v>
      </c>
      <c r="AO275" t="s">
        <v>2067</v>
      </c>
      <c r="AP275" t="s">
        <v>2112</v>
      </c>
      <c r="AQ275">
        <v>127990</v>
      </c>
      <c r="AR275" s="3">
        <v>46203</v>
      </c>
      <c r="AS275" s="3">
        <v>46174</v>
      </c>
      <c r="AT275" s="3">
        <v>46222</v>
      </c>
      <c r="AU275" t="s">
        <v>2130</v>
      </c>
      <c r="AW275" s="3">
        <v>46208.53701449134</v>
      </c>
    </row>
    <row r="276" spans="1:49" ht="16" hidden="1" x14ac:dyDescent="0.2">
      <c r="A276" t="s">
        <v>90</v>
      </c>
      <c r="B276">
        <v>12215</v>
      </c>
      <c r="C276">
        <v>7358</v>
      </c>
      <c r="D276" t="s">
        <v>195</v>
      </c>
      <c r="E276" t="s">
        <v>366</v>
      </c>
      <c r="F276">
        <v>257491</v>
      </c>
      <c r="G276" t="s">
        <v>901</v>
      </c>
      <c r="H276">
        <v>581882</v>
      </c>
      <c r="I276" t="s">
        <v>1826</v>
      </c>
      <c r="J276">
        <v>581885</v>
      </c>
      <c r="K276" t="s">
        <v>1835</v>
      </c>
      <c r="L276" t="s">
        <v>1851</v>
      </c>
      <c r="M276" s="1">
        <v>0.15</v>
      </c>
      <c r="N276" t="s">
        <v>1858</v>
      </c>
      <c r="O276">
        <v>69444467</v>
      </c>
      <c r="P276" s="1">
        <v>10416.67</v>
      </c>
      <c r="S276" s="6" t="str">
        <f t="shared" si="4"/>
        <v xml:space="preserve"> </v>
      </c>
      <c r="T276" s="6" t="str">
        <f>IF(IF(COUNTIF(H$2:$H276,H276)=1,1,"")=1,SUMIF($H$2:$H$7997,H276,$S$2:$S$7997),"")</f>
        <v/>
      </c>
      <c r="W276">
        <v>0</v>
      </c>
      <c r="X276">
        <v>0</v>
      </c>
      <c r="Y276">
        <v>0</v>
      </c>
      <c r="Z276">
        <v>0</v>
      </c>
      <c r="AA276" s="2">
        <v>1</v>
      </c>
      <c r="AB276" s="2">
        <v>0</v>
      </c>
      <c r="AC276" s="2">
        <v>0</v>
      </c>
      <c r="AD276">
        <v>0</v>
      </c>
      <c r="AE276" t="s">
        <v>1864</v>
      </c>
      <c r="AF276">
        <v>10416.67</v>
      </c>
      <c r="AG276">
        <v>277778</v>
      </c>
      <c r="AH276">
        <v>41666.699999999997</v>
      </c>
      <c r="AI276" s="1" t="s">
        <v>366</v>
      </c>
      <c r="AJ276">
        <v>257491</v>
      </c>
      <c r="AK276" s="1" t="s">
        <v>1867</v>
      </c>
      <c r="AL276" t="s">
        <v>1911</v>
      </c>
      <c r="AN276" t="s">
        <v>2043</v>
      </c>
      <c r="AO276" t="s">
        <v>2067</v>
      </c>
      <c r="AP276" t="s">
        <v>2109</v>
      </c>
      <c r="AQ276">
        <v>127990</v>
      </c>
      <c r="AR276" s="3">
        <v>46203</v>
      </c>
      <c r="AS276" s="3">
        <v>46174</v>
      </c>
      <c r="AT276" s="3">
        <v>46222</v>
      </c>
      <c r="AU276" t="s">
        <v>2129</v>
      </c>
      <c r="AW276" s="3">
        <v>46208.53701449134</v>
      </c>
    </row>
    <row r="277" spans="1:49" ht="16" hidden="1" x14ac:dyDescent="0.2">
      <c r="A277" t="s">
        <v>90</v>
      </c>
      <c r="B277">
        <v>12215</v>
      </c>
      <c r="C277">
        <v>7358</v>
      </c>
      <c r="D277" t="s">
        <v>195</v>
      </c>
      <c r="E277" t="s">
        <v>366</v>
      </c>
      <c r="F277">
        <v>257491</v>
      </c>
      <c r="G277" t="s">
        <v>680</v>
      </c>
      <c r="H277">
        <v>581887</v>
      </c>
      <c r="I277" t="s">
        <v>1327</v>
      </c>
      <c r="J277">
        <v>94330606</v>
      </c>
      <c r="K277" t="s">
        <v>1839</v>
      </c>
      <c r="L277" t="s">
        <v>1850</v>
      </c>
      <c r="M277" s="1">
        <v>40</v>
      </c>
      <c r="N277" t="s">
        <v>23</v>
      </c>
      <c r="O277">
        <v>3165754</v>
      </c>
      <c r="P277" s="1">
        <v>126630.16</v>
      </c>
      <c r="S277" s="6" t="str">
        <f t="shared" si="4"/>
        <v xml:space="preserve"> </v>
      </c>
      <c r="T277" s="6">
        <f>IF(IF(COUNTIF(H$2:$H277,H277)=1,1,"")=1,SUMIF($H$2:$H$7997,H277,$S$2:$S$7997),"")</f>
        <v>0</v>
      </c>
      <c r="W277">
        <v>3165754</v>
      </c>
      <c r="X277">
        <v>3165754</v>
      </c>
      <c r="Y277">
        <v>0</v>
      </c>
      <c r="Z277">
        <v>0</v>
      </c>
      <c r="AA277" s="2">
        <v>1</v>
      </c>
      <c r="AB277" s="2">
        <v>0</v>
      </c>
      <c r="AC277" s="2">
        <v>0</v>
      </c>
      <c r="AD277">
        <v>0</v>
      </c>
      <c r="AE277" t="s">
        <v>1862</v>
      </c>
      <c r="AF277">
        <v>62132.95</v>
      </c>
      <c r="AG277">
        <v>4386165</v>
      </c>
      <c r="AH277">
        <v>175446.6</v>
      </c>
      <c r="AI277" s="1" t="s">
        <v>366</v>
      </c>
      <c r="AJ277">
        <v>94330290</v>
      </c>
      <c r="AK277" s="1" t="s">
        <v>1867</v>
      </c>
      <c r="AL277" t="s">
        <v>1911</v>
      </c>
      <c r="AN277" t="s">
        <v>2043</v>
      </c>
      <c r="AO277" t="s">
        <v>2067</v>
      </c>
      <c r="AP277" t="s">
        <v>2094</v>
      </c>
      <c r="AQ277">
        <v>127990</v>
      </c>
      <c r="AR277" s="3">
        <v>46203</v>
      </c>
      <c r="AS277" s="3">
        <v>46174</v>
      </c>
      <c r="AT277" s="3">
        <v>46222</v>
      </c>
      <c r="AU277" t="s">
        <v>2124</v>
      </c>
      <c r="AW277" s="3">
        <v>46208.53701449134</v>
      </c>
    </row>
    <row r="278" spans="1:49" ht="16" hidden="1" x14ac:dyDescent="0.2">
      <c r="A278" t="s">
        <v>90</v>
      </c>
      <c r="B278">
        <v>12215</v>
      </c>
      <c r="C278">
        <v>7358</v>
      </c>
      <c r="D278" t="s">
        <v>195</v>
      </c>
      <c r="E278" t="s">
        <v>366</v>
      </c>
      <c r="F278">
        <v>257491</v>
      </c>
      <c r="G278" t="s">
        <v>680</v>
      </c>
      <c r="H278">
        <v>581887</v>
      </c>
      <c r="I278" t="s">
        <v>1316</v>
      </c>
      <c r="J278">
        <v>94330559</v>
      </c>
      <c r="K278" t="s">
        <v>1835</v>
      </c>
      <c r="L278" t="s">
        <v>1850</v>
      </c>
      <c r="M278" s="1">
        <v>40</v>
      </c>
      <c r="N278" t="s">
        <v>23</v>
      </c>
      <c r="O278">
        <v>1278440</v>
      </c>
      <c r="P278" s="1">
        <v>51137.599999999999</v>
      </c>
      <c r="S278" s="6" t="str">
        <f t="shared" si="4"/>
        <v xml:space="preserve"> </v>
      </c>
      <c r="T278" s="6" t="str">
        <f>IF(IF(COUNTIF(H$2:$H278,H278)=1,1,"")=1,SUMIF($H$2:$H$7997,H278,$S$2:$S$7997),"")</f>
        <v/>
      </c>
      <c r="W278">
        <v>1278440</v>
      </c>
      <c r="X278">
        <v>1278440</v>
      </c>
      <c r="Y278">
        <v>0</v>
      </c>
      <c r="Z278">
        <v>0</v>
      </c>
      <c r="AA278" s="2">
        <v>1</v>
      </c>
      <c r="AB278" s="2">
        <v>0</v>
      </c>
      <c r="AC278" s="2">
        <v>0</v>
      </c>
      <c r="AD278">
        <v>0</v>
      </c>
      <c r="AE278" t="s">
        <v>1862</v>
      </c>
      <c r="AF278">
        <v>26628.41</v>
      </c>
      <c r="AG278">
        <v>1879785</v>
      </c>
      <c r="AH278">
        <v>75191.399999999994</v>
      </c>
      <c r="AI278" s="1" t="s">
        <v>366</v>
      </c>
      <c r="AJ278">
        <v>94330290</v>
      </c>
      <c r="AK278" s="1" t="s">
        <v>1867</v>
      </c>
      <c r="AL278" t="s">
        <v>1911</v>
      </c>
      <c r="AN278" t="s">
        <v>2043</v>
      </c>
      <c r="AO278" t="s">
        <v>2067</v>
      </c>
      <c r="AP278" t="s">
        <v>2092</v>
      </c>
      <c r="AQ278">
        <v>127990</v>
      </c>
      <c r="AR278" s="3">
        <v>46203</v>
      </c>
      <c r="AS278" s="3">
        <v>46174</v>
      </c>
      <c r="AT278" s="3">
        <v>46222</v>
      </c>
      <c r="AU278" t="s">
        <v>2123</v>
      </c>
      <c r="AW278" s="3">
        <v>46208.53701449134</v>
      </c>
    </row>
    <row r="279" spans="1:49" ht="16" hidden="1" x14ac:dyDescent="0.2">
      <c r="A279" t="s">
        <v>90</v>
      </c>
      <c r="B279">
        <v>12215</v>
      </c>
      <c r="C279">
        <v>7358</v>
      </c>
      <c r="D279" t="s">
        <v>195</v>
      </c>
      <c r="E279" t="s">
        <v>366</v>
      </c>
      <c r="F279">
        <v>257491</v>
      </c>
      <c r="G279" t="s">
        <v>678</v>
      </c>
      <c r="H279">
        <v>587519</v>
      </c>
      <c r="I279" t="s">
        <v>1325</v>
      </c>
      <c r="J279">
        <v>94330600</v>
      </c>
      <c r="K279" t="s">
        <v>1839</v>
      </c>
      <c r="L279" t="s">
        <v>1850</v>
      </c>
      <c r="M279" s="1">
        <v>40</v>
      </c>
      <c r="N279" t="s">
        <v>23</v>
      </c>
      <c r="O279">
        <v>2278170</v>
      </c>
      <c r="P279" s="1">
        <v>91126.8</v>
      </c>
      <c r="S279" s="6" t="str">
        <f t="shared" si="4"/>
        <v xml:space="preserve"> </v>
      </c>
      <c r="T279" s="6">
        <f>IF(IF(COUNTIF(H$2:$H279,H279)=1,1,"")=1,SUMIF($H$2:$H$7997,H279,$S$2:$S$7997),"")</f>
        <v>0</v>
      </c>
      <c r="W279">
        <v>2278170</v>
      </c>
      <c r="X279">
        <v>2278170</v>
      </c>
      <c r="Y279">
        <v>0</v>
      </c>
      <c r="Z279">
        <v>0</v>
      </c>
      <c r="AA279" s="2">
        <v>1</v>
      </c>
      <c r="AB279" s="2">
        <v>0</v>
      </c>
      <c r="AC279" s="2">
        <v>0</v>
      </c>
      <c r="AD279">
        <v>0</v>
      </c>
      <c r="AE279" t="s">
        <v>1862</v>
      </c>
      <c r="AF279">
        <v>44660.95</v>
      </c>
      <c r="AG279">
        <v>3154305</v>
      </c>
      <c r="AH279">
        <v>126172.2</v>
      </c>
      <c r="AI279" s="1" t="s">
        <v>366</v>
      </c>
      <c r="AJ279">
        <v>94330290</v>
      </c>
      <c r="AK279" s="1" t="s">
        <v>1867</v>
      </c>
      <c r="AL279" t="s">
        <v>1911</v>
      </c>
      <c r="AN279" t="s">
        <v>2043</v>
      </c>
      <c r="AO279" t="s">
        <v>2067</v>
      </c>
      <c r="AP279" t="s">
        <v>2094</v>
      </c>
      <c r="AQ279">
        <v>127990</v>
      </c>
      <c r="AR279" s="3">
        <v>46203</v>
      </c>
      <c r="AS279" s="3">
        <v>46174</v>
      </c>
      <c r="AT279" s="3">
        <v>46222</v>
      </c>
      <c r="AU279" t="s">
        <v>2124</v>
      </c>
      <c r="AW279" s="3">
        <v>46208.53701449134</v>
      </c>
    </row>
    <row r="280" spans="1:49" ht="16" hidden="1" x14ac:dyDescent="0.2">
      <c r="A280" t="s">
        <v>90</v>
      </c>
      <c r="B280">
        <v>12215</v>
      </c>
      <c r="C280">
        <v>7358</v>
      </c>
      <c r="D280" t="s">
        <v>195</v>
      </c>
      <c r="E280" t="s">
        <v>366</v>
      </c>
      <c r="F280">
        <v>257491</v>
      </c>
      <c r="G280" t="s">
        <v>678</v>
      </c>
      <c r="H280">
        <v>587519</v>
      </c>
      <c r="I280" t="s">
        <v>1314</v>
      </c>
      <c r="J280">
        <v>94330547</v>
      </c>
      <c r="K280" t="s">
        <v>1835</v>
      </c>
      <c r="L280" t="s">
        <v>1850</v>
      </c>
      <c r="M280" s="1">
        <v>40</v>
      </c>
      <c r="N280" t="s">
        <v>23</v>
      </c>
      <c r="O280">
        <v>917051</v>
      </c>
      <c r="P280" s="1">
        <v>36682.04</v>
      </c>
      <c r="S280" s="6" t="str">
        <f t="shared" si="4"/>
        <v xml:space="preserve"> </v>
      </c>
      <c r="T280" s="6" t="str">
        <f>IF(IF(COUNTIF(H$2:$H280,H280)=1,1,"")=1,SUMIF($H$2:$H$7997,H280,$S$2:$S$7997),"")</f>
        <v/>
      </c>
      <c r="W280">
        <v>917051</v>
      </c>
      <c r="X280">
        <v>917051</v>
      </c>
      <c r="Y280">
        <v>0</v>
      </c>
      <c r="Z280">
        <v>0</v>
      </c>
      <c r="AA280" s="2">
        <v>1</v>
      </c>
      <c r="AB280" s="2">
        <v>0</v>
      </c>
      <c r="AC280" s="2">
        <v>0</v>
      </c>
      <c r="AD280">
        <v>0</v>
      </c>
      <c r="AE280" t="s">
        <v>1862</v>
      </c>
      <c r="AF280">
        <v>19140.41</v>
      </c>
      <c r="AG280">
        <v>1351845</v>
      </c>
      <c r="AH280">
        <v>54073.8</v>
      </c>
      <c r="AI280" s="1" t="s">
        <v>366</v>
      </c>
      <c r="AJ280">
        <v>94330290</v>
      </c>
      <c r="AK280" s="1" t="s">
        <v>1867</v>
      </c>
      <c r="AL280" t="s">
        <v>1911</v>
      </c>
      <c r="AN280" t="s">
        <v>2043</v>
      </c>
      <c r="AO280" t="s">
        <v>2067</v>
      </c>
      <c r="AP280" t="s">
        <v>2092</v>
      </c>
      <c r="AQ280">
        <v>127990</v>
      </c>
      <c r="AR280" s="3">
        <v>46203</v>
      </c>
      <c r="AS280" s="3">
        <v>46174</v>
      </c>
      <c r="AT280" s="3">
        <v>46222</v>
      </c>
      <c r="AU280" t="s">
        <v>2123</v>
      </c>
      <c r="AW280" s="3">
        <v>46208.53701449134</v>
      </c>
    </row>
    <row r="281" spans="1:49" ht="16" hidden="1" x14ac:dyDescent="0.2">
      <c r="A281" t="s">
        <v>90</v>
      </c>
      <c r="B281">
        <v>12215</v>
      </c>
      <c r="C281">
        <v>7358</v>
      </c>
      <c r="D281" t="s">
        <v>195</v>
      </c>
      <c r="E281" t="s">
        <v>366</v>
      </c>
      <c r="F281">
        <v>257491</v>
      </c>
      <c r="G281" t="s">
        <v>840</v>
      </c>
      <c r="H281">
        <v>587522</v>
      </c>
      <c r="I281" t="s">
        <v>1635</v>
      </c>
      <c r="J281">
        <v>587523</v>
      </c>
      <c r="K281" t="s">
        <v>1846</v>
      </c>
      <c r="L281" t="s">
        <v>1851</v>
      </c>
      <c r="M281" s="1">
        <v>0.15</v>
      </c>
      <c r="N281" t="s">
        <v>1858</v>
      </c>
      <c r="O281">
        <v>69444467</v>
      </c>
      <c r="P281" s="1">
        <v>10416.67</v>
      </c>
      <c r="S281" s="6" t="str">
        <f t="shared" si="4"/>
        <v xml:space="preserve"> </v>
      </c>
      <c r="T281" s="6">
        <f>IF(IF(COUNTIF(H$2:$H281,H281)=1,1,"")=1,SUMIF($H$2:$H$7997,H281,$S$2:$S$7997),"")</f>
        <v>0</v>
      </c>
      <c r="W281">
        <v>0</v>
      </c>
      <c r="X281">
        <v>0</v>
      </c>
      <c r="Y281">
        <v>0</v>
      </c>
      <c r="Z281">
        <v>0</v>
      </c>
      <c r="AA281" s="2">
        <v>1</v>
      </c>
      <c r="AB281" s="2">
        <v>0</v>
      </c>
      <c r="AC281" s="2">
        <v>0</v>
      </c>
      <c r="AD281">
        <v>0</v>
      </c>
      <c r="AE281" t="s">
        <v>1864</v>
      </c>
      <c r="AF281">
        <v>10416.67</v>
      </c>
      <c r="AG281">
        <v>277778</v>
      </c>
      <c r="AH281">
        <v>41666.699999999997</v>
      </c>
      <c r="AI281" s="1" t="s">
        <v>366</v>
      </c>
      <c r="AJ281">
        <v>257491</v>
      </c>
      <c r="AK281" s="1" t="s">
        <v>1867</v>
      </c>
      <c r="AL281" t="s">
        <v>1911</v>
      </c>
      <c r="AN281" t="s">
        <v>2043</v>
      </c>
      <c r="AO281" t="s">
        <v>2067</v>
      </c>
      <c r="AP281" t="s">
        <v>2110</v>
      </c>
      <c r="AQ281">
        <v>127990</v>
      </c>
      <c r="AR281" s="3">
        <v>46203</v>
      </c>
      <c r="AS281" s="3">
        <v>46174</v>
      </c>
      <c r="AT281" s="3">
        <v>46222</v>
      </c>
      <c r="AU281" t="s">
        <v>2128</v>
      </c>
      <c r="AW281" s="3">
        <v>46208.53701449134</v>
      </c>
    </row>
    <row r="282" spans="1:49" ht="16" hidden="1" x14ac:dyDescent="0.2">
      <c r="A282" t="s">
        <v>90</v>
      </c>
      <c r="B282">
        <v>12215</v>
      </c>
      <c r="C282">
        <v>7358</v>
      </c>
      <c r="D282" t="s">
        <v>195</v>
      </c>
      <c r="E282" t="s">
        <v>366</v>
      </c>
      <c r="F282">
        <v>257491</v>
      </c>
      <c r="G282" t="s">
        <v>840</v>
      </c>
      <c r="H282">
        <v>587522</v>
      </c>
      <c r="I282" t="s">
        <v>1680</v>
      </c>
      <c r="J282">
        <v>587526</v>
      </c>
      <c r="K282" t="s">
        <v>1844</v>
      </c>
      <c r="L282" t="s">
        <v>1851</v>
      </c>
      <c r="M282" s="1">
        <v>0.15</v>
      </c>
      <c r="N282" t="s">
        <v>1858</v>
      </c>
      <c r="O282">
        <v>69444467</v>
      </c>
      <c r="P282" s="1">
        <v>10416.67</v>
      </c>
      <c r="S282" s="6" t="str">
        <f t="shared" si="4"/>
        <v xml:space="preserve"> </v>
      </c>
      <c r="T282" s="6" t="str">
        <f>IF(IF(COUNTIF(H$2:$H282,H282)=1,1,"")=1,SUMIF($H$2:$H$7997,H282,$S$2:$S$7997),"")</f>
        <v/>
      </c>
      <c r="W282">
        <v>0</v>
      </c>
      <c r="X282">
        <v>0</v>
      </c>
      <c r="Y282">
        <v>0</v>
      </c>
      <c r="Z282">
        <v>0</v>
      </c>
      <c r="AA282" s="2">
        <v>1</v>
      </c>
      <c r="AB282" s="2">
        <v>0</v>
      </c>
      <c r="AC282" s="2">
        <v>0</v>
      </c>
      <c r="AD282">
        <v>0</v>
      </c>
      <c r="AE282" t="s">
        <v>1864</v>
      </c>
      <c r="AF282">
        <v>10416.67</v>
      </c>
      <c r="AG282">
        <v>277778</v>
      </c>
      <c r="AH282">
        <v>41666.699999999997</v>
      </c>
      <c r="AI282" s="1" t="s">
        <v>366</v>
      </c>
      <c r="AJ282">
        <v>257491</v>
      </c>
      <c r="AK282" s="1" t="s">
        <v>1867</v>
      </c>
      <c r="AL282" t="s">
        <v>1911</v>
      </c>
      <c r="AN282" t="s">
        <v>2043</v>
      </c>
      <c r="AO282" t="s">
        <v>2067</v>
      </c>
      <c r="AP282" t="s">
        <v>2107</v>
      </c>
      <c r="AQ282">
        <v>127990</v>
      </c>
      <c r="AR282" s="3">
        <v>46203</v>
      </c>
      <c r="AS282" s="3">
        <v>46174</v>
      </c>
      <c r="AT282" s="3">
        <v>46222</v>
      </c>
      <c r="AU282" t="s">
        <v>2127</v>
      </c>
      <c r="AW282" s="3">
        <v>46208.53701449134</v>
      </c>
    </row>
    <row r="283" spans="1:49" ht="16" hidden="1" x14ac:dyDescent="0.2">
      <c r="A283" t="s">
        <v>90</v>
      </c>
      <c r="B283">
        <v>12215</v>
      </c>
      <c r="C283">
        <v>7358</v>
      </c>
      <c r="D283" t="s">
        <v>195</v>
      </c>
      <c r="E283" t="s">
        <v>366</v>
      </c>
      <c r="F283">
        <v>257491</v>
      </c>
      <c r="G283" t="s">
        <v>840</v>
      </c>
      <c r="H283">
        <v>587522</v>
      </c>
      <c r="I283" t="s">
        <v>1717</v>
      </c>
      <c r="J283">
        <v>587524</v>
      </c>
      <c r="K283" t="s">
        <v>1847</v>
      </c>
      <c r="L283" t="s">
        <v>1851</v>
      </c>
      <c r="M283" s="1">
        <v>0.15</v>
      </c>
      <c r="N283" t="s">
        <v>1858</v>
      </c>
      <c r="O283">
        <v>69444733</v>
      </c>
      <c r="P283" s="1">
        <v>10416.709999999999</v>
      </c>
      <c r="S283" s="6" t="str">
        <f t="shared" si="4"/>
        <v xml:space="preserve"> </v>
      </c>
      <c r="T283" s="6" t="str">
        <f>IF(IF(COUNTIF(H$2:$H283,H283)=1,1,"")=1,SUMIF($H$2:$H$7997,H283,$S$2:$S$7997),"")</f>
        <v/>
      </c>
      <c r="W283">
        <v>0</v>
      </c>
      <c r="X283">
        <v>0</v>
      </c>
      <c r="Y283">
        <v>0</v>
      </c>
      <c r="Z283">
        <v>0</v>
      </c>
      <c r="AA283" s="2">
        <v>1</v>
      </c>
      <c r="AB283" s="2">
        <v>0</v>
      </c>
      <c r="AC283" s="2">
        <v>0</v>
      </c>
      <c r="AD283">
        <v>0</v>
      </c>
      <c r="AE283" t="s">
        <v>1864</v>
      </c>
      <c r="AF283">
        <v>10416.709999999999</v>
      </c>
      <c r="AG283">
        <v>277779</v>
      </c>
      <c r="AH283">
        <v>41666.85</v>
      </c>
      <c r="AI283" s="1" t="s">
        <v>366</v>
      </c>
      <c r="AJ283">
        <v>257491</v>
      </c>
      <c r="AK283" s="1" t="s">
        <v>1867</v>
      </c>
      <c r="AL283" t="s">
        <v>1911</v>
      </c>
      <c r="AN283" t="s">
        <v>2043</v>
      </c>
      <c r="AO283" t="s">
        <v>2067</v>
      </c>
      <c r="AP283" t="s">
        <v>2112</v>
      </c>
      <c r="AQ283">
        <v>127990</v>
      </c>
      <c r="AR283" s="3">
        <v>46203</v>
      </c>
      <c r="AS283" s="3">
        <v>46174</v>
      </c>
      <c r="AT283" s="3">
        <v>46222</v>
      </c>
      <c r="AU283" t="s">
        <v>2130</v>
      </c>
      <c r="AW283" s="3">
        <v>46208.53701449134</v>
      </c>
    </row>
    <row r="284" spans="1:49" ht="16" hidden="1" x14ac:dyDescent="0.2">
      <c r="A284" t="s">
        <v>90</v>
      </c>
      <c r="B284">
        <v>12215</v>
      </c>
      <c r="C284">
        <v>7358</v>
      </c>
      <c r="D284" t="s">
        <v>195</v>
      </c>
      <c r="E284" t="s">
        <v>366</v>
      </c>
      <c r="F284">
        <v>257491</v>
      </c>
      <c r="G284" t="s">
        <v>840</v>
      </c>
      <c r="H284">
        <v>587522</v>
      </c>
      <c r="I284" t="s">
        <v>1711</v>
      </c>
      <c r="J284">
        <v>587525</v>
      </c>
      <c r="K284" t="s">
        <v>1835</v>
      </c>
      <c r="L284" t="s">
        <v>1851</v>
      </c>
      <c r="M284" s="1">
        <v>0.15</v>
      </c>
      <c r="N284" t="s">
        <v>1858</v>
      </c>
      <c r="O284">
        <v>69444733</v>
      </c>
      <c r="P284" s="1">
        <v>10416.709999999999</v>
      </c>
      <c r="S284" s="6" t="str">
        <f t="shared" si="4"/>
        <v xml:space="preserve"> </v>
      </c>
      <c r="T284" s="6" t="str">
        <f>IF(IF(COUNTIF(H$2:$H284,H284)=1,1,"")=1,SUMIF($H$2:$H$7997,H284,$S$2:$S$7997),"")</f>
        <v/>
      </c>
      <c r="W284">
        <v>0</v>
      </c>
      <c r="X284">
        <v>0</v>
      </c>
      <c r="Y284">
        <v>0</v>
      </c>
      <c r="Z284">
        <v>0</v>
      </c>
      <c r="AA284" s="2">
        <v>1</v>
      </c>
      <c r="AB284" s="2">
        <v>0</v>
      </c>
      <c r="AC284" s="2">
        <v>0</v>
      </c>
      <c r="AD284">
        <v>0</v>
      </c>
      <c r="AE284" t="s">
        <v>1864</v>
      </c>
      <c r="AF284">
        <v>10416.709999999999</v>
      </c>
      <c r="AG284">
        <v>277779</v>
      </c>
      <c r="AH284">
        <v>41666.85</v>
      </c>
      <c r="AI284" s="1" t="s">
        <v>366</v>
      </c>
      <c r="AJ284">
        <v>257491</v>
      </c>
      <c r="AK284" s="1" t="s">
        <v>1867</v>
      </c>
      <c r="AL284" t="s">
        <v>1911</v>
      </c>
      <c r="AN284" t="s">
        <v>2043</v>
      </c>
      <c r="AO284" t="s">
        <v>2067</v>
      </c>
      <c r="AP284" t="s">
        <v>2109</v>
      </c>
      <c r="AQ284">
        <v>127990</v>
      </c>
      <c r="AR284" s="3">
        <v>46203</v>
      </c>
      <c r="AS284" s="3">
        <v>46174</v>
      </c>
      <c r="AT284" s="3">
        <v>46222</v>
      </c>
      <c r="AU284" t="s">
        <v>2129</v>
      </c>
      <c r="AW284" s="3">
        <v>46208.53701449134</v>
      </c>
    </row>
    <row r="285" spans="1:49" ht="16" hidden="1" x14ac:dyDescent="0.2">
      <c r="A285" t="s">
        <v>90</v>
      </c>
      <c r="B285">
        <v>12215</v>
      </c>
      <c r="C285">
        <v>7358</v>
      </c>
      <c r="D285" t="s">
        <v>195</v>
      </c>
      <c r="E285" t="s">
        <v>366</v>
      </c>
      <c r="F285">
        <v>257491</v>
      </c>
      <c r="G285" t="s">
        <v>676</v>
      </c>
      <c r="H285">
        <v>587527</v>
      </c>
      <c r="I285" t="s">
        <v>1319</v>
      </c>
      <c r="J285">
        <v>94330571</v>
      </c>
      <c r="K285" t="s">
        <v>1839</v>
      </c>
      <c r="L285" t="s">
        <v>1850</v>
      </c>
      <c r="M285" s="1">
        <v>40</v>
      </c>
      <c r="N285" t="s">
        <v>23</v>
      </c>
      <c r="O285">
        <v>1488953</v>
      </c>
      <c r="P285" s="1">
        <v>59558.12</v>
      </c>
      <c r="S285" s="6" t="str">
        <f t="shared" si="4"/>
        <v xml:space="preserve"> </v>
      </c>
      <c r="T285" s="6">
        <f>IF(IF(COUNTIF(H$2:$H285,H285)=1,1,"")=1,SUMIF($H$2:$H$7997,H285,$S$2:$S$7997),"")</f>
        <v>0</v>
      </c>
      <c r="W285">
        <v>1488953</v>
      </c>
      <c r="X285">
        <v>1488953</v>
      </c>
      <c r="Y285">
        <v>0</v>
      </c>
      <c r="Z285">
        <v>0</v>
      </c>
      <c r="AA285" s="2">
        <v>1</v>
      </c>
      <c r="AB285" s="2">
        <v>0</v>
      </c>
      <c r="AC285" s="2">
        <v>0</v>
      </c>
      <c r="AD285">
        <v>0</v>
      </c>
      <c r="AE285" t="s">
        <v>1862</v>
      </c>
      <c r="AF285">
        <v>29209.68</v>
      </c>
      <c r="AG285">
        <v>2061307</v>
      </c>
      <c r="AH285">
        <v>82452.28</v>
      </c>
      <c r="AI285" s="1" t="s">
        <v>366</v>
      </c>
      <c r="AJ285">
        <v>94330290</v>
      </c>
      <c r="AK285" s="1" t="s">
        <v>1867</v>
      </c>
      <c r="AL285" t="s">
        <v>1911</v>
      </c>
      <c r="AN285" t="s">
        <v>2043</v>
      </c>
      <c r="AO285" t="s">
        <v>2067</v>
      </c>
      <c r="AP285" t="s">
        <v>2094</v>
      </c>
      <c r="AQ285">
        <v>127990</v>
      </c>
      <c r="AR285" s="3">
        <v>46203</v>
      </c>
      <c r="AS285" s="3">
        <v>46174</v>
      </c>
      <c r="AT285" s="3">
        <v>46222</v>
      </c>
      <c r="AU285" t="s">
        <v>2124</v>
      </c>
      <c r="AW285" s="3">
        <v>46208.53701449134</v>
      </c>
    </row>
    <row r="286" spans="1:49" ht="16" hidden="1" x14ac:dyDescent="0.2">
      <c r="A286" t="s">
        <v>90</v>
      </c>
      <c r="B286">
        <v>12215</v>
      </c>
      <c r="C286">
        <v>7358</v>
      </c>
      <c r="D286" t="s">
        <v>195</v>
      </c>
      <c r="E286" t="s">
        <v>366</v>
      </c>
      <c r="F286">
        <v>257491</v>
      </c>
      <c r="G286" t="s">
        <v>676</v>
      </c>
      <c r="H286">
        <v>587527</v>
      </c>
      <c r="I286" t="s">
        <v>1312</v>
      </c>
      <c r="J286">
        <v>94330531</v>
      </c>
      <c r="K286" t="s">
        <v>1835</v>
      </c>
      <c r="L286" t="s">
        <v>1850</v>
      </c>
      <c r="M286" s="1">
        <v>40</v>
      </c>
      <c r="N286" t="s">
        <v>23</v>
      </c>
      <c r="O286">
        <v>600447</v>
      </c>
      <c r="P286" s="1">
        <v>24017.88</v>
      </c>
      <c r="S286" s="6" t="str">
        <f t="shared" si="4"/>
        <v xml:space="preserve"> </v>
      </c>
      <c r="T286" s="6" t="str">
        <f>IF(IF(COUNTIF(H$2:$H286,H286)=1,1,"")=1,SUMIF($H$2:$H$7997,H286,$S$2:$S$7997),"")</f>
        <v/>
      </c>
      <c r="W286">
        <v>600447</v>
      </c>
      <c r="X286">
        <v>600447</v>
      </c>
      <c r="Y286">
        <v>0</v>
      </c>
      <c r="Z286">
        <v>0</v>
      </c>
      <c r="AA286" s="2">
        <v>1</v>
      </c>
      <c r="AB286" s="2">
        <v>0</v>
      </c>
      <c r="AC286" s="2">
        <v>0</v>
      </c>
      <c r="AD286">
        <v>0</v>
      </c>
      <c r="AE286" t="s">
        <v>1862</v>
      </c>
      <c r="AF286">
        <v>12518.44</v>
      </c>
      <c r="AG286">
        <v>883418</v>
      </c>
      <c r="AH286">
        <v>35336.720000000001</v>
      </c>
      <c r="AI286" s="1" t="s">
        <v>366</v>
      </c>
      <c r="AJ286">
        <v>94330290</v>
      </c>
      <c r="AK286" s="1" t="s">
        <v>1867</v>
      </c>
      <c r="AL286" t="s">
        <v>1911</v>
      </c>
      <c r="AN286" t="s">
        <v>2043</v>
      </c>
      <c r="AO286" t="s">
        <v>2067</v>
      </c>
      <c r="AP286" t="s">
        <v>2092</v>
      </c>
      <c r="AQ286">
        <v>127990</v>
      </c>
      <c r="AR286" s="3">
        <v>46203</v>
      </c>
      <c r="AS286" s="3">
        <v>46174</v>
      </c>
      <c r="AT286" s="3">
        <v>46222</v>
      </c>
      <c r="AU286" t="s">
        <v>2123</v>
      </c>
      <c r="AW286" s="3">
        <v>46208.53701449134</v>
      </c>
    </row>
    <row r="287" spans="1:49" ht="16" hidden="1" x14ac:dyDescent="0.2">
      <c r="A287" t="s">
        <v>90</v>
      </c>
      <c r="B287">
        <v>12215</v>
      </c>
      <c r="C287">
        <v>7358</v>
      </c>
      <c r="D287" t="s">
        <v>195</v>
      </c>
      <c r="E287" t="s">
        <v>366</v>
      </c>
      <c r="F287">
        <v>257491</v>
      </c>
      <c r="G287" t="s">
        <v>897</v>
      </c>
      <c r="H287">
        <v>587530</v>
      </c>
      <c r="I287" t="s">
        <v>1831</v>
      </c>
      <c r="J287">
        <v>587531</v>
      </c>
      <c r="K287" t="s">
        <v>1846</v>
      </c>
      <c r="L287" t="s">
        <v>1851</v>
      </c>
      <c r="M287" s="1">
        <v>0.15</v>
      </c>
      <c r="N287" t="s">
        <v>1858</v>
      </c>
      <c r="O287">
        <v>69444467</v>
      </c>
      <c r="P287" s="1">
        <v>10416.67</v>
      </c>
      <c r="S287" s="6" t="str">
        <f t="shared" si="4"/>
        <v xml:space="preserve"> </v>
      </c>
      <c r="T287" s="6">
        <f>IF(IF(COUNTIF(H$2:$H287,H287)=1,1,"")=1,SUMIF($H$2:$H$7997,H287,$S$2:$S$7997),"")</f>
        <v>0</v>
      </c>
      <c r="W287">
        <v>0</v>
      </c>
      <c r="X287">
        <v>0</v>
      </c>
      <c r="Y287">
        <v>0</v>
      </c>
      <c r="Z287">
        <v>0</v>
      </c>
      <c r="AA287" s="2">
        <v>1</v>
      </c>
      <c r="AB287" s="2">
        <v>0</v>
      </c>
      <c r="AC287" s="2">
        <v>0</v>
      </c>
      <c r="AD287">
        <v>0</v>
      </c>
      <c r="AE287" t="s">
        <v>1864</v>
      </c>
      <c r="AF287">
        <v>10416.67</v>
      </c>
      <c r="AG287">
        <v>277778</v>
      </c>
      <c r="AH287">
        <v>41666.699999999997</v>
      </c>
      <c r="AI287" s="1" t="s">
        <v>366</v>
      </c>
      <c r="AJ287">
        <v>257491</v>
      </c>
      <c r="AK287" s="1" t="s">
        <v>1867</v>
      </c>
      <c r="AL287" t="s">
        <v>1911</v>
      </c>
      <c r="AN287" t="s">
        <v>2043</v>
      </c>
      <c r="AO287" t="s">
        <v>2067</v>
      </c>
      <c r="AP287" t="s">
        <v>2110</v>
      </c>
      <c r="AQ287">
        <v>127990</v>
      </c>
      <c r="AR287" s="3">
        <v>46203</v>
      </c>
      <c r="AS287" s="3">
        <v>46174</v>
      </c>
      <c r="AT287" s="3">
        <v>46222</v>
      </c>
      <c r="AU287" t="s">
        <v>2128</v>
      </c>
      <c r="AW287" s="3">
        <v>46208.53701449134</v>
      </c>
    </row>
    <row r="288" spans="1:49" ht="16" hidden="1" x14ac:dyDescent="0.2">
      <c r="A288" t="s">
        <v>90</v>
      </c>
      <c r="B288">
        <v>12215</v>
      </c>
      <c r="C288">
        <v>7358</v>
      </c>
      <c r="D288" t="s">
        <v>195</v>
      </c>
      <c r="E288" t="s">
        <v>366</v>
      </c>
      <c r="F288">
        <v>257491</v>
      </c>
      <c r="G288" t="s">
        <v>897</v>
      </c>
      <c r="H288">
        <v>587530</v>
      </c>
      <c r="I288" t="s">
        <v>1726</v>
      </c>
      <c r="J288">
        <v>587534</v>
      </c>
      <c r="K288" t="s">
        <v>1844</v>
      </c>
      <c r="L288" t="s">
        <v>1851</v>
      </c>
      <c r="M288" s="1">
        <v>0.15</v>
      </c>
      <c r="N288" t="s">
        <v>1858</v>
      </c>
      <c r="O288">
        <v>69444733</v>
      </c>
      <c r="P288" s="1">
        <v>10416.709999999999</v>
      </c>
      <c r="S288" s="6" t="str">
        <f t="shared" si="4"/>
        <v xml:space="preserve"> </v>
      </c>
      <c r="T288" s="6" t="str">
        <f>IF(IF(COUNTIF(H$2:$H288,H288)=1,1,"")=1,SUMIF($H$2:$H$7997,H288,$S$2:$S$7997),"")</f>
        <v/>
      </c>
      <c r="W288">
        <v>0</v>
      </c>
      <c r="X288">
        <v>0</v>
      </c>
      <c r="Y288">
        <v>0</v>
      </c>
      <c r="Z288">
        <v>0</v>
      </c>
      <c r="AA288" s="2">
        <v>1</v>
      </c>
      <c r="AB288" s="2">
        <v>0</v>
      </c>
      <c r="AC288" s="2">
        <v>0</v>
      </c>
      <c r="AD288">
        <v>0</v>
      </c>
      <c r="AE288" t="s">
        <v>1864</v>
      </c>
      <c r="AF288">
        <v>10416.709999999999</v>
      </c>
      <c r="AG288">
        <v>277779</v>
      </c>
      <c r="AH288">
        <v>41666.85</v>
      </c>
      <c r="AI288" s="1" t="s">
        <v>366</v>
      </c>
      <c r="AJ288">
        <v>257491</v>
      </c>
      <c r="AK288" s="1" t="s">
        <v>1867</v>
      </c>
      <c r="AL288" t="s">
        <v>1911</v>
      </c>
      <c r="AN288" t="s">
        <v>2043</v>
      </c>
      <c r="AO288" t="s">
        <v>2067</v>
      </c>
      <c r="AP288" t="s">
        <v>2107</v>
      </c>
      <c r="AQ288">
        <v>127990</v>
      </c>
      <c r="AR288" s="3">
        <v>46203</v>
      </c>
      <c r="AS288" s="3">
        <v>46174</v>
      </c>
      <c r="AT288" s="3">
        <v>46222</v>
      </c>
      <c r="AU288" t="s">
        <v>2127</v>
      </c>
      <c r="AW288" s="3">
        <v>46208.53701449134</v>
      </c>
    </row>
    <row r="289" spans="1:49" ht="16" hidden="1" x14ac:dyDescent="0.2">
      <c r="A289" t="s">
        <v>90</v>
      </c>
      <c r="B289">
        <v>12215</v>
      </c>
      <c r="C289">
        <v>7358</v>
      </c>
      <c r="D289" t="s">
        <v>195</v>
      </c>
      <c r="E289" t="s">
        <v>366</v>
      </c>
      <c r="F289">
        <v>257491</v>
      </c>
      <c r="G289" t="s">
        <v>897</v>
      </c>
      <c r="H289">
        <v>587530</v>
      </c>
      <c r="I289" t="s">
        <v>1772</v>
      </c>
      <c r="J289">
        <v>587532</v>
      </c>
      <c r="K289" t="s">
        <v>1847</v>
      </c>
      <c r="L289" t="s">
        <v>1851</v>
      </c>
      <c r="M289" s="1">
        <v>0.15</v>
      </c>
      <c r="N289" t="s">
        <v>1858</v>
      </c>
      <c r="O289">
        <v>69444733</v>
      </c>
      <c r="P289" s="1">
        <v>10416.709999999999</v>
      </c>
      <c r="S289" s="6" t="str">
        <f t="shared" si="4"/>
        <v xml:space="preserve"> </v>
      </c>
      <c r="T289" s="6" t="str">
        <f>IF(IF(COUNTIF(H$2:$H289,H289)=1,1,"")=1,SUMIF($H$2:$H$7997,H289,$S$2:$S$7997),"")</f>
        <v/>
      </c>
      <c r="W289">
        <v>0</v>
      </c>
      <c r="X289">
        <v>0</v>
      </c>
      <c r="Y289">
        <v>0</v>
      </c>
      <c r="Z289">
        <v>0</v>
      </c>
      <c r="AA289" s="2">
        <v>1</v>
      </c>
      <c r="AB289" s="2">
        <v>0</v>
      </c>
      <c r="AC289" s="2">
        <v>0</v>
      </c>
      <c r="AD289">
        <v>0</v>
      </c>
      <c r="AE289" t="s">
        <v>1864</v>
      </c>
      <c r="AF289">
        <v>10416.709999999999</v>
      </c>
      <c r="AG289">
        <v>277779</v>
      </c>
      <c r="AH289">
        <v>41666.85</v>
      </c>
      <c r="AI289" s="1" t="s">
        <v>366</v>
      </c>
      <c r="AJ289">
        <v>257491</v>
      </c>
      <c r="AK289" s="1" t="s">
        <v>1867</v>
      </c>
      <c r="AL289" t="s">
        <v>1911</v>
      </c>
      <c r="AN289" t="s">
        <v>2043</v>
      </c>
      <c r="AO289" t="s">
        <v>2067</v>
      </c>
      <c r="AP289" t="s">
        <v>2112</v>
      </c>
      <c r="AQ289">
        <v>127990</v>
      </c>
      <c r="AR289" s="3">
        <v>46203</v>
      </c>
      <c r="AS289" s="3">
        <v>46174</v>
      </c>
      <c r="AT289" s="3">
        <v>46222</v>
      </c>
      <c r="AU289" t="s">
        <v>2130</v>
      </c>
      <c r="AW289" s="3">
        <v>46208.53701449134</v>
      </c>
    </row>
    <row r="290" spans="1:49" ht="16" hidden="1" x14ac:dyDescent="0.2">
      <c r="A290" t="s">
        <v>90</v>
      </c>
      <c r="B290">
        <v>12215</v>
      </c>
      <c r="C290">
        <v>7358</v>
      </c>
      <c r="D290" t="s">
        <v>195</v>
      </c>
      <c r="E290" t="s">
        <v>366</v>
      </c>
      <c r="F290">
        <v>257491</v>
      </c>
      <c r="G290" t="s">
        <v>897</v>
      </c>
      <c r="H290">
        <v>587530</v>
      </c>
      <c r="I290" t="s">
        <v>1776</v>
      </c>
      <c r="J290">
        <v>587533</v>
      </c>
      <c r="K290" t="s">
        <v>1835</v>
      </c>
      <c r="L290" t="s">
        <v>1851</v>
      </c>
      <c r="M290" s="1">
        <v>0.15</v>
      </c>
      <c r="N290" t="s">
        <v>1858</v>
      </c>
      <c r="O290">
        <v>69444467</v>
      </c>
      <c r="P290" s="1">
        <v>10416.67</v>
      </c>
      <c r="S290" s="6" t="str">
        <f t="shared" si="4"/>
        <v xml:space="preserve"> </v>
      </c>
      <c r="T290" s="6" t="str">
        <f>IF(IF(COUNTIF(H$2:$H290,H290)=1,1,"")=1,SUMIF($H$2:$H$7997,H290,$S$2:$S$7997),"")</f>
        <v/>
      </c>
      <c r="W290">
        <v>0</v>
      </c>
      <c r="X290">
        <v>0</v>
      </c>
      <c r="Y290">
        <v>0</v>
      </c>
      <c r="Z290">
        <v>0</v>
      </c>
      <c r="AA290" s="2">
        <v>1</v>
      </c>
      <c r="AB290" s="2">
        <v>0</v>
      </c>
      <c r="AC290" s="2">
        <v>0</v>
      </c>
      <c r="AD290">
        <v>0</v>
      </c>
      <c r="AE290" t="s">
        <v>1864</v>
      </c>
      <c r="AF290">
        <v>10416.67</v>
      </c>
      <c r="AG290">
        <v>277778</v>
      </c>
      <c r="AH290">
        <v>41666.699999999997</v>
      </c>
      <c r="AI290" s="1" t="s">
        <v>366</v>
      </c>
      <c r="AJ290">
        <v>257491</v>
      </c>
      <c r="AK290" s="1" t="s">
        <v>1867</v>
      </c>
      <c r="AL290" t="s">
        <v>1911</v>
      </c>
      <c r="AN290" t="s">
        <v>2043</v>
      </c>
      <c r="AO290" t="s">
        <v>2067</v>
      </c>
      <c r="AP290" t="s">
        <v>2109</v>
      </c>
      <c r="AQ290">
        <v>127990</v>
      </c>
      <c r="AR290" s="3">
        <v>46203</v>
      </c>
      <c r="AS290" s="3">
        <v>46174</v>
      </c>
      <c r="AT290" s="3">
        <v>46222</v>
      </c>
      <c r="AU290" t="s">
        <v>2129</v>
      </c>
      <c r="AW290" s="3">
        <v>46208.53701449134</v>
      </c>
    </row>
    <row r="291" spans="1:49" ht="16" hidden="1" x14ac:dyDescent="0.2">
      <c r="A291" t="s">
        <v>90</v>
      </c>
      <c r="B291">
        <v>12215</v>
      </c>
      <c r="C291">
        <v>7358</v>
      </c>
      <c r="D291" t="s">
        <v>195</v>
      </c>
      <c r="E291" t="s">
        <v>366</v>
      </c>
      <c r="F291">
        <v>257491</v>
      </c>
      <c r="G291" t="s">
        <v>681</v>
      </c>
      <c r="H291">
        <v>587535</v>
      </c>
      <c r="I291" t="s">
        <v>1320</v>
      </c>
      <c r="J291">
        <v>94330574</v>
      </c>
      <c r="K291" t="s">
        <v>1839</v>
      </c>
      <c r="L291" t="s">
        <v>1850</v>
      </c>
      <c r="M291" s="1">
        <v>40</v>
      </c>
      <c r="N291" t="s">
        <v>23</v>
      </c>
      <c r="O291">
        <v>2299161</v>
      </c>
      <c r="P291" s="1">
        <v>91966.44</v>
      </c>
      <c r="S291" s="6" t="str">
        <f t="shared" si="4"/>
        <v xml:space="preserve"> </v>
      </c>
      <c r="T291" s="6">
        <f>IF(IF(COUNTIF(H$2:$H291,H291)=1,1,"")=1,SUMIF($H$2:$H$7997,H291,$S$2:$S$7997),"")</f>
        <v>0</v>
      </c>
      <c r="W291">
        <v>2299161</v>
      </c>
      <c r="X291">
        <v>2299161</v>
      </c>
      <c r="Y291">
        <v>0</v>
      </c>
      <c r="Z291">
        <v>0</v>
      </c>
      <c r="AA291" s="2">
        <v>1</v>
      </c>
      <c r="AB291" s="2">
        <v>0</v>
      </c>
      <c r="AC291" s="2">
        <v>0</v>
      </c>
      <c r="AD291">
        <v>0</v>
      </c>
      <c r="AE291" t="s">
        <v>1862</v>
      </c>
      <c r="AF291">
        <v>45052.36</v>
      </c>
      <c r="AG291">
        <v>3185193</v>
      </c>
      <c r="AH291">
        <v>127407.72</v>
      </c>
      <c r="AI291" s="1" t="s">
        <v>366</v>
      </c>
      <c r="AJ291">
        <v>94330290</v>
      </c>
      <c r="AK291" s="1" t="s">
        <v>1867</v>
      </c>
      <c r="AL291" t="s">
        <v>1911</v>
      </c>
      <c r="AN291" t="s">
        <v>2043</v>
      </c>
      <c r="AO291" t="s">
        <v>2067</v>
      </c>
      <c r="AP291" t="s">
        <v>2094</v>
      </c>
      <c r="AQ291">
        <v>127990</v>
      </c>
      <c r="AR291" s="3">
        <v>46203</v>
      </c>
      <c r="AS291" s="3">
        <v>46174</v>
      </c>
      <c r="AT291" s="3">
        <v>46222</v>
      </c>
      <c r="AU291" t="s">
        <v>2124</v>
      </c>
      <c r="AW291" s="3">
        <v>46208.53701449134</v>
      </c>
    </row>
    <row r="292" spans="1:49" ht="16" hidden="1" x14ac:dyDescent="0.2">
      <c r="A292" t="s">
        <v>90</v>
      </c>
      <c r="B292">
        <v>12215</v>
      </c>
      <c r="C292">
        <v>7358</v>
      </c>
      <c r="D292" t="s">
        <v>195</v>
      </c>
      <c r="E292" t="s">
        <v>366</v>
      </c>
      <c r="F292">
        <v>257491</v>
      </c>
      <c r="G292" t="s">
        <v>681</v>
      </c>
      <c r="H292">
        <v>587535</v>
      </c>
      <c r="I292" t="s">
        <v>1317</v>
      </c>
      <c r="J292">
        <v>94330563</v>
      </c>
      <c r="K292" t="s">
        <v>1835</v>
      </c>
      <c r="L292" t="s">
        <v>1850</v>
      </c>
      <c r="M292" s="1">
        <v>40</v>
      </c>
      <c r="N292" t="s">
        <v>23</v>
      </c>
      <c r="O292">
        <v>925917</v>
      </c>
      <c r="P292" s="1">
        <v>37036.68</v>
      </c>
      <c r="S292" s="6" t="str">
        <f t="shared" si="4"/>
        <v xml:space="preserve"> </v>
      </c>
      <c r="T292" s="6" t="str">
        <f>IF(IF(COUNTIF(H$2:$H292,H292)=1,1,"")=1,SUMIF($H$2:$H$7997,H292,$S$2:$S$7997),"")</f>
        <v/>
      </c>
      <c r="W292">
        <v>925917</v>
      </c>
      <c r="X292">
        <v>925917</v>
      </c>
      <c r="Y292">
        <v>0</v>
      </c>
      <c r="Z292">
        <v>0</v>
      </c>
      <c r="AA292" s="2">
        <v>1</v>
      </c>
      <c r="AB292" s="2">
        <v>0</v>
      </c>
      <c r="AC292" s="2">
        <v>0</v>
      </c>
      <c r="AD292">
        <v>0</v>
      </c>
      <c r="AE292" t="s">
        <v>1862</v>
      </c>
      <c r="AF292">
        <v>19308.14</v>
      </c>
      <c r="AG292">
        <v>1365082</v>
      </c>
      <c r="AH292">
        <v>54603.28</v>
      </c>
      <c r="AI292" s="1" t="s">
        <v>366</v>
      </c>
      <c r="AJ292">
        <v>94330290</v>
      </c>
      <c r="AK292" s="1" t="s">
        <v>1867</v>
      </c>
      <c r="AL292" t="s">
        <v>1911</v>
      </c>
      <c r="AN292" t="s">
        <v>2043</v>
      </c>
      <c r="AO292" t="s">
        <v>2067</v>
      </c>
      <c r="AP292" t="s">
        <v>2092</v>
      </c>
      <c r="AQ292">
        <v>127990</v>
      </c>
      <c r="AR292" s="3">
        <v>46203</v>
      </c>
      <c r="AS292" s="3">
        <v>46174</v>
      </c>
      <c r="AT292" s="3">
        <v>46222</v>
      </c>
      <c r="AU292" t="s">
        <v>2123</v>
      </c>
      <c r="AW292" s="3">
        <v>46208.53701449134</v>
      </c>
    </row>
    <row r="293" spans="1:49" ht="16" hidden="1" x14ac:dyDescent="0.2">
      <c r="A293" t="s">
        <v>90</v>
      </c>
      <c r="B293">
        <v>12215</v>
      </c>
      <c r="C293">
        <v>7358</v>
      </c>
      <c r="D293" t="s">
        <v>195</v>
      </c>
      <c r="E293" t="s">
        <v>366</v>
      </c>
      <c r="F293">
        <v>257491</v>
      </c>
      <c r="G293" t="s">
        <v>683</v>
      </c>
      <c r="H293">
        <v>587538</v>
      </c>
      <c r="I293" t="s">
        <v>1322</v>
      </c>
      <c r="J293">
        <v>94330582</v>
      </c>
      <c r="K293" t="s">
        <v>1839</v>
      </c>
      <c r="L293" t="s">
        <v>1850</v>
      </c>
      <c r="M293" s="1">
        <v>40</v>
      </c>
      <c r="N293" t="s">
        <v>23</v>
      </c>
      <c r="O293">
        <v>1488097</v>
      </c>
      <c r="P293" s="1">
        <v>59523.88</v>
      </c>
      <c r="S293" s="6" t="str">
        <f t="shared" si="4"/>
        <v xml:space="preserve"> </v>
      </c>
      <c r="T293" s="6">
        <f>IF(IF(COUNTIF(H$2:$H293,H293)=1,1,"")=1,SUMIF($H$2:$H$7997,H293,$S$2:$S$7997),"")</f>
        <v>0</v>
      </c>
      <c r="W293">
        <v>1488097</v>
      </c>
      <c r="X293">
        <v>1488097</v>
      </c>
      <c r="Y293">
        <v>0</v>
      </c>
      <c r="Z293">
        <v>0</v>
      </c>
      <c r="AA293" s="2">
        <v>1</v>
      </c>
      <c r="AB293" s="2">
        <v>0</v>
      </c>
      <c r="AC293" s="2">
        <v>0</v>
      </c>
      <c r="AD293">
        <v>0</v>
      </c>
      <c r="AE293" t="s">
        <v>1862</v>
      </c>
      <c r="AF293">
        <v>29217.48</v>
      </c>
      <c r="AG293">
        <v>2059225</v>
      </c>
      <c r="AH293">
        <v>82369</v>
      </c>
      <c r="AI293" s="1" t="s">
        <v>366</v>
      </c>
      <c r="AJ293">
        <v>94330290</v>
      </c>
      <c r="AK293" s="1" t="s">
        <v>1867</v>
      </c>
      <c r="AL293" t="s">
        <v>1911</v>
      </c>
      <c r="AN293" t="s">
        <v>2043</v>
      </c>
      <c r="AO293" t="s">
        <v>2067</v>
      </c>
      <c r="AP293" t="s">
        <v>2094</v>
      </c>
      <c r="AQ293">
        <v>127990</v>
      </c>
      <c r="AR293" s="3">
        <v>46203</v>
      </c>
      <c r="AS293" s="3">
        <v>46174</v>
      </c>
      <c r="AT293" s="3">
        <v>46222</v>
      </c>
      <c r="AU293" t="s">
        <v>2124</v>
      </c>
      <c r="AW293" s="3">
        <v>46208.53701449134</v>
      </c>
    </row>
    <row r="294" spans="1:49" ht="16" hidden="1" x14ac:dyDescent="0.2">
      <c r="A294" t="s">
        <v>90</v>
      </c>
      <c r="B294">
        <v>12215</v>
      </c>
      <c r="C294">
        <v>7358</v>
      </c>
      <c r="D294" t="s">
        <v>195</v>
      </c>
      <c r="E294" t="s">
        <v>366</v>
      </c>
      <c r="F294">
        <v>257491</v>
      </c>
      <c r="G294" t="s">
        <v>683</v>
      </c>
      <c r="H294">
        <v>587538</v>
      </c>
      <c r="I294" t="s">
        <v>1328</v>
      </c>
      <c r="J294">
        <v>94330613</v>
      </c>
      <c r="K294" t="s">
        <v>1835</v>
      </c>
      <c r="L294" t="s">
        <v>1850</v>
      </c>
      <c r="M294" s="1">
        <v>40</v>
      </c>
      <c r="N294" t="s">
        <v>23</v>
      </c>
      <c r="O294">
        <v>600482</v>
      </c>
      <c r="P294" s="1">
        <v>24019.279999999999</v>
      </c>
      <c r="S294" s="6" t="str">
        <f t="shared" si="4"/>
        <v xml:space="preserve"> </v>
      </c>
      <c r="T294" s="6" t="str">
        <f>IF(IF(COUNTIF(H$2:$H294,H294)=1,1,"")=1,SUMIF($H$2:$H$7997,H294,$S$2:$S$7997),"")</f>
        <v/>
      </c>
      <c r="W294">
        <v>600482</v>
      </c>
      <c r="X294">
        <v>600482</v>
      </c>
      <c r="Y294">
        <v>0</v>
      </c>
      <c r="Z294">
        <v>0</v>
      </c>
      <c r="AA294" s="2">
        <v>1</v>
      </c>
      <c r="AB294" s="2">
        <v>0</v>
      </c>
      <c r="AC294" s="2">
        <v>0</v>
      </c>
      <c r="AD294">
        <v>0</v>
      </c>
      <c r="AE294" t="s">
        <v>1862</v>
      </c>
      <c r="AF294">
        <v>12521.78</v>
      </c>
      <c r="AG294">
        <v>882525</v>
      </c>
      <c r="AH294">
        <v>35301</v>
      </c>
      <c r="AI294" s="1" t="s">
        <v>366</v>
      </c>
      <c r="AJ294">
        <v>94330290</v>
      </c>
      <c r="AK294" s="1" t="s">
        <v>1867</v>
      </c>
      <c r="AL294" t="s">
        <v>1911</v>
      </c>
      <c r="AN294" t="s">
        <v>2043</v>
      </c>
      <c r="AO294" t="s">
        <v>2067</v>
      </c>
      <c r="AP294" t="s">
        <v>2092</v>
      </c>
      <c r="AQ294">
        <v>127990</v>
      </c>
      <c r="AR294" s="3">
        <v>46203</v>
      </c>
      <c r="AS294" s="3">
        <v>46174</v>
      </c>
      <c r="AT294" s="3">
        <v>46222</v>
      </c>
      <c r="AU294" t="s">
        <v>2123</v>
      </c>
      <c r="AW294" s="3">
        <v>46208.53701449134</v>
      </c>
    </row>
    <row r="295" spans="1:49" ht="16" hidden="1" x14ac:dyDescent="0.2">
      <c r="A295" t="s">
        <v>90</v>
      </c>
      <c r="B295">
        <v>12215</v>
      </c>
      <c r="C295">
        <v>7358</v>
      </c>
      <c r="D295" t="s">
        <v>195</v>
      </c>
      <c r="E295" t="s">
        <v>366</v>
      </c>
      <c r="F295">
        <v>257491</v>
      </c>
      <c r="G295" t="s">
        <v>679</v>
      </c>
      <c r="H295">
        <v>587541</v>
      </c>
      <c r="I295" t="s">
        <v>1315</v>
      </c>
      <c r="J295">
        <v>94330555</v>
      </c>
      <c r="K295" t="s">
        <v>1839</v>
      </c>
      <c r="L295" t="s">
        <v>1850</v>
      </c>
      <c r="M295" s="1">
        <v>40</v>
      </c>
      <c r="N295" t="s">
        <v>23</v>
      </c>
      <c r="O295">
        <v>1524201</v>
      </c>
      <c r="P295" s="1">
        <v>60968.04</v>
      </c>
      <c r="S295" s="6" t="str">
        <f t="shared" si="4"/>
        <v xml:space="preserve"> </v>
      </c>
      <c r="T295" s="6">
        <f>IF(IF(COUNTIF(H$2:$H295,H295)=1,1,"")=1,SUMIF($H$2:$H$7997,H295,$S$2:$S$7997),"")</f>
        <v>0</v>
      </c>
      <c r="W295">
        <v>1524201</v>
      </c>
      <c r="X295">
        <v>1524201</v>
      </c>
      <c r="Y295">
        <v>0</v>
      </c>
      <c r="Z295">
        <v>0</v>
      </c>
      <c r="AA295" s="2">
        <v>1</v>
      </c>
      <c r="AB295" s="2">
        <v>0</v>
      </c>
      <c r="AC295" s="2">
        <v>0</v>
      </c>
      <c r="AD295">
        <v>0</v>
      </c>
      <c r="AE295" t="s">
        <v>1862</v>
      </c>
      <c r="AF295">
        <v>29889.15</v>
      </c>
      <c r="AG295">
        <v>2108645</v>
      </c>
      <c r="AH295">
        <v>84345.8</v>
      </c>
      <c r="AI295" s="1" t="s">
        <v>366</v>
      </c>
      <c r="AJ295">
        <v>94330290</v>
      </c>
      <c r="AK295" s="1" t="s">
        <v>1867</v>
      </c>
      <c r="AL295" t="s">
        <v>1911</v>
      </c>
      <c r="AN295" t="s">
        <v>2043</v>
      </c>
      <c r="AO295" t="s">
        <v>2067</v>
      </c>
      <c r="AP295" t="s">
        <v>2094</v>
      </c>
      <c r="AQ295">
        <v>127990</v>
      </c>
      <c r="AR295" s="3">
        <v>46203</v>
      </c>
      <c r="AS295" s="3">
        <v>46174</v>
      </c>
      <c r="AT295" s="3">
        <v>46222</v>
      </c>
      <c r="AU295" t="s">
        <v>2124</v>
      </c>
      <c r="AW295" s="3">
        <v>46208.53701449134</v>
      </c>
    </row>
    <row r="296" spans="1:49" ht="16" hidden="1" x14ac:dyDescent="0.2">
      <c r="A296" t="s">
        <v>90</v>
      </c>
      <c r="B296">
        <v>12215</v>
      </c>
      <c r="C296">
        <v>7358</v>
      </c>
      <c r="D296" t="s">
        <v>195</v>
      </c>
      <c r="E296" t="s">
        <v>366</v>
      </c>
      <c r="F296">
        <v>257491</v>
      </c>
      <c r="G296" t="s">
        <v>679</v>
      </c>
      <c r="H296">
        <v>587541</v>
      </c>
      <c r="I296" t="s">
        <v>1318</v>
      </c>
      <c r="J296">
        <v>94330567</v>
      </c>
      <c r="K296" t="s">
        <v>1835</v>
      </c>
      <c r="L296" t="s">
        <v>1850</v>
      </c>
      <c r="M296" s="1">
        <v>40</v>
      </c>
      <c r="N296" t="s">
        <v>23</v>
      </c>
      <c r="O296">
        <v>614140</v>
      </c>
      <c r="P296" s="1">
        <v>24565.599999999999</v>
      </c>
      <c r="S296" s="6" t="str">
        <f t="shared" si="4"/>
        <v xml:space="preserve"> </v>
      </c>
      <c r="T296" s="6" t="str">
        <f>IF(IF(COUNTIF(H$2:$H296,H296)=1,1,"")=1,SUMIF($H$2:$H$7997,H296,$S$2:$S$7997),"")</f>
        <v/>
      </c>
      <c r="W296">
        <v>614140</v>
      </c>
      <c r="X296">
        <v>614140</v>
      </c>
      <c r="Y296">
        <v>0</v>
      </c>
      <c r="Z296">
        <v>0</v>
      </c>
      <c r="AA296" s="2">
        <v>1</v>
      </c>
      <c r="AB296" s="2">
        <v>0</v>
      </c>
      <c r="AC296" s="2">
        <v>0</v>
      </c>
      <c r="AD296">
        <v>0</v>
      </c>
      <c r="AE296" t="s">
        <v>1862</v>
      </c>
      <c r="AF296">
        <v>12809.63</v>
      </c>
      <c r="AG296">
        <v>903705</v>
      </c>
      <c r="AH296">
        <v>36148.199999999997</v>
      </c>
      <c r="AI296" s="1" t="s">
        <v>366</v>
      </c>
      <c r="AJ296">
        <v>94330290</v>
      </c>
      <c r="AK296" s="1" t="s">
        <v>1867</v>
      </c>
      <c r="AL296" t="s">
        <v>1911</v>
      </c>
      <c r="AN296" t="s">
        <v>2043</v>
      </c>
      <c r="AO296" t="s">
        <v>2067</v>
      </c>
      <c r="AP296" t="s">
        <v>2092</v>
      </c>
      <c r="AQ296">
        <v>127990</v>
      </c>
      <c r="AR296" s="3">
        <v>46203</v>
      </c>
      <c r="AS296" s="3">
        <v>46174</v>
      </c>
      <c r="AT296" s="3">
        <v>46222</v>
      </c>
      <c r="AU296" t="s">
        <v>2123</v>
      </c>
      <c r="AW296" s="3">
        <v>46208.53701449134</v>
      </c>
    </row>
    <row r="297" spans="1:49" ht="16" hidden="1" x14ac:dyDescent="0.2">
      <c r="A297" t="s">
        <v>90</v>
      </c>
      <c r="B297">
        <v>12215</v>
      </c>
      <c r="C297">
        <v>7358</v>
      </c>
      <c r="D297" t="s">
        <v>195</v>
      </c>
      <c r="E297" t="s">
        <v>366</v>
      </c>
      <c r="F297">
        <v>257491</v>
      </c>
      <c r="G297" t="s">
        <v>684</v>
      </c>
      <c r="H297">
        <v>587544</v>
      </c>
      <c r="I297" t="s">
        <v>1326</v>
      </c>
      <c r="J297">
        <v>94330603</v>
      </c>
      <c r="K297" t="s">
        <v>1839</v>
      </c>
      <c r="L297" t="s">
        <v>1850</v>
      </c>
      <c r="M297" s="1">
        <v>40</v>
      </c>
      <c r="N297" t="s">
        <v>23</v>
      </c>
      <c r="O297">
        <v>1445355</v>
      </c>
      <c r="P297" s="1">
        <v>57814.2</v>
      </c>
      <c r="S297" s="6" t="str">
        <f t="shared" si="4"/>
        <v xml:space="preserve"> </v>
      </c>
      <c r="T297" s="6">
        <f>IF(IF(COUNTIF(H$2:$H297,H297)=1,1,"")=1,SUMIF($H$2:$H$7997,H297,$S$2:$S$7997),"")</f>
        <v>0</v>
      </c>
      <c r="W297">
        <v>1445355</v>
      </c>
      <c r="X297">
        <v>1445355</v>
      </c>
      <c r="Y297">
        <v>0</v>
      </c>
      <c r="Z297">
        <v>0</v>
      </c>
      <c r="AA297" s="2">
        <v>1</v>
      </c>
      <c r="AB297" s="2">
        <v>0</v>
      </c>
      <c r="AC297" s="2">
        <v>0</v>
      </c>
      <c r="AD297">
        <v>0</v>
      </c>
      <c r="AE297" t="s">
        <v>1862</v>
      </c>
      <c r="AF297">
        <v>28370.43</v>
      </c>
      <c r="AG297">
        <v>1998377</v>
      </c>
      <c r="AH297">
        <v>79935.08</v>
      </c>
      <c r="AI297" s="1" t="s">
        <v>366</v>
      </c>
      <c r="AJ297">
        <v>94330290</v>
      </c>
      <c r="AK297" s="1" t="s">
        <v>1867</v>
      </c>
      <c r="AL297" t="s">
        <v>1911</v>
      </c>
      <c r="AN297" t="s">
        <v>2043</v>
      </c>
      <c r="AO297" t="s">
        <v>2067</v>
      </c>
      <c r="AP297" t="s">
        <v>2094</v>
      </c>
      <c r="AQ297">
        <v>127990</v>
      </c>
      <c r="AR297" s="3">
        <v>46203</v>
      </c>
      <c r="AS297" s="3">
        <v>46174</v>
      </c>
      <c r="AT297" s="3">
        <v>46222</v>
      </c>
      <c r="AU297" t="s">
        <v>2124</v>
      </c>
      <c r="AW297" s="3">
        <v>46208.53701449134</v>
      </c>
    </row>
    <row r="298" spans="1:49" ht="16" hidden="1" x14ac:dyDescent="0.2">
      <c r="A298" t="s">
        <v>90</v>
      </c>
      <c r="B298">
        <v>12215</v>
      </c>
      <c r="C298">
        <v>7358</v>
      </c>
      <c r="D298" t="s">
        <v>195</v>
      </c>
      <c r="E298" t="s">
        <v>366</v>
      </c>
      <c r="F298">
        <v>257491</v>
      </c>
      <c r="G298" t="s">
        <v>684</v>
      </c>
      <c r="H298">
        <v>587544</v>
      </c>
      <c r="I298" t="s">
        <v>1323</v>
      </c>
      <c r="J298">
        <v>94330586</v>
      </c>
      <c r="K298" t="s">
        <v>1835</v>
      </c>
      <c r="L298" t="s">
        <v>1850</v>
      </c>
      <c r="M298" s="1">
        <v>40</v>
      </c>
      <c r="N298" t="s">
        <v>23</v>
      </c>
      <c r="O298">
        <v>582734</v>
      </c>
      <c r="P298" s="1">
        <v>23309.360000000001</v>
      </c>
      <c r="S298" s="6" t="str">
        <f t="shared" si="4"/>
        <v xml:space="preserve"> </v>
      </c>
      <c r="T298" s="6" t="str">
        <f>IF(IF(COUNTIF(H$2:$H298,H298)=1,1,"")=1,SUMIF($H$2:$H$7997,H298,$S$2:$S$7997),"")</f>
        <v/>
      </c>
      <c r="W298">
        <v>582734</v>
      </c>
      <c r="X298">
        <v>582734</v>
      </c>
      <c r="Y298">
        <v>0</v>
      </c>
      <c r="Z298">
        <v>0</v>
      </c>
      <c r="AA298" s="2">
        <v>1</v>
      </c>
      <c r="AB298" s="2">
        <v>0</v>
      </c>
      <c r="AC298" s="2">
        <v>0</v>
      </c>
      <c r="AD298">
        <v>0</v>
      </c>
      <c r="AE298" t="s">
        <v>1862</v>
      </c>
      <c r="AF298">
        <v>12158.77</v>
      </c>
      <c r="AG298">
        <v>856448</v>
      </c>
      <c r="AH298">
        <v>34257.919999999998</v>
      </c>
      <c r="AI298" s="1" t="s">
        <v>366</v>
      </c>
      <c r="AJ298">
        <v>94330290</v>
      </c>
      <c r="AK298" s="1" t="s">
        <v>1867</v>
      </c>
      <c r="AL298" t="s">
        <v>1911</v>
      </c>
      <c r="AN298" t="s">
        <v>2043</v>
      </c>
      <c r="AO298" t="s">
        <v>2067</v>
      </c>
      <c r="AP298" t="s">
        <v>2092</v>
      </c>
      <c r="AQ298">
        <v>127990</v>
      </c>
      <c r="AR298" s="3">
        <v>46203</v>
      </c>
      <c r="AS298" s="3">
        <v>46174</v>
      </c>
      <c r="AT298" s="3">
        <v>46222</v>
      </c>
      <c r="AU298" t="s">
        <v>2123</v>
      </c>
      <c r="AW298" s="3">
        <v>46208.53701449134</v>
      </c>
    </row>
    <row r="299" spans="1:49" ht="16" hidden="1" x14ac:dyDescent="0.2">
      <c r="A299" t="s">
        <v>90</v>
      </c>
      <c r="B299">
        <v>12215</v>
      </c>
      <c r="C299">
        <v>7358</v>
      </c>
      <c r="D299" t="s">
        <v>195</v>
      </c>
      <c r="E299" t="s">
        <v>366</v>
      </c>
      <c r="F299">
        <v>257491</v>
      </c>
      <c r="G299" t="s">
        <v>677</v>
      </c>
      <c r="H299">
        <v>587547</v>
      </c>
      <c r="I299" t="s">
        <v>1324</v>
      </c>
      <c r="J299">
        <v>94330597</v>
      </c>
      <c r="K299" t="s">
        <v>1839</v>
      </c>
      <c r="L299" t="s">
        <v>1850</v>
      </c>
      <c r="M299" s="1">
        <v>40</v>
      </c>
      <c r="N299" t="s">
        <v>23</v>
      </c>
      <c r="O299">
        <v>1076222</v>
      </c>
      <c r="P299" s="1">
        <v>43048.88</v>
      </c>
      <c r="S299" s="6" t="str">
        <f t="shared" si="4"/>
        <v xml:space="preserve"> </v>
      </c>
      <c r="T299" s="6">
        <f>IF(IF(COUNTIF(H$2:$H299,H299)=1,1,"")=1,SUMIF($H$2:$H$7997,H299,$S$2:$S$7997),"")</f>
        <v>0</v>
      </c>
      <c r="W299">
        <v>1076222</v>
      </c>
      <c r="X299">
        <v>1076222</v>
      </c>
      <c r="Y299">
        <v>0</v>
      </c>
      <c r="Z299">
        <v>0</v>
      </c>
      <c r="AA299" s="2">
        <v>1</v>
      </c>
      <c r="AB299" s="2">
        <v>0</v>
      </c>
      <c r="AC299" s="2">
        <v>0</v>
      </c>
      <c r="AD299">
        <v>0</v>
      </c>
      <c r="AE299" t="s">
        <v>1862</v>
      </c>
      <c r="AF299">
        <v>21587.17</v>
      </c>
      <c r="AG299">
        <v>1638472</v>
      </c>
      <c r="AH299">
        <v>65538.880000000005</v>
      </c>
      <c r="AI299" s="1" t="s">
        <v>366</v>
      </c>
      <c r="AJ299">
        <v>94330290</v>
      </c>
      <c r="AK299" s="1" t="s">
        <v>1867</v>
      </c>
      <c r="AL299" t="s">
        <v>1911</v>
      </c>
      <c r="AN299" t="s">
        <v>2043</v>
      </c>
      <c r="AO299" t="s">
        <v>2067</v>
      </c>
      <c r="AP299" t="s">
        <v>2094</v>
      </c>
      <c r="AQ299">
        <v>127990</v>
      </c>
      <c r="AR299" s="3">
        <v>46203</v>
      </c>
      <c r="AS299" s="3">
        <v>46195</v>
      </c>
      <c r="AT299" s="3">
        <v>46208</v>
      </c>
      <c r="AU299" t="s">
        <v>2124</v>
      </c>
      <c r="AW299" s="3">
        <v>46208.53701449134</v>
      </c>
    </row>
    <row r="300" spans="1:49" ht="16" hidden="1" x14ac:dyDescent="0.2">
      <c r="A300" t="s">
        <v>90</v>
      </c>
      <c r="B300">
        <v>12215</v>
      </c>
      <c r="C300">
        <v>7358</v>
      </c>
      <c r="D300" t="s">
        <v>195</v>
      </c>
      <c r="E300" t="s">
        <v>366</v>
      </c>
      <c r="F300">
        <v>257491</v>
      </c>
      <c r="G300" t="s">
        <v>677</v>
      </c>
      <c r="H300">
        <v>587547</v>
      </c>
      <c r="I300" t="s">
        <v>1313</v>
      </c>
      <c r="J300">
        <v>94330543</v>
      </c>
      <c r="K300" t="s">
        <v>1835</v>
      </c>
      <c r="L300" t="s">
        <v>1850</v>
      </c>
      <c r="M300" s="1">
        <v>40</v>
      </c>
      <c r="N300" t="s">
        <v>23</v>
      </c>
      <c r="O300">
        <v>463232</v>
      </c>
      <c r="P300" s="1">
        <v>18529.28</v>
      </c>
      <c r="S300" s="6" t="str">
        <f t="shared" si="4"/>
        <v xml:space="preserve"> </v>
      </c>
      <c r="T300" s="6" t="str">
        <f>IF(IF(COUNTIF(H$2:$H300,H300)=1,1,"")=1,SUMIF($H$2:$H$7997,H300,$S$2:$S$7997),"")</f>
        <v/>
      </c>
      <c r="W300">
        <v>463232</v>
      </c>
      <c r="X300">
        <v>463232</v>
      </c>
      <c r="Y300">
        <v>0</v>
      </c>
      <c r="Z300">
        <v>0</v>
      </c>
      <c r="AA300" s="2">
        <v>1</v>
      </c>
      <c r="AB300" s="2">
        <v>0</v>
      </c>
      <c r="AC300" s="2">
        <v>0</v>
      </c>
      <c r="AD300">
        <v>0</v>
      </c>
      <c r="AE300" t="s">
        <v>1862</v>
      </c>
      <c r="AF300">
        <v>9251.65</v>
      </c>
      <c r="AG300">
        <v>702203</v>
      </c>
      <c r="AH300">
        <v>28088.12</v>
      </c>
      <c r="AI300" s="1" t="s">
        <v>366</v>
      </c>
      <c r="AJ300">
        <v>94330290</v>
      </c>
      <c r="AK300" s="1" t="s">
        <v>1867</v>
      </c>
      <c r="AL300" t="s">
        <v>1911</v>
      </c>
      <c r="AN300" t="s">
        <v>2043</v>
      </c>
      <c r="AO300" t="s">
        <v>2067</v>
      </c>
      <c r="AP300" t="s">
        <v>2092</v>
      </c>
      <c r="AQ300">
        <v>127990</v>
      </c>
      <c r="AR300" s="3">
        <v>46203</v>
      </c>
      <c r="AS300" s="3">
        <v>46195</v>
      </c>
      <c r="AT300" s="3">
        <v>46208</v>
      </c>
      <c r="AU300" t="s">
        <v>2123</v>
      </c>
      <c r="AW300" s="3">
        <v>46208.53701449134</v>
      </c>
    </row>
    <row r="301" spans="1:49" ht="16" hidden="1" x14ac:dyDescent="0.2">
      <c r="A301" t="s">
        <v>90</v>
      </c>
      <c r="B301">
        <v>12215</v>
      </c>
      <c r="C301">
        <v>7358</v>
      </c>
      <c r="D301" t="s">
        <v>195</v>
      </c>
      <c r="E301" t="s">
        <v>366</v>
      </c>
      <c r="F301">
        <v>257491</v>
      </c>
      <c r="G301" t="s">
        <v>674</v>
      </c>
      <c r="H301">
        <v>587550</v>
      </c>
      <c r="I301" t="s">
        <v>1307</v>
      </c>
      <c r="J301">
        <v>94330309</v>
      </c>
      <c r="K301" t="s">
        <v>1839</v>
      </c>
      <c r="L301" t="s">
        <v>1850</v>
      </c>
      <c r="M301" s="1">
        <v>40</v>
      </c>
      <c r="N301" t="s">
        <v>23</v>
      </c>
      <c r="O301">
        <v>1455127</v>
      </c>
      <c r="P301" s="1">
        <v>56633.48</v>
      </c>
      <c r="S301" s="6" t="str">
        <f t="shared" si="4"/>
        <v xml:space="preserve"> </v>
      </c>
      <c r="T301" s="6">
        <f>IF(IF(COUNTIF(H$2:$H301,H301)=1,1,"")=1,SUMIF($H$2:$H$7997,H301,$S$2:$S$7997),"")</f>
        <v>0</v>
      </c>
      <c r="W301">
        <v>1455127</v>
      </c>
      <c r="X301">
        <v>1455127</v>
      </c>
      <c r="Y301">
        <v>0</v>
      </c>
      <c r="Z301">
        <v>0</v>
      </c>
      <c r="AA301" s="2">
        <v>1</v>
      </c>
      <c r="AB301" s="2">
        <v>0</v>
      </c>
      <c r="AC301" s="2">
        <v>0</v>
      </c>
      <c r="AD301">
        <v>0</v>
      </c>
      <c r="AE301" t="s">
        <v>1862</v>
      </c>
      <c r="AF301">
        <v>28316.74</v>
      </c>
      <c r="AG301">
        <v>1415837</v>
      </c>
      <c r="AH301">
        <v>56633.48</v>
      </c>
      <c r="AI301" s="1" t="s">
        <v>366</v>
      </c>
      <c r="AJ301">
        <v>94330290</v>
      </c>
      <c r="AK301" s="1" t="s">
        <v>1867</v>
      </c>
      <c r="AL301" t="s">
        <v>1911</v>
      </c>
      <c r="AN301" t="s">
        <v>2043</v>
      </c>
      <c r="AO301" t="s">
        <v>2067</v>
      </c>
      <c r="AP301" t="s">
        <v>2094</v>
      </c>
      <c r="AQ301">
        <v>127990</v>
      </c>
      <c r="AR301" s="3">
        <v>46203</v>
      </c>
      <c r="AS301" s="3">
        <v>46181</v>
      </c>
      <c r="AT301" s="3">
        <v>46195</v>
      </c>
      <c r="AU301" t="s">
        <v>2124</v>
      </c>
      <c r="AW301" s="3">
        <v>46208.53701449134</v>
      </c>
    </row>
    <row r="302" spans="1:49" ht="16" hidden="1" x14ac:dyDescent="0.2">
      <c r="A302" t="s">
        <v>90</v>
      </c>
      <c r="B302">
        <v>12215</v>
      </c>
      <c r="C302">
        <v>7358</v>
      </c>
      <c r="D302" t="s">
        <v>195</v>
      </c>
      <c r="E302" t="s">
        <v>366</v>
      </c>
      <c r="F302">
        <v>257491</v>
      </c>
      <c r="G302" t="s">
        <v>674</v>
      </c>
      <c r="H302">
        <v>587550</v>
      </c>
      <c r="I302" t="s">
        <v>1309</v>
      </c>
      <c r="J302">
        <v>94330337</v>
      </c>
      <c r="K302" t="s">
        <v>1835</v>
      </c>
      <c r="L302" t="s">
        <v>1850</v>
      </c>
      <c r="M302" s="1">
        <v>40</v>
      </c>
      <c r="N302" t="s">
        <v>23</v>
      </c>
      <c r="O302">
        <v>619460</v>
      </c>
      <c r="P302" s="1">
        <v>24271.52</v>
      </c>
      <c r="S302" s="6" t="str">
        <f t="shared" si="4"/>
        <v xml:space="preserve"> </v>
      </c>
      <c r="T302" s="6" t="str">
        <f>IF(IF(COUNTIF(H$2:$H302,H302)=1,1,"")=1,SUMIF($H$2:$H$7997,H302,$S$2:$S$7997),"")</f>
        <v/>
      </c>
      <c r="W302">
        <v>619460</v>
      </c>
      <c r="X302">
        <v>619460</v>
      </c>
      <c r="Y302">
        <v>0</v>
      </c>
      <c r="Z302">
        <v>0</v>
      </c>
      <c r="AA302" s="2">
        <v>1</v>
      </c>
      <c r="AB302" s="2">
        <v>0</v>
      </c>
      <c r="AC302" s="2">
        <v>0</v>
      </c>
      <c r="AD302">
        <v>0</v>
      </c>
      <c r="AE302" t="s">
        <v>1862</v>
      </c>
      <c r="AF302">
        <v>12135.76</v>
      </c>
      <c r="AG302">
        <v>606788</v>
      </c>
      <c r="AH302">
        <v>24271.52</v>
      </c>
      <c r="AI302" s="1" t="s">
        <v>366</v>
      </c>
      <c r="AJ302">
        <v>94330290</v>
      </c>
      <c r="AK302" s="1" t="s">
        <v>1867</v>
      </c>
      <c r="AL302" t="s">
        <v>1911</v>
      </c>
      <c r="AN302" t="s">
        <v>2043</v>
      </c>
      <c r="AO302" t="s">
        <v>2067</v>
      </c>
      <c r="AP302" t="s">
        <v>2092</v>
      </c>
      <c r="AQ302">
        <v>127990</v>
      </c>
      <c r="AR302" s="3">
        <v>46203</v>
      </c>
      <c r="AS302" s="3">
        <v>46181</v>
      </c>
      <c r="AT302" s="3">
        <v>46195</v>
      </c>
      <c r="AU302" t="s">
        <v>2123</v>
      </c>
      <c r="AW302" s="3">
        <v>46208.53701449134</v>
      </c>
    </row>
    <row r="303" spans="1:49" ht="16" hidden="1" x14ac:dyDescent="0.2">
      <c r="A303" t="s">
        <v>90</v>
      </c>
      <c r="B303">
        <v>12215</v>
      </c>
      <c r="C303">
        <v>7358</v>
      </c>
      <c r="D303" t="s">
        <v>195</v>
      </c>
      <c r="E303" t="s">
        <v>366</v>
      </c>
      <c r="F303">
        <v>257491</v>
      </c>
      <c r="G303" t="s">
        <v>673</v>
      </c>
      <c r="H303">
        <v>587553</v>
      </c>
      <c r="I303" t="s">
        <v>1306</v>
      </c>
      <c r="J303">
        <v>94330298</v>
      </c>
      <c r="K303" t="s">
        <v>1839</v>
      </c>
      <c r="L303" t="s">
        <v>1850</v>
      </c>
      <c r="M303" s="1">
        <v>40</v>
      </c>
      <c r="N303" t="s">
        <v>23</v>
      </c>
      <c r="O303">
        <v>1359135</v>
      </c>
      <c r="P303" s="1">
        <v>52933.279999999999</v>
      </c>
      <c r="S303" s="6" t="str">
        <f t="shared" si="4"/>
        <v xml:space="preserve"> </v>
      </c>
      <c r="T303" s="6">
        <f>IF(IF(COUNTIF(H$2:$H303,H303)=1,1,"")=1,SUMIF($H$2:$H$7997,H303,$S$2:$S$7997),"")</f>
        <v>0</v>
      </c>
      <c r="W303">
        <v>1359135</v>
      </c>
      <c r="X303">
        <v>1359135</v>
      </c>
      <c r="Y303">
        <v>0</v>
      </c>
      <c r="Z303">
        <v>0</v>
      </c>
      <c r="AA303" s="2">
        <v>1</v>
      </c>
      <c r="AB303" s="2">
        <v>0</v>
      </c>
      <c r="AC303" s="2">
        <v>0</v>
      </c>
      <c r="AD303">
        <v>0</v>
      </c>
      <c r="AE303" t="s">
        <v>1862</v>
      </c>
      <c r="AF303">
        <v>26466.639999999999</v>
      </c>
      <c r="AG303">
        <v>1323332</v>
      </c>
      <c r="AH303">
        <v>52933.279999999999</v>
      </c>
      <c r="AI303" s="1" t="s">
        <v>366</v>
      </c>
      <c r="AJ303">
        <v>94330290</v>
      </c>
      <c r="AK303" s="1" t="s">
        <v>1867</v>
      </c>
      <c r="AL303" t="s">
        <v>1911</v>
      </c>
      <c r="AN303" t="s">
        <v>2043</v>
      </c>
      <c r="AO303" t="s">
        <v>2067</v>
      </c>
      <c r="AP303" t="s">
        <v>2094</v>
      </c>
      <c r="AQ303">
        <v>127990</v>
      </c>
      <c r="AR303" s="3">
        <v>46203</v>
      </c>
      <c r="AS303" s="3">
        <v>46181</v>
      </c>
      <c r="AT303" s="3">
        <v>46201</v>
      </c>
      <c r="AU303" t="s">
        <v>2124</v>
      </c>
      <c r="AW303" s="3">
        <v>46208.53701449134</v>
      </c>
    </row>
    <row r="304" spans="1:49" ht="16" hidden="1" x14ac:dyDescent="0.2">
      <c r="A304" t="s">
        <v>90</v>
      </c>
      <c r="B304">
        <v>12215</v>
      </c>
      <c r="C304">
        <v>7358</v>
      </c>
      <c r="D304" t="s">
        <v>195</v>
      </c>
      <c r="E304" t="s">
        <v>366</v>
      </c>
      <c r="F304">
        <v>257491</v>
      </c>
      <c r="G304" t="s">
        <v>673</v>
      </c>
      <c r="H304">
        <v>587553</v>
      </c>
      <c r="I304" t="s">
        <v>1310</v>
      </c>
      <c r="J304">
        <v>94330341</v>
      </c>
      <c r="K304" t="s">
        <v>1835</v>
      </c>
      <c r="L304" t="s">
        <v>1850</v>
      </c>
      <c r="M304" s="1">
        <v>40</v>
      </c>
      <c r="N304" t="s">
        <v>23</v>
      </c>
      <c r="O304">
        <v>579610</v>
      </c>
      <c r="P304" s="1">
        <v>22685.72</v>
      </c>
      <c r="S304" s="6" t="str">
        <f t="shared" si="4"/>
        <v xml:space="preserve"> </v>
      </c>
      <c r="T304" s="6" t="str">
        <f>IF(IF(COUNTIF(H$2:$H304,H304)=1,1,"")=1,SUMIF($H$2:$H$7997,H304,$S$2:$S$7997),"")</f>
        <v/>
      </c>
      <c r="W304">
        <v>579610</v>
      </c>
      <c r="X304">
        <v>579610</v>
      </c>
      <c r="Y304">
        <v>0</v>
      </c>
      <c r="Z304">
        <v>0</v>
      </c>
      <c r="AA304" s="2">
        <v>1</v>
      </c>
      <c r="AB304" s="2">
        <v>0</v>
      </c>
      <c r="AC304" s="2">
        <v>0</v>
      </c>
      <c r="AD304">
        <v>0</v>
      </c>
      <c r="AE304" t="s">
        <v>1862</v>
      </c>
      <c r="AF304">
        <v>11342.86</v>
      </c>
      <c r="AG304">
        <v>567143</v>
      </c>
      <c r="AH304">
        <v>22685.72</v>
      </c>
      <c r="AI304" s="1" t="s">
        <v>366</v>
      </c>
      <c r="AJ304">
        <v>94330290</v>
      </c>
      <c r="AK304" s="1" t="s">
        <v>1867</v>
      </c>
      <c r="AL304" t="s">
        <v>1911</v>
      </c>
      <c r="AN304" t="s">
        <v>2043</v>
      </c>
      <c r="AO304" t="s">
        <v>2067</v>
      </c>
      <c r="AP304" t="s">
        <v>2092</v>
      </c>
      <c r="AQ304">
        <v>127990</v>
      </c>
      <c r="AR304" s="3">
        <v>46203</v>
      </c>
      <c r="AS304" s="3">
        <v>46181</v>
      </c>
      <c r="AT304" s="3">
        <v>46201</v>
      </c>
      <c r="AU304" t="s">
        <v>2123</v>
      </c>
      <c r="AW304" s="3">
        <v>46208.53701449134</v>
      </c>
    </row>
    <row r="305" spans="1:49" ht="16" hidden="1" x14ac:dyDescent="0.2">
      <c r="A305" t="s">
        <v>90</v>
      </c>
      <c r="B305">
        <v>12215</v>
      </c>
      <c r="C305">
        <v>7358</v>
      </c>
      <c r="D305" t="s">
        <v>195</v>
      </c>
      <c r="E305" t="s">
        <v>366</v>
      </c>
      <c r="F305">
        <v>257491</v>
      </c>
      <c r="G305" t="s">
        <v>675</v>
      </c>
      <c r="H305">
        <v>587559</v>
      </c>
      <c r="I305" t="s">
        <v>1311</v>
      </c>
      <c r="J305">
        <v>94330345</v>
      </c>
      <c r="K305" t="s">
        <v>1839</v>
      </c>
      <c r="L305" t="s">
        <v>1850</v>
      </c>
      <c r="M305" s="1">
        <v>40</v>
      </c>
      <c r="N305" t="s">
        <v>23</v>
      </c>
      <c r="O305">
        <v>506465</v>
      </c>
      <c r="P305" s="1">
        <v>19764.48</v>
      </c>
      <c r="S305" s="6" t="str">
        <f t="shared" si="4"/>
        <v xml:space="preserve"> </v>
      </c>
      <c r="T305" s="6">
        <f>IF(IF(COUNTIF(H$2:$H305,H305)=1,1,"")=1,SUMIF($H$2:$H$7997,H305,$S$2:$S$7997),"")</f>
        <v>0</v>
      </c>
      <c r="W305">
        <v>506465</v>
      </c>
      <c r="X305">
        <v>506465</v>
      </c>
      <c r="Y305">
        <v>0</v>
      </c>
      <c r="Z305">
        <v>0</v>
      </c>
      <c r="AA305" s="2">
        <v>1</v>
      </c>
      <c r="AB305" s="2">
        <v>0</v>
      </c>
      <c r="AC305" s="2">
        <v>0</v>
      </c>
      <c r="AD305">
        <v>0</v>
      </c>
      <c r="AE305" t="s">
        <v>1862</v>
      </c>
      <c r="AF305">
        <v>9882.24</v>
      </c>
      <c r="AG305">
        <v>494112</v>
      </c>
      <c r="AH305">
        <v>19764.48</v>
      </c>
      <c r="AI305" s="1" t="s">
        <v>366</v>
      </c>
      <c r="AJ305">
        <v>94330290</v>
      </c>
      <c r="AK305" s="1" t="s">
        <v>1867</v>
      </c>
      <c r="AL305" t="s">
        <v>1911</v>
      </c>
      <c r="AN305" t="s">
        <v>2043</v>
      </c>
      <c r="AO305" t="s">
        <v>2067</v>
      </c>
      <c r="AP305" t="s">
        <v>2094</v>
      </c>
      <c r="AQ305">
        <v>127990</v>
      </c>
      <c r="AR305" s="3">
        <v>46203</v>
      </c>
      <c r="AS305" s="3">
        <v>46181</v>
      </c>
      <c r="AT305" s="3">
        <v>46195</v>
      </c>
      <c r="AU305" t="s">
        <v>2124</v>
      </c>
      <c r="AW305" s="3">
        <v>46208.53701449134</v>
      </c>
    </row>
    <row r="306" spans="1:49" ht="16" hidden="1" x14ac:dyDescent="0.2">
      <c r="A306" t="s">
        <v>90</v>
      </c>
      <c r="B306">
        <v>12215</v>
      </c>
      <c r="C306">
        <v>7358</v>
      </c>
      <c r="D306" t="s">
        <v>195</v>
      </c>
      <c r="E306" t="s">
        <v>366</v>
      </c>
      <c r="F306">
        <v>257491</v>
      </c>
      <c r="G306" t="s">
        <v>675</v>
      </c>
      <c r="H306">
        <v>587559</v>
      </c>
      <c r="I306" t="s">
        <v>1308</v>
      </c>
      <c r="J306">
        <v>94330333</v>
      </c>
      <c r="K306" t="s">
        <v>1835</v>
      </c>
      <c r="L306" t="s">
        <v>1850</v>
      </c>
      <c r="M306" s="1">
        <v>40</v>
      </c>
      <c r="N306" t="s">
        <v>23</v>
      </c>
      <c r="O306">
        <v>215999</v>
      </c>
      <c r="P306" s="1">
        <v>8470.52</v>
      </c>
      <c r="S306" s="6" t="str">
        <f t="shared" si="4"/>
        <v xml:space="preserve"> </v>
      </c>
      <c r="T306" s="6" t="str">
        <f>IF(IF(COUNTIF(H$2:$H306,H306)=1,1,"")=1,SUMIF($H$2:$H$7997,H306,$S$2:$S$7997),"")</f>
        <v/>
      </c>
      <c r="W306">
        <v>215999</v>
      </c>
      <c r="X306">
        <v>215999</v>
      </c>
      <c r="Y306">
        <v>0</v>
      </c>
      <c r="Z306">
        <v>0</v>
      </c>
      <c r="AA306" s="2">
        <v>1</v>
      </c>
      <c r="AB306" s="2">
        <v>0</v>
      </c>
      <c r="AC306" s="2">
        <v>0</v>
      </c>
      <c r="AD306">
        <v>0</v>
      </c>
      <c r="AE306" t="s">
        <v>1862</v>
      </c>
      <c r="AF306">
        <v>4235.26</v>
      </c>
      <c r="AG306">
        <v>211763</v>
      </c>
      <c r="AH306">
        <v>8470.52</v>
      </c>
      <c r="AI306" s="1" t="s">
        <v>366</v>
      </c>
      <c r="AJ306">
        <v>94330290</v>
      </c>
      <c r="AK306" s="1" t="s">
        <v>1867</v>
      </c>
      <c r="AL306" t="s">
        <v>1911</v>
      </c>
      <c r="AN306" t="s">
        <v>2043</v>
      </c>
      <c r="AO306" t="s">
        <v>2067</v>
      </c>
      <c r="AP306" t="s">
        <v>2092</v>
      </c>
      <c r="AQ306">
        <v>127990</v>
      </c>
      <c r="AR306" s="3">
        <v>46203</v>
      </c>
      <c r="AS306" s="3">
        <v>46181</v>
      </c>
      <c r="AT306" s="3">
        <v>46195</v>
      </c>
      <c r="AU306" t="s">
        <v>2123</v>
      </c>
      <c r="AW306" s="3">
        <v>46208.53701449134</v>
      </c>
    </row>
    <row r="307" spans="1:49" ht="16" hidden="1" x14ac:dyDescent="0.2">
      <c r="A307" t="s">
        <v>90</v>
      </c>
      <c r="B307">
        <v>12215</v>
      </c>
      <c r="C307">
        <v>7358</v>
      </c>
      <c r="D307" t="s">
        <v>195</v>
      </c>
      <c r="E307" t="s">
        <v>366</v>
      </c>
      <c r="F307">
        <v>257491</v>
      </c>
      <c r="G307" t="s">
        <v>682</v>
      </c>
      <c r="H307">
        <v>587570</v>
      </c>
      <c r="I307" t="s">
        <v>1337</v>
      </c>
      <c r="J307">
        <v>94342600</v>
      </c>
      <c r="K307" t="s">
        <v>1839</v>
      </c>
      <c r="L307" t="s">
        <v>1850</v>
      </c>
      <c r="M307" s="1">
        <v>40</v>
      </c>
      <c r="N307" t="s">
        <v>23</v>
      </c>
      <c r="O307">
        <v>1272340</v>
      </c>
      <c r="P307" s="1">
        <v>50893.599999999999</v>
      </c>
      <c r="S307" s="6" t="str">
        <f t="shared" si="4"/>
        <v xml:space="preserve"> </v>
      </c>
      <c r="T307" s="6">
        <f>IF(IF(COUNTIF(H$2:$H307,H307)=1,1,"")=1,SUMIF($H$2:$H$7997,H307,$S$2:$S$7997),"")</f>
        <v>0</v>
      </c>
      <c r="W307">
        <v>1272340</v>
      </c>
      <c r="X307">
        <v>1272340</v>
      </c>
      <c r="Y307">
        <v>0</v>
      </c>
      <c r="Z307">
        <v>0</v>
      </c>
      <c r="AA307" s="2">
        <v>1</v>
      </c>
      <c r="AB307" s="2">
        <v>0</v>
      </c>
      <c r="AC307" s="2">
        <v>0</v>
      </c>
      <c r="AD307">
        <v>0</v>
      </c>
      <c r="AE307" t="s">
        <v>1862</v>
      </c>
      <c r="AF307">
        <v>24961.59</v>
      </c>
      <c r="AG307">
        <v>1759782</v>
      </c>
      <c r="AH307">
        <v>70391.28</v>
      </c>
      <c r="AI307" s="1" t="s">
        <v>366</v>
      </c>
      <c r="AJ307">
        <v>94330290</v>
      </c>
      <c r="AK307" s="1" t="s">
        <v>1867</v>
      </c>
      <c r="AL307" t="s">
        <v>1911</v>
      </c>
      <c r="AN307" t="s">
        <v>2043</v>
      </c>
      <c r="AO307" t="s">
        <v>2067</v>
      </c>
      <c r="AP307" t="s">
        <v>2094</v>
      </c>
      <c r="AQ307">
        <v>127990</v>
      </c>
      <c r="AR307" s="3">
        <v>46203</v>
      </c>
      <c r="AS307" s="3">
        <v>46174</v>
      </c>
      <c r="AT307" s="3">
        <v>46222</v>
      </c>
      <c r="AU307" t="s">
        <v>2124</v>
      </c>
      <c r="AW307" s="3">
        <v>46208.53701449134</v>
      </c>
    </row>
    <row r="308" spans="1:49" ht="16" hidden="1" x14ac:dyDescent="0.2">
      <c r="A308" t="s">
        <v>90</v>
      </c>
      <c r="B308">
        <v>12215</v>
      </c>
      <c r="C308">
        <v>7358</v>
      </c>
      <c r="D308" t="s">
        <v>195</v>
      </c>
      <c r="E308" t="s">
        <v>366</v>
      </c>
      <c r="F308">
        <v>257491</v>
      </c>
      <c r="G308" t="s">
        <v>682</v>
      </c>
      <c r="H308">
        <v>587570</v>
      </c>
      <c r="I308" t="s">
        <v>1321</v>
      </c>
      <c r="J308">
        <v>94330578</v>
      </c>
      <c r="K308" t="s">
        <v>1835</v>
      </c>
      <c r="L308" t="s">
        <v>1850</v>
      </c>
      <c r="M308" s="1">
        <v>40</v>
      </c>
      <c r="N308" t="s">
        <v>23</v>
      </c>
      <c r="O308">
        <v>512884</v>
      </c>
      <c r="P308" s="1">
        <v>20515.36</v>
      </c>
      <c r="S308" s="6" t="str">
        <f t="shared" si="4"/>
        <v xml:space="preserve"> </v>
      </c>
      <c r="T308" s="6" t="str">
        <f>IF(IF(COUNTIF(H$2:$H308,H308)=1,1,"")=1,SUMIF($H$2:$H$7997,H308,$S$2:$S$7997),"")</f>
        <v/>
      </c>
      <c r="W308">
        <v>512884</v>
      </c>
      <c r="X308">
        <v>512884</v>
      </c>
      <c r="Y308">
        <v>0</v>
      </c>
      <c r="Z308">
        <v>0</v>
      </c>
      <c r="AA308" s="2">
        <v>1</v>
      </c>
      <c r="AB308" s="2">
        <v>0</v>
      </c>
      <c r="AC308" s="2">
        <v>0</v>
      </c>
      <c r="AD308">
        <v>0</v>
      </c>
      <c r="AE308" t="s">
        <v>1862</v>
      </c>
      <c r="AF308">
        <v>10697.83</v>
      </c>
      <c r="AG308">
        <v>754193</v>
      </c>
      <c r="AH308">
        <v>30167.72</v>
      </c>
      <c r="AI308" s="1" t="s">
        <v>366</v>
      </c>
      <c r="AJ308">
        <v>94330290</v>
      </c>
      <c r="AK308" s="1" t="s">
        <v>1867</v>
      </c>
      <c r="AL308" t="s">
        <v>1911</v>
      </c>
      <c r="AN308" t="s">
        <v>2043</v>
      </c>
      <c r="AO308" t="s">
        <v>2067</v>
      </c>
      <c r="AP308" t="s">
        <v>2092</v>
      </c>
      <c r="AQ308">
        <v>127990</v>
      </c>
      <c r="AR308" s="3">
        <v>46203</v>
      </c>
      <c r="AS308" s="3">
        <v>46174</v>
      </c>
      <c r="AT308" s="3">
        <v>46222</v>
      </c>
      <c r="AU308" t="s">
        <v>2123</v>
      </c>
      <c r="AW308" s="3">
        <v>46208.53701449134</v>
      </c>
    </row>
    <row r="309" spans="1:49" ht="16" hidden="1" x14ac:dyDescent="0.2">
      <c r="A309" t="s">
        <v>90</v>
      </c>
      <c r="B309">
        <v>12215</v>
      </c>
      <c r="C309">
        <v>7358</v>
      </c>
      <c r="D309" t="s">
        <v>195</v>
      </c>
      <c r="E309" t="s">
        <v>366</v>
      </c>
      <c r="F309">
        <v>257491</v>
      </c>
      <c r="G309" t="s">
        <v>729</v>
      </c>
      <c r="H309">
        <v>593053</v>
      </c>
      <c r="I309" t="s">
        <v>1412</v>
      </c>
      <c r="J309">
        <v>94548895</v>
      </c>
      <c r="K309" t="s">
        <v>1839</v>
      </c>
      <c r="L309" t="s">
        <v>1850</v>
      </c>
      <c r="M309" s="1">
        <v>40</v>
      </c>
      <c r="N309" t="s">
        <v>23</v>
      </c>
      <c r="O309">
        <v>233126</v>
      </c>
      <c r="P309" s="1">
        <v>9325.0400000000009</v>
      </c>
      <c r="S309" s="6" t="str">
        <f t="shared" si="4"/>
        <v xml:space="preserve"> </v>
      </c>
      <c r="T309" s="6">
        <f>IF(IF(COUNTIF(H$2:$H309,H309)=1,1,"")=1,SUMIF($H$2:$H$7997,H309,$S$2:$S$7997),"")</f>
        <v>0</v>
      </c>
      <c r="W309">
        <v>233126</v>
      </c>
      <c r="X309">
        <v>233126</v>
      </c>
      <c r="Y309">
        <v>0</v>
      </c>
      <c r="Z309">
        <v>0</v>
      </c>
      <c r="AA309" s="2">
        <v>1</v>
      </c>
      <c r="AB309" s="2">
        <v>0</v>
      </c>
      <c r="AC309" s="2">
        <v>0</v>
      </c>
      <c r="AD309">
        <v>0</v>
      </c>
      <c r="AE309" t="s">
        <v>1862</v>
      </c>
      <c r="AF309">
        <v>4579.6099999999997</v>
      </c>
      <c r="AG309">
        <v>250950</v>
      </c>
      <c r="AH309">
        <v>10038</v>
      </c>
      <c r="AI309" s="1" t="s">
        <v>366</v>
      </c>
      <c r="AJ309">
        <v>94330290</v>
      </c>
      <c r="AK309" s="1" t="s">
        <v>1867</v>
      </c>
      <c r="AL309" t="s">
        <v>1911</v>
      </c>
      <c r="AN309" t="s">
        <v>2043</v>
      </c>
      <c r="AO309" t="s">
        <v>2067</v>
      </c>
      <c r="AP309" t="s">
        <v>2094</v>
      </c>
      <c r="AQ309">
        <v>127990</v>
      </c>
      <c r="AR309" s="3">
        <v>46203</v>
      </c>
      <c r="AS309" s="3">
        <v>46195</v>
      </c>
      <c r="AT309" s="3">
        <v>46208</v>
      </c>
      <c r="AU309" t="s">
        <v>2124</v>
      </c>
      <c r="AW309" s="3">
        <v>46208.53701449134</v>
      </c>
    </row>
    <row r="310" spans="1:49" ht="16" hidden="1" x14ac:dyDescent="0.2">
      <c r="A310" t="s">
        <v>90</v>
      </c>
      <c r="B310">
        <v>12215</v>
      </c>
      <c r="C310">
        <v>7358</v>
      </c>
      <c r="D310" t="s">
        <v>195</v>
      </c>
      <c r="E310" t="s">
        <v>366</v>
      </c>
      <c r="F310">
        <v>257491</v>
      </c>
      <c r="G310" t="s">
        <v>729</v>
      </c>
      <c r="H310">
        <v>593053</v>
      </c>
      <c r="I310" t="s">
        <v>1411</v>
      </c>
      <c r="J310">
        <v>94548891</v>
      </c>
      <c r="K310" t="s">
        <v>1835</v>
      </c>
      <c r="L310" t="s">
        <v>1850</v>
      </c>
      <c r="M310" s="1">
        <v>40</v>
      </c>
      <c r="N310" t="s">
        <v>23</v>
      </c>
      <c r="O310">
        <v>93939</v>
      </c>
      <c r="P310" s="1">
        <v>3757.56</v>
      </c>
      <c r="S310" s="6" t="str">
        <f t="shared" si="4"/>
        <v xml:space="preserve"> </v>
      </c>
      <c r="T310" s="6" t="str">
        <f>IF(IF(COUNTIF(H$2:$H310,H310)=1,1,"")=1,SUMIF($H$2:$H$7997,H310,$S$2:$S$7997),"")</f>
        <v/>
      </c>
      <c r="W310">
        <v>93939</v>
      </c>
      <c r="X310">
        <v>93939</v>
      </c>
      <c r="Y310">
        <v>0</v>
      </c>
      <c r="Z310">
        <v>0</v>
      </c>
      <c r="AA310" s="2">
        <v>1</v>
      </c>
      <c r="AB310" s="2">
        <v>0</v>
      </c>
      <c r="AC310" s="2">
        <v>0</v>
      </c>
      <c r="AD310">
        <v>0</v>
      </c>
      <c r="AE310" t="s">
        <v>1862</v>
      </c>
      <c r="AF310">
        <v>1962.69</v>
      </c>
      <c r="AG310">
        <v>107550</v>
      </c>
      <c r="AH310">
        <v>4302</v>
      </c>
      <c r="AI310" s="1" t="s">
        <v>366</v>
      </c>
      <c r="AJ310">
        <v>94330290</v>
      </c>
      <c r="AK310" s="1" t="s">
        <v>1867</v>
      </c>
      <c r="AL310" t="s">
        <v>1911</v>
      </c>
      <c r="AN310" t="s">
        <v>2043</v>
      </c>
      <c r="AO310" t="s">
        <v>2067</v>
      </c>
      <c r="AP310" t="s">
        <v>2092</v>
      </c>
      <c r="AQ310">
        <v>127990</v>
      </c>
      <c r="AR310" s="3">
        <v>46203</v>
      </c>
      <c r="AS310" s="3">
        <v>46195</v>
      </c>
      <c r="AT310" s="3">
        <v>46208</v>
      </c>
      <c r="AU310" t="s">
        <v>2123</v>
      </c>
      <c r="AW310" s="3">
        <v>46208.53701449134</v>
      </c>
    </row>
    <row r="311" spans="1:49" ht="16" hidden="1" x14ac:dyDescent="0.2">
      <c r="A311" t="s">
        <v>110</v>
      </c>
      <c r="B311">
        <v>13577</v>
      </c>
      <c r="C311">
        <v>18384</v>
      </c>
      <c r="D311" t="s">
        <v>220</v>
      </c>
      <c r="E311" t="s">
        <v>426</v>
      </c>
      <c r="F311">
        <v>262498</v>
      </c>
      <c r="G311" t="s">
        <v>868</v>
      </c>
      <c r="H311">
        <v>570374</v>
      </c>
      <c r="I311" t="s">
        <v>1755</v>
      </c>
      <c r="J311">
        <v>570386</v>
      </c>
      <c r="K311" t="s">
        <v>1846</v>
      </c>
      <c r="L311" t="s">
        <v>1851</v>
      </c>
      <c r="M311" s="1">
        <v>0.15</v>
      </c>
      <c r="N311" t="s">
        <v>1858</v>
      </c>
      <c r="O311">
        <v>23809267</v>
      </c>
      <c r="P311" s="1">
        <v>3571.39</v>
      </c>
      <c r="S311" s="6" t="str">
        <f t="shared" si="4"/>
        <v xml:space="preserve"> </v>
      </c>
      <c r="T311" s="6">
        <f>IF(IF(COUNTIF(H$2:$H311,H311)=1,1,"")=1,SUMIF($H$2:$H$7997,H311,$S$2:$S$7997),"")</f>
        <v>0</v>
      </c>
      <c r="W311">
        <v>0</v>
      </c>
      <c r="X311">
        <v>0</v>
      </c>
      <c r="Y311">
        <v>0</v>
      </c>
      <c r="Z311">
        <v>0</v>
      </c>
      <c r="AA311" s="2">
        <v>1</v>
      </c>
      <c r="AB311" s="2">
        <v>0</v>
      </c>
      <c r="AC311" s="2">
        <v>0</v>
      </c>
      <c r="AD311">
        <v>0</v>
      </c>
      <c r="AE311" t="s">
        <v>1864</v>
      </c>
      <c r="AF311">
        <v>3571.39</v>
      </c>
      <c r="AG311">
        <v>333334</v>
      </c>
      <c r="AH311">
        <v>50000.1</v>
      </c>
      <c r="AI311" s="1" t="s">
        <v>426</v>
      </c>
      <c r="AJ311">
        <v>262498</v>
      </c>
      <c r="AK311" s="1" t="s">
        <v>1867</v>
      </c>
      <c r="AL311">
        <v>1</v>
      </c>
      <c r="AN311" t="s">
        <v>2058</v>
      </c>
      <c r="AO311" t="s">
        <v>2067</v>
      </c>
      <c r="AP311" t="s">
        <v>2118</v>
      </c>
      <c r="AQ311">
        <v>118690</v>
      </c>
      <c r="AR311" s="3">
        <v>46203</v>
      </c>
      <c r="AS311" s="3">
        <v>46082</v>
      </c>
      <c r="AT311" s="3">
        <v>46278</v>
      </c>
      <c r="AU311" t="s">
        <v>2128</v>
      </c>
      <c r="AW311" s="3">
        <v>46208.53701449134</v>
      </c>
    </row>
    <row r="312" spans="1:49" ht="16" hidden="1" x14ac:dyDescent="0.2">
      <c r="A312" t="s">
        <v>110</v>
      </c>
      <c r="B312">
        <v>13577</v>
      </c>
      <c r="C312">
        <v>18384</v>
      </c>
      <c r="D312" t="s">
        <v>220</v>
      </c>
      <c r="E312" t="s">
        <v>426</v>
      </c>
      <c r="F312">
        <v>262498</v>
      </c>
      <c r="G312" t="s">
        <v>868</v>
      </c>
      <c r="H312">
        <v>570374</v>
      </c>
      <c r="I312" t="s">
        <v>1666</v>
      </c>
      <c r="J312">
        <v>570384</v>
      </c>
      <c r="K312" t="s">
        <v>1844</v>
      </c>
      <c r="L312" t="s">
        <v>1851</v>
      </c>
      <c r="M312" s="1">
        <v>0.15</v>
      </c>
      <c r="N312" t="s">
        <v>1858</v>
      </c>
      <c r="O312">
        <v>23809267</v>
      </c>
      <c r="P312" s="1">
        <v>3571.39</v>
      </c>
      <c r="S312" s="6" t="str">
        <f t="shared" si="4"/>
        <v xml:space="preserve"> </v>
      </c>
      <c r="T312" s="6" t="str">
        <f>IF(IF(COUNTIF(H$2:$H312,H312)=1,1,"")=1,SUMIF($H$2:$H$7997,H312,$S$2:$S$7997),"")</f>
        <v/>
      </c>
      <c r="W312">
        <v>0</v>
      </c>
      <c r="X312">
        <v>0</v>
      </c>
      <c r="Y312">
        <v>0</v>
      </c>
      <c r="Z312">
        <v>0</v>
      </c>
      <c r="AA312" s="2">
        <v>1</v>
      </c>
      <c r="AB312" s="2">
        <v>0</v>
      </c>
      <c r="AC312" s="2">
        <v>0</v>
      </c>
      <c r="AD312">
        <v>0</v>
      </c>
      <c r="AE312" t="s">
        <v>1864</v>
      </c>
      <c r="AF312">
        <v>3571.39</v>
      </c>
      <c r="AG312">
        <v>333334</v>
      </c>
      <c r="AH312">
        <v>50000.1</v>
      </c>
      <c r="AI312" s="1" t="s">
        <v>426</v>
      </c>
      <c r="AJ312">
        <v>262498</v>
      </c>
      <c r="AK312" s="1" t="s">
        <v>1867</v>
      </c>
      <c r="AL312">
        <v>1</v>
      </c>
      <c r="AN312" t="s">
        <v>2058</v>
      </c>
      <c r="AO312" t="s">
        <v>2067</v>
      </c>
      <c r="AP312" t="s">
        <v>2114</v>
      </c>
      <c r="AQ312">
        <v>118690</v>
      </c>
      <c r="AR312" s="3">
        <v>46203</v>
      </c>
      <c r="AS312" s="3">
        <v>46082</v>
      </c>
      <c r="AT312" s="3">
        <v>46278</v>
      </c>
      <c r="AU312" t="s">
        <v>2127</v>
      </c>
      <c r="AW312" s="3">
        <v>46208.53701449134</v>
      </c>
    </row>
    <row r="313" spans="1:49" ht="16" hidden="1" x14ac:dyDescent="0.2">
      <c r="A313" t="s">
        <v>104</v>
      </c>
      <c r="B313">
        <v>23599</v>
      </c>
      <c r="C313">
        <v>5986</v>
      </c>
      <c r="D313" t="s">
        <v>104</v>
      </c>
      <c r="E313" t="s">
        <v>393</v>
      </c>
      <c r="F313">
        <v>269990</v>
      </c>
      <c r="G313" t="s">
        <v>728</v>
      </c>
      <c r="H313">
        <v>590257</v>
      </c>
      <c r="I313" t="s">
        <v>1410</v>
      </c>
      <c r="J313">
        <v>94546804</v>
      </c>
      <c r="K313" t="s">
        <v>1839</v>
      </c>
      <c r="L313" t="s">
        <v>1850</v>
      </c>
      <c r="M313" s="1">
        <v>44</v>
      </c>
      <c r="N313" t="s">
        <v>22</v>
      </c>
      <c r="O313">
        <v>5240008</v>
      </c>
      <c r="P313" s="1">
        <v>230560.35</v>
      </c>
      <c r="S313" s="6" t="str">
        <f t="shared" si="4"/>
        <v xml:space="preserve"> </v>
      </c>
      <c r="T313" s="6">
        <f>IF(IF(COUNTIF(H$2:$H313,H313)=1,1,"")=1,SUMIF($H$2:$H$7997,H313,$S$2:$S$7997),"")</f>
        <v>0</v>
      </c>
      <c r="W313">
        <v>5240008</v>
      </c>
      <c r="X313">
        <v>5240008</v>
      </c>
      <c r="Y313">
        <v>0</v>
      </c>
      <c r="Z313">
        <v>0</v>
      </c>
      <c r="AA313" s="2">
        <v>1</v>
      </c>
      <c r="AB313" s="2">
        <v>0</v>
      </c>
      <c r="AC313" s="2">
        <v>0</v>
      </c>
      <c r="AD313">
        <v>0</v>
      </c>
      <c r="AE313" t="s">
        <v>1862</v>
      </c>
      <c r="AF313">
        <v>116254.12</v>
      </c>
      <c r="AG313">
        <v>7954546</v>
      </c>
      <c r="AH313">
        <v>350000.02</v>
      </c>
      <c r="AI313" s="1" t="s">
        <v>393</v>
      </c>
      <c r="AJ313">
        <v>94546791</v>
      </c>
      <c r="AK313" s="1" t="s">
        <v>1867</v>
      </c>
      <c r="AN313" t="s">
        <v>2054</v>
      </c>
      <c r="AO313" t="s">
        <v>2067</v>
      </c>
      <c r="AP313" t="s">
        <v>2094</v>
      </c>
      <c r="AQ313">
        <v>130767</v>
      </c>
      <c r="AR313" s="3">
        <v>46203</v>
      </c>
      <c r="AS313" s="3">
        <v>46174</v>
      </c>
      <c r="AT313" s="3">
        <v>46234</v>
      </c>
      <c r="AU313" t="s">
        <v>2124</v>
      </c>
      <c r="AW313" s="3">
        <v>46208.53701449134</v>
      </c>
    </row>
    <row r="314" spans="1:49" ht="16" hidden="1" x14ac:dyDescent="0.2">
      <c r="A314" t="s">
        <v>104</v>
      </c>
      <c r="B314">
        <v>23599</v>
      </c>
      <c r="C314">
        <v>5986</v>
      </c>
      <c r="D314" t="s">
        <v>104</v>
      </c>
      <c r="E314" t="s">
        <v>393</v>
      </c>
      <c r="F314">
        <v>269990</v>
      </c>
      <c r="G314" t="s">
        <v>728</v>
      </c>
      <c r="H314">
        <v>590257</v>
      </c>
      <c r="I314" t="s">
        <v>1409</v>
      </c>
      <c r="J314">
        <v>94546796</v>
      </c>
      <c r="K314" t="s">
        <v>1835</v>
      </c>
      <c r="L314" t="s">
        <v>1850</v>
      </c>
      <c r="M314" s="1">
        <v>44</v>
      </c>
      <c r="N314" t="s">
        <v>22</v>
      </c>
      <c r="O314">
        <v>2308961</v>
      </c>
      <c r="P314" s="1">
        <v>101594.28</v>
      </c>
      <c r="S314" s="6" t="str">
        <f t="shared" si="4"/>
        <v xml:space="preserve"> </v>
      </c>
      <c r="T314" s="6" t="str">
        <f>IF(IF(COUNTIF(H$2:$H314,H314)=1,1,"")=1,SUMIF($H$2:$H$7997,H314,$S$2:$S$7997),"")</f>
        <v/>
      </c>
      <c r="W314">
        <v>2308961</v>
      </c>
      <c r="X314">
        <v>2308961</v>
      </c>
      <c r="Y314">
        <v>0</v>
      </c>
      <c r="Z314">
        <v>0</v>
      </c>
      <c r="AA314" s="2">
        <v>1</v>
      </c>
      <c r="AB314" s="2">
        <v>0</v>
      </c>
      <c r="AC314" s="2">
        <v>0</v>
      </c>
      <c r="AD314">
        <v>0</v>
      </c>
      <c r="AE314" t="s">
        <v>1862</v>
      </c>
      <c r="AF314">
        <v>49823.19</v>
      </c>
      <c r="AG314">
        <v>3409091</v>
      </c>
      <c r="AH314">
        <v>150000</v>
      </c>
      <c r="AI314" s="1" t="s">
        <v>393</v>
      </c>
      <c r="AJ314">
        <v>94546791</v>
      </c>
      <c r="AK314" s="1" t="s">
        <v>1867</v>
      </c>
      <c r="AN314" t="s">
        <v>2054</v>
      </c>
      <c r="AO314" t="s">
        <v>2067</v>
      </c>
      <c r="AP314" t="s">
        <v>2092</v>
      </c>
      <c r="AQ314">
        <v>130767</v>
      </c>
      <c r="AR314" s="3">
        <v>46203</v>
      </c>
      <c r="AS314" s="3">
        <v>46174</v>
      </c>
      <c r="AT314" s="3">
        <v>46234</v>
      </c>
      <c r="AU314" t="s">
        <v>2123</v>
      </c>
      <c r="AW314" s="3">
        <v>46208.53701449134</v>
      </c>
    </row>
    <row r="315" spans="1:49" ht="16" hidden="1" x14ac:dyDescent="0.2">
      <c r="A315" t="s">
        <v>104</v>
      </c>
      <c r="B315">
        <v>23599</v>
      </c>
      <c r="C315">
        <v>5986</v>
      </c>
      <c r="D315" t="s">
        <v>104</v>
      </c>
      <c r="E315" t="s">
        <v>393</v>
      </c>
      <c r="F315">
        <v>269990</v>
      </c>
      <c r="G315" t="s">
        <v>739</v>
      </c>
      <c r="H315">
        <v>593358</v>
      </c>
      <c r="I315" t="s">
        <v>1430</v>
      </c>
      <c r="J315">
        <v>94716652</v>
      </c>
      <c r="K315" t="s">
        <v>1839</v>
      </c>
      <c r="L315" t="s">
        <v>1850</v>
      </c>
      <c r="M315" s="1">
        <v>20</v>
      </c>
      <c r="N315" t="s">
        <v>1859</v>
      </c>
      <c r="O315">
        <v>8569591</v>
      </c>
      <c r="P315" s="1">
        <v>171391.82</v>
      </c>
      <c r="S315" s="6" t="str">
        <f t="shared" si="4"/>
        <v xml:space="preserve"> </v>
      </c>
      <c r="T315" s="6">
        <f>IF(IF(COUNTIF(H$2:$H315,H315)=1,1,"")=1,SUMIF($H$2:$H$7997,H315,$S$2:$S$7997),"")</f>
        <v>0</v>
      </c>
      <c r="W315">
        <v>8569591</v>
      </c>
      <c r="X315">
        <v>8569591</v>
      </c>
      <c r="Y315">
        <v>0</v>
      </c>
      <c r="Z315">
        <v>0</v>
      </c>
      <c r="AA315" s="2">
        <v>1</v>
      </c>
      <c r="AB315" s="2">
        <v>0</v>
      </c>
      <c r="AC315" s="2">
        <v>0</v>
      </c>
      <c r="AD315">
        <v>0</v>
      </c>
      <c r="AE315" t="s">
        <v>1862</v>
      </c>
      <c r="AF315">
        <v>84985.16</v>
      </c>
      <c r="AG315">
        <v>13500000</v>
      </c>
      <c r="AH315">
        <v>270000</v>
      </c>
      <c r="AI315" s="1" t="s">
        <v>393</v>
      </c>
      <c r="AJ315">
        <v>94546791</v>
      </c>
      <c r="AK315" s="1" t="s">
        <v>1868</v>
      </c>
      <c r="AN315" t="s">
        <v>2054</v>
      </c>
      <c r="AO315" t="s">
        <v>2067</v>
      </c>
      <c r="AP315" t="s">
        <v>2093</v>
      </c>
      <c r="AQ315">
        <v>130767</v>
      </c>
      <c r="AR315" s="3">
        <v>46203</v>
      </c>
      <c r="AS315" s="3">
        <v>46183</v>
      </c>
      <c r="AT315" s="3">
        <v>46222</v>
      </c>
      <c r="AU315" t="s">
        <v>2124</v>
      </c>
      <c r="AW315" s="3">
        <v>46208.53701449134</v>
      </c>
    </row>
    <row r="316" spans="1:49" ht="16" hidden="1" x14ac:dyDescent="0.2">
      <c r="A316" t="s">
        <v>104</v>
      </c>
      <c r="B316">
        <v>23599</v>
      </c>
      <c r="C316">
        <v>5986</v>
      </c>
      <c r="D316" t="s">
        <v>104</v>
      </c>
      <c r="E316" t="s">
        <v>393</v>
      </c>
      <c r="F316">
        <v>269990</v>
      </c>
      <c r="G316" t="s">
        <v>739</v>
      </c>
      <c r="H316">
        <v>593358</v>
      </c>
      <c r="I316" t="s">
        <v>1431</v>
      </c>
      <c r="J316">
        <v>94716655</v>
      </c>
      <c r="K316" t="s">
        <v>1840</v>
      </c>
      <c r="L316" t="s">
        <v>1850</v>
      </c>
      <c r="M316" s="1">
        <v>20</v>
      </c>
      <c r="N316" t="s">
        <v>1859</v>
      </c>
      <c r="O316">
        <v>5594603</v>
      </c>
      <c r="P316" s="1">
        <v>111892.06</v>
      </c>
      <c r="S316" s="6" t="str">
        <f t="shared" si="4"/>
        <v xml:space="preserve"> </v>
      </c>
      <c r="T316" s="6" t="str">
        <f>IF(IF(COUNTIF(H$2:$H316,H316)=1,1,"")=1,SUMIF($H$2:$H$7997,H316,$S$2:$S$7997),"")</f>
        <v/>
      </c>
      <c r="W316">
        <v>5594603</v>
      </c>
      <c r="X316">
        <v>5594603</v>
      </c>
      <c r="Y316">
        <v>0</v>
      </c>
      <c r="Z316">
        <v>0</v>
      </c>
      <c r="AA316" s="2">
        <v>1</v>
      </c>
      <c r="AB316" s="2">
        <v>0</v>
      </c>
      <c r="AC316" s="2">
        <v>0</v>
      </c>
      <c r="AD316">
        <v>0</v>
      </c>
      <c r="AE316" t="s">
        <v>1862</v>
      </c>
      <c r="AF316">
        <v>56656.78</v>
      </c>
      <c r="AG316">
        <v>9000000</v>
      </c>
      <c r="AH316">
        <v>180000</v>
      </c>
      <c r="AI316" s="1" t="s">
        <v>393</v>
      </c>
      <c r="AJ316">
        <v>94546791</v>
      </c>
      <c r="AK316" s="1" t="s">
        <v>1868</v>
      </c>
      <c r="AN316" t="s">
        <v>2054</v>
      </c>
      <c r="AO316" t="s">
        <v>2067</v>
      </c>
      <c r="AP316" t="s">
        <v>2083</v>
      </c>
      <c r="AQ316">
        <v>130767</v>
      </c>
      <c r="AR316" s="3">
        <v>46203</v>
      </c>
      <c r="AS316" s="3">
        <v>46183</v>
      </c>
      <c r="AT316" s="3">
        <v>46222</v>
      </c>
      <c r="AU316" t="s">
        <v>2123</v>
      </c>
      <c r="AW316" s="3">
        <v>46208.53701449134</v>
      </c>
    </row>
    <row r="317" spans="1:49" ht="16" hidden="1" x14ac:dyDescent="0.2">
      <c r="A317" t="s">
        <v>88</v>
      </c>
      <c r="B317">
        <v>12676</v>
      </c>
      <c r="C317">
        <v>16016</v>
      </c>
      <c r="D317" t="s">
        <v>160</v>
      </c>
      <c r="E317" t="s">
        <v>298</v>
      </c>
      <c r="F317">
        <v>262576</v>
      </c>
      <c r="G317" t="s">
        <v>543</v>
      </c>
      <c r="H317">
        <v>582343</v>
      </c>
      <c r="I317" t="s">
        <v>1070</v>
      </c>
      <c r="J317">
        <v>93850348</v>
      </c>
      <c r="K317" t="s">
        <v>1839</v>
      </c>
      <c r="L317" t="s">
        <v>1850</v>
      </c>
      <c r="M317" s="1">
        <v>40</v>
      </c>
      <c r="N317" t="s">
        <v>22</v>
      </c>
      <c r="O317">
        <v>4622288</v>
      </c>
      <c r="P317" s="1">
        <v>184891.51999999999</v>
      </c>
      <c r="S317" s="6" t="str">
        <f t="shared" si="4"/>
        <v xml:space="preserve"> </v>
      </c>
      <c r="T317" s="6">
        <f>IF(IF(COUNTIF(H$2:$H317,H317)=1,1,"")=1,SUMIF($H$2:$H$7997,H317,$S$2:$S$7997),"")</f>
        <v>0</v>
      </c>
      <c r="W317">
        <v>4622288</v>
      </c>
      <c r="X317">
        <v>4622288</v>
      </c>
      <c r="Y317">
        <v>0</v>
      </c>
      <c r="Z317">
        <v>0</v>
      </c>
      <c r="AA317" s="2">
        <v>1</v>
      </c>
      <c r="AB317" s="2">
        <v>0</v>
      </c>
      <c r="AC317" s="2">
        <v>0</v>
      </c>
      <c r="AD317">
        <v>0</v>
      </c>
      <c r="AE317" t="s">
        <v>1862</v>
      </c>
      <c r="AF317">
        <v>93451.56</v>
      </c>
      <c r="AG317">
        <v>7000000</v>
      </c>
      <c r="AH317">
        <v>280000</v>
      </c>
      <c r="AI317" s="1" t="s">
        <v>298</v>
      </c>
      <c r="AJ317">
        <v>93850342</v>
      </c>
      <c r="AK317" s="1" t="s">
        <v>1867</v>
      </c>
      <c r="AL317" t="s">
        <v>1932</v>
      </c>
      <c r="AN317" t="s">
        <v>2042</v>
      </c>
      <c r="AO317" t="s">
        <v>2067</v>
      </c>
      <c r="AP317" t="s">
        <v>2094</v>
      </c>
      <c r="AQ317">
        <v>127799</v>
      </c>
      <c r="AR317" s="3">
        <v>46203</v>
      </c>
      <c r="AS317" s="3">
        <v>46174</v>
      </c>
      <c r="AT317" s="3">
        <v>46222</v>
      </c>
      <c r="AU317" t="s">
        <v>2124</v>
      </c>
      <c r="AW317" s="3">
        <v>46208.53701449134</v>
      </c>
    </row>
    <row r="318" spans="1:49" ht="16" hidden="1" x14ac:dyDescent="0.2">
      <c r="A318" t="s">
        <v>88</v>
      </c>
      <c r="B318">
        <v>12676</v>
      </c>
      <c r="C318">
        <v>16016</v>
      </c>
      <c r="D318" t="s">
        <v>160</v>
      </c>
      <c r="E318" t="s">
        <v>298</v>
      </c>
      <c r="F318">
        <v>262576</v>
      </c>
      <c r="G318" t="s">
        <v>543</v>
      </c>
      <c r="H318">
        <v>582343</v>
      </c>
      <c r="I318" t="s">
        <v>1069</v>
      </c>
      <c r="J318">
        <v>93850345</v>
      </c>
      <c r="K318" t="s">
        <v>1835</v>
      </c>
      <c r="L318" t="s">
        <v>1850</v>
      </c>
      <c r="M318" s="1">
        <v>40</v>
      </c>
      <c r="N318" t="s">
        <v>22</v>
      </c>
      <c r="O318">
        <v>5390379</v>
      </c>
      <c r="P318" s="1">
        <v>215615.16</v>
      </c>
      <c r="S318" s="6" t="str">
        <f t="shared" si="4"/>
        <v xml:space="preserve"> </v>
      </c>
      <c r="T318" s="6" t="str">
        <f>IF(IF(COUNTIF(H$2:$H318,H318)=1,1,"")=1,SUMIF($H$2:$H$7997,H318,$S$2:$S$7997),"")</f>
        <v/>
      </c>
      <c r="W318">
        <v>5390379</v>
      </c>
      <c r="X318">
        <v>5390379</v>
      </c>
      <c r="Y318">
        <v>0</v>
      </c>
      <c r="Z318">
        <v>0</v>
      </c>
      <c r="AA318" s="2">
        <v>1</v>
      </c>
      <c r="AB318" s="2">
        <v>0</v>
      </c>
      <c r="AC318" s="2">
        <v>0</v>
      </c>
      <c r="AD318">
        <v>0</v>
      </c>
      <c r="AE318" t="s">
        <v>1862</v>
      </c>
      <c r="AF318">
        <v>106801.78</v>
      </c>
      <c r="AG318">
        <v>8000000</v>
      </c>
      <c r="AH318">
        <v>320000</v>
      </c>
      <c r="AI318" s="1" t="s">
        <v>298</v>
      </c>
      <c r="AJ318">
        <v>93850342</v>
      </c>
      <c r="AK318" s="1" t="s">
        <v>1867</v>
      </c>
      <c r="AL318" t="s">
        <v>1932</v>
      </c>
      <c r="AN318" t="s">
        <v>2042</v>
      </c>
      <c r="AO318" t="s">
        <v>2067</v>
      </c>
      <c r="AP318" t="s">
        <v>2092</v>
      </c>
      <c r="AQ318">
        <v>127799</v>
      </c>
      <c r="AR318" s="3">
        <v>46203</v>
      </c>
      <c r="AS318" s="3">
        <v>46174</v>
      </c>
      <c r="AT318" s="3">
        <v>46222</v>
      </c>
      <c r="AU318" t="s">
        <v>2123</v>
      </c>
      <c r="AW318" s="3">
        <v>46208.53701449134</v>
      </c>
    </row>
    <row r="319" spans="1:49" ht="16" hidden="1" x14ac:dyDescent="0.2">
      <c r="A319" t="s">
        <v>88</v>
      </c>
      <c r="B319">
        <v>12676</v>
      </c>
      <c r="C319">
        <v>16016</v>
      </c>
      <c r="D319" t="s">
        <v>160</v>
      </c>
      <c r="E319" t="s">
        <v>298</v>
      </c>
      <c r="F319">
        <v>262576</v>
      </c>
      <c r="G319" t="s">
        <v>785</v>
      </c>
      <c r="H319">
        <v>582348</v>
      </c>
      <c r="I319" t="s">
        <v>1528</v>
      </c>
      <c r="J319">
        <v>7305356284</v>
      </c>
      <c r="K319" t="s">
        <v>1835</v>
      </c>
      <c r="L319" t="s">
        <v>1851</v>
      </c>
      <c r="M319" s="1">
        <v>6</v>
      </c>
      <c r="N319" t="s">
        <v>1858</v>
      </c>
      <c r="O319">
        <v>10204082</v>
      </c>
      <c r="P319" s="1">
        <v>61224.49</v>
      </c>
      <c r="S319" s="6" t="str">
        <f t="shared" si="4"/>
        <v xml:space="preserve"> </v>
      </c>
      <c r="T319" s="6">
        <f>IF(IF(COUNTIF(H$2:$H319,H319)=1,1,"")=1,SUMIF($H$2:$H$7997,H319,$S$2:$S$7997),"")</f>
        <v>0</v>
      </c>
      <c r="W319">
        <v>0</v>
      </c>
      <c r="X319">
        <v>0</v>
      </c>
      <c r="Y319">
        <v>0</v>
      </c>
      <c r="Z319">
        <v>0</v>
      </c>
      <c r="AA319" s="2">
        <v>1</v>
      </c>
      <c r="AB319" s="2">
        <v>0</v>
      </c>
      <c r="AC319" s="2">
        <v>0</v>
      </c>
      <c r="AD319">
        <v>0</v>
      </c>
      <c r="AE319" t="s">
        <v>1863</v>
      </c>
      <c r="AF319">
        <v>61224.49</v>
      </c>
      <c r="AG319">
        <v>33333334</v>
      </c>
      <c r="AH319">
        <v>200000</v>
      </c>
      <c r="AI319" s="1" t="s">
        <v>298</v>
      </c>
      <c r="AJ319">
        <v>262576</v>
      </c>
      <c r="AK319" s="1" t="s">
        <v>1867</v>
      </c>
      <c r="AL319" t="s">
        <v>1932</v>
      </c>
      <c r="AN319" t="s">
        <v>2042</v>
      </c>
      <c r="AO319" t="s">
        <v>2067</v>
      </c>
      <c r="AP319" t="s">
        <v>2103</v>
      </c>
      <c r="AQ319">
        <v>127799</v>
      </c>
      <c r="AR319" s="3">
        <v>46203</v>
      </c>
      <c r="AS319" s="3">
        <v>46174</v>
      </c>
      <c r="AT319" s="3">
        <v>46222</v>
      </c>
      <c r="AU319" t="s">
        <v>2126</v>
      </c>
      <c r="AW319" s="3">
        <v>46208.53701449134</v>
      </c>
    </row>
    <row r="320" spans="1:49" ht="16" hidden="1" x14ac:dyDescent="0.2">
      <c r="A320" t="s">
        <v>88</v>
      </c>
      <c r="B320">
        <v>12676</v>
      </c>
      <c r="C320">
        <v>16016</v>
      </c>
      <c r="D320" t="s">
        <v>160</v>
      </c>
      <c r="E320" t="s">
        <v>298</v>
      </c>
      <c r="F320">
        <v>262576</v>
      </c>
      <c r="G320" t="s">
        <v>545</v>
      </c>
      <c r="H320">
        <v>582415</v>
      </c>
      <c r="I320" t="s">
        <v>1073</v>
      </c>
      <c r="J320">
        <v>93850376</v>
      </c>
      <c r="K320" t="s">
        <v>1835</v>
      </c>
      <c r="L320" t="s">
        <v>1850</v>
      </c>
      <c r="M320" s="1">
        <v>25</v>
      </c>
      <c r="N320" t="s">
        <v>1854</v>
      </c>
      <c r="O320">
        <v>448462</v>
      </c>
      <c r="P320" s="1">
        <v>11211.55</v>
      </c>
      <c r="S320" s="6" t="str">
        <f t="shared" si="4"/>
        <v xml:space="preserve"> </v>
      </c>
      <c r="T320" s="6">
        <f>IF(IF(COUNTIF(H$2:$H320,H320)=1,1,"")=1,SUMIF($H$2:$H$7997,H320,$S$2:$S$7997),"")</f>
        <v>0</v>
      </c>
      <c r="W320">
        <v>379616</v>
      </c>
      <c r="X320">
        <v>379616</v>
      </c>
      <c r="Y320">
        <v>448462</v>
      </c>
      <c r="Z320">
        <v>448462</v>
      </c>
      <c r="AA320" s="2">
        <v>1</v>
      </c>
      <c r="AB320" s="2">
        <v>1.181356961945415</v>
      </c>
      <c r="AC320" s="2">
        <v>0</v>
      </c>
      <c r="AD320">
        <v>0</v>
      </c>
      <c r="AE320" t="s">
        <v>1862</v>
      </c>
      <c r="AF320">
        <v>3811.78</v>
      </c>
      <c r="AG320">
        <v>680000</v>
      </c>
      <c r="AH320">
        <v>17000</v>
      </c>
      <c r="AI320" s="1" t="s">
        <v>298</v>
      </c>
      <c r="AJ320">
        <v>93850342</v>
      </c>
      <c r="AK320" s="1" t="s">
        <v>1867</v>
      </c>
      <c r="AL320" t="s">
        <v>1932</v>
      </c>
      <c r="AN320" t="s">
        <v>2042</v>
      </c>
      <c r="AO320" t="s">
        <v>2067</v>
      </c>
      <c r="AP320" t="s">
        <v>2091</v>
      </c>
      <c r="AQ320">
        <v>127799</v>
      </c>
      <c r="AR320" s="3">
        <v>46203</v>
      </c>
      <c r="AS320" s="3">
        <v>46174</v>
      </c>
      <c r="AT320" s="3">
        <v>46222</v>
      </c>
      <c r="AU320" t="s">
        <v>2123</v>
      </c>
      <c r="AW320" s="3">
        <v>46208.53701449134</v>
      </c>
    </row>
    <row r="321" spans="1:49" ht="16" hidden="1" x14ac:dyDescent="0.2">
      <c r="A321" t="s">
        <v>88</v>
      </c>
      <c r="B321">
        <v>12676</v>
      </c>
      <c r="C321">
        <v>16016</v>
      </c>
      <c r="D321" t="s">
        <v>160</v>
      </c>
      <c r="E321" t="s">
        <v>298</v>
      </c>
      <c r="F321">
        <v>262576</v>
      </c>
      <c r="G321" t="s">
        <v>545</v>
      </c>
      <c r="H321">
        <v>582415</v>
      </c>
      <c r="I321" t="s">
        <v>1475</v>
      </c>
      <c r="J321">
        <v>94976425</v>
      </c>
      <c r="K321" t="s">
        <v>1843</v>
      </c>
      <c r="L321" t="s">
        <v>1850</v>
      </c>
      <c r="M321" s="1">
        <v>25</v>
      </c>
      <c r="N321" t="s">
        <v>22</v>
      </c>
      <c r="O321">
        <v>105775</v>
      </c>
      <c r="P321" s="1">
        <v>2644.38</v>
      </c>
      <c r="S321" s="6" t="str">
        <f t="shared" si="4"/>
        <v xml:space="preserve"> </v>
      </c>
      <c r="T321" s="6" t="str">
        <f>IF(IF(COUNTIF(H$2:$H321,H321)=1,1,"")=1,SUMIF($H$2:$H$7997,H321,$S$2:$S$7997),"")</f>
        <v/>
      </c>
      <c r="W321">
        <v>105775</v>
      </c>
      <c r="X321">
        <v>105775</v>
      </c>
      <c r="Y321">
        <v>0</v>
      </c>
      <c r="Z321">
        <v>0</v>
      </c>
      <c r="AA321" s="2">
        <v>1</v>
      </c>
      <c r="AB321" s="2">
        <v>0</v>
      </c>
      <c r="AC321" s="2">
        <v>0</v>
      </c>
      <c r="AD321">
        <v>0</v>
      </c>
      <c r="AE321" t="s">
        <v>1862</v>
      </c>
      <c r="AF321">
        <v>1793.78</v>
      </c>
      <c r="AG321">
        <v>320000</v>
      </c>
      <c r="AH321">
        <v>8000</v>
      </c>
      <c r="AI321" s="1" t="s">
        <v>298</v>
      </c>
      <c r="AJ321">
        <v>93850342</v>
      </c>
      <c r="AK321" s="1" t="s">
        <v>1867</v>
      </c>
      <c r="AL321" t="s">
        <v>1932</v>
      </c>
      <c r="AN321" t="s">
        <v>2042</v>
      </c>
      <c r="AO321" t="s">
        <v>2067</v>
      </c>
      <c r="AP321" t="s">
        <v>2099</v>
      </c>
      <c r="AQ321">
        <v>127799</v>
      </c>
      <c r="AR321" s="3">
        <v>46203</v>
      </c>
      <c r="AS321" s="3">
        <v>46174</v>
      </c>
      <c r="AT321" s="3">
        <v>46222</v>
      </c>
      <c r="AU321" t="s">
        <v>2125</v>
      </c>
      <c r="AW321" s="3">
        <v>46208.53701449134</v>
      </c>
    </row>
    <row r="322" spans="1:49" ht="16" hidden="1" x14ac:dyDescent="0.2">
      <c r="A322" t="s">
        <v>88</v>
      </c>
      <c r="B322">
        <v>12676</v>
      </c>
      <c r="C322">
        <v>16016</v>
      </c>
      <c r="D322" t="s">
        <v>160</v>
      </c>
      <c r="E322" t="s">
        <v>298</v>
      </c>
      <c r="F322">
        <v>262576</v>
      </c>
      <c r="G322" t="s">
        <v>544</v>
      </c>
      <c r="H322">
        <v>582417</v>
      </c>
      <c r="I322" t="s">
        <v>1071</v>
      </c>
      <c r="J322">
        <v>93850354</v>
      </c>
      <c r="K322" t="s">
        <v>1839</v>
      </c>
      <c r="L322" t="s">
        <v>1850</v>
      </c>
      <c r="M322" s="1">
        <v>20</v>
      </c>
      <c r="N322" t="s">
        <v>1859</v>
      </c>
      <c r="O322">
        <v>10019492</v>
      </c>
      <c r="P322" s="1">
        <v>200389.84</v>
      </c>
      <c r="S322" s="6" t="str">
        <f t="shared" si="4"/>
        <v xml:space="preserve"> </v>
      </c>
      <c r="T322" s="6">
        <f>IF(IF(COUNTIF(H$2:$H322,H322)=1,1,"")=1,SUMIF($H$2:$H$7997,H322,$S$2:$S$7997),"")</f>
        <v>0</v>
      </c>
      <c r="W322">
        <v>10019492</v>
      </c>
      <c r="X322">
        <v>10019492</v>
      </c>
      <c r="Y322">
        <v>0</v>
      </c>
      <c r="Z322">
        <v>0</v>
      </c>
      <c r="AA322" s="2">
        <v>1</v>
      </c>
      <c r="AB322" s="2">
        <v>0</v>
      </c>
      <c r="AC322" s="2">
        <v>0</v>
      </c>
      <c r="AD322">
        <v>0</v>
      </c>
      <c r="AE322" t="s">
        <v>1862</v>
      </c>
      <c r="AF322">
        <v>100489.1</v>
      </c>
      <c r="AG322">
        <v>14250000</v>
      </c>
      <c r="AH322">
        <v>285000</v>
      </c>
      <c r="AI322" s="1" t="s">
        <v>298</v>
      </c>
      <c r="AJ322">
        <v>93850342</v>
      </c>
      <c r="AK322" s="1" t="s">
        <v>1868</v>
      </c>
      <c r="AL322" t="s">
        <v>1932</v>
      </c>
      <c r="AN322" t="s">
        <v>2042</v>
      </c>
      <c r="AO322" t="s">
        <v>2067</v>
      </c>
      <c r="AP322" t="s">
        <v>2093</v>
      </c>
      <c r="AQ322">
        <v>127799</v>
      </c>
      <c r="AR322" s="3">
        <v>46203</v>
      </c>
      <c r="AS322" s="3">
        <v>46174</v>
      </c>
      <c r="AT322" s="3">
        <v>46222</v>
      </c>
      <c r="AU322" t="s">
        <v>2124</v>
      </c>
      <c r="AW322" s="3">
        <v>46208.53701449134</v>
      </c>
    </row>
    <row r="323" spans="1:49" ht="16" hidden="1" x14ac:dyDescent="0.2">
      <c r="A323" t="s">
        <v>88</v>
      </c>
      <c r="B323">
        <v>12676</v>
      </c>
      <c r="C323">
        <v>16016</v>
      </c>
      <c r="D323" t="s">
        <v>160</v>
      </c>
      <c r="E323" t="s">
        <v>298</v>
      </c>
      <c r="F323">
        <v>262576</v>
      </c>
      <c r="G323" t="s">
        <v>544</v>
      </c>
      <c r="H323">
        <v>582417</v>
      </c>
      <c r="I323" t="s">
        <v>1072</v>
      </c>
      <c r="J323">
        <v>93850369</v>
      </c>
      <c r="K323" t="s">
        <v>1840</v>
      </c>
      <c r="L323" t="s">
        <v>1850</v>
      </c>
      <c r="M323" s="1">
        <v>20</v>
      </c>
      <c r="N323" t="s">
        <v>1859</v>
      </c>
      <c r="O323">
        <v>6728691</v>
      </c>
      <c r="P323" s="1">
        <v>134573.82</v>
      </c>
      <c r="S323" s="6" t="str">
        <f t="shared" ref="S323:S386" si="5">IF(ISBLANK(R323)," ",ROUND(R323*(IF(ISBLANK(Q323),(M323/1000),(Q323/1000))),2))</f>
        <v xml:space="preserve"> </v>
      </c>
      <c r="T323" s="6" t="str">
        <f>IF(IF(COUNTIF(H$2:$H323,H323)=1,1,"")=1,SUMIF($H$2:$H$7997,H323,$S$2:$S$7997),"")</f>
        <v/>
      </c>
      <c r="W323">
        <v>6728691</v>
      </c>
      <c r="X323">
        <v>6728691</v>
      </c>
      <c r="Y323">
        <v>0</v>
      </c>
      <c r="Z323">
        <v>0</v>
      </c>
      <c r="AA323" s="2">
        <v>1</v>
      </c>
      <c r="AB323" s="2">
        <v>0</v>
      </c>
      <c r="AC323" s="2">
        <v>0</v>
      </c>
      <c r="AD323">
        <v>0</v>
      </c>
      <c r="AE323" t="s">
        <v>1862</v>
      </c>
      <c r="AF323">
        <v>66992.73</v>
      </c>
      <c r="AG323">
        <v>9500000</v>
      </c>
      <c r="AH323">
        <v>190000</v>
      </c>
      <c r="AI323" s="1" t="s">
        <v>298</v>
      </c>
      <c r="AJ323">
        <v>93850342</v>
      </c>
      <c r="AK323" s="1" t="s">
        <v>1868</v>
      </c>
      <c r="AL323" t="s">
        <v>1932</v>
      </c>
      <c r="AN323" t="s">
        <v>2042</v>
      </c>
      <c r="AO323" t="s">
        <v>2067</v>
      </c>
      <c r="AP323" t="s">
        <v>2083</v>
      </c>
      <c r="AQ323">
        <v>127799</v>
      </c>
      <c r="AR323" s="3">
        <v>46203</v>
      </c>
      <c r="AS323" s="3">
        <v>46174</v>
      </c>
      <c r="AT323" s="3">
        <v>46222</v>
      </c>
      <c r="AU323" t="s">
        <v>2123</v>
      </c>
      <c r="AW323" s="3">
        <v>46208.53701449134</v>
      </c>
    </row>
    <row r="324" spans="1:49" ht="16" hidden="1" x14ac:dyDescent="0.2">
      <c r="A324" t="s">
        <v>88</v>
      </c>
      <c r="B324">
        <v>12676</v>
      </c>
      <c r="C324">
        <v>16016</v>
      </c>
      <c r="D324" t="s">
        <v>160</v>
      </c>
      <c r="E324" t="s">
        <v>298</v>
      </c>
      <c r="F324">
        <v>262576</v>
      </c>
      <c r="G324" t="s">
        <v>859</v>
      </c>
      <c r="H324">
        <v>582420</v>
      </c>
      <c r="I324" t="s">
        <v>1704</v>
      </c>
      <c r="J324">
        <v>582421</v>
      </c>
      <c r="K324" t="s">
        <v>1846</v>
      </c>
      <c r="L324" t="s">
        <v>1851</v>
      </c>
      <c r="M324" s="1">
        <v>0.15</v>
      </c>
      <c r="N324" t="s">
        <v>1858</v>
      </c>
      <c r="O324">
        <v>204081733</v>
      </c>
      <c r="P324" s="1">
        <v>30612.26</v>
      </c>
      <c r="S324" s="6" t="str">
        <f t="shared" si="5"/>
        <v xml:space="preserve"> </v>
      </c>
      <c r="T324" s="6">
        <f>IF(IF(COUNTIF(H$2:$H324,H324)=1,1,"")=1,SUMIF($H$2:$H$7997,H324,$S$2:$S$7997),"")</f>
        <v>0</v>
      </c>
      <c r="W324">
        <v>0</v>
      </c>
      <c r="X324">
        <v>0</v>
      </c>
      <c r="Y324">
        <v>0</v>
      </c>
      <c r="Z324">
        <v>0</v>
      </c>
      <c r="AA324" s="2">
        <v>1</v>
      </c>
      <c r="AB324" s="2">
        <v>0</v>
      </c>
      <c r="AC324" s="2">
        <v>0</v>
      </c>
      <c r="AD324">
        <v>0</v>
      </c>
      <c r="AE324" t="s">
        <v>1863</v>
      </c>
      <c r="AF324">
        <v>30612.26</v>
      </c>
      <c r="AG324">
        <v>666667</v>
      </c>
      <c r="AH324">
        <v>100000.05</v>
      </c>
      <c r="AI324" s="1" t="s">
        <v>298</v>
      </c>
      <c r="AJ324">
        <v>262576</v>
      </c>
      <c r="AK324" s="1" t="s">
        <v>1867</v>
      </c>
      <c r="AL324" t="s">
        <v>1932</v>
      </c>
      <c r="AN324" t="s">
        <v>2042</v>
      </c>
      <c r="AO324" t="s">
        <v>2067</v>
      </c>
      <c r="AP324" t="s">
        <v>2110</v>
      </c>
      <c r="AQ324">
        <v>127799</v>
      </c>
      <c r="AR324" s="3">
        <v>46203</v>
      </c>
      <c r="AS324" s="3">
        <v>46174</v>
      </c>
      <c r="AT324" s="3">
        <v>46222</v>
      </c>
      <c r="AU324" t="s">
        <v>2128</v>
      </c>
      <c r="AW324" s="3">
        <v>46208.53701449134</v>
      </c>
    </row>
    <row r="325" spans="1:49" ht="16" hidden="1" x14ac:dyDescent="0.2">
      <c r="A325" t="s">
        <v>88</v>
      </c>
      <c r="B325">
        <v>12676</v>
      </c>
      <c r="C325">
        <v>16016</v>
      </c>
      <c r="D325" t="s">
        <v>160</v>
      </c>
      <c r="E325" t="s">
        <v>298</v>
      </c>
      <c r="F325">
        <v>262576</v>
      </c>
      <c r="G325" t="s">
        <v>859</v>
      </c>
      <c r="H325">
        <v>582420</v>
      </c>
      <c r="I325" t="s">
        <v>1781</v>
      </c>
      <c r="J325">
        <v>582424</v>
      </c>
      <c r="K325" t="s">
        <v>1844</v>
      </c>
      <c r="L325" t="s">
        <v>1851</v>
      </c>
      <c r="M325" s="1">
        <v>0.15</v>
      </c>
      <c r="N325" t="s">
        <v>1858</v>
      </c>
      <c r="O325">
        <v>204081400</v>
      </c>
      <c r="P325" s="1">
        <v>30612.21</v>
      </c>
      <c r="S325" s="6" t="str">
        <f t="shared" si="5"/>
        <v xml:space="preserve"> </v>
      </c>
      <c r="T325" s="6" t="str">
        <f>IF(IF(COUNTIF(H$2:$H325,H325)=1,1,"")=1,SUMIF($H$2:$H$7997,H325,$S$2:$S$7997),"")</f>
        <v/>
      </c>
      <c r="W325">
        <v>0</v>
      </c>
      <c r="X325">
        <v>0</v>
      </c>
      <c r="Y325">
        <v>0</v>
      </c>
      <c r="Z325">
        <v>0</v>
      </c>
      <c r="AA325" s="2">
        <v>1</v>
      </c>
      <c r="AB325" s="2">
        <v>0</v>
      </c>
      <c r="AC325" s="2">
        <v>0</v>
      </c>
      <c r="AD325">
        <v>0</v>
      </c>
      <c r="AE325" t="s">
        <v>1863</v>
      </c>
      <c r="AF325">
        <v>30612.21</v>
      </c>
      <c r="AG325">
        <v>666666</v>
      </c>
      <c r="AH325">
        <v>99999.9</v>
      </c>
      <c r="AI325" s="1" t="s">
        <v>298</v>
      </c>
      <c r="AJ325">
        <v>262576</v>
      </c>
      <c r="AK325" s="1" t="s">
        <v>1867</v>
      </c>
      <c r="AL325" t="s">
        <v>1932</v>
      </c>
      <c r="AN325" t="s">
        <v>2042</v>
      </c>
      <c r="AO325" t="s">
        <v>2067</v>
      </c>
      <c r="AP325" t="s">
        <v>2107</v>
      </c>
      <c r="AQ325">
        <v>127799</v>
      </c>
      <c r="AR325" s="3">
        <v>46203</v>
      </c>
      <c r="AS325" s="3">
        <v>46174</v>
      </c>
      <c r="AT325" s="3">
        <v>46222</v>
      </c>
      <c r="AU325" t="s">
        <v>2127</v>
      </c>
      <c r="AW325" s="3">
        <v>46208.53701449134</v>
      </c>
    </row>
    <row r="326" spans="1:49" ht="16" hidden="1" x14ac:dyDescent="0.2">
      <c r="A326" t="s">
        <v>88</v>
      </c>
      <c r="B326">
        <v>12676</v>
      </c>
      <c r="C326">
        <v>16016</v>
      </c>
      <c r="D326" t="s">
        <v>160</v>
      </c>
      <c r="E326" t="s">
        <v>298</v>
      </c>
      <c r="F326">
        <v>262576</v>
      </c>
      <c r="G326" t="s">
        <v>859</v>
      </c>
      <c r="H326">
        <v>582420</v>
      </c>
      <c r="I326" t="s">
        <v>1655</v>
      </c>
      <c r="J326">
        <v>582423</v>
      </c>
      <c r="K326" t="s">
        <v>1835</v>
      </c>
      <c r="L326" t="s">
        <v>1851</v>
      </c>
      <c r="M326" s="1">
        <v>0.15</v>
      </c>
      <c r="N326" t="s">
        <v>1858</v>
      </c>
      <c r="O326">
        <v>204081733</v>
      </c>
      <c r="P326" s="1">
        <v>30612.26</v>
      </c>
      <c r="S326" s="6" t="str">
        <f t="shared" si="5"/>
        <v xml:space="preserve"> </v>
      </c>
      <c r="T326" s="6" t="str">
        <f>IF(IF(COUNTIF(H$2:$H326,H326)=1,1,"")=1,SUMIF($H$2:$H$7997,H326,$S$2:$S$7997),"")</f>
        <v/>
      </c>
      <c r="W326">
        <v>0</v>
      </c>
      <c r="X326">
        <v>0</v>
      </c>
      <c r="Y326">
        <v>0</v>
      </c>
      <c r="Z326">
        <v>0</v>
      </c>
      <c r="AA326" s="2">
        <v>1</v>
      </c>
      <c r="AB326" s="2">
        <v>0</v>
      </c>
      <c r="AC326" s="2">
        <v>0</v>
      </c>
      <c r="AD326">
        <v>0</v>
      </c>
      <c r="AE326" t="s">
        <v>1863</v>
      </c>
      <c r="AF326">
        <v>30612.26</v>
      </c>
      <c r="AG326">
        <v>666667</v>
      </c>
      <c r="AH326">
        <v>100000.05</v>
      </c>
      <c r="AI326" s="1" t="s">
        <v>298</v>
      </c>
      <c r="AJ326">
        <v>262576</v>
      </c>
      <c r="AK326" s="1" t="s">
        <v>1867</v>
      </c>
      <c r="AL326" t="s">
        <v>1932</v>
      </c>
      <c r="AN326" t="s">
        <v>2042</v>
      </c>
      <c r="AO326" t="s">
        <v>2067</v>
      </c>
      <c r="AP326" t="s">
        <v>2109</v>
      </c>
      <c r="AQ326">
        <v>127799</v>
      </c>
      <c r="AR326" s="3">
        <v>46203</v>
      </c>
      <c r="AS326" s="3">
        <v>46174</v>
      </c>
      <c r="AT326" s="3">
        <v>46222</v>
      </c>
      <c r="AU326" t="s">
        <v>2129</v>
      </c>
      <c r="AW326" s="3">
        <v>46208.53701449134</v>
      </c>
    </row>
    <row r="327" spans="1:49" ht="16" hidden="1" x14ac:dyDescent="0.2">
      <c r="A327" t="s">
        <v>92</v>
      </c>
      <c r="B327">
        <v>10647</v>
      </c>
      <c r="C327">
        <v>8960</v>
      </c>
      <c r="D327" t="s">
        <v>170</v>
      </c>
      <c r="E327" t="s">
        <v>316</v>
      </c>
      <c r="F327">
        <v>263588</v>
      </c>
      <c r="G327" t="s">
        <v>588</v>
      </c>
      <c r="H327">
        <v>588773</v>
      </c>
      <c r="I327" t="s">
        <v>1154</v>
      </c>
      <c r="J327">
        <v>93990379</v>
      </c>
      <c r="K327" t="s">
        <v>1836</v>
      </c>
      <c r="L327" t="s">
        <v>1850</v>
      </c>
      <c r="M327" s="1">
        <v>23</v>
      </c>
      <c r="N327" t="s">
        <v>1855</v>
      </c>
      <c r="O327">
        <v>2546663</v>
      </c>
      <c r="P327" s="1">
        <v>58573.25</v>
      </c>
      <c r="S327" s="6" t="str">
        <f t="shared" si="5"/>
        <v xml:space="preserve"> </v>
      </c>
      <c r="T327" s="6">
        <f>IF(IF(COUNTIF(H$2:$H327,H327)=1,1,"")=1,SUMIF($H$2:$H$7997,H327,$S$2:$S$7997),"")</f>
        <v>0</v>
      </c>
      <c r="V327" t="s">
        <v>1860</v>
      </c>
      <c r="W327">
        <v>1905506</v>
      </c>
      <c r="X327">
        <v>2546663</v>
      </c>
      <c r="Y327">
        <v>0</v>
      </c>
      <c r="Z327">
        <v>0</v>
      </c>
      <c r="AA327" s="2">
        <v>1</v>
      </c>
      <c r="AB327" s="2">
        <v>0</v>
      </c>
      <c r="AC327" s="2">
        <v>0</v>
      </c>
      <c r="AD327">
        <v>0</v>
      </c>
      <c r="AE327" t="s">
        <v>1862</v>
      </c>
      <c r="AF327">
        <v>41426.75</v>
      </c>
      <c r="AG327">
        <v>4347826</v>
      </c>
      <c r="AH327">
        <v>100000</v>
      </c>
      <c r="AI327" s="1" t="s">
        <v>316</v>
      </c>
      <c r="AJ327">
        <v>93990359</v>
      </c>
      <c r="AK327" s="1" t="s">
        <v>1868</v>
      </c>
      <c r="AL327" t="s">
        <v>1900</v>
      </c>
      <c r="AN327" t="s">
        <v>2063</v>
      </c>
      <c r="AO327" t="s">
        <v>2067</v>
      </c>
      <c r="AP327" t="s">
        <v>2074</v>
      </c>
      <c r="AQ327">
        <v>128332</v>
      </c>
      <c r="AR327" s="3">
        <v>46203</v>
      </c>
      <c r="AS327" s="3">
        <v>46156</v>
      </c>
      <c r="AT327" s="3">
        <v>46203</v>
      </c>
      <c r="AU327" t="s">
        <v>2124</v>
      </c>
      <c r="AW327" s="3">
        <v>46208.53701449134</v>
      </c>
    </row>
    <row r="328" spans="1:49" ht="16" hidden="1" x14ac:dyDescent="0.2">
      <c r="A328" t="s">
        <v>103</v>
      </c>
      <c r="B328">
        <v>11059</v>
      </c>
      <c r="C328">
        <v>2165</v>
      </c>
      <c r="D328" t="s">
        <v>204</v>
      </c>
      <c r="E328" t="s">
        <v>385</v>
      </c>
      <c r="F328">
        <v>270566</v>
      </c>
      <c r="G328" t="s">
        <v>711</v>
      </c>
      <c r="H328">
        <v>592011</v>
      </c>
      <c r="I328" t="s">
        <v>1377</v>
      </c>
      <c r="J328">
        <v>94480753</v>
      </c>
      <c r="K328" t="s">
        <v>1839</v>
      </c>
      <c r="L328" t="s">
        <v>1851</v>
      </c>
      <c r="M328" s="1">
        <v>44</v>
      </c>
      <c r="N328" t="s">
        <v>1858</v>
      </c>
      <c r="O328">
        <v>185606</v>
      </c>
      <c r="P328" s="1">
        <v>8166.67</v>
      </c>
      <c r="S328" s="6" t="str">
        <f t="shared" si="5"/>
        <v xml:space="preserve"> </v>
      </c>
      <c r="T328" s="6">
        <f>IF(IF(COUNTIF(H$2:$H328,H328)=1,1,"")=1,SUMIF($H$2:$H$7997,H328,$S$2:$S$7997),"")</f>
        <v>0</v>
      </c>
      <c r="W328">
        <v>479916</v>
      </c>
      <c r="X328">
        <v>479916</v>
      </c>
      <c r="Y328">
        <v>0</v>
      </c>
      <c r="Z328">
        <v>0</v>
      </c>
      <c r="AA328" s="2">
        <v>1</v>
      </c>
      <c r="AB328" s="2">
        <v>0</v>
      </c>
      <c r="AC328" s="2">
        <v>0</v>
      </c>
      <c r="AD328">
        <v>0</v>
      </c>
      <c r="AE328" t="s">
        <v>1863</v>
      </c>
      <c r="AF328">
        <v>8166.67</v>
      </c>
      <c r="AG328">
        <v>715909</v>
      </c>
      <c r="AH328">
        <v>31500</v>
      </c>
      <c r="AI328" s="1" t="s">
        <v>385</v>
      </c>
      <c r="AJ328">
        <v>94480742</v>
      </c>
      <c r="AK328" s="1" t="s">
        <v>1867</v>
      </c>
      <c r="AL328" t="s">
        <v>1999</v>
      </c>
      <c r="AN328" t="s">
        <v>2055</v>
      </c>
      <c r="AO328" t="s">
        <v>2067</v>
      </c>
      <c r="AP328" t="s">
        <v>2094</v>
      </c>
      <c r="AQ328">
        <v>130427</v>
      </c>
      <c r="AR328" s="3">
        <v>46203</v>
      </c>
      <c r="AS328" s="3">
        <v>46176</v>
      </c>
      <c r="AT328" s="3">
        <v>46229</v>
      </c>
      <c r="AU328" t="s">
        <v>2124</v>
      </c>
      <c r="AW328" s="3">
        <v>46208.53701449134</v>
      </c>
    </row>
    <row r="329" spans="1:49" ht="16" hidden="1" x14ac:dyDescent="0.2">
      <c r="A329" t="s">
        <v>103</v>
      </c>
      <c r="B329">
        <v>11059</v>
      </c>
      <c r="C329">
        <v>2165</v>
      </c>
      <c r="D329" t="s">
        <v>204</v>
      </c>
      <c r="E329" t="s">
        <v>385</v>
      </c>
      <c r="F329">
        <v>270566</v>
      </c>
      <c r="G329" t="s">
        <v>711</v>
      </c>
      <c r="H329">
        <v>592011</v>
      </c>
      <c r="I329" t="s">
        <v>1376</v>
      </c>
      <c r="J329">
        <v>94480749</v>
      </c>
      <c r="K329" t="s">
        <v>1835</v>
      </c>
      <c r="L329" t="s">
        <v>1851</v>
      </c>
      <c r="M329" s="1">
        <v>44</v>
      </c>
      <c r="N329" t="s">
        <v>1858</v>
      </c>
      <c r="O329">
        <v>79546</v>
      </c>
      <c r="P329" s="1">
        <v>3500.01</v>
      </c>
      <c r="S329" s="6" t="str">
        <f t="shared" si="5"/>
        <v xml:space="preserve"> </v>
      </c>
      <c r="T329" s="6" t="str">
        <f>IF(IF(COUNTIF(H$2:$H329,H329)=1,1,"")=1,SUMIF($H$2:$H$7997,H329,$S$2:$S$7997),"")</f>
        <v/>
      </c>
      <c r="W329">
        <v>208623</v>
      </c>
      <c r="X329">
        <v>208623</v>
      </c>
      <c r="Y329">
        <v>0</v>
      </c>
      <c r="Z329">
        <v>0</v>
      </c>
      <c r="AA329" s="2">
        <v>1</v>
      </c>
      <c r="AB329" s="2">
        <v>0</v>
      </c>
      <c r="AC329" s="2">
        <v>0</v>
      </c>
      <c r="AD329">
        <v>0</v>
      </c>
      <c r="AE329" t="s">
        <v>1863</v>
      </c>
      <c r="AF329">
        <v>3500.01</v>
      </c>
      <c r="AG329">
        <v>306819</v>
      </c>
      <c r="AH329">
        <v>13500.04</v>
      </c>
      <c r="AI329" s="1" t="s">
        <v>385</v>
      </c>
      <c r="AJ329">
        <v>94480742</v>
      </c>
      <c r="AK329" s="1" t="s">
        <v>1867</v>
      </c>
      <c r="AL329" t="s">
        <v>1999</v>
      </c>
      <c r="AN329" t="s">
        <v>2055</v>
      </c>
      <c r="AO329" t="s">
        <v>2067</v>
      </c>
      <c r="AP329" t="s">
        <v>2092</v>
      </c>
      <c r="AQ329">
        <v>130427</v>
      </c>
      <c r="AR329" s="3">
        <v>46203</v>
      </c>
      <c r="AS329" s="3">
        <v>46176</v>
      </c>
      <c r="AT329" s="3">
        <v>46229</v>
      </c>
      <c r="AU329" t="s">
        <v>2123</v>
      </c>
      <c r="AW329" s="3">
        <v>46208.53701449134</v>
      </c>
    </row>
    <row r="330" spans="1:49" ht="16" hidden="1" x14ac:dyDescent="0.2">
      <c r="A330" t="s">
        <v>103</v>
      </c>
      <c r="B330">
        <v>11059</v>
      </c>
      <c r="C330">
        <v>2165</v>
      </c>
      <c r="D330" t="s">
        <v>204</v>
      </c>
      <c r="E330" t="s">
        <v>385</v>
      </c>
      <c r="F330">
        <v>270566</v>
      </c>
      <c r="G330" t="s">
        <v>710</v>
      </c>
      <c r="H330">
        <v>592019</v>
      </c>
      <c r="I330" t="s">
        <v>1378</v>
      </c>
      <c r="J330">
        <v>94480756</v>
      </c>
      <c r="K330" t="s">
        <v>1839</v>
      </c>
      <c r="L330" t="s">
        <v>1850</v>
      </c>
      <c r="M330" s="1">
        <v>20</v>
      </c>
      <c r="N330" t="s">
        <v>1855</v>
      </c>
      <c r="O330">
        <v>258658</v>
      </c>
      <c r="P330" s="1">
        <v>2500</v>
      </c>
      <c r="S330" s="6" t="str">
        <f t="shared" si="5"/>
        <v xml:space="preserve"> </v>
      </c>
      <c r="T330" s="6">
        <f>IF(IF(COUNTIF(H$2:$H330,H330)=1,1,"")=1,SUMIF($H$2:$H$7997,H330,$S$2:$S$7997),"")</f>
        <v>0</v>
      </c>
      <c r="W330">
        <v>258658</v>
      </c>
      <c r="X330">
        <v>258658</v>
      </c>
      <c r="Y330">
        <v>0</v>
      </c>
      <c r="Z330">
        <v>0</v>
      </c>
      <c r="AA330" s="2">
        <v>1</v>
      </c>
      <c r="AB330" s="2">
        <v>0</v>
      </c>
      <c r="AC330" s="2">
        <v>0</v>
      </c>
      <c r="AD330">
        <v>0</v>
      </c>
      <c r="AE330" t="s">
        <v>1864</v>
      </c>
      <c r="AF330">
        <v>2500</v>
      </c>
      <c r="AG330">
        <v>750000</v>
      </c>
      <c r="AH330">
        <v>15000</v>
      </c>
      <c r="AI330" s="1" t="s">
        <v>385</v>
      </c>
      <c r="AJ330">
        <v>94480742</v>
      </c>
      <c r="AK330" s="1" t="s">
        <v>1868</v>
      </c>
      <c r="AL330" t="s">
        <v>1999</v>
      </c>
      <c r="AN330" t="s">
        <v>2055</v>
      </c>
      <c r="AO330" t="s">
        <v>2067</v>
      </c>
      <c r="AP330" t="s">
        <v>2093</v>
      </c>
      <c r="AQ330">
        <v>130427</v>
      </c>
      <c r="AR330" s="3">
        <v>46203</v>
      </c>
      <c r="AS330" s="3">
        <v>46176</v>
      </c>
      <c r="AT330" s="3">
        <v>46264</v>
      </c>
      <c r="AU330" t="s">
        <v>2124</v>
      </c>
      <c r="AW330" s="3">
        <v>46208.53701449134</v>
      </c>
    </row>
    <row r="331" spans="1:49" ht="16" hidden="1" x14ac:dyDescent="0.2">
      <c r="A331" t="s">
        <v>103</v>
      </c>
      <c r="B331">
        <v>11059</v>
      </c>
      <c r="C331">
        <v>2165</v>
      </c>
      <c r="D331" t="s">
        <v>204</v>
      </c>
      <c r="E331" t="s">
        <v>385</v>
      </c>
      <c r="F331">
        <v>270566</v>
      </c>
      <c r="G331" t="s">
        <v>710</v>
      </c>
      <c r="H331">
        <v>592019</v>
      </c>
      <c r="I331" t="s">
        <v>1375</v>
      </c>
      <c r="J331">
        <v>94480745</v>
      </c>
      <c r="K331" t="s">
        <v>1840</v>
      </c>
      <c r="L331" t="s">
        <v>1850</v>
      </c>
      <c r="M331" s="1">
        <v>20</v>
      </c>
      <c r="N331" t="s">
        <v>1855</v>
      </c>
      <c r="O331">
        <v>154001</v>
      </c>
      <c r="P331" s="1">
        <v>1666.67</v>
      </c>
      <c r="S331" s="6" t="str">
        <f t="shared" si="5"/>
        <v xml:space="preserve"> </v>
      </c>
      <c r="T331" s="6" t="str">
        <f>IF(IF(COUNTIF(H$2:$H331,H331)=1,1,"")=1,SUMIF($H$2:$H$7997,H331,$S$2:$S$7997),"")</f>
        <v/>
      </c>
      <c r="W331">
        <v>154001</v>
      </c>
      <c r="X331">
        <v>154001</v>
      </c>
      <c r="Y331">
        <v>0</v>
      </c>
      <c r="Z331">
        <v>0</v>
      </c>
      <c r="AA331" s="2">
        <v>1</v>
      </c>
      <c r="AB331" s="2">
        <v>0</v>
      </c>
      <c r="AC331" s="2">
        <v>0</v>
      </c>
      <c r="AD331">
        <v>0</v>
      </c>
      <c r="AE331" t="s">
        <v>1864</v>
      </c>
      <c r="AF331">
        <v>1666.67</v>
      </c>
      <c r="AG331">
        <v>500000</v>
      </c>
      <c r="AH331">
        <v>10000</v>
      </c>
      <c r="AI331" s="1" t="s">
        <v>385</v>
      </c>
      <c r="AJ331">
        <v>94480742</v>
      </c>
      <c r="AK331" s="1" t="s">
        <v>1868</v>
      </c>
      <c r="AL331" t="s">
        <v>1999</v>
      </c>
      <c r="AN331" t="s">
        <v>2055</v>
      </c>
      <c r="AO331" t="s">
        <v>2067</v>
      </c>
      <c r="AP331" t="s">
        <v>2083</v>
      </c>
      <c r="AQ331">
        <v>130427</v>
      </c>
      <c r="AR331" s="3">
        <v>46203</v>
      </c>
      <c r="AS331" s="3">
        <v>46176</v>
      </c>
      <c r="AT331" s="3">
        <v>46264</v>
      </c>
      <c r="AU331" t="s">
        <v>2123</v>
      </c>
      <c r="AW331" s="3">
        <v>46208.53701449134</v>
      </c>
    </row>
    <row r="332" spans="1:49" ht="16" hidden="1" x14ac:dyDescent="0.2">
      <c r="A332" t="s">
        <v>103</v>
      </c>
      <c r="B332">
        <v>11059</v>
      </c>
      <c r="C332">
        <v>2165</v>
      </c>
      <c r="D332" t="s">
        <v>204</v>
      </c>
      <c r="E332" t="s">
        <v>385</v>
      </c>
      <c r="F332">
        <v>270566</v>
      </c>
      <c r="G332" t="s">
        <v>773</v>
      </c>
      <c r="H332">
        <v>597160</v>
      </c>
      <c r="I332" t="s">
        <v>1508</v>
      </c>
      <c r="J332">
        <v>95183280</v>
      </c>
      <c r="K332" t="s">
        <v>1839</v>
      </c>
      <c r="L332" t="s">
        <v>1850</v>
      </c>
      <c r="M332" s="1">
        <v>20</v>
      </c>
      <c r="N332" t="s">
        <v>1855</v>
      </c>
      <c r="O332">
        <v>0</v>
      </c>
      <c r="P332" s="1">
        <v>0</v>
      </c>
      <c r="S332" s="6" t="str">
        <f t="shared" si="5"/>
        <v xml:space="preserve"> </v>
      </c>
      <c r="T332" s="6">
        <f>IF(IF(COUNTIF(H$2:$H332,H332)=1,1,"")=1,SUMIF($H$2:$H$7997,H332,$S$2:$S$7997),"")</f>
        <v>0</v>
      </c>
      <c r="W332">
        <v>0</v>
      </c>
      <c r="X332">
        <v>0</v>
      </c>
      <c r="Y332">
        <v>0</v>
      </c>
      <c r="Z332">
        <v>0</v>
      </c>
      <c r="AA332" s="2">
        <v>1</v>
      </c>
      <c r="AB332" s="2">
        <v>0</v>
      </c>
      <c r="AC332" s="2">
        <v>0</v>
      </c>
      <c r="AD332">
        <v>0</v>
      </c>
      <c r="AE332" t="s">
        <v>1864</v>
      </c>
      <c r="AF332">
        <v>0</v>
      </c>
      <c r="AG332">
        <v>128198</v>
      </c>
      <c r="AH332">
        <v>0</v>
      </c>
      <c r="AI332" s="1" t="s">
        <v>385</v>
      </c>
      <c r="AJ332">
        <v>270566</v>
      </c>
      <c r="AK332" s="1" t="s">
        <v>1868</v>
      </c>
      <c r="AL332" t="s">
        <v>1999</v>
      </c>
      <c r="AN332" t="s">
        <v>2055</v>
      </c>
      <c r="AO332" t="s">
        <v>2068</v>
      </c>
      <c r="AP332" t="s">
        <v>2093</v>
      </c>
      <c r="AQ332">
        <v>130427</v>
      </c>
      <c r="AR332" s="3">
        <v>46203</v>
      </c>
      <c r="AS332" s="3">
        <v>46199</v>
      </c>
      <c r="AT332" s="3">
        <v>46264</v>
      </c>
      <c r="AU332" t="s">
        <v>2124</v>
      </c>
      <c r="AW332" s="3">
        <v>46208.53701449134</v>
      </c>
    </row>
    <row r="333" spans="1:49" ht="16" hidden="1" x14ac:dyDescent="0.2">
      <c r="A333" t="s">
        <v>103</v>
      </c>
      <c r="B333">
        <v>11059</v>
      </c>
      <c r="C333">
        <v>2165</v>
      </c>
      <c r="D333" t="s">
        <v>204</v>
      </c>
      <c r="E333" t="s">
        <v>385</v>
      </c>
      <c r="F333">
        <v>270566</v>
      </c>
      <c r="G333" t="s">
        <v>773</v>
      </c>
      <c r="H333">
        <v>597160</v>
      </c>
      <c r="I333" t="s">
        <v>1509</v>
      </c>
      <c r="J333">
        <v>95183283</v>
      </c>
      <c r="K333" t="s">
        <v>1840</v>
      </c>
      <c r="L333" t="s">
        <v>1850</v>
      </c>
      <c r="M333" s="1">
        <v>20</v>
      </c>
      <c r="N333" t="s">
        <v>1855</v>
      </c>
      <c r="O333">
        <v>0</v>
      </c>
      <c r="P333" s="1">
        <v>0</v>
      </c>
      <c r="S333" s="6" t="str">
        <f t="shared" si="5"/>
        <v xml:space="preserve"> </v>
      </c>
      <c r="T333" s="6" t="str">
        <f>IF(IF(COUNTIF(H$2:$H333,H333)=1,1,"")=1,SUMIF($H$2:$H$7997,H333,$S$2:$S$7997),"")</f>
        <v/>
      </c>
      <c r="W333">
        <v>0</v>
      </c>
      <c r="X333">
        <v>0</v>
      </c>
      <c r="Y333">
        <v>0</v>
      </c>
      <c r="Z333">
        <v>0</v>
      </c>
      <c r="AA333" s="2">
        <v>1</v>
      </c>
      <c r="AB333" s="2">
        <v>0</v>
      </c>
      <c r="AC333" s="2">
        <v>0</v>
      </c>
      <c r="AD333">
        <v>0</v>
      </c>
      <c r="AE333" t="s">
        <v>1864</v>
      </c>
      <c r="AF333">
        <v>0</v>
      </c>
      <c r="AG333">
        <v>192295</v>
      </c>
      <c r="AH333">
        <v>0</v>
      </c>
      <c r="AI333" s="1" t="s">
        <v>385</v>
      </c>
      <c r="AJ333">
        <v>270566</v>
      </c>
      <c r="AK333" s="1" t="s">
        <v>1868</v>
      </c>
      <c r="AL333" t="s">
        <v>1999</v>
      </c>
      <c r="AN333" t="s">
        <v>2055</v>
      </c>
      <c r="AO333" t="s">
        <v>2068</v>
      </c>
      <c r="AP333" t="s">
        <v>2083</v>
      </c>
      <c r="AQ333">
        <v>130427</v>
      </c>
      <c r="AR333" s="3">
        <v>46203</v>
      </c>
      <c r="AS333" s="3">
        <v>46199</v>
      </c>
      <c r="AT333" s="3">
        <v>46264</v>
      </c>
      <c r="AU333" t="s">
        <v>2123</v>
      </c>
      <c r="AW333" s="3">
        <v>46208.53701449134</v>
      </c>
    </row>
    <row r="334" spans="1:49" ht="16" hidden="1" x14ac:dyDescent="0.2">
      <c r="A334" t="s">
        <v>102</v>
      </c>
      <c r="B334">
        <v>11623</v>
      </c>
      <c r="C334">
        <v>1147</v>
      </c>
      <c r="D334" t="s">
        <v>203</v>
      </c>
      <c r="E334" t="s">
        <v>384</v>
      </c>
      <c r="F334">
        <v>259461</v>
      </c>
      <c r="G334" t="s">
        <v>709</v>
      </c>
      <c r="H334">
        <v>582793</v>
      </c>
      <c r="I334" t="s">
        <v>1372</v>
      </c>
      <c r="J334">
        <v>94465030</v>
      </c>
      <c r="K334" t="s">
        <v>1839</v>
      </c>
      <c r="L334" t="s">
        <v>1850</v>
      </c>
      <c r="M334" s="1">
        <v>40</v>
      </c>
      <c r="N334" t="s">
        <v>23</v>
      </c>
      <c r="O334">
        <v>8814782</v>
      </c>
      <c r="P334" s="1">
        <v>352591.28</v>
      </c>
      <c r="S334" s="6" t="str">
        <f t="shared" si="5"/>
        <v xml:space="preserve"> </v>
      </c>
      <c r="T334" s="6">
        <f>IF(IF(COUNTIF(H$2:$H334,H334)=1,1,"")=1,SUMIF($H$2:$H$7997,H334,$S$2:$S$7997),"")</f>
        <v>0</v>
      </c>
      <c r="W334">
        <v>8814782</v>
      </c>
      <c r="X334">
        <v>8814782</v>
      </c>
      <c r="Y334">
        <v>0</v>
      </c>
      <c r="Z334">
        <v>0</v>
      </c>
      <c r="AA334" s="2">
        <v>1</v>
      </c>
      <c r="AB334" s="2">
        <v>0</v>
      </c>
      <c r="AC334" s="2">
        <v>0</v>
      </c>
      <c r="AD334">
        <v>0</v>
      </c>
      <c r="AE334" t="s">
        <v>1862</v>
      </c>
      <c r="AF334">
        <v>175345.97</v>
      </c>
      <c r="AG334">
        <v>13125000</v>
      </c>
      <c r="AH334">
        <v>525000</v>
      </c>
      <c r="AI334" s="1" t="s">
        <v>384</v>
      </c>
      <c r="AJ334">
        <v>94465027</v>
      </c>
      <c r="AK334" s="1" t="s">
        <v>1867</v>
      </c>
      <c r="AL334" t="s">
        <v>1998</v>
      </c>
      <c r="AN334" t="s">
        <v>2057</v>
      </c>
      <c r="AO334" t="s">
        <v>2067</v>
      </c>
      <c r="AP334" t="s">
        <v>2094</v>
      </c>
      <c r="AQ334">
        <v>130306</v>
      </c>
      <c r="AR334" s="3">
        <v>46203</v>
      </c>
      <c r="AS334" s="3">
        <v>46177</v>
      </c>
      <c r="AT334" s="3">
        <v>46222</v>
      </c>
      <c r="AU334" t="s">
        <v>2124</v>
      </c>
      <c r="AW334" s="3">
        <v>46208.53701449134</v>
      </c>
    </row>
    <row r="335" spans="1:49" ht="16" hidden="1" x14ac:dyDescent="0.2">
      <c r="A335" t="s">
        <v>102</v>
      </c>
      <c r="B335">
        <v>11623</v>
      </c>
      <c r="C335">
        <v>1147</v>
      </c>
      <c r="D335" t="s">
        <v>203</v>
      </c>
      <c r="E335" t="s">
        <v>384</v>
      </c>
      <c r="F335">
        <v>259461</v>
      </c>
      <c r="G335" t="s">
        <v>709</v>
      </c>
      <c r="H335">
        <v>582793</v>
      </c>
      <c r="I335" t="s">
        <v>1373</v>
      </c>
      <c r="J335">
        <v>94465036</v>
      </c>
      <c r="K335" t="s">
        <v>1835</v>
      </c>
      <c r="L335" t="s">
        <v>1850</v>
      </c>
      <c r="M335" s="1">
        <v>40</v>
      </c>
      <c r="N335" t="s">
        <v>23</v>
      </c>
      <c r="O335">
        <v>3866962</v>
      </c>
      <c r="P335" s="1">
        <v>154678.48000000001</v>
      </c>
      <c r="S335" s="6" t="str">
        <f t="shared" si="5"/>
        <v xml:space="preserve"> </v>
      </c>
      <c r="T335" s="6" t="str">
        <f>IF(IF(COUNTIF(H$2:$H335,H335)=1,1,"")=1,SUMIF($H$2:$H$7997,H335,$S$2:$S$7997),"")</f>
        <v/>
      </c>
      <c r="W335">
        <v>3866962</v>
      </c>
      <c r="X335">
        <v>3866962</v>
      </c>
      <c r="Y335">
        <v>0</v>
      </c>
      <c r="Z335">
        <v>0</v>
      </c>
      <c r="AA335" s="2">
        <v>1</v>
      </c>
      <c r="AB335" s="2">
        <v>0</v>
      </c>
      <c r="AC335" s="2">
        <v>0</v>
      </c>
      <c r="AD335">
        <v>0</v>
      </c>
      <c r="AE335" t="s">
        <v>1862</v>
      </c>
      <c r="AF335">
        <v>75148.27</v>
      </c>
      <c r="AG335">
        <v>5625000</v>
      </c>
      <c r="AH335">
        <v>225000</v>
      </c>
      <c r="AI335" s="1" t="s">
        <v>384</v>
      </c>
      <c r="AJ335">
        <v>94465027</v>
      </c>
      <c r="AK335" s="1" t="s">
        <v>1867</v>
      </c>
      <c r="AL335" t="s">
        <v>1998</v>
      </c>
      <c r="AN335" t="s">
        <v>2057</v>
      </c>
      <c r="AO335" t="s">
        <v>2067</v>
      </c>
      <c r="AP335" t="s">
        <v>2092</v>
      </c>
      <c r="AQ335">
        <v>130306</v>
      </c>
      <c r="AR335" s="3">
        <v>46203</v>
      </c>
      <c r="AS335" s="3">
        <v>46177</v>
      </c>
      <c r="AT335" s="3">
        <v>46222</v>
      </c>
      <c r="AU335" t="s">
        <v>2123</v>
      </c>
      <c r="AW335" s="3">
        <v>46208.53701449134</v>
      </c>
    </row>
    <row r="336" spans="1:49" ht="16" hidden="1" x14ac:dyDescent="0.2">
      <c r="A336" t="s">
        <v>102</v>
      </c>
      <c r="B336">
        <v>11623</v>
      </c>
      <c r="C336">
        <v>1147</v>
      </c>
      <c r="D336" t="s">
        <v>203</v>
      </c>
      <c r="E336" t="s">
        <v>384</v>
      </c>
      <c r="F336">
        <v>259461</v>
      </c>
      <c r="G336" t="s">
        <v>904</v>
      </c>
      <c r="H336">
        <v>582794</v>
      </c>
      <c r="I336" t="s">
        <v>1760</v>
      </c>
      <c r="J336">
        <v>582800</v>
      </c>
      <c r="K336" t="s">
        <v>1844</v>
      </c>
      <c r="L336" t="s">
        <v>1851</v>
      </c>
      <c r="M336" s="1">
        <v>416667</v>
      </c>
      <c r="N336" t="s">
        <v>1858</v>
      </c>
      <c r="O336">
        <v>0</v>
      </c>
      <c r="P336" s="1">
        <v>127551.12</v>
      </c>
      <c r="S336" s="6" t="str">
        <f t="shared" si="5"/>
        <v xml:space="preserve"> </v>
      </c>
      <c r="T336" s="6">
        <f>IF(IF(COUNTIF(H$2:$H336,H336)=1,1,"")=1,SUMIF($H$2:$H$7997,H336,$S$2:$S$7997),"")</f>
        <v>0</v>
      </c>
      <c r="W336">
        <v>0</v>
      </c>
      <c r="X336">
        <v>0</v>
      </c>
      <c r="Y336">
        <v>0</v>
      </c>
      <c r="Z336">
        <v>0</v>
      </c>
      <c r="AA336" s="2">
        <v>1</v>
      </c>
      <c r="AB336" s="2">
        <v>0</v>
      </c>
      <c r="AC336" s="2">
        <v>0</v>
      </c>
      <c r="AD336">
        <v>0</v>
      </c>
      <c r="AE336" t="s">
        <v>1863</v>
      </c>
      <c r="AF336">
        <v>127551.12</v>
      </c>
      <c r="AG336">
        <v>1</v>
      </c>
      <c r="AH336">
        <v>416667</v>
      </c>
      <c r="AI336" s="1" t="s">
        <v>384</v>
      </c>
      <c r="AJ336">
        <v>259461</v>
      </c>
      <c r="AK336" s="1" t="s">
        <v>1867</v>
      </c>
      <c r="AL336" t="s">
        <v>1998</v>
      </c>
      <c r="AN336" t="s">
        <v>2057</v>
      </c>
      <c r="AO336" t="s">
        <v>2067</v>
      </c>
      <c r="AP336" t="s">
        <v>2107</v>
      </c>
      <c r="AQ336">
        <v>130306</v>
      </c>
      <c r="AR336" s="3">
        <v>46203</v>
      </c>
      <c r="AS336" s="3">
        <v>46174</v>
      </c>
      <c r="AT336" s="3">
        <v>46222</v>
      </c>
      <c r="AU336" t="s">
        <v>2127</v>
      </c>
      <c r="AW336" s="3">
        <v>46208.53701449134</v>
      </c>
    </row>
    <row r="337" spans="1:49" ht="16" hidden="1" x14ac:dyDescent="0.2">
      <c r="A337" t="s">
        <v>102</v>
      </c>
      <c r="B337">
        <v>11623</v>
      </c>
      <c r="C337">
        <v>1147</v>
      </c>
      <c r="D337" t="s">
        <v>203</v>
      </c>
      <c r="E337" t="s">
        <v>384</v>
      </c>
      <c r="F337">
        <v>259461</v>
      </c>
      <c r="G337" t="s">
        <v>904</v>
      </c>
      <c r="H337">
        <v>582794</v>
      </c>
      <c r="I337" t="s">
        <v>1770</v>
      </c>
      <c r="J337">
        <v>582799</v>
      </c>
      <c r="K337" t="s">
        <v>1835</v>
      </c>
      <c r="L337" t="s">
        <v>1851</v>
      </c>
      <c r="M337" s="1">
        <v>416667</v>
      </c>
      <c r="N337" t="s">
        <v>1858</v>
      </c>
      <c r="O337">
        <v>0</v>
      </c>
      <c r="P337" s="1">
        <v>127551.12</v>
      </c>
      <c r="S337" s="6" t="str">
        <f t="shared" si="5"/>
        <v xml:space="preserve"> </v>
      </c>
      <c r="T337" s="6" t="str">
        <f>IF(IF(COUNTIF(H$2:$H337,H337)=1,1,"")=1,SUMIF($H$2:$H$7997,H337,$S$2:$S$7997),"")</f>
        <v/>
      </c>
      <c r="W337">
        <v>0</v>
      </c>
      <c r="X337">
        <v>0</v>
      </c>
      <c r="Y337">
        <v>0</v>
      </c>
      <c r="Z337">
        <v>0</v>
      </c>
      <c r="AA337" s="2">
        <v>1</v>
      </c>
      <c r="AB337" s="2">
        <v>0</v>
      </c>
      <c r="AC337" s="2">
        <v>0</v>
      </c>
      <c r="AD337">
        <v>0</v>
      </c>
      <c r="AE337" t="s">
        <v>1863</v>
      </c>
      <c r="AF337">
        <v>127551.12</v>
      </c>
      <c r="AG337">
        <v>1</v>
      </c>
      <c r="AH337">
        <v>416667</v>
      </c>
      <c r="AI337" s="1" t="s">
        <v>384</v>
      </c>
      <c r="AJ337">
        <v>259461</v>
      </c>
      <c r="AK337" s="1" t="s">
        <v>1867</v>
      </c>
      <c r="AL337" t="s">
        <v>1998</v>
      </c>
      <c r="AN337" t="s">
        <v>2057</v>
      </c>
      <c r="AO337" t="s">
        <v>2067</v>
      </c>
      <c r="AP337" t="s">
        <v>2109</v>
      </c>
      <c r="AQ337">
        <v>130306</v>
      </c>
      <c r="AR337" s="3">
        <v>46203</v>
      </c>
      <c r="AS337" s="3">
        <v>46174</v>
      </c>
      <c r="AT337" s="3">
        <v>46222</v>
      </c>
      <c r="AU337" t="s">
        <v>2129</v>
      </c>
      <c r="AW337" s="3">
        <v>46208.53701449134</v>
      </c>
    </row>
    <row r="338" spans="1:49" ht="16" hidden="1" x14ac:dyDescent="0.2">
      <c r="A338" t="s">
        <v>102</v>
      </c>
      <c r="B338">
        <v>11623</v>
      </c>
      <c r="C338">
        <v>1147</v>
      </c>
      <c r="D338" t="s">
        <v>203</v>
      </c>
      <c r="E338" t="s">
        <v>384</v>
      </c>
      <c r="F338">
        <v>259461</v>
      </c>
      <c r="G338" t="s">
        <v>904</v>
      </c>
      <c r="H338">
        <v>582794</v>
      </c>
      <c r="I338" t="s">
        <v>1777</v>
      </c>
      <c r="J338">
        <v>582797</v>
      </c>
      <c r="K338" t="s">
        <v>1846</v>
      </c>
      <c r="L338" t="s">
        <v>1851</v>
      </c>
      <c r="M338" s="1">
        <v>416666</v>
      </c>
      <c r="N338" t="s">
        <v>1858</v>
      </c>
      <c r="O338">
        <v>0</v>
      </c>
      <c r="P338" s="1">
        <v>127550.82</v>
      </c>
      <c r="S338" s="6" t="str">
        <f t="shared" si="5"/>
        <v xml:space="preserve"> </v>
      </c>
      <c r="T338" s="6" t="str">
        <f>IF(IF(COUNTIF(H$2:$H338,H338)=1,1,"")=1,SUMIF($H$2:$H$7997,H338,$S$2:$S$7997),"")</f>
        <v/>
      </c>
      <c r="W338">
        <v>0</v>
      </c>
      <c r="X338">
        <v>0</v>
      </c>
      <c r="Y338">
        <v>0</v>
      </c>
      <c r="Z338">
        <v>0</v>
      </c>
      <c r="AA338" s="2">
        <v>1</v>
      </c>
      <c r="AB338" s="2">
        <v>0</v>
      </c>
      <c r="AC338" s="2">
        <v>0</v>
      </c>
      <c r="AD338">
        <v>0</v>
      </c>
      <c r="AE338" t="s">
        <v>1863</v>
      </c>
      <c r="AF338">
        <v>127550.82</v>
      </c>
      <c r="AG338">
        <v>1</v>
      </c>
      <c r="AH338">
        <v>416666</v>
      </c>
      <c r="AI338" s="1" t="s">
        <v>384</v>
      </c>
      <c r="AJ338">
        <v>259461</v>
      </c>
      <c r="AK338" s="1" t="s">
        <v>1867</v>
      </c>
      <c r="AL338" t="s">
        <v>1998</v>
      </c>
      <c r="AN338" t="s">
        <v>2057</v>
      </c>
      <c r="AO338" t="s">
        <v>2067</v>
      </c>
      <c r="AP338" t="s">
        <v>2110</v>
      </c>
      <c r="AQ338">
        <v>130306</v>
      </c>
      <c r="AR338" s="3">
        <v>46203</v>
      </c>
      <c r="AS338" s="3">
        <v>46174</v>
      </c>
      <c r="AT338" s="3">
        <v>46222</v>
      </c>
      <c r="AU338" t="s">
        <v>2128</v>
      </c>
      <c r="AW338" s="3">
        <v>46208.53701449134</v>
      </c>
    </row>
    <row r="339" spans="1:49" ht="16" hidden="1" x14ac:dyDescent="0.2">
      <c r="A339" t="s">
        <v>102</v>
      </c>
      <c r="B339">
        <v>11623</v>
      </c>
      <c r="C339">
        <v>1147</v>
      </c>
      <c r="D339" t="s">
        <v>203</v>
      </c>
      <c r="E339" t="s">
        <v>384</v>
      </c>
      <c r="F339">
        <v>259461</v>
      </c>
      <c r="G339" t="s">
        <v>847</v>
      </c>
      <c r="H339">
        <v>593458</v>
      </c>
      <c r="I339" t="s">
        <v>1643</v>
      </c>
      <c r="J339">
        <v>593461</v>
      </c>
      <c r="K339" t="s">
        <v>1844</v>
      </c>
      <c r="L339" t="s">
        <v>1851</v>
      </c>
      <c r="M339" s="1">
        <v>333333.34000000003</v>
      </c>
      <c r="N339" t="s">
        <v>1858</v>
      </c>
      <c r="O339">
        <v>0</v>
      </c>
      <c r="P339" s="1">
        <v>85470.09</v>
      </c>
      <c r="S339" s="6" t="str">
        <f t="shared" si="5"/>
        <v xml:space="preserve"> </v>
      </c>
      <c r="T339" s="6">
        <f>IF(IF(COUNTIF(H$2:$H339,H339)=1,1,"")=1,SUMIF($H$2:$H$7997,H339,$S$2:$S$7997),"")</f>
        <v>0</v>
      </c>
      <c r="W339">
        <v>0</v>
      </c>
      <c r="X339">
        <v>0</v>
      </c>
      <c r="Y339">
        <v>0</v>
      </c>
      <c r="Z339">
        <v>0</v>
      </c>
      <c r="AA339" s="2">
        <v>1</v>
      </c>
      <c r="AB339" s="2">
        <v>0</v>
      </c>
      <c r="AC339" s="2">
        <v>0</v>
      </c>
      <c r="AD339">
        <v>0</v>
      </c>
      <c r="AE339" t="s">
        <v>1863</v>
      </c>
      <c r="AF339">
        <v>85470.09</v>
      </c>
      <c r="AG339">
        <v>1</v>
      </c>
      <c r="AH339">
        <v>333333.34000000003</v>
      </c>
      <c r="AI339" s="1" t="s">
        <v>384</v>
      </c>
      <c r="AJ339">
        <v>259461</v>
      </c>
      <c r="AK339" s="1" t="s">
        <v>1867</v>
      </c>
      <c r="AL339" t="s">
        <v>1998</v>
      </c>
      <c r="AN339" t="s">
        <v>2057</v>
      </c>
      <c r="AO339" t="s">
        <v>2067</v>
      </c>
      <c r="AP339" t="s">
        <v>2107</v>
      </c>
      <c r="AQ339">
        <v>130306</v>
      </c>
      <c r="AR339" s="3">
        <v>46203</v>
      </c>
      <c r="AS339" s="3">
        <v>46184</v>
      </c>
      <c r="AT339" s="3">
        <v>46222</v>
      </c>
      <c r="AU339" t="s">
        <v>2127</v>
      </c>
      <c r="AW339" s="3">
        <v>46208.53701449134</v>
      </c>
    </row>
    <row r="340" spans="1:49" ht="16" hidden="1" x14ac:dyDescent="0.2">
      <c r="A340" t="s">
        <v>102</v>
      </c>
      <c r="B340">
        <v>11623</v>
      </c>
      <c r="C340">
        <v>1147</v>
      </c>
      <c r="D340" t="s">
        <v>203</v>
      </c>
      <c r="E340" t="s">
        <v>384</v>
      </c>
      <c r="F340">
        <v>259461</v>
      </c>
      <c r="G340" t="s">
        <v>847</v>
      </c>
      <c r="H340">
        <v>593458</v>
      </c>
      <c r="I340" t="s">
        <v>1752</v>
      </c>
      <c r="J340">
        <v>593459</v>
      </c>
      <c r="K340" t="s">
        <v>1835</v>
      </c>
      <c r="L340" t="s">
        <v>1851</v>
      </c>
      <c r="M340" s="1">
        <v>333333.33</v>
      </c>
      <c r="N340" t="s">
        <v>1858</v>
      </c>
      <c r="O340">
        <v>0</v>
      </c>
      <c r="P340" s="1">
        <v>85470.080000000002</v>
      </c>
      <c r="S340" s="6" t="str">
        <f t="shared" si="5"/>
        <v xml:space="preserve"> </v>
      </c>
      <c r="T340" s="6" t="str">
        <f>IF(IF(COUNTIF(H$2:$H340,H340)=1,1,"")=1,SUMIF($H$2:$H$7997,H340,$S$2:$S$7997),"")</f>
        <v/>
      </c>
      <c r="W340">
        <v>0</v>
      </c>
      <c r="X340">
        <v>0</v>
      </c>
      <c r="Y340">
        <v>0</v>
      </c>
      <c r="Z340">
        <v>0</v>
      </c>
      <c r="AA340" s="2">
        <v>1</v>
      </c>
      <c r="AB340" s="2">
        <v>0</v>
      </c>
      <c r="AC340" s="2">
        <v>0</v>
      </c>
      <c r="AD340">
        <v>0</v>
      </c>
      <c r="AE340" t="s">
        <v>1863</v>
      </c>
      <c r="AF340">
        <v>85470.080000000002</v>
      </c>
      <c r="AG340">
        <v>1</v>
      </c>
      <c r="AH340">
        <v>333333.33</v>
      </c>
      <c r="AI340" s="1" t="s">
        <v>384</v>
      </c>
      <c r="AJ340">
        <v>259461</v>
      </c>
      <c r="AK340" s="1" t="s">
        <v>1867</v>
      </c>
      <c r="AL340" t="s">
        <v>1998</v>
      </c>
      <c r="AN340" t="s">
        <v>2057</v>
      </c>
      <c r="AO340" t="s">
        <v>2067</v>
      </c>
      <c r="AP340" t="s">
        <v>2109</v>
      </c>
      <c r="AQ340">
        <v>130306</v>
      </c>
      <c r="AR340" s="3">
        <v>46203</v>
      </c>
      <c r="AS340" s="3">
        <v>46184</v>
      </c>
      <c r="AT340" s="3">
        <v>46222</v>
      </c>
      <c r="AU340" t="s">
        <v>2129</v>
      </c>
      <c r="AW340" s="3">
        <v>46208.53701449134</v>
      </c>
    </row>
    <row r="341" spans="1:49" ht="16" hidden="1" x14ac:dyDescent="0.2">
      <c r="A341" t="s">
        <v>102</v>
      </c>
      <c r="B341">
        <v>11623</v>
      </c>
      <c r="C341">
        <v>1147</v>
      </c>
      <c r="D341" t="s">
        <v>203</v>
      </c>
      <c r="E341" t="s">
        <v>384</v>
      </c>
      <c r="F341">
        <v>259461</v>
      </c>
      <c r="G341" t="s">
        <v>847</v>
      </c>
      <c r="H341">
        <v>593458</v>
      </c>
      <c r="I341" t="s">
        <v>1769</v>
      </c>
      <c r="J341">
        <v>593460</v>
      </c>
      <c r="K341" t="s">
        <v>1846</v>
      </c>
      <c r="L341" t="s">
        <v>1851</v>
      </c>
      <c r="M341" s="1">
        <v>333333.33</v>
      </c>
      <c r="N341" t="s">
        <v>1858</v>
      </c>
      <c r="O341">
        <v>0</v>
      </c>
      <c r="P341" s="1">
        <v>85470.080000000002</v>
      </c>
      <c r="S341" s="6" t="str">
        <f t="shared" si="5"/>
        <v xml:space="preserve"> </v>
      </c>
      <c r="T341" s="6" t="str">
        <f>IF(IF(COUNTIF(H$2:$H341,H341)=1,1,"")=1,SUMIF($H$2:$H$7997,H341,$S$2:$S$7997),"")</f>
        <v/>
      </c>
      <c r="W341">
        <v>0</v>
      </c>
      <c r="X341">
        <v>0</v>
      </c>
      <c r="Y341">
        <v>0</v>
      </c>
      <c r="Z341">
        <v>0</v>
      </c>
      <c r="AA341" s="2">
        <v>1</v>
      </c>
      <c r="AB341" s="2">
        <v>0</v>
      </c>
      <c r="AC341" s="2">
        <v>0</v>
      </c>
      <c r="AD341">
        <v>0</v>
      </c>
      <c r="AE341" t="s">
        <v>1863</v>
      </c>
      <c r="AF341">
        <v>85470.080000000002</v>
      </c>
      <c r="AG341">
        <v>1</v>
      </c>
      <c r="AH341">
        <v>333333.33</v>
      </c>
      <c r="AI341" s="1" t="s">
        <v>384</v>
      </c>
      <c r="AJ341">
        <v>259461</v>
      </c>
      <c r="AK341" s="1" t="s">
        <v>1867</v>
      </c>
      <c r="AL341" t="s">
        <v>1998</v>
      </c>
      <c r="AN341" t="s">
        <v>2057</v>
      </c>
      <c r="AO341" t="s">
        <v>2067</v>
      </c>
      <c r="AP341" t="s">
        <v>2110</v>
      </c>
      <c r="AQ341">
        <v>130306</v>
      </c>
      <c r="AR341" s="3">
        <v>46203</v>
      </c>
      <c r="AS341" s="3">
        <v>46184</v>
      </c>
      <c r="AT341" s="3">
        <v>46222</v>
      </c>
      <c r="AU341" t="s">
        <v>2128</v>
      </c>
      <c r="AW341" s="3">
        <v>46208.53701449134</v>
      </c>
    </row>
    <row r="342" spans="1:49" ht="16" hidden="1" x14ac:dyDescent="0.2">
      <c r="A342" t="s">
        <v>87</v>
      </c>
      <c r="B342">
        <v>10709</v>
      </c>
      <c r="C342">
        <v>2148</v>
      </c>
      <c r="D342" t="s">
        <v>167</v>
      </c>
      <c r="E342" t="s">
        <v>311</v>
      </c>
      <c r="F342">
        <v>269003</v>
      </c>
      <c r="G342" t="s">
        <v>575</v>
      </c>
      <c r="H342">
        <v>587429</v>
      </c>
      <c r="I342" t="s">
        <v>1130</v>
      </c>
      <c r="J342">
        <v>93985970</v>
      </c>
      <c r="K342" t="s">
        <v>1839</v>
      </c>
      <c r="L342" t="s">
        <v>1850</v>
      </c>
      <c r="M342" s="1">
        <v>44</v>
      </c>
      <c r="N342" t="s">
        <v>23</v>
      </c>
      <c r="O342">
        <v>7068198</v>
      </c>
      <c r="P342" s="1">
        <v>311000.71000000002</v>
      </c>
      <c r="S342" s="6" t="str">
        <f t="shared" si="5"/>
        <v xml:space="preserve"> </v>
      </c>
      <c r="T342" s="6">
        <f>IF(IF(COUNTIF(H$2:$H342,H342)=1,1,"")=1,SUMIF($H$2:$H$7997,H342,$S$2:$S$7997),"")</f>
        <v>0</v>
      </c>
      <c r="W342">
        <v>7068198</v>
      </c>
      <c r="X342">
        <v>7068198</v>
      </c>
      <c r="Y342">
        <v>0</v>
      </c>
      <c r="Z342">
        <v>0</v>
      </c>
      <c r="AA342" s="2">
        <v>1</v>
      </c>
      <c r="AB342" s="2">
        <v>0</v>
      </c>
      <c r="AC342" s="2">
        <v>0</v>
      </c>
      <c r="AD342">
        <v>0</v>
      </c>
      <c r="AE342" t="s">
        <v>1862</v>
      </c>
      <c r="AF342">
        <v>151733.26</v>
      </c>
      <c r="AG342">
        <v>10728694</v>
      </c>
      <c r="AH342">
        <v>472062.54</v>
      </c>
      <c r="AI342" s="1" t="s">
        <v>311</v>
      </c>
      <c r="AJ342">
        <v>93985930</v>
      </c>
      <c r="AK342" s="1" t="s">
        <v>1867</v>
      </c>
      <c r="AL342" t="s">
        <v>1943</v>
      </c>
      <c r="AN342" t="s">
        <v>2043</v>
      </c>
      <c r="AO342" t="s">
        <v>2067</v>
      </c>
      <c r="AP342" t="s">
        <v>2094</v>
      </c>
      <c r="AQ342">
        <v>128228</v>
      </c>
      <c r="AR342" s="3">
        <v>46203</v>
      </c>
      <c r="AS342" s="3">
        <v>46184</v>
      </c>
      <c r="AT342" s="3">
        <v>46222</v>
      </c>
      <c r="AU342" t="s">
        <v>2124</v>
      </c>
      <c r="AW342" s="3">
        <v>46208.53701449134</v>
      </c>
    </row>
    <row r="343" spans="1:49" ht="16" hidden="1" x14ac:dyDescent="0.2">
      <c r="A343" t="s">
        <v>87</v>
      </c>
      <c r="B343">
        <v>10709</v>
      </c>
      <c r="C343">
        <v>2148</v>
      </c>
      <c r="D343" t="s">
        <v>167</v>
      </c>
      <c r="E343" t="s">
        <v>311</v>
      </c>
      <c r="F343">
        <v>269003</v>
      </c>
      <c r="G343" t="s">
        <v>575</v>
      </c>
      <c r="H343">
        <v>587429</v>
      </c>
      <c r="I343" t="s">
        <v>1129</v>
      </c>
      <c r="J343">
        <v>93985961</v>
      </c>
      <c r="K343" t="s">
        <v>1835</v>
      </c>
      <c r="L343" t="s">
        <v>1850</v>
      </c>
      <c r="M343" s="1">
        <v>44</v>
      </c>
      <c r="N343" t="s">
        <v>23</v>
      </c>
      <c r="O343">
        <v>3093456</v>
      </c>
      <c r="P343" s="1">
        <v>136112.06</v>
      </c>
      <c r="S343" s="6" t="str">
        <f t="shared" si="5"/>
        <v xml:space="preserve"> </v>
      </c>
      <c r="T343" s="6" t="str">
        <f>IF(IF(COUNTIF(H$2:$H343,H343)=1,1,"")=1,SUMIF($H$2:$H$7997,H343,$S$2:$S$7997),"")</f>
        <v/>
      </c>
      <c r="W343">
        <v>3093456</v>
      </c>
      <c r="X343">
        <v>3093456</v>
      </c>
      <c r="Y343">
        <v>0</v>
      </c>
      <c r="Z343">
        <v>0</v>
      </c>
      <c r="AA343" s="2">
        <v>1</v>
      </c>
      <c r="AB343" s="2">
        <v>0</v>
      </c>
      <c r="AC343" s="2">
        <v>0</v>
      </c>
      <c r="AD343">
        <v>0</v>
      </c>
      <c r="AE343" t="s">
        <v>1862</v>
      </c>
      <c r="AF343">
        <v>65028.54</v>
      </c>
      <c r="AG343">
        <v>4598012</v>
      </c>
      <c r="AH343">
        <v>202312.53</v>
      </c>
      <c r="AI343" s="1" t="s">
        <v>311</v>
      </c>
      <c r="AJ343">
        <v>93985930</v>
      </c>
      <c r="AK343" s="1" t="s">
        <v>1867</v>
      </c>
      <c r="AL343" t="s">
        <v>1943</v>
      </c>
      <c r="AN343" t="s">
        <v>2043</v>
      </c>
      <c r="AO343" t="s">
        <v>2067</v>
      </c>
      <c r="AP343" t="s">
        <v>2092</v>
      </c>
      <c r="AQ343">
        <v>128228</v>
      </c>
      <c r="AR343" s="3">
        <v>46203</v>
      </c>
      <c r="AS343" s="3">
        <v>46184</v>
      </c>
      <c r="AT343" s="3">
        <v>46222</v>
      </c>
      <c r="AU343" t="s">
        <v>2123</v>
      </c>
      <c r="AW343" s="3">
        <v>46208.53701449134</v>
      </c>
    </row>
    <row r="344" spans="1:49" ht="16" hidden="1" x14ac:dyDescent="0.2">
      <c r="A344" t="s">
        <v>87</v>
      </c>
      <c r="B344">
        <v>10709</v>
      </c>
      <c r="C344">
        <v>2148</v>
      </c>
      <c r="D344" t="s">
        <v>167</v>
      </c>
      <c r="E344" t="s">
        <v>311</v>
      </c>
      <c r="F344">
        <v>269003</v>
      </c>
      <c r="G344" t="s">
        <v>574</v>
      </c>
      <c r="H344">
        <v>587454</v>
      </c>
      <c r="I344" t="s">
        <v>1128</v>
      </c>
      <c r="J344">
        <v>93985955</v>
      </c>
      <c r="K344" t="s">
        <v>1839</v>
      </c>
      <c r="L344" t="s">
        <v>1850</v>
      </c>
      <c r="M344" s="1">
        <v>18.690000000000001</v>
      </c>
      <c r="N344" t="s">
        <v>23</v>
      </c>
      <c r="O344">
        <v>3132444</v>
      </c>
      <c r="P344" s="1">
        <v>58545.38</v>
      </c>
      <c r="S344" s="6" t="str">
        <f t="shared" si="5"/>
        <v xml:space="preserve"> </v>
      </c>
      <c r="T344" s="6">
        <f>IF(IF(COUNTIF(H$2:$H344,H344)=1,1,"")=1,SUMIF($H$2:$H$7997,H344,$S$2:$S$7997),"")</f>
        <v>0</v>
      </c>
      <c r="W344">
        <v>3132444</v>
      </c>
      <c r="X344">
        <v>3132444</v>
      </c>
      <c r="Y344">
        <v>0</v>
      </c>
      <c r="Z344">
        <v>0</v>
      </c>
      <c r="AA344" s="2">
        <v>1</v>
      </c>
      <c r="AB344" s="2">
        <v>0</v>
      </c>
      <c r="AC344" s="2">
        <v>0</v>
      </c>
      <c r="AD344">
        <v>0</v>
      </c>
      <c r="AE344" t="s">
        <v>1862</v>
      </c>
      <c r="AF344">
        <v>25932.44</v>
      </c>
      <c r="AG344">
        <v>5828652</v>
      </c>
      <c r="AH344">
        <v>108937.51</v>
      </c>
      <c r="AI344" s="1" t="s">
        <v>311</v>
      </c>
      <c r="AJ344">
        <v>93985930</v>
      </c>
      <c r="AK344" s="1" t="s">
        <v>1867</v>
      </c>
      <c r="AL344" t="s">
        <v>1943</v>
      </c>
      <c r="AN344" t="s">
        <v>2043</v>
      </c>
      <c r="AO344" t="s">
        <v>2067</v>
      </c>
      <c r="AP344" t="s">
        <v>2093</v>
      </c>
      <c r="AQ344">
        <v>128228</v>
      </c>
      <c r="AR344" s="3">
        <v>46203</v>
      </c>
      <c r="AS344" s="3">
        <v>46174</v>
      </c>
      <c r="AT344" s="3">
        <v>46234</v>
      </c>
      <c r="AU344" t="s">
        <v>2124</v>
      </c>
      <c r="AW344" s="3">
        <v>46208.53701449134</v>
      </c>
    </row>
    <row r="345" spans="1:49" ht="16" hidden="1" x14ac:dyDescent="0.2">
      <c r="A345" t="s">
        <v>87</v>
      </c>
      <c r="B345">
        <v>10709</v>
      </c>
      <c r="C345">
        <v>2148</v>
      </c>
      <c r="D345" t="s">
        <v>167</v>
      </c>
      <c r="E345" t="s">
        <v>311</v>
      </c>
      <c r="F345">
        <v>269003</v>
      </c>
      <c r="G345" t="s">
        <v>574</v>
      </c>
      <c r="H345">
        <v>587454</v>
      </c>
      <c r="I345" t="s">
        <v>1127</v>
      </c>
      <c r="J345">
        <v>93985935</v>
      </c>
      <c r="K345" t="s">
        <v>1840</v>
      </c>
      <c r="L345" t="s">
        <v>1850</v>
      </c>
      <c r="M345" s="1">
        <v>18.690000000000001</v>
      </c>
      <c r="N345" t="s">
        <v>23</v>
      </c>
      <c r="O345">
        <v>6430763</v>
      </c>
      <c r="P345" s="1">
        <v>120190.96</v>
      </c>
      <c r="S345" s="6" t="str">
        <f t="shared" si="5"/>
        <v xml:space="preserve"> </v>
      </c>
      <c r="T345" s="6" t="str">
        <f>IF(IF(COUNTIF(H$2:$H345,H345)=1,1,"")=1,SUMIF($H$2:$H$7997,H345,$S$2:$S$7997),"")</f>
        <v/>
      </c>
      <c r="W345">
        <v>6430763</v>
      </c>
      <c r="X345">
        <v>6430763</v>
      </c>
      <c r="Y345">
        <v>0</v>
      </c>
      <c r="Z345">
        <v>0</v>
      </c>
      <c r="AA345" s="2">
        <v>1</v>
      </c>
      <c r="AB345" s="2">
        <v>0</v>
      </c>
      <c r="AC345" s="2">
        <v>0</v>
      </c>
      <c r="AD345">
        <v>0</v>
      </c>
      <c r="AE345" t="s">
        <v>1862</v>
      </c>
      <c r="AF345">
        <v>60509.01</v>
      </c>
      <c r="AG345">
        <v>13600187</v>
      </c>
      <c r="AH345">
        <v>254187.5</v>
      </c>
      <c r="AI345" s="1" t="s">
        <v>311</v>
      </c>
      <c r="AJ345">
        <v>93985930</v>
      </c>
      <c r="AK345" s="1" t="s">
        <v>1867</v>
      </c>
      <c r="AL345" t="s">
        <v>1943</v>
      </c>
      <c r="AN345" t="s">
        <v>2043</v>
      </c>
      <c r="AO345" t="s">
        <v>2067</v>
      </c>
      <c r="AP345" t="s">
        <v>2083</v>
      </c>
      <c r="AQ345">
        <v>128228</v>
      </c>
      <c r="AR345" s="3">
        <v>46203</v>
      </c>
      <c r="AS345" s="3">
        <v>46174</v>
      </c>
      <c r="AT345" s="3">
        <v>46234</v>
      </c>
      <c r="AU345" t="s">
        <v>2123</v>
      </c>
      <c r="AW345" s="3">
        <v>46208.53701449134</v>
      </c>
    </row>
    <row r="346" spans="1:49" ht="16" hidden="1" x14ac:dyDescent="0.2">
      <c r="A346" t="s">
        <v>87</v>
      </c>
      <c r="B346">
        <v>10709</v>
      </c>
      <c r="C346">
        <v>12019</v>
      </c>
      <c r="D346" t="s">
        <v>159</v>
      </c>
      <c r="E346" t="s">
        <v>296</v>
      </c>
      <c r="F346">
        <v>265472</v>
      </c>
      <c r="G346" t="s">
        <v>541</v>
      </c>
      <c r="H346">
        <v>581684</v>
      </c>
      <c r="I346" t="s">
        <v>1066</v>
      </c>
      <c r="J346">
        <v>93845173</v>
      </c>
      <c r="K346" t="s">
        <v>1839</v>
      </c>
      <c r="L346" t="s">
        <v>1850</v>
      </c>
      <c r="M346" s="1">
        <v>40</v>
      </c>
      <c r="N346" t="s">
        <v>23</v>
      </c>
      <c r="O346">
        <v>6306731</v>
      </c>
      <c r="P346" s="1">
        <v>252269.24</v>
      </c>
      <c r="S346" s="6" t="str">
        <f t="shared" si="5"/>
        <v xml:space="preserve"> </v>
      </c>
      <c r="T346" s="6">
        <f>IF(IF(COUNTIF(H$2:$H346,H346)=1,1,"")=1,SUMIF($H$2:$H$7997,H346,$S$2:$S$7997),"")</f>
        <v>0</v>
      </c>
      <c r="W346">
        <v>6306731</v>
      </c>
      <c r="X346">
        <v>6306731</v>
      </c>
      <c r="Y346">
        <v>0</v>
      </c>
      <c r="Z346">
        <v>0</v>
      </c>
      <c r="AA346" s="2">
        <v>1</v>
      </c>
      <c r="AB346" s="2">
        <v>0</v>
      </c>
      <c r="AC346" s="2">
        <v>0</v>
      </c>
      <c r="AD346">
        <v>0</v>
      </c>
      <c r="AE346" t="s">
        <v>1862</v>
      </c>
      <c r="AF346">
        <v>123459.49</v>
      </c>
      <c r="AG346">
        <v>8750000</v>
      </c>
      <c r="AH346">
        <v>350000</v>
      </c>
      <c r="AI346" s="1" t="s">
        <v>296</v>
      </c>
      <c r="AJ346">
        <v>93845170</v>
      </c>
      <c r="AK346" s="1" t="s">
        <v>1867</v>
      </c>
      <c r="AL346" t="s">
        <v>1930</v>
      </c>
      <c r="AN346" t="s">
        <v>2043</v>
      </c>
      <c r="AO346" t="s">
        <v>2067</v>
      </c>
      <c r="AP346" t="s">
        <v>2094</v>
      </c>
      <c r="AQ346">
        <v>127637</v>
      </c>
      <c r="AR346" s="3">
        <v>46203</v>
      </c>
      <c r="AS346" s="3">
        <v>46174</v>
      </c>
      <c r="AT346" s="3">
        <v>46222</v>
      </c>
      <c r="AU346" t="s">
        <v>2124</v>
      </c>
      <c r="AW346" s="3">
        <v>46208.53701449134</v>
      </c>
    </row>
    <row r="347" spans="1:49" ht="16" hidden="1" x14ac:dyDescent="0.2">
      <c r="A347" t="s">
        <v>87</v>
      </c>
      <c r="B347">
        <v>10709</v>
      </c>
      <c r="C347">
        <v>12019</v>
      </c>
      <c r="D347" t="s">
        <v>159</v>
      </c>
      <c r="E347" t="s">
        <v>296</v>
      </c>
      <c r="F347">
        <v>265472</v>
      </c>
      <c r="G347" t="s">
        <v>541</v>
      </c>
      <c r="H347">
        <v>581684</v>
      </c>
      <c r="I347" t="s">
        <v>1067</v>
      </c>
      <c r="J347">
        <v>93845178</v>
      </c>
      <c r="K347" t="s">
        <v>1835</v>
      </c>
      <c r="L347" t="s">
        <v>1850</v>
      </c>
      <c r="M347" s="1">
        <v>40</v>
      </c>
      <c r="N347" t="s">
        <v>23</v>
      </c>
      <c r="O347">
        <v>2528623</v>
      </c>
      <c r="P347" s="1">
        <v>101144.92</v>
      </c>
      <c r="S347" s="6" t="str">
        <f t="shared" si="5"/>
        <v xml:space="preserve"> </v>
      </c>
      <c r="T347" s="6" t="str">
        <f>IF(IF(COUNTIF(H$2:$H347,H347)=1,1,"")=1,SUMIF($H$2:$H$7997,H347,$S$2:$S$7997),"")</f>
        <v/>
      </c>
      <c r="W347">
        <v>2528623</v>
      </c>
      <c r="X347">
        <v>2528623</v>
      </c>
      <c r="Y347">
        <v>0</v>
      </c>
      <c r="Z347">
        <v>0</v>
      </c>
      <c r="AA347" s="2">
        <v>1</v>
      </c>
      <c r="AB347" s="2">
        <v>0</v>
      </c>
      <c r="AC347" s="2">
        <v>0</v>
      </c>
      <c r="AD347">
        <v>0</v>
      </c>
      <c r="AE347" t="s">
        <v>1862</v>
      </c>
      <c r="AF347">
        <v>52911.21</v>
      </c>
      <c r="AG347">
        <v>3750000</v>
      </c>
      <c r="AH347">
        <v>150000</v>
      </c>
      <c r="AI347" s="1" t="s">
        <v>296</v>
      </c>
      <c r="AJ347">
        <v>93845170</v>
      </c>
      <c r="AK347" s="1" t="s">
        <v>1867</v>
      </c>
      <c r="AL347" t="s">
        <v>1930</v>
      </c>
      <c r="AN347" t="s">
        <v>2043</v>
      </c>
      <c r="AO347" t="s">
        <v>2067</v>
      </c>
      <c r="AP347" t="s">
        <v>2092</v>
      </c>
      <c r="AQ347">
        <v>127637</v>
      </c>
      <c r="AR347" s="3">
        <v>46203</v>
      </c>
      <c r="AS347" s="3">
        <v>46174</v>
      </c>
      <c r="AT347" s="3">
        <v>46222</v>
      </c>
      <c r="AU347" t="s">
        <v>2123</v>
      </c>
      <c r="AW347" s="3">
        <v>46208.53701449134</v>
      </c>
    </row>
    <row r="348" spans="1:49" ht="16" hidden="1" x14ac:dyDescent="0.2">
      <c r="A348" t="s">
        <v>87</v>
      </c>
      <c r="B348">
        <v>10709</v>
      </c>
      <c r="C348">
        <v>12019</v>
      </c>
      <c r="D348" t="s">
        <v>159</v>
      </c>
      <c r="E348" t="s">
        <v>296</v>
      </c>
      <c r="F348">
        <v>265472</v>
      </c>
      <c r="G348" t="s">
        <v>835</v>
      </c>
      <c r="H348">
        <v>582851</v>
      </c>
      <c r="I348" t="s">
        <v>1702</v>
      </c>
      <c r="J348">
        <v>582852</v>
      </c>
      <c r="K348" t="s">
        <v>1846</v>
      </c>
      <c r="L348" t="s">
        <v>1851</v>
      </c>
      <c r="M348" s="1">
        <v>0.15</v>
      </c>
      <c r="N348" t="s">
        <v>1858</v>
      </c>
      <c r="O348">
        <v>277778000</v>
      </c>
      <c r="P348" s="1">
        <v>41666.699999999997</v>
      </c>
      <c r="S348" s="6" t="str">
        <f t="shared" si="5"/>
        <v xml:space="preserve"> </v>
      </c>
      <c r="T348" s="6">
        <f>IF(IF(COUNTIF(H$2:$H348,H348)=1,1,"")=1,SUMIF($H$2:$H$7997,H348,$S$2:$S$7997),"")</f>
        <v>0</v>
      </c>
      <c r="W348">
        <v>0</v>
      </c>
      <c r="X348">
        <v>0</v>
      </c>
      <c r="Y348">
        <v>0</v>
      </c>
      <c r="Z348">
        <v>0</v>
      </c>
      <c r="AA348" s="2">
        <v>1</v>
      </c>
      <c r="AB348" s="2">
        <v>0</v>
      </c>
      <c r="AC348" s="2">
        <v>0</v>
      </c>
      <c r="AD348">
        <v>0</v>
      </c>
      <c r="AE348" t="s">
        <v>1864</v>
      </c>
      <c r="AF348">
        <v>41666.699999999997</v>
      </c>
      <c r="AG348">
        <v>1111112</v>
      </c>
      <c r="AH348">
        <v>166666.79999999999</v>
      </c>
      <c r="AI348" s="1" t="s">
        <v>296</v>
      </c>
      <c r="AJ348">
        <v>265472</v>
      </c>
      <c r="AK348" s="1" t="s">
        <v>1867</v>
      </c>
      <c r="AL348" t="s">
        <v>1930</v>
      </c>
      <c r="AN348" t="s">
        <v>2043</v>
      </c>
      <c r="AO348" t="s">
        <v>2067</v>
      </c>
      <c r="AP348" t="s">
        <v>2110</v>
      </c>
      <c r="AQ348">
        <v>127637</v>
      </c>
      <c r="AR348" s="3">
        <v>46203</v>
      </c>
      <c r="AS348" s="3">
        <v>46174</v>
      </c>
      <c r="AT348" s="3">
        <v>46222</v>
      </c>
      <c r="AU348" t="s">
        <v>2128</v>
      </c>
      <c r="AW348" s="3">
        <v>46208.53701449134</v>
      </c>
    </row>
    <row r="349" spans="1:49" ht="16" hidden="1" x14ac:dyDescent="0.2">
      <c r="A349" t="s">
        <v>87</v>
      </c>
      <c r="B349">
        <v>10709</v>
      </c>
      <c r="C349">
        <v>12019</v>
      </c>
      <c r="D349" t="s">
        <v>159</v>
      </c>
      <c r="E349" t="s">
        <v>296</v>
      </c>
      <c r="F349">
        <v>265472</v>
      </c>
      <c r="G349" t="s">
        <v>835</v>
      </c>
      <c r="H349">
        <v>582851</v>
      </c>
      <c r="I349" t="s">
        <v>1630</v>
      </c>
      <c r="J349">
        <v>582855</v>
      </c>
      <c r="K349" t="s">
        <v>1844</v>
      </c>
      <c r="L349" t="s">
        <v>1851</v>
      </c>
      <c r="M349" s="1">
        <v>0.15</v>
      </c>
      <c r="N349" t="s">
        <v>1858</v>
      </c>
      <c r="O349">
        <v>277778000</v>
      </c>
      <c r="P349" s="1">
        <v>41666.699999999997</v>
      </c>
      <c r="S349" s="6" t="str">
        <f t="shared" si="5"/>
        <v xml:space="preserve"> </v>
      </c>
      <c r="T349" s="6" t="str">
        <f>IF(IF(COUNTIF(H$2:$H349,H349)=1,1,"")=1,SUMIF($H$2:$H$7997,H349,$S$2:$S$7997),"")</f>
        <v/>
      </c>
      <c r="W349">
        <v>0</v>
      </c>
      <c r="X349">
        <v>0</v>
      </c>
      <c r="Y349">
        <v>0</v>
      </c>
      <c r="Z349">
        <v>0</v>
      </c>
      <c r="AA349" s="2">
        <v>1</v>
      </c>
      <c r="AB349" s="2">
        <v>0</v>
      </c>
      <c r="AC349" s="2">
        <v>0</v>
      </c>
      <c r="AD349">
        <v>0</v>
      </c>
      <c r="AE349" t="s">
        <v>1864</v>
      </c>
      <c r="AF349">
        <v>41666.699999999997</v>
      </c>
      <c r="AG349">
        <v>1111112</v>
      </c>
      <c r="AH349">
        <v>166666.79999999999</v>
      </c>
      <c r="AI349" s="1" t="s">
        <v>296</v>
      </c>
      <c r="AJ349">
        <v>265472</v>
      </c>
      <c r="AK349" s="1" t="s">
        <v>1867</v>
      </c>
      <c r="AL349" t="s">
        <v>1930</v>
      </c>
      <c r="AN349" t="s">
        <v>2043</v>
      </c>
      <c r="AO349" t="s">
        <v>2067</v>
      </c>
      <c r="AP349" t="s">
        <v>2107</v>
      </c>
      <c r="AQ349">
        <v>127637</v>
      </c>
      <c r="AR349" s="3">
        <v>46203</v>
      </c>
      <c r="AS349" s="3">
        <v>46174</v>
      </c>
      <c r="AT349" s="3">
        <v>46222</v>
      </c>
      <c r="AU349" t="s">
        <v>2127</v>
      </c>
      <c r="AW349" s="3">
        <v>46208.53701449134</v>
      </c>
    </row>
    <row r="350" spans="1:49" ht="16" hidden="1" x14ac:dyDescent="0.2">
      <c r="A350" t="s">
        <v>87</v>
      </c>
      <c r="B350">
        <v>10709</v>
      </c>
      <c r="C350">
        <v>12019</v>
      </c>
      <c r="D350" t="s">
        <v>159</v>
      </c>
      <c r="E350" t="s">
        <v>296</v>
      </c>
      <c r="F350">
        <v>265472</v>
      </c>
      <c r="G350" t="s">
        <v>835</v>
      </c>
      <c r="H350">
        <v>582851</v>
      </c>
      <c r="I350" t="s">
        <v>1739</v>
      </c>
      <c r="J350">
        <v>582854</v>
      </c>
      <c r="K350" t="s">
        <v>1835</v>
      </c>
      <c r="L350" t="s">
        <v>1851</v>
      </c>
      <c r="M350" s="1">
        <v>0.15</v>
      </c>
      <c r="N350" t="s">
        <v>1858</v>
      </c>
      <c r="O350">
        <v>277778000</v>
      </c>
      <c r="P350" s="1">
        <v>41666.699999999997</v>
      </c>
      <c r="S350" s="6" t="str">
        <f t="shared" si="5"/>
        <v xml:space="preserve"> </v>
      </c>
      <c r="T350" s="6" t="str">
        <f>IF(IF(COUNTIF(H$2:$H350,H350)=1,1,"")=1,SUMIF($H$2:$H$7997,H350,$S$2:$S$7997),"")</f>
        <v/>
      </c>
      <c r="W350">
        <v>0</v>
      </c>
      <c r="X350">
        <v>0</v>
      </c>
      <c r="Y350">
        <v>0</v>
      </c>
      <c r="Z350">
        <v>0</v>
      </c>
      <c r="AA350" s="2">
        <v>1</v>
      </c>
      <c r="AB350" s="2">
        <v>0</v>
      </c>
      <c r="AC350" s="2">
        <v>0</v>
      </c>
      <c r="AD350">
        <v>0</v>
      </c>
      <c r="AE350" t="s">
        <v>1864</v>
      </c>
      <c r="AF350">
        <v>41666.699999999997</v>
      </c>
      <c r="AG350">
        <v>1111112</v>
      </c>
      <c r="AH350">
        <v>166666.79999999999</v>
      </c>
      <c r="AI350" s="1" t="s">
        <v>296</v>
      </c>
      <c r="AJ350">
        <v>265472</v>
      </c>
      <c r="AK350" s="1" t="s">
        <v>1867</v>
      </c>
      <c r="AL350" t="s">
        <v>1930</v>
      </c>
      <c r="AN350" t="s">
        <v>2043</v>
      </c>
      <c r="AO350" t="s">
        <v>2067</v>
      </c>
      <c r="AP350" t="s">
        <v>2109</v>
      </c>
      <c r="AQ350">
        <v>127637</v>
      </c>
      <c r="AR350" s="3">
        <v>46203</v>
      </c>
      <c r="AS350" s="3">
        <v>46174</v>
      </c>
      <c r="AT350" s="3">
        <v>46222</v>
      </c>
      <c r="AU350" t="s">
        <v>2129</v>
      </c>
      <c r="AW350" s="3">
        <v>46208.53701449134</v>
      </c>
    </row>
    <row r="351" spans="1:49" ht="16" hidden="1" x14ac:dyDescent="0.2">
      <c r="A351" t="s">
        <v>87</v>
      </c>
      <c r="B351">
        <v>10709</v>
      </c>
      <c r="C351">
        <v>9677</v>
      </c>
      <c r="D351" t="s">
        <v>181</v>
      </c>
      <c r="E351" t="s">
        <v>337</v>
      </c>
      <c r="F351">
        <v>267088</v>
      </c>
      <c r="G351" t="s">
        <v>627</v>
      </c>
      <c r="H351">
        <v>582766</v>
      </c>
      <c r="I351" t="s">
        <v>1227</v>
      </c>
      <c r="J351">
        <v>94238339</v>
      </c>
      <c r="K351" t="s">
        <v>1839</v>
      </c>
      <c r="L351" t="s">
        <v>1850</v>
      </c>
      <c r="M351" s="1">
        <v>42</v>
      </c>
      <c r="N351" t="s">
        <v>23</v>
      </c>
      <c r="O351">
        <v>2829583</v>
      </c>
      <c r="P351" s="1">
        <v>118842.49</v>
      </c>
      <c r="S351" s="6" t="str">
        <f t="shared" si="5"/>
        <v xml:space="preserve"> </v>
      </c>
      <c r="T351" s="6">
        <f>IF(IF(COUNTIF(H$2:$H351,H351)=1,1,"")=1,SUMIF($H$2:$H$7997,H351,$S$2:$S$7997),"")</f>
        <v>0</v>
      </c>
      <c r="W351">
        <v>2829583</v>
      </c>
      <c r="X351">
        <v>2829583</v>
      </c>
      <c r="Y351">
        <v>0</v>
      </c>
      <c r="Z351">
        <v>0</v>
      </c>
      <c r="AA351" s="2">
        <v>1</v>
      </c>
      <c r="AB351" s="2">
        <v>0</v>
      </c>
      <c r="AC351" s="2">
        <v>0</v>
      </c>
      <c r="AD351">
        <v>0</v>
      </c>
      <c r="AE351" t="s">
        <v>1862</v>
      </c>
      <c r="AF351">
        <v>59926.22</v>
      </c>
      <c r="AG351">
        <v>4166667</v>
      </c>
      <c r="AH351">
        <v>175000.01</v>
      </c>
      <c r="AI351" s="1" t="s">
        <v>337</v>
      </c>
      <c r="AJ351">
        <v>94238317</v>
      </c>
      <c r="AK351" s="1" t="s">
        <v>1867</v>
      </c>
      <c r="AL351" t="s">
        <v>1963</v>
      </c>
      <c r="AN351" t="s">
        <v>2062</v>
      </c>
      <c r="AO351" t="s">
        <v>2067</v>
      </c>
      <c r="AP351" t="s">
        <v>2094</v>
      </c>
      <c r="AQ351">
        <v>129171</v>
      </c>
      <c r="AR351" s="3">
        <v>46203</v>
      </c>
      <c r="AS351" s="3">
        <v>46174</v>
      </c>
      <c r="AT351" s="3">
        <v>46222</v>
      </c>
      <c r="AU351" t="s">
        <v>2124</v>
      </c>
      <c r="AW351" s="3">
        <v>46208.53701449134</v>
      </c>
    </row>
    <row r="352" spans="1:49" ht="16" hidden="1" x14ac:dyDescent="0.2">
      <c r="A352" t="s">
        <v>87</v>
      </c>
      <c r="B352">
        <v>10709</v>
      </c>
      <c r="C352">
        <v>9677</v>
      </c>
      <c r="D352" t="s">
        <v>181</v>
      </c>
      <c r="E352" t="s">
        <v>337</v>
      </c>
      <c r="F352">
        <v>267088</v>
      </c>
      <c r="G352" t="s">
        <v>627</v>
      </c>
      <c r="H352">
        <v>582766</v>
      </c>
      <c r="I352" t="s">
        <v>1224</v>
      </c>
      <c r="J352">
        <v>94238323</v>
      </c>
      <c r="K352" t="s">
        <v>1835</v>
      </c>
      <c r="L352" t="s">
        <v>1850</v>
      </c>
      <c r="M352" s="1">
        <v>42</v>
      </c>
      <c r="N352" t="s">
        <v>23</v>
      </c>
      <c r="O352">
        <v>1240794</v>
      </c>
      <c r="P352" s="1">
        <v>52113.35</v>
      </c>
      <c r="S352" s="6" t="str">
        <f t="shared" si="5"/>
        <v xml:space="preserve"> </v>
      </c>
      <c r="T352" s="6" t="str">
        <f>IF(IF(COUNTIF(H$2:$H352,H352)=1,1,"")=1,SUMIF($H$2:$H$7997,H352,$S$2:$S$7997),"")</f>
        <v/>
      </c>
      <c r="W352">
        <v>1240794</v>
      </c>
      <c r="X352">
        <v>1240794</v>
      </c>
      <c r="Y352">
        <v>0</v>
      </c>
      <c r="Z352">
        <v>0</v>
      </c>
      <c r="AA352" s="2">
        <v>1</v>
      </c>
      <c r="AB352" s="2">
        <v>0</v>
      </c>
      <c r="AC352" s="2">
        <v>0</v>
      </c>
      <c r="AD352">
        <v>0</v>
      </c>
      <c r="AE352" t="s">
        <v>1862</v>
      </c>
      <c r="AF352">
        <v>25682.67</v>
      </c>
      <c r="AG352">
        <v>1785715</v>
      </c>
      <c r="AH352">
        <v>75000.03</v>
      </c>
      <c r="AI352" s="1" t="s">
        <v>337</v>
      </c>
      <c r="AJ352">
        <v>94238317</v>
      </c>
      <c r="AK352" s="1" t="s">
        <v>1867</v>
      </c>
      <c r="AL352" t="s">
        <v>1963</v>
      </c>
      <c r="AN352" t="s">
        <v>2062</v>
      </c>
      <c r="AO352" t="s">
        <v>2067</v>
      </c>
      <c r="AP352" t="s">
        <v>2092</v>
      </c>
      <c r="AQ352">
        <v>129171</v>
      </c>
      <c r="AR352" s="3">
        <v>46203</v>
      </c>
      <c r="AS352" s="3">
        <v>46174</v>
      </c>
      <c r="AT352" s="3">
        <v>46222</v>
      </c>
      <c r="AU352" t="s">
        <v>2123</v>
      </c>
      <c r="AW352" s="3">
        <v>46208.53701449134</v>
      </c>
    </row>
    <row r="353" spans="1:49" ht="16" hidden="1" x14ac:dyDescent="0.2">
      <c r="A353" t="s">
        <v>87</v>
      </c>
      <c r="B353">
        <v>10709</v>
      </c>
      <c r="C353">
        <v>9677</v>
      </c>
      <c r="D353" t="s">
        <v>181</v>
      </c>
      <c r="E353" t="s">
        <v>337</v>
      </c>
      <c r="F353">
        <v>267088</v>
      </c>
      <c r="G353" t="s">
        <v>809</v>
      </c>
      <c r="H353">
        <v>582987</v>
      </c>
      <c r="I353" t="s">
        <v>1571</v>
      </c>
      <c r="J353">
        <v>7317619410</v>
      </c>
      <c r="K353" t="s">
        <v>1835</v>
      </c>
      <c r="L353" t="s">
        <v>1851</v>
      </c>
      <c r="M353" s="1">
        <v>0</v>
      </c>
      <c r="N353" t="s">
        <v>1858</v>
      </c>
      <c r="O353">
        <v>0</v>
      </c>
      <c r="P353" s="1">
        <v>0</v>
      </c>
      <c r="S353" s="6" t="str">
        <f t="shared" si="5"/>
        <v xml:space="preserve"> </v>
      </c>
      <c r="T353" s="6">
        <f>IF(IF(COUNTIF(H$2:$H353,H353)=1,1,"")=1,SUMIF($H$2:$H$7997,H353,$S$2:$S$7997),"")</f>
        <v>0</v>
      </c>
      <c r="W353">
        <v>0</v>
      </c>
      <c r="X353">
        <v>0</v>
      </c>
      <c r="Y353">
        <v>0</v>
      </c>
      <c r="Z353">
        <v>0</v>
      </c>
      <c r="AA353" s="2">
        <v>1</v>
      </c>
      <c r="AB353" s="2">
        <v>0</v>
      </c>
      <c r="AC353" s="2">
        <v>0</v>
      </c>
      <c r="AD353">
        <v>0</v>
      </c>
      <c r="AE353" t="s">
        <v>1863</v>
      </c>
      <c r="AF353">
        <v>0</v>
      </c>
      <c r="AG353">
        <v>1</v>
      </c>
      <c r="AH353">
        <v>0</v>
      </c>
      <c r="AI353" s="1" t="s">
        <v>337</v>
      </c>
      <c r="AJ353">
        <v>267088</v>
      </c>
      <c r="AK353" s="1" t="s">
        <v>1867</v>
      </c>
      <c r="AL353" t="s">
        <v>1963</v>
      </c>
      <c r="AN353" t="s">
        <v>2062</v>
      </c>
      <c r="AO353" t="s">
        <v>2067</v>
      </c>
      <c r="AP353" t="s">
        <v>2105</v>
      </c>
      <c r="AQ353">
        <v>129171</v>
      </c>
      <c r="AR353" s="3">
        <v>46203</v>
      </c>
      <c r="AS353" s="3">
        <v>46190</v>
      </c>
      <c r="AT353" s="3">
        <v>46190</v>
      </c>
      <c r="AU353" t="s">
        <v>2126</v>
      </c>
      <c r="AW353" s="3">
        <v>46208.53701449134</v>
      </c>
    </row>
    <row r="354" spans="1:49" ht="16" hidden="1" x14ac:dyDescent="0.2">
      <c r="A354" t="s">
        <v>87</v>
      </c>
      <c r="B354">
        <v>10709</v>
      </c>
      <c r="C354">
        <v>9677</v>
      </c>
      <c r="D354" t="s">
        <v>181</v>
      </c>
      <c r="E354" t="s">
        <v>337</v>
      </c>
      <c r="F354">
        <v>267088</v>
      </c>
      <c r="G354" t="s">
        <v>809</v>
      </c>
      <c r="H354">
        <v>582987</v>
      </c>
      <c r="I354" t="s">
        <v>1599</v>
      </c>
      <c r="J354">
        <v>7321542656</v>
      </c>
      <c r="K354" t="s">
        <v>1835</v>
      </c>
      <c r="L354" t="s">
        <v>1851</v>
      </c>
      <c r="M354" s="1">
        <v>50000</v>
      </c>
      <c r="N354" t="s">
        <v>1858</v>
      </c>
      <c r="O354">
        <v>500</v>
      </c>
      <c r="P354" s="1">
        <v>25000</v>
      </c>
      <c r="S354" s="6" t="str">
        <f t="shared" si="5"/>
        <v xml:space="preserve"> </v>
      </c>
      <c r="T354" s="6" t="str">
        <f>IF(IF(COUNTIF(H$2:$H354,H354)=1,1,"")=1,SUMIF($H$2:$H$7997,H354,$S$2:$S$7997),"")</f>
        <v/>
      </c>
      <c r="W354">
        <v>0</v>
      </c>
      <c r="X354">
        <v>0</v>
      </c>
      <c r="Y354">
        <v>0</v>
      </c>
      <c r="Z354">
        <v>0</v>
      </c>
      <c r="AA354" s="2">
        <v>1</v>
      </c>
      <c r="AB354" s="2">
        <v>0</v>
      </c>
      <c r="AC354" s="2">
        <v>0</v>
      </c>
      <c r="AD354">
        <v>0</v>
      </c>
      <c r="AE354" t="s">
        <v>1863</v>
      </c>
      <c r="AF354">
        <v>25000</v>
      </c>
      <c r="AG354">
        <v>1</v>
      </c>
      <c r="AH354">
        <v>50000</v>
      </c>
      <c r="AI354" s="1" t="s">
        <v>337</v>
      </c>
      <c r="AJ354">
        <v>267088</v>
      </c>
      <c r="AK354" s="1" t="s">
        <v>1867</v>
      </c>
      <c r="AL354" t="s">
        <v>1963</v>
      </c>
      <c r="AN354" t="s">
        <v>2062</v>
      </c>
      <c r="AO354" t="s">
        <v>2067</v>
      </c>
      <c r="AP354" t="s">
        <v>2104</v>
      </c>
      <c r="AQ354">
        <v>129171</v>
      </c>
      <c r="AR354" s="3">
        <v>46203</v>
      </c>
      <c r="AS354" s="3">
        <v>46190</v>
      </c>
      <c r="AT354" s="3">
        <v>46190</v>
      </c>
      <c r="AU354" t="s">
        <v>2126</v>
      </c>
      <c r="AW354" s="3">
        <v>46208.53701449134</v>
      </c>
    </row>
    <row r="355" spans="1:49" ht="16" hidden="1" x14ac:dyDescent="0.2">
      <c r="A355" t="s">
        <v>87</v>
      </c>
      <c r="B355">
        <v>10709</v>
      </c>
      <c r="C355">
        <v>9677</v>
      </c>
      <c r="D355" t="s">
        <v>181</v>
      </c>
      <c r="E355" t="s">
        <v>337</v>
      </c>
      <c r="F355">
        <v>267088</v>
      </c>
      <c r="G355" t="s">
        <v>809</v>
      </c>
      <c r="H355">
        <v>582987</v>
      </c>
      <c r="I355" t="s">
        <v>1573</v>
      </c>
      <c r="J355">
        <v>7317619857</v>
      </c>
      <c r="K355" t="s">
        <v>1835</v>
      </c>
      <c r="L355" t="s">
        <v>1851</v>
      </c>
      <c r="M355" s="1">
        <v>50000</v>
      </c>
      <c r="N355" t="s">
        <v>1858</v>
      </c>
      <c r="O355">
        <v>500</v>
      </c>
      <c r="P355" s="1">
        <v>25000</v>
      </c>
      <c r="S355" s="6" t="str">
        <f t="shared" si="5"/>
        <v xml:space="preserve"> </v>
      </c>
      <c r="T355" s="6" t="str">
        <f>IF(IF(COUNTIF(H$2:$H355,H355)=1,1,"")=1,SUMIF($H$2:$H$7997,H355,$S$2:$S$7997),"")</f>
        <v/>
      </c>
      <c r="W355">
        <v>0</v>
      </c>
      <c r="X355">
        <v>0</v>
      </c>
      <c r="Y355">
        <v>0</v>
      </c>
      <c r="Z355">
        <v>0</v>
      </c>
      <c r="AA355" s="2">
        <v>1</v>
      </c>
      <c r="AB355" s="2">
        <v>0</v>
      </c>
      <c r="AC355" s="2">
        <v>0</v>
      </c>
      <c r="AD355">
        <v>0</v>
      </c>
      <c r="AE355" t="s">
        <v>1863</v>
      </c>
      <c r="AF355">
        <v>25000</v>
      </c>
      <c r="AG355">
        <v>1</v>
      </c>
      <c r="AH355">
        <v>50000</v>
      </c>
      <c r="AI355" s="1" t="s">
        <v>337</v>
      </c>
      <c r="AJ355">
        <v>267088</v>
      </c>
      <c r="AK355" s="1" t="s">
        <v>1867</v>
      </c>
      <c r="AL355" t="s">
        <v>1963</v>
      </c>
      <c r="AN355" t="s">
        <v>2062</v>
      </c>
      <c r="AO355" t="s">
        <v>2067</v>
      </c>
      <c r="AP355" t="s">
        <v>2104</v>
      </c>
      <c r="AQ355">
        <v>129171</v>
      </c>
      <c r="AR355" s="3">
        <v>46203</v>
      </c>
      <c r="AS355" s="3">
        <v>46190</v>
      </c>
      <c r="AT355" s="3">
        <v>46190</v>
      </c>
      <c r="AU355" t="s">
        <v>2126</v>
      </c>
      <c r="AW355" s="3">
        <v>46208.53701449134</v>
      </c>
    </row>
    <row r="356" spans="1:49" ht="16" hidden="1" x14ac:dyDescent="0.2">
      <c r="A356" t="s">
        <v>87</v>
      </c>
      <c r="B356">
        <v>10709</v>
      </c>
      <c r="C356">
        <v>9677</v>
      </c>
      <c r="D356" t="s">
        <v>181</v>
      </c>
      <c r="E356" t="s">
        <v>337</v>
      </c>
      <c r="F356">
        <v>267088</v>
      </c>
      <c r="G356" t="s">
        <v>809</v>
      </c>
      <c r="H356">
        <v>582987</v>
      </c>
      <c r="I356" t="s">
        <v>1572</v>
      </c>
      <c r="J356">
        <v>7317619416</v>
      </c>
      <c r="K356" t="s">
        <v>1835</v>
      </c>
      <c r="L356" t="s">
        <v>1851</v>
      </c>
      <c r="M356" s="1">
        <v>50000</v>
      </c>
      <c r="N356" t="s">
        <v>1858</v>
      </c>
      <c r="O356">
        <v>500</v>
      </c>
      <c r="P356" s="1">
        <v>25000</v>
      </c>
      <c r="S356" s="6" t="str">
        <f t="shared" si="5"/>
        <v xml:space="preserve"> </v>
      </c>
      <c r="T356" s="6" t="str">
        <f>IF(IF(COUNTIF(H$2:$H356,H356)=1,1,"")=1,SUMIF($H$2:$H$7997,H356,$S$2:$S$7997),"")</f>
        <v/>
      </c>
      <c r="W356">
        <v>0</v>
      </c>
      <c r="X356">
        <v>0</v>
      </c>
      <c r="Y356">
        <v>0</v>
      </c>
      <c r="Z356">
        <v>0</v>
      </c>
      <c r="AA356" s="2">
        <v>1</v>
      </c>
      <c r="AB356" s="2">
        <v>0</v>
      </c>
      <c r="AC356" s="2">
        <v>0</v>
      </c>
      <c r="AD356">
        <v>0</v>
      </c>
      <c r="AE356" t="s">
        <v>1863</v>
      </c>
      <c r="AF356">
        <v>25000</v>
      </c>
      <c r="AG356">
        <v>1</v>
      </c>
      <c r="AH356">
        <v>50000</v>
      </c>
      <c r="AI356" s="1" t="s">
        <v>337</v>
      </c>
      <c r="AJ356">
        <v>267088</v>
      </c>
      <c r="AK356" s="1" t="s">
        <v>1867</v>
      </c>
      <c r="AL356" t="s">
        <v>1963</v>
      </c>
      <c r="AN356" t="s">
        <v>2062</v>
      </c>
      <c r="AO356" t="s">
        <v>2067</v>
      </c>
      <c r="AP356" t="s">
        <v>2104</v>
      </c>
      <c r="AQ356">
        <v>129171</v>
      </c>
      <c r="AR356" s="3">
        <v>46203</v>
      </c>
      <c r="AS356" s="3">
        <v>46190</v>
      </c>
      <c r="AT356" s="3">
        <v>46190</v>
      </c>
      <c r="AU356" t="s">
        <v>2126</v>
      </c>
      <c r="AW356" s="3">
        <v>46208.53701449134</v>
      </c>
    </row>
    <row r="357" spans="1:49" ht="16" hidden="1" x14ac:dyDescent="0.2">
      <c r="A357" t="s">
        <v>87</v>
      </c>
      <c r="B357">
        <v>10709</v>
      </c>
      <c r="C357">
        <v>9677</v>
      </c>
      <c r="D357" t="s">
        <v>181</v>
      </c>
      <c r="E357" t="s">
        <v>337</v>
      </c>
      <c r="F357">
        <v>267088</v>
      </c>
      <c r="G357" t="s">
        <v>809</v>
      </c>
      <c r="H357">
        <v>582987</v>
      </c>
      <c r="I357" t="s">
        <v>1570</v>
      </c>
      <c r="J357">
        <v>7317618708</v>
      </c>
      <c r="K357" t="s">
        <v>1835</v>
      </c>
      <c r="L357" t="s">
        <v>1851</v>
      </c>
      <c r="M357" s="1">
        <v>50000</v>
      </c>
      <c r="N357" t="s">
        <v>1858</v>
      </c>
      <c r="O357">
        <v>500</v>
      </c>
      <c r="P357" s="1">
        <v>25000</v>
      </c>
      <c r="S357" s="6" t="str">
        <f t="shared" si="5"/>
        <v xml:space="preserve"> </v>
      </c>
      <c r="T357" s="6" t="str">
        <f>IF(IF(COUNTIF(H$2:$H357,H357)=1,1,"")=1,SUMIF($H$2:$H$7997,H357,$S$2:$S$7997),"")</f>
        <v/>
      </c>
      <c r="W357">
        <v>0</v>
      </c>
      <c r="X357">
        <v>0</v>
      </c>
      <c r="Y357">
        <v>0</v>
      </c>
      <c r="Z357">
        <v>0</v>
      </c>
      <c r="AA357" s="2">
        <v>1</v>
      </c>
      <c r="AB357" s="2">
        <v>0</v>
      </c>
      <c r="AC357" s="2">
        <v>0</v>
      </c>
      <c r="AD357">
        <v>0</v>
      </c>
      <c r="AE357" t="s">
        <v>1863</v>
      </c>
      <c r="AF357">
        <v>25000</v>
      </c>
      <c r="AG357">
        <v>1</v>
      </c>
      <c r="AH357">
        <v>50000</v>
      </c>
      <c r="AI357" s="1" t="s">
        <v>337</v>
      </c>
      <c r="AJ357">
        <v>267088</v>
      </c>
      <c r="AK357" s="1" t="s">
        <v>1867</v>
      </c>
      <c r="AL357" t="s">
        <v>1963</v>
      </c>
      <c r="AN357" t="s">
        <v>2062</v>
      </c>
      <c r="AO357" t="s">
        <v>2067</v>
      </c>
      <c r="AP357" t="s">
        <v>2104</v>
      </c>
      <c r="AQ357">
        <v>129171</v>
      </c>
      <c r="AR357" s="3">
        <v>46203</v>
      </c>
      <c r="AS357" s="3">
        <v>46190</v>
      </c>
      <c r="AT357" s="3">
        <v>46190</v>
      </c>
      <c r="AU357" t="s">
        <v>2126</v>
      </c>
      <c r="AW357" s="3">
        <v>46208.53701449134</v>
      </c>
    </row>
    <row r="358" spans="1:49" ht="16" hidden="1" x14ac:dyDescent="0.2">
      <c r="A358" t="s">
        <v>87</v>
      </c>
      <c r="B358">
        <v>10709</v>
      </c>
      <c r="C358">
        <v>9677</v>
      </c>
      <c r="D358" t="s">
        <v>181</v>
      </c>
      <c r="E358" t="s">
        <v>337</v>
      </c>
      <c r="F358">
        <v>267088</v>
      </c>
      <c r="G358" t="s">
        <v>809</v>
      </c>
      <c r="H358">
        <v>582987</v>
      </c>
      <c r="I358" t="s">
        <v>1598</v>
      </c>
      <c r="J358">
        <v>7321542620</v>
      </c>
      <c r="K358" t="s">
        <v>1835</v>
      </c>
      <c r="L358" t="s">
        <v>1851</v>
      </c>
      <c r="M358" s="1">
        <v>50000</v>
      </c>
      <c r="N358" t="s">
        <v>1858</v>
      </c>
      <c r="O358">
        <v>500</v>
      </c>
      <c r="P358" s="1">
        <v>25000</v>
      </c>
      <c r="S358" s="6" t="str">
        <f t="shared" si="5"/>
        <v xml:space="preserve"> </v>
      </c>
      <c r="T358" s="6" t="str">
        <f>IF(IF(COUNTIF(H$2:$H358,H358)=1,1,"")=1,SUMIF($H$2:$H$7997,H358,$S$2:$S$7997),"")</f>
        <v/>
      </c>
      <c r="W358">
        <v>0</v>
      </c>
      <c r="X358">
        <v>0</v>
      </c>
      <c r="Y358">
        <v>0</v>
      </c>
      <c r="Z358">
        <v>0</v>
      </c>
      <c r="AA358" s="2">
        <v>1</v>
      </c>
      <c r="AB358" s="2">
        <v>0</v>
      </c>
      <c r="AC358" s="2">
        <v>0</v>
      </c>
      <c r="AD358">
        <v>0</v>
      </c>
      <c r="AE358" t="s">
        <v>1863</v>
      </c>
      <c r="AF358">
        <v>25000</v>
      </c>
      <c r="AG358">
        <v>1</v>
      </c>
      <c r="AH358">
        <v>50000</v>
      </c>
      <c r="AI358" s="1" t="s">
        <v>337</v>
      </c>
      <c r="AJ358">
        <v>267088</v>
      </c>
      <c r="AK358" s="1" t="s">
        <v>1867</v>
      </c>
      <c r="AL358" t="s">
        <v>1963</v>
      </c>
      <c r="AN358" t="s">
        <v>2062</v>
      </c>
      <c r="AO358" t="s">
        <v>2067</v>
      </c>
      <c r="AP358" t="s">
        <v>2106</v>
      </c>
      <c r="AQ358">
        <v>129171</v>
      </c>
      <c r="AR358" s="3">
        <v>46203</v>
      </c>
      <c r="AS358" s="3">
        <v>46190</v>
      </c>
      <c r="AT358" s="3">
        <v>46190</v>
      </c>
      <c r="AU358" t="s">
        <v>2126</v>
      </c>
      <c r="AW358" s="3">
        <v>46208.53701449134</v>
      </c>
    </row>
    <row r="359" spans="1:49" ht="16" hidden="1" x14ac:dyDescent="0.2">
      <c r="A359" t="s">
        <v>87</v>
      </c>
      <c r="B359">
        <v>10709</v>
      </c>
      <c r="C359">
        <v>9677</v>
      </c>
      <c r="D359" t="s">
        <v>181</v>
      </c>
      <c r="E359" t="s">
        <v>337</v>
      </c>
      <c r="F359">
        <v>267088</v>
      </c>
      <c r="G359" t="s">
        <v>628</v>
      </c>
      <c r="H359">
        <v>583005</v>
      </c>
      <c r="I359" t="s">
        <v>1225</v>
      </c>
      <c r="J359">
        <v>94238332</v>
      </c>
      <c r="K359" t="s">
        <v>1839</v>
      </c>
      <c r="L359" t="s">
        <v>1850</v>
      </c>
      <c r="M359" s="1">
        <v>20</v>
      </c>
      <c r="N359" t="s">
        <v>1855</v>
      </c>
      <c r="O359">
        <v>3657415</v>
      </c>
      <c r="P359" s="1">
        <v>73148.3</v>
      </c>
      <c r="S359" s="6" t="str">
        <f t="shared" si="5"/>
        <v xml:space="preserve"> </v>
      </c>
      <c r="T359" s="6">
        <f>IF(IF(COUNTIF(H$2:$H359,H359)=1,1,"")=1,SUMIF($H$2:$H$7997,H359,$S$2:$S$7997),"")</f>
        <v>0</v>
      </c>
      <c r="W359">
        <v>3657415</v>
      </c>
      <c r="X359">
        <v>3657415</v>
      </c>
      <c r="Y359">
        <v>0</v>
      </c>
      <c r="Z359">
        <v>0</v>
      </c>
      <c r="AA359" s="2">
        <v>1</v>
      </c>
      <c r="AB359" s="2">
        <v>0</v>
      </c>
      <c r="AC359" s="2">
        <v>0</v>
      </c>
      <c r="AD359">
        <v>0</v>
      </c>
      <c r="AE359" t="s">
        <v>1862</v>
      </c>
      <c r="AF359">
        <v>34269.699999999997</v>
      </c>
      <c r="AG359">
        <v>6000000</v>
      </c>
      <c r="AH359">
        <v>120000</v>
      </c>
      <c r="AI359" s="1" t="s">
        <v>337</v>
      </c>
      <c r="AJ359">
        <v>94238317</v>
      </c>
      <c r="AK359" s="1" t="s">
        <v>1868</v>
      </c>
      <c r="AL359" t="s">
        <v>1963</v>
      </c>
      <c r="AN359" t="s">
        <v>2062</v>
      </c>
      <c r="AO359" t="s">
        <v>2067</v>
      </c>
      <c r="AP359" t="s">
        <v>2093</v>
      </c>
      <c r="AQ359">
        <v>129171</v>
      </c>
      <c r="AR359" s="3">
        <v>46203</v>
      </c>
      <c r="AS359" s="3">
        <v>46174</v>
      </c>
      <c r="AT359" s="3">
        <v>46229</v>
      </c>
      <c r="AU359" t="s">
        <v>2124</v>
      </c>
      <c r="AW359" s="3">
        <v>46208.53701449134</v>
      </c>
    </row>
    <row r="360" spans="1:49" ht="16" hidden="1" x14ac:dyDescent="0.2">
      <c r="A360" t="s">
        <v>87</v>
      </c>
      <c r="B360">
        <v>10709</v>
      </c>
      <c r="C360">
        <v>9677</v>
      </c>
      <c r="D360" t="s">
        <v>181</v>
      </c>
      <c r="E360" t="s">
        <v>337</v>
      </c>
      <c r="F360">
        <v>267088</v>
      </c>
      <c r="G360" t="s">
        <v>628</v>
      </c>
      <c r="H360">
        <v>583005</v>
      </c>
      <c r="I360" t="s">
        <v>1226</v>
      </c>
      <c r="J360">
        <v>94238335</v>
      </c>
      <c r="K360" t="s">
        <v>1840</v>
      </c>
      <c r="L360" t="s">
        <v>1850</v>
      </c>
      <c r="M360" s="1">
        <v>20</v>
      </c>
      <c r="N360" t="s">
        <v>1855</v>
      </c>
      <c r="O360">
        <v>2411385</v>
      </c>
      <c r="P360" s="1">
        <v>48227.7</v>
      </c>
      <c r="S360" s="6" t="str">
        <f t="shared" si="5"/>
        <v xml:space="preserve"> </v>
      </c>
      <c r="T360" s="6" t="str">
        <f>IF(IF(COUNTIF(H$2:$H360,H360)=1,1,"")=1,SUMIF($H$2:$H$7997,H360,$S$2:$S$7997),"")</f>
        <v/>
      </c>
      <c r="W360">
        <v>2411385</v>
      </c>
      <c r="X360">
        <v>2411385</v>
      </c>
      <c r="Y360">
        <v>0</v>
      </c>
      <c r="Z360">
        <v>0</v>
      </c>
      <c r="AA360" s="2">
        <v>1</v>
      </c>
      <c r="AB360" s="2">
        <v>0</v>
      </c>
      <c r="AC360" s="2">
        <v>0</v>
      </c>
      <c r="AD360">
        <v>0</v>
      </c>
      <c r="AE360" t="s">
        <v>1862</v>
      </c>
      <c r="AF360">
        <v>22846.47</v>
      </c>
      <c r="AG360">
        <v>4000000</v>
      </c>
      <c r="AH360">
        <v>80000</v>
      </c>
      <c r="AI360" s="1" t="s">
        <v>337</v>
      </c>
      <c r="AJ360">
        <v>94238317</v>
      </c>
      <c r="AK360" s="1" t="s">
        <v>1868</v>
      </c>
      <c r="AL360" t="s">
        <v>1963</v>
      </c>
      <c r="AN360" t="s">
        <v>2062</v>
      </c>
      <c r="AO360" t="s">
        <v>2067</v>
      </c>
      <c r="AP360" t="s">
        <v>2083</v>
      </c>
      <c r="AQ360">
        <v>129171</v>
      </c>
      <c r="AR360" s="3">
        <v>46203</v>
      </c>
      <c r="AS360" s="3">
        <v>46174</v>
      </c>
      <c r="AT360" s="3">
        <v>46229</v>
      </c>
      <c r="AU360" t="s">
        <v>2123</v>
      </c>
      <c r="AW360" s="3">
        <v>46208.53701449134</v>
      </c>
    </row>
    <row r="361" spans="1:49" ht="16" hidden="1" x14ac:dyDescent="0.2">
      <c r="A361" t="s">
        <v>87</v>
      </c>
      <c r="B361">
        <v>10709</v>
      </c>
      <c r="C361">
        <v>9677</v>
      </c>
      <c r="D361" t="s">
        <v>181</v>
      </c>
      <c r="E361" t="s">
        <v>337</v>
      </c>
      <c r="F361">
        <v>267088</v>
      </c>
      <c r="G361" t="s">
        <v>882</v>
      </c>
      <c r="H361">
        <v>583008</v>
      </c>
      <c r="I361" t="s">
        <v>1710</v>
      </c>
      <c r="J361">
        <v>583009</v>
      </c>
      <c r="K361" t="s">
        <v>1846</v>
      </c>
      <c r="L361" t="s">
        <v>1851</v>
      </c>
      <c r="M361" s="1">
        <v>66667</v>
      </c>
      <c r="N361" t="s">
        <v>1858</v>
      </c>
      <c r="O361">
        <v>0</v>
      </c>
      <c r="P361" s="1">
        <v>20408.27</v>
      </c>
      <c r="S361" s="6" t="str">
        <f t="shared" si="5"/>
        <v xml:space="preserve"> </v>
      </c>
      <c r="T361" s="6">
        <f>IF(IF(COUNTIF(H$2:$H361,H361)=1,1,"")=1,SUMIF($H$2:$H$7997,H361,$S$2:$S$7997),"")</f>
        <v>0</v>
      </c>
      <c r="W361">
        <v>0</v>
      </c>
      <c r="X361">
        <v>0</v>
      </c>
      <c r="Y361">
        <v>0</v>
      </c>
      <c r="Z361">
        <v>0</v>
      </c>
      <c r="AA361" s="2">
        <v>1</v>
      </c>
      <c r="AB361" s="2">
        <v>0</v>
      </c>
      <c r="AC361" s="2">
        <v>0</v>
      </c>
      <c r="AD361">
        <v>0</v>
      </c>
      <c r="AE361" t="s">
        <v>1863</v>
      </c>
      <c r="AF361">
        <v>20408.27</v>
      </c>
      <c r="AG361">
        <v>0</v>
      </c>
      <c r="AH361">
        <v>66667</v>
      </c>
      <c r="AI361" s="1" t="s">
        <v>337</v>
      </c>
      <c r="AJ361">
        <v>267088</v>
      </c>
      <c r="AK361" s="1" t="s">
        <v>1867</v>
      </c>
      <c r="AL361" t="s">
        <v>1963</v>
      </c>
      <c r="AN361" t="s">
        <v>2062</v>
      </c>
      <c r="AO361" t="s">
        <v>2067</v>
      </c>
      <c r="AP361" t="s">
        <v>2110</v>
      </c>
      <c r="AQ361">
        <v>129171</v>
      </c>
      <c r="AR361" s="3">
        <v>46203</v>
      </c>
      <c r="AS361" s="3">
        <v>46174</v>
      </c>
      <c r="AT361" s="3">
        <v>46222</v>
      </c>
      <c r="AU361" t="s">
        <v>2128</v>
      </c>
      <c r="AW361" s="3">
        <v>46208.53701449134</v>
      </c>
    </row>
    <row r="362" spans="1:49" ht="16" hidden="1" x14ac:dyDescent="0.2">
      <c r="A362" t="s">
        <v>87</v>
      </c>
      <c r="B362">
        <v>10709</v>
      </c>
      <c r="C362">
        <v>9677</v>
      </c>
      <c r="D362" t="s">
        <v>181</v>
      </c>
      <c r="E362" t="s">
        <v>337</v>
      </c>
      <c r="F362">
        <v>267088</v>
      </c>
      <c r="G362" t="s">
        <v>882</v>
      </c>
      <c r="H362">
        <v>583008</v>
      </c>
      <c r="I362" t="s">
        <v>1692</v>
      </c>
      <c r="J362">
        <v>583012</v>
      </c>
      <c r="K362" t="s">
        <v>1844</v>
      </c>
      <c r="L362" t="s">
        <v>1851</v>
      </c>
      <c r="M362" s="1">
        <v>66667</v>
      </c>
      <c r="N362" t="s">
        <v>1858</v>
      </c>
      <c r="O362">
        <v>0</v>
      </c>
      <c r="P362" s="1">
        <v>20408.27</v>
      </c>
      <c r="S362" s="6" t="str">
        <f t="shared" si="5"/>
        <v xml:space="preserve"> </v>
      </c>
      <c r="T362" s="6" t="str">
        <f>IF(IF(COUNTIF(H$2:$H362,H362)=1,1,"")=1,SUMIF($H$2:$H$7997,H362,$S$2:$S$7997),"")</f>
        <v/>
      </c>
      <c r="W362">
        <v>0</v>
      </c>
      <c r="X362">
        <v>0</v>
      </c>
      <c r="Y362">
        <v>0</v>
      </c>
      <c r="Z362">
        <v>0</v>
      </c>
      <c r="AA362" s="2">
        <v>1</v>
      </c>
      <c r="AB362" s="2">
        <v>0</v>
      </c>
      <c r="AC362" s="2">
        <v>0</v>
      </c>
      <c r="AD362">
        <v>0</v>
      </c>
      <c r="AE362" t="s">
        <v>1863</v>
      </c>
      <c r="AF362">
        <v>20408.27</v>
      </c>
      <c r="AG362">
        <v>0</v>
      </c>
      <c r="AH362">
        <v>66667</v>
      </c>
      <c r="AI362" s="1" t="s">
        <v>337</v>
      </c>
      <c r="AJ362">
        <v>267088</v>
      </c>
      <c r="AK362" s="1" t="s">
        <v>1867</v>
      </c>
      <c r="AL362" t="s">
        <v>1963</v>
      </c>
      <c r="AN362" t="s">
        <v>2062</v>
      </c>
      <c r="AO362" t="s">
        <v>2067</v>
      </c>
      <c r="AP362" t="s">
        <v>2107</v>
      </c>
      <c r="AQ362">
        <v>129171</v>
      </c>
      <c r="AR362" s="3">
        <v>46203</v>
      </c>
      <c r="AS362" s="3">
        <v>46174</v>
      </c>
      <c r="AT362" s="3">
        <v>46222</v>
      </c>
      <c r="AU362" t="s">
        <v>2127</v>
      </c>
      <c r="AW362" s="3">
        <v>46208.53701449134</v>
      </c>
    </row>
    <row r="363" spans="1:49" ht="16" hidden="1" x14ac:dyDescent="0.2">
      <c r="A363" t="s">
        <v>87</v>
      </c>
      <c r="B363">
        <v>10709</v>
      </c>
      <c r="C363">
        <v>9677</v>
      </c>
      <c r="D363" t="s">
        <v>181</v>
      </c>
      <c r="E363" t="s">
        <v>337</v>
      </c>
      <c r="F363">
        <v>267088</v>
      </c>
      <c r="G363" t="s">
        <v>882</v>
      </c>
      <c r="H363">
        <v>583008</v>
      </c>
      <c r="I363" t="s">
        <v>1821</v>
      </c>
      <c r="J363">
        <v>583011</v>
      </c>
      <c r="K363" t="s">
        <v>1835</v>
      </c>
      <c r="L363" t="s">
        <v>1851</v>
      </c>
      <c r="M363" s="1">
        <v>66667</v>
      </c>
      <c r="N363" t="s">
        <v>1858</v>
      </c>
      <c r="O363">
        <v>0</v>
      </c>
      <c r="P363" s="1">
        <v>20408.27</v>
      </c>
      <c r="S363" s="6" t="str">
        <f t="shared" si="5"/>
        <v xml:space="preserve"> </v>
      </c>
      <c r="T363" s="6" t="str">
        <f>IF(IF(COUNTIF(H$2:$H363,H363)=1,1,"")=1,SUMIF($H$2:$H$7997,H363,$S$2:$S$7997),"")</f>
        <v/>
      </c>
      <c r="W363">
        <v>0</v>
      </c>
      <c r="X363">
        <v>0</v>
      </c>
      <c r="Y363">
        <v>0</v>
      </c>
      <c r="Z363">
        <v>0</v>
      </c>
      <c r="AA363" s="2">
        <v>1</v>
      </c>
      <c r="AB363" s="2">
        <v>0</v>
      </c>
      <c r="AC363" s="2">
        <v>0</v>
      </c>
      <c r="AD363">
        <v>0</v>
      </c>
      <c r="AE363" t="s">
        <v>1863</v>
      </c>
      <c r="AF363">
        <v>20408.27</v>
      </c>
      <c r="AG363">
        <v>0</v>
      </c>
      <c r="AH363">
        <v>66667</v>
      </c>
      <c r="AI363" s="1" t="s">
        <v>337</v>
      </c>
      <c r="AJ363">
        <v>267088</v>
      </c>
      <c r="AK363" s="1" t="s">
        <v>1867</v>
      </c>
      <c r="AL363" t="s">
        <v>1963</v>
      </c>
      <c r="AN363" t="s">
        <v>2062</v>
      </c>
      <c r="AO363" t="s">
        <v>2067</v>
      </c>
      <c r="AP363" t="s">
        <v>2109</v>
      </c>
      <c r="AQ363">
        <v>129171</v>
      </c>
      <c r="AR363" s="3">
        <v>46203</v>
      </c>
      <c r="AS363" s="3">
        <v>46174</v>
      </c>
      <c r="AT363" s="3">
        <v>46222</v>
      </c>
      <c r="AU363" t="s">
        <v>2129</v>
      </c>
      <c r="AW363" s="3">
        <v>46208.53701449134</v>
      </c>
    </row>
    <row r="364" spans="1:49" ht="16" hidden="1" x14ac:dyDescent="0.2">
      <c r="A364" t="s">
        <v>87</v>
      </c>
      <c r="B364">
        <v>10709</v>
      </c>
      <c r="C364">
        <v>9677</v>
      </c>
      <c r="D364" t="s">
        <v>181</v>
      </c>
      <c r="E364" t="s">
        <v>337</v>
      </c>
      <c r="F364">
        <v>267088</v>
      </c>
      <c r="G364" t="s">
        <v>753</v>
      </c>
      <c r="H364">
        <v>596080</v>
      </c>
      <c r="I364" t="s">
        <v>1473</v>
      </c>
      <c r="J364">
        <v>94975575</v>
      </c>
      <c r="K364" t="s">
        <v>1839</v>
      </c>
      <c r="L364" t="s">
        <v>1850</v>
      </c>
      <c r="M364" s="1">
        <v>0</v>
      </c>
      <c r="N364" t="s">
        <v>23</v>
      </c>
      <c r="O364">
        <v>151341</v>
      </c>
      <c r="P364" s="1">
        <v>0</v>
      </c>
      <c r="S364" s="6" t="str">
        <f t="shared" si="5"/>
        <v xml:space="preserve"> </v>
      </c>
      <c r="T364" s="6">
        <f>IF(IF(COUNTIF(H$2:$H364,H364)=1,1,"")=1,SUMIF($H$2:$H$7997,H364,$S$2:$S$7997),"")</f>
        <v>0</v>
      </c>
      <c r="W364">
        <v>151341</v>
      </c>
      <c r="X364">
        <v>151341</v>
      </c>
      <c r="Y364">
        <v>0</v>
      </c>
      <c r="Z364">
        <v>0</v>
      </c>
      <c r="AA364" s="2">
        <v>1</v>
      </c>
      <c r="AB364" s="2">
        <v>0</v>
      </c>
      <c r="AC364" s="2">
        <v>0</v>
      </c>
      <c r="AD364">
        <v>0</v>
      </c>
      <c r="AE364" t="s">
        <v>1862</v>
      </c>
      <c r="AF364">
        <v>0</v>
      </c>
      <c r="AG364">
        <v>481000</v>
      </c>
      <c r="AH364">
        <v>0</v>
      </c>
      <c r="AI364" s="1" t="s">
        <v>337</v>
      </c>
      <c r="AJ364">
        <v>94238317</v>
      </c>
      <c r="AK364" s="1" t="s">
        <v>1867</v>
      </c>
      <c r="AL364" t="s">
        <v>1963</v>
      </c>
      <c r="AN364" t="s">
        <v>2062</v>
      </c>
      <c r="AO364" t="s">
        <v>2068</v>
      </c>
      <c r="AP364" t="s">
        <v>2094</v>
      </c>
      <c r="AQ364">
        <v>129171</v>
      </c>
      <c r="AR364" s="3">
        <v>46203</v>
      </c>
      <c r="AS364" s="3">
        <v>46196</v>
      </c>
      <c r="AT364" s="3">
        <v>46222</v>
      </c>
      <c r="AU364" t="s">
        <v>2124</v>
      </c>
      <c r="AW364" s="3">
        <v>46208.53701449134</v>
      </c>
    </row>
    <row r="365" spans="1:49" ht="16" hidden="1" x14ac:dyDescent="0.2">
      <c r="A365" t="s">
        <v>87</v>
      </c>
      <c r="B365">
        <v>10709</v>
      </c>
      <c r="C365">
        <v>9677</v>
      </c>
      <c r="D365" t="s">
        <v>181</v>
      </c>
      <c r="E365" t="s">
        <v>337</v>
      </c>
      <c r="F365">
        <v>267088</v>
      </c>
      <c r="G365" t="s">
        <v>753</v>
      </c>
      <c r="H365">
        <v>596080</v>
      </c>
      <c r="I365" t="s">
        <v>1474</v>
      </c>
      <c r="J365">
        <v>94975584</v>
      </c>
      <c r="K365" t="s">
        <v>1835</v>
      </c>
      <c r="L365" t="s">
        <v>1850</v>
      </c>
      <c r="M365" s="1">
        <v>0</v>
      </c>
      <c r="N365" t="s">
        <v>23</v>
      </c>
      <c r="O365">
        <v>67246</v>
      </c>
      <c r="P365" s="1">
        <v>0</v>
      </c>
      <c r="S365" s="6" t="str">
        <f t="shared" si="5"/>
        <v xml:space="preserve"> </v>
      </c>
      <c r="T365" s="6" t="str">
        <f>IF(IF(COUNTIF(H$2:$H365,H365)=1,1,"")=1,SUMIF($H$2:$H$7997,H365,$S$2:$S$7997),"")</f>
        <v/>
      </c>
      <c r="W365">
        <v>67246</v>
      </c>
      <c r="X365">
        <v>67246</v>
      </c>
      <c r="Y365">
        <v>0</v>
      </c>
      <c r="Z365">
        <v>0</v>
      </c>
      <c r="AA365" s="2">
        <v>1</v>
      </c>
      <c r="AB365" s="2">
        <v>0</v>
      </c>
      <c r="AC365" s="2">
        <v>0</v>
      </c>
      <c r="AD365">
        <v>0</v>
      </c>
      <c r="AE365" t="s">
        <v>1862</v>
      </c>
      <c r="AF365">
        <v>0</v>
      </c>
      <c r="AG365">
        <v>206143</v>
      </c>
      <c r="AH365">
        <v>0</v>
      </c>
      <c r="AI365" s="1" t="s">
        <v>337</v>
      </c>
      <c r="AJ365">
        <v>94238317</v>
      </c>
      <c r="AK365" s="1" t="s">
        <v>1867</v>
      </c>
      <c r="AL365" t="s">
        <v>1963</v>
      </c>
      <c r="AN365" t="s">
        <v>2062</v>
      </c>
      <c r="AO365" t="s">
        <v>2068</v>
      </c>
      <c r="AP365" t="s">
        <v>2092</v>
      </c>
      <c r="AQ365">
        <v>129171</v>
      </c>
      <c r="AR365" s="3">
        <v>46203</v>
      </c>
      <c r="AS365" s="3">
        <v>46196</v>
      </c>
      <c r="AT365" s="3">
        <v>46222</v>
      </c>
      <c r="AU365" t="s">
        <v>2123</v>
      </c>
      <c r="AW365" s="3">
        <v>46208.53701449134</v>
      </c>
    </row>
    <row r="366" spans="1:49" ht="16" hidden="1" x14ac:dyDescent="0.2">
      <c r="A366" t="s">
        <v>89</v>
      </c>
      <c r="B366">
        <v>16656</v>
      </c>
      <c r="C366">
        <v>16447</v>
      </c>
      <c r="D366" t="s">
        <v>207</v>
      </c>
      <c r="E366" t="s">
        <v>391</v>
      </c>
      <c r="F366">
        <v>270752</v>
      </c>
      <c r="G366" t="s">
        <v>725</v>
      </c>
      <c r="H366">
        <v>592399</v>
      </c>
      <c r="I366" t="s">
        <v>1404</v>
      </c>
      <c r="J366">
        <v>94520881</v>
      </c>
      <c r="K366" t="s">
        <v>1839</v>
      </c>
      <c r="L366" t="s">
        <v>1850</v>
      </c>
      <c r="M366" s="1">
        <v>44</v>
      </c>
      <c r="N366" t="s">
        <v>23</v>
      </c>
      <c r="O366">
        <v>2639802</v>
      </c>
      <c r="P366" s="1">
        <v>116151.29</v>
      </c>
      <c r="S366" s="6" t="str">
        <f t="shared" si="5"/>
        <v xml:space="preserve"> </v>
      </c>
      <c r="T366" s="6">
        <f>IF(IF(COUNTIF(H$2:$H366,H366)=1,1,"")=1,SUMIF($H$2:$H$7997,H366,$S$2:$S$7997),"")</f>
        <v>0</v>
      </c>
      <c r="W366">
        <v>2639802</v>
      </c>
      <c r="X366">
        <v>2639802</v>
      </c>
      <c r="Y366">
        <v>0</v>
      </c>
      <c r="Z366">
        <v>0</v>
      </c>
      <c r="AA366" s="2">
        <v>1</v>
      </c>
      <c r="AB366" s="2">
        <v>0</v>
      </c>
      <c r="AC366" s="2">
        <v>0</v>
      </c>
      <c r="AD366">
        <v>0</v>
      </c>
      <c r="AE366" t="s">
        <v>1862</v>
      </c>
      <c r="AF366">
        <v>58512.4</v>
      </c>
      <c r="AG366">
        <v>3977273</v>
      </c>
      <c r="AH366">
        <v>175000.01</v>
      </c>
      <c r="AI366" s="1" t="s">
        <v>391</v>
      </c>
      <c r="AJ366">
        <v>94520878</v>
      </c>
      <c r="AK366" s="1" t="s">
        <v>1867</v>
      </c>
      <c r="AL366" t="s">
        <v>2005</v>
      </c>
      <c r="AN366" t="s">
        <v>2056</v>
      </c>
      <c r="AO366" t="s">
        <v>2067</v>
      </c>
      <c r="AP366" t="s">
        <v>2094</v>
      </c>
      <c r="AQ366">
        <v>130515</v>
      </c>
      <c r="AR366" s="3">
        <v>46203</v>
      </c>
      <c r="AS366" s="3">
        <v>46181</v>
      </c>
      <c r="AT366" s="3">
        <v>46222</v>
      </c>
      <c r="AU366" t="s">
        <v>2124</v>
      </c>
      <c r="AW366" s="3">
        <v>46208.53701449134</v>
      </c>
    </row>
    <row r="367" spans="1:49" ht="16" hidden="1" x14ac:dyDescent="0.2">
      <c r="A367" t="s">
        <v>89</v>
      </c>
      <c r="B367">
        <v>16656</v>
      </c>
      <c r="C367">
        <v>16447</v>
      </c>
      <c r="D367" t="s">
        <v>207</v>
      </c>
      <c r="E367" t="s">
        <v>391</v>
      </c>
      <c r="F367">
        <v>270752</v>
      </c>
      <c r="G367" t="s">
        <v>725</v>
      </c>
      <c r="H367">
        <v>592399</v>
      </c>
      <c r="I367" t="s">
        <v>1405</v>
      </c>
      <c r="J367">
        <v>94520884</v>
      </c>
      <c r="K367" t="s">
        <v>1835</v>
      </c>
      <c r="L367" t="s">
        <v>1850</v>
      </c>
      <c r="M367" s="1">
        <v>44</v>
      </c>
      <c r="N367" t="s">
        <v>23</v>
      </c>
      <c r="O367">
        <v>1159705</v>
      </c>
      <c r="P367" s="1">
        <v>51027.02</v>
      </c>
      <c r="S367" s="6" t="str">
        <f t="shared" si="5"/>
        <v xml:space="preserve"> </v>
      </c>
      <c r="T367" s="6" t="str">
        <f>IF(IF(COUNTIF(H$2:$H367,H367)=1,1,"")=1,SUMIF($H$2:$H$7997,H367,$S$2:$S$7997),"")</f>
        <v/>
      </c>
      <c r="W367">
        <v>1159705</v>
      </c>
      <c r="X367">
        <v>1159705</v>
      </c>
      <c r="Y367">
        <v>0</v>
      </c>
      <c r="Z367">
        <v>0</v>
      </c>
      <c r="AA367" s="2">
        <v>1</v>
      </c>
      <c r="AB367" s="2">
        <v>0</v>
      </c>
      <c r="AC367" s="2">
        <v>0</v>
      </c>
      <c r="AD367">
        <v>0</v>
      </c>
      <c r="AE367" t="s">
        <v>1862</v>
      </c>
      <c r="AF367">
        <v>25076.75</v>
      </c>
      <c r="AG367">
        <v>1704546</v>
      </c>
      <c r="AH367">
        <v>75000.02</v>
      </c>
      <c r="AI367" s="1" t="s">
        <v>391</v>
      </c>
      <c r="AJ367">
        <v>94520878</v>
      </c>
      <c r="AK367" s="1" t="s">
        <v>1867</v>
      </c>
      <c r="AL367" t="s">
        <v>2005</v>
      </c>
      <c r="AN367" t="s">
        <v>2056</v>
      </c>
      <c r="AO367" t="s">
        <v>2067</v>
      </c>
      <c r="AP367" t="s">
        <v>2092</v>
      </c>
      <c r="AQ367">
        <v>130515</v>
      </c>
      <c r="AR367" s="3">
        <v>46203</v>
      </c>
      <c r="AS367" s="3">
        <v>46181</v>
      </c>
      <c r="AT367" s="3">
        <v>46222</v>
      </c>
      <c r="AU367" t="s">
        <v>2123</v>
      </c>
      <c r="AW367" s="3">
        <v>46208.53701449134</v>
      </c>
    </row>
    <row r="368" spans="1:49" ht="16" hidden="1" x14ac:dyDescent="0.2">
      <c r="A368" t="s">
        <v>89</v>
      </c>
      <c r="B368">
        <v>16656</v>
      </c>
      <c r="C368">
        <v>16447</v>
      </c>
      <c r="D368" t="s">
        <v>207</v>
      </c>
      <c r="E368" t="s">
        <v>391</v>
      </c>
      <c r="F368">
        <v>270752</v>
      </c>
      <c r="G368" t="s">
        <v>726</v>
      </c>
      <c r="H368">
        <v>592407</v>
      </c>
      <c r="I368" t="s">
        <v>1406</v>
      </c>
      <c r="J368">
        <v>94520888</v>
      </c>
      <c r="K368" t="s">
        <v>1835</v>
      </c>
      <c r="L368" t="s">
        <v>1850</v>
      </c>
      <c r="M368" s="1">
        <v>25</v>
      </c>
      <c r="N368" t="s">
        <v>1853</v>
      </c>
      <c r="O368">
        <v>694568</v>
      </c>
      <c r="P368" s="1">
        <v>17364.2</v>
      </c>
      <c r="S368" s="6" t="str">
        <f t="shared" si="5"/>
        <v xml:space="preserve"> </v>
      </c>
      <c r="T368" s="6">
        <f>IF(IF(COUNTIF(H$2:$H368,H368)=1,1,"")=1,SUMIF($H$2:$H$7997,H368,$S$2:$S$7997),"")</f>
        <v>0</v>
      </c>
      <c r="W368">
        <v>573806</v>
      </c>
      <c r="X368">
        <v>573806</v>
      </c>
      <c r="Y368">
        <v>694568</v>
      </c>
      <c r="Z368">
        <v>694568</v>
      </c>
      <c r="AA368" s="2">
        <v>1</v>
      </c>
      <c r="AB368" s="2">
        <v>1.2104591570283609</v>
      </c>
      <c r="AC368" s="2">
        <v>0</v>
      </c>
      <c r="AD368">
        <v>0</v>
      </c>
      <c r="AE368" t="s">
        <v>1862</v>
      </c>
      <c r="AF368">
        <v>7172.58</v>
      </c>
      <c r="AG368">
        <v>4000000</v>
      </c>
      <c r="AH368">
        <v>100000</v>
      </c>
      <c r="AI368" s="1" t="s">
        <v>391</v>
      </c>
      <c r="AJ368">
        <v>94520878</v>
      </c>
      <c r="AK368" s="1" t="s">
        <v>1867</v>
      </c>
      <c r="AL368" t="s">
        <v>2005</v>
      </c>
      <c r="AN368" t="s">
        <v>2056</v>
      </c>
      <c r="AO368" t="s">
        <v>2067</v>
      </c>
      <c r="AP368" t="s">
        <v>2091</v>
      </c>
      <c r="AQ368">
        <v>130515</v>
      </c>
      <c r="AR368" s="3">
        <v>46203</v>
      </c>
      <c r="AS368" s="3">
        <v>46181</v>
      </c>
      <c r="AT368" s="3">
        <v>46295</v>
      </c>
      <c r="AU368" t="s">
        <v>2123</v>
      </c>
      <c r="AW368" s="3">
        <v>46208.53701449134</v>
      </c>
    </row>
    <row r="369" spans="1:49" ht="16" hidden="1" x14ac:dyDescent="0.2">
      <c r="A369" t="s">
        <v>89</v>
      </c>
      <c r="B369">
        <v>16656</v>
      </c>
      <c r="C369">
        <v>23242</v>
      </c>
      <c r="D369" t="s">
        <v>162</v>
      </c>
      <c r="E369" t="s">
        <v>369</v>
      </c>
      <c r="F369">
        <v>270425</v>
      </c>
      <c r="G369" t="s">
        <v>688</v>
      </c>
      <c r="H369">
        <v>591515</v>
      </c>
      <c r="I369" t="s">
        <v>1083</v>
      </c>
      <c r="J369">
        <v>94333058</v>
      </c>
      <c r="K369" t="s">
        <v>1839</v>
      </c>
      <c r="L369" t="s">
        <v>1850</v>
      </c>
      <c r="M369" s="1">
        <v>44</v>
      </c>
      <c r="N369" t="s">
        <v>22</v>
      </c>
      <c r="O369">
        <v>2816915</v>
      </c>
      <c r="P369" s="1">
        <v>123944.26</v>
      </c>
      <c r="S369" s="6" t="str">
        <f t="shared" si="5"/>
        <v xml:space="preserve"> </v>
      </c>
      <c r="T369" s="6">
        <f>IF(IF(COUNTIF(H$2:$H369,H369)=1,1,"")=1,SUMIF($H$2:$H$7997,H369,$S$2:$S$7997),"")</f>
        <v>0</v>
      </c>
      <c r="W369">
        <v>2816915</v>
      </c>
      <c r="X369">
        <v>2816915</v>
      </c>
      <c r="Y369">
        <v>0</v>
      </c>
      <c r="Z369">
        <v>0</v>
      </c>
      <c r="AA369" s="2">
        <v>1</v>
      </c>
      <c r="AB369" s="2">
        <v>0</v>
      </c>
      <c r="AC369" s="2">
        <v>0</v>
      </c>
      <c r="AD369">
        <v>0</v>
      </c>
      <c r="AE369" t="s">
        <v>1862</v>
      </c>
      <c r="AF369">
        <v>61171.24</v>
      </c>
      <c r="AG369">
        <v>3977273</v>
      </c>
      <c r="AH369">
        <v>175000.01</v>
      </c>
      <c r="AI369" s="1" t="s">
        <v>369</v>
      </c>
      <c r="AJ369">
        <v>94333048</v>
      </c>
      <c r="AK369" s="1" t="s">
        <v>1867</v>
      </c>
      <c r="AL369" t="s">
        <v>1900</v>
      </c>
      <c r="AN369" t="s">
        <v>2056</v>
      </c>
      <c r="AO369" t="s">
        <v>2067</v>
      </c>
      <c r="AP369" t="s">
        <v>2094</v>
      </c>
      <c r="AQ369">
        <v>129764</v>
      </c>
      <c r="AR369" s="3">
        <v>46203</v>
      </c>
      <c r="AS369" s="3">
        <v>46174</v>
      </c>
      <c r="AT369" s="3">
        <v>46222</v>
      </c>
      <c r="AU369" t="s">
        <v>2124</v>
      </c>
      <c r="AW369" s="3">
        <v>46208.53701449134</v>
      </c>
    </row>
    <row r="370" spans="1:49" ht="16" hidden="1" x14ac:dyDescent="0.2">
      <c r="A370" t="s">
        <v>89</v>
      </c>
      <c r="B370">
        <v>16656</v>
      </c>
      <c r="C370">
        <v>23242</v>
      </c>
      <c r="D370" t="s">
        <v>162</v>
      </c>
      <c r="E370" t="s">
        <v>369</v>
      </c>
      <c r="F370">
        <v>270425</v>
      </c>
      <c r="G370" t="s">
        <v>688</v>
      </c>
      <c r="H370">
        <v>591515</v>
      </c>
      <c r="I370" t="s">
        <v>1082</v>
      </c>
      <c r="J370">
        <v>94333061</v>
      </c>
      <c r="K370" t="s">
        <v>1835</v>
      </c>
      <c r="L370" t="s">
        <v>1850</v>
      </c>
      <c r="M370" s="1">
        <v>44</v>
      </c>
      <c r="N370" t="s">
        <v>22</v>
      </c>
      <c r="O370">
        <v>1155244</v>
      </c>
      <c r="P370" s="1">
        <v>50830.74</v>
      </c>
      <c r="S370" s="6" t="str">
        <f t="shared" si="5"/>
        <v xml:space="preserve"> </v>
      </c>
      <c r="T370" s="6" t="str">
        <f>IF(IF(COUNTIF(H$2:$H370,H370)=1,1,"")=1,SUMIF($H$2:$H$7997,H370,$S$2:$S$7997),"")</f>
        <v/>
      </c>
      <c r="W370">
        <v>1155244</v>
      </c>
      <c r="X370">
        <v>1155244</v>
      </c>
      <c r="Y370">
        <v>0</v>
      </c>
      <c r="Z370">
        <v>0</v>
      </c>
      <c r="AA370" s="2">
        <v>1</v>
      </c>
      <c r="AB370" s="2">
        <v>0</v>
      </c>
      <c r="AC370" s="2">
        <v>0</v>
      </c>
      <c r="AD370">
        <v>0</v>
      </c>
      <c r="AE370" t="s">
        <v>1862</v>
      </c>
      <c r="AF370">
        <v>26216.25</v>
      </c>
      <c r="AG370">
        <v>1704546</v>
      </c>
      <c r="AH370">
        <v>75000.02</v>
      </c>
      <c r="AI370" s="1" t="s">
        <v>369</v>
      </c>
      <c r="AJ370">
        <v>94333048</v>
      </c>
      <c r="AK370" s="1" t="s">
        <v>1867</v>
      </c>
      <c r="AL370" t="s">
        <v>1900</v>
      </c>
      <c r="AN370" t="s">
        <v>2056</v>
      </c>
      <c r="AO370" t="s">
        <v>2067</v>
      </c>
      <c r="AP370" t="s">
        <v>2092</v>
      </c>
      <c r="AQ370">
        <v>129764</v>
      </c>
      <c r="AR370" s="3">
        <v>46203</v>
      </c>
      <c r="AS370" s="3">
        <v>46174</v>
      </c>
      <c r="AT370" s="3">
        <v>46222</v>
      </c>
      <c r="AU370" t="s">
        <v>2123</v>
      </c>
      <c r="AW370" s="3">
        <v>46208.53701449134</v>
      </c>
    </row>
    <row r="371" spans="1:49" ht="16" hidden="1" x14ac:dyDescent="0.2">
      <c r="A371" t="s">
        <v>89</v>
      </c>
      <c r="B371">
        <v>16656</v>
      </c>
      <c r="C371">
        <v>23242</v>
      </c>
      <c r="D371" t="s">
        <v>162</v>
      </c>
      <c r="E371" t="s">
        <v>301</v>
      </c>
      <c r="F371">
        <v>268838</v>
      </c>
      <c r="G371" t="s">
        <v>550</v>
      </c>
      <c r="H371">
        <v>587382</v>
      </c>
      <c r="I371" t="s">
        <v>1083</v>
      </c>
      <c r="J371">
        <v>93902061</v>
      </c>
      <c r="K371" t="s">
        <v>1839</v>
      </c>
      <c r="L371" t="s">
        <v>1850</v>
      </c>
      <c r="M371" s="1">
        <v>0</v>
      </c>
      <c r="N371" t="s">
        <v>22</v>
      </c>
      <c r="O371">
        <v>0</v>
      </c>
      <c r="P371" s="1">
        <v>0</v>
      </c>
      <c r="S371" s="6" t="str">
        <f t="shared" si="5"/>
        <v xml:space="preserve"> </v>
      </c>
      <c r="T371" s="6">
        <f>IF(IF(COUNTIF(H$2:$H371,H371)=1,1,"")=1,SUMIF($H$2:$H$7997,H371,$S$2:$S$7997),"")</f>
        <v>0</v>
      </c>
      <c r="W371">
        <v>0</v>
      </c>
      <c r="X371">
        <v>0</v>
      </c>
      <c r="Y371">
        <v>0</v>
      </c>
      <c r="Z371">
        <v>0</v>
      </c>
      <c r="AA371" s="2">
        <v>1</v>
      </c>
      <c r="AB371" s="2">
        <v>0</v>
      </c>
      <c r="AC371" s="2">
        <v>0</v>
      </c>
      <c r="AD371">
        <v>0</v>
      </c>
      <c r="AE371" t="s">
        <v>1862</v>
      </c>
      <c r="AF371">
        <v>0</v>
      </c>
      <c r="AG371">
        <v>0</v>
      </c>
      <c r="AH371">
        <v>0</v>
      </c>
      <c r="AI371" s="1" t="s">
        <v>301</v>
      </c>
      <c r="AJ371">
        <v>268838</v>
      </c>
      <c r="AK371" s="1" t="s">
        <v>1867</v>
      </c>
      <c r="AL371" t="s">
        <v>1900</v>
      </c>
      <c r="AN371" t="s">
        <v>2056</v>
      </c>
      <c r="AO371" t="s">
        <v>2067</v>
      </c>
      <c r="AP371" t="s">
        <v>2094</v>
      </c>
      <c r="AR371" s="3">
        <v>46203</v>
      </c>
      <c r="AS371" s="3">
        <v>46174</v>
      </c>
      <c r="AT371" s="3">
        <v>46174</v>
      </c>
      <c r="AU371" t="s">
        <v>2124</v>
      </c>
      <c r="AW371" s="3">
        <v>46208.53701449134</v>
      </c>
    </row>
    <row r="372" spans="1:49" ht="16" hidden="1" x14ac:dyDescent="0.2">
      <c r="A372" t="s">
        <v>89</v>
      </c>
      <c r="B372">
        <v>16656</v>
      </c>
      <c r="C372">
        <v>23242</v>
      </c>
      <c r="D372" t="s">
        <v>162</v>
      </c>
      <c r="E372" t="s">
        <v>301</v>
      </c>
      <c r="F372">
        <v>268838</v>
      </c>
      <c r="G372" t="s">
        <v>550</v>
      </c>
      <c r="H372">
        <v>587382</v>
      </c>
      <c r="I372" t="s">
        <v>1082</v>
      </c>
      <c r="J372">
        <v>93902058</v>
      </c>
      <c r="K372" t="s">
        <v>1835</v>
      </c>
      <c r="L372" t="s">
        <v>1850</v>
      </c>
      <c r="M372" s="1">
        <v>0</v>
      </c>
      <c r="N372" t="s">
        <v>22</v>
      </c>
      <c r="O372">
        <v>0</v>
      </c>
      <c r="P372" s="1">
        <v>0</v>
      </c>
      <c r="S372" s="6" t="str">
        <f t="shared" si="5"/>
        <v xml:space="preserve"> </v>
      </c>
      <c r="T372" s="6" t="str">
        <f>IF(IF(COUNTIF(H$2:$H372,H372)=1,1,"")=1,SUMIF($H$2:$H$7997,H372,$S$2:$S$7997),"")</f>
        <v/>
      </c>
      <c r="W372">
        <v>0</v>
      </c>
      <c r="X372">
        <v>0</v>
      </c>
      <c r="Y372">
        <v>0</v>
      </c>
      <c r="Z372">
        <v>0</v>
      </c>
      <c r="AA372" s="2">
        <v>1</v>
      </c>
      <c r="AB372" s="2">
        <v>0</v>
      </c>
      <c r="AC372" s="2">
        <v>0</v>
      </c>
      <c r="AD372">
        <v>0</v>
      </c>
      <c r="AE372" t="s">
        <v>1862</v>
      </c>
      <c r="AF372">
        <v>0</v>
      </c>
      <c r="AG372">
        <v>0</v>
      </c>
      <c r="AH372">
        <v>0</v>
      </c>
      <c r="AI372" s="1" t="s">
        <v>301</v>
      </c>
      <c r="AJ372">
        <v>268838</v>
      </c>
      <c r="AK372" s="1" t="s">
        <v>1867</v>
      </c>
      <c r="AL372" t="s">
        <v>1900</v>
      </c>
      <c r="AN372" t="s">
        <v>2056</v>
      </c>
      <c r="AO372" t="s">
        <v>2067</v>
      </c>
      <c r="AP372" t="s">
        <v>2092</v>
      </c>
      <c r="AR372" s="3">
        <v>46203</v>
      </c>
      <c r="AS372" s="3">
        <v>46174</v>
      </c>
      <c r="AT372" s="3">
        <v>46174</v>
      </c>
      <c r="AU372" t="s">
        <v>2123</v>
      </c>
      <c r="AW372" s="3">
        <v>46208.53701449134</v>
      </c>
    </row>
    <row r="373" spans="1:49" ht="16" hidden="1" x14ac:dyDescent="0.2">
      <c r="A373" t="s">
        <v>71</v>
      </c>
      <c r="B373">
        <v>10358</v>
      </c>
      <c r="C373">
        <v>2612</v>
      </c>
      <c r="D373" t="s">
        <v>136</v>
      </c>
      <c r="E373" t="s">
        <v>432</v>
      </c>
      <c r="F373">
        <v>268217</v>
      </c>
      <c r="G373" t="s">
        <v>432</v>
      </c>
      <c r="H373">
        <v>586824</v>
      </c>
      <c r="I373" t="s">
        <v>1783</v>
      </c>
      <c r="J373">
        <v>588882</v>
      </c>
      <c r="K373" t="s">
        <v>1847</v>
      </c>
      <c r="L373" t="s">
        <v>1851</v>
      </c>
      <c r="M373" s="1">
        <v>401359.14</v>
      </c>
      <c r="N373" t="s">
        <v>1858</v>
      </c>
      <c r="O373">
        <v>0</v>
      </c>
      <c r="P373" s="1">
        <v>98694.87</v>
      </c>
      <c r="S373" s="6" t="str">
        <f t="shared" si="5"/>
        <v xml:space="preserve"> </v>
      </c>
      <c r="T373" s="6">
        <f>IF(IF(COUNTIF(H$2:$H373,H373)=1,1,"")=1,SUMIF($H$2:$H$7997,H373,$S$2:$S$7997),"")</f>
        <v>0</v>
      </c>
      <c r="W373">
        <v>0</v>
      </c>
      <c r="X373">
        <v>0</v>
      </c>
      <c r="Y373">
        <v>0</v>
      </c>
      <c r="Z373">
        <v>0</v>
      </c>
      <c r="AA373" s="2">
        <v>1</v>
      </c>
      <c r="AB373" s="2">
        <v>0</v>
      </c>
      <c r="AC373" s="2">
        <v>0</v>
      </c>
      <c r="AD373">
        <v>0</v>
      </c>
      <c r="AE373" t="s">
        <v>1863</v>
      </c>
      <c r="AF373">
        <v>98694.87</v>
      </c>
      <c r="AG373">
        <v>0</v>
      </c>
      <c r="AH373">
        <v>401359.14</v>
      </c>
      <c r="AI373" s="1" t="s">
        <v>432</v>
      </c>
      <c r="AJ373">
        <v>268217</v>
      </c>
      <c r="AK373" s="1" t="s">
        <v>1867</v>
      </c>
      <c r="AL373" t="s">
        <v>2037</v>
      </c>
      <c r="AN373" t="s">
        <v>2055</v>
      </c>
      <c r="AO373" t="s">
        <v>2067</v>
      </c>
      <c r="AP373" t="s">
        <v>2119</v>
      </c>
      <c r="AQ373">
        <v>127091</v>
      </c>
      <c r="AR373" s="3">
        <v>46203</v>
      </c>
      <c r="AS373" s="3">
        <v>46143</v>
      </c>
      <c r="AT373" s="3">
        <v>46203</v>
      </c>
      <c r="AU373" t="s">
        <v>2130</v>
      </c>
      <c r="AW373" s="3">
        <v>46208.53701449134</v>
      </c>
    </row>
    <row r="374" spans="1:49" ht="16" hidden="1" x14ac:dyDescent="0.2">
      <c r="A374" t="s">
        <v>71</v>
      </c>
      <c r="B374">
        <v>10358</v>
      </c>
      <c r="C374">
        <v>2612</v>
      </c>
      <c r="D374" t="s">
        <v>136</v>
      </c>
      <c r="E374" t="s">
        <v>264</v>
      </c>
      <c r="F374">
        <v>266704</v>
      </c>
      <c r="G374" t="s">
        <v>492</v>
      </c>
      <c r="H374">
        <v>580930</v>
      </c>
      <c r="I374" t="s">
        <v>990</v>
      </c>
      <c r="J374">
        <v>93429289</v>
      </c>
      <c r="K374" t="s">
        <v>1839</v>
      </c>
      <c r="L374" t="s">
        <v>1851</v>
      </c>
      <c r="M374" s="1">
        <v>40</v>
      </c>
      <c r="N374" t="s">
        <v>1858</v>
      </c>
      <c r="O374">
        <v>107143</v>
      </c>
      <c r="P374" s="1">
        <v>4285.71</v>
      </c>
      <c r="S374" s="6" t="str">
        <f t="shared" si="5"/>
        <v xml:space="preserve"> </v>
      </c>
      <c r="T374" s="6">
        <f>IF(IF(COUNTIF(H$2:$H374,H374)=1,1,"")=1,SUMIF($H$2:$H$7997,H374,$S$2:$S$7997),"")</f>
        <v>0</v>
      </c>
      <c r="W374">
        <v>252925</v>
      </c>
      <c r="X374">
        <v>252925</v>
      </c>
      <c r="Y374">
        <v>0</v>
      </c>
      <c r="Z374">
        <v>0</v>
      </c>
      <c r="AA374" s="2">
        <v>1</v>
      </c>
      <c r="AB374" s="2">
        <v>0</v>
      </c>
      <c r="AC374" s="2">
        <v>0</v>
      </c>
      <c r="AD374">
        <v>0</v>
      </c>
      <c r="AE374" t="s">
        <v>1863</v>
      </c>
      <c r="AF374">
        <v>4285.71</v>
      </c>
      <c r="AG374">
        <v>350000</v>
      </c>
      <c r="AH374">
        <v>14000</v>
      </c>
      <c r="AI374" s="1" t="s">
        <v>264</v>
      </c>
      <c r="AJ374">
        <v>93325745</v>
      </c>
      <c r="AK374" s="1" t="s">
        <v>1867</v>
      </c>
      <c r="AL374" t="s">
        <v>1902</v>
      </c>
      <c r="AN374" t="s">
        <v>2055</v>
      </c>
      <c r="AO374" t="s">
        <v>2067</v>
      </c>
      <c r="AP374" t="s">
        <v>2094</v>
      </c>
      <c r="AQ374">
        <v>125400</v>
      </c>
      <c r="AR374" s="3">
        <v>46203</v>
      </c>
      <c r="AS374" s="3">
        <v>46174</v>
      </c>
      <c r="AT374" s="3">
        <v>46222</v>
      </c>
      <c r="AU374" t="s">
        <v>2124</v>
      </c>
      <c r="AW374" s="3">
        <v>46208.53701449134</v>
      </c>
    </row>
    <row r="375" spans="1:49" ht="16" hidden="1" x14ac:dyDescent="0.2">
      <c r="A375" t="s">
        <v>71</v>
      </c>
      <c r="B375">
        <v>10358</v>
      </c>
      <c r="C375">
        <v>2612</v>
      </c>
      <c r="D375" t="s">
        <v>136</v>
      </c>
      <c r="E375" t="s">
        <v>264</v>
      </c>
      <c r="F375">
        <v>266704</v>
      </c>
      <c r="G375" t="s">
        <v>492</v>
      </c>
      <c r="H375">
        <v>580930</v>
      </c>
      <c r="I375" t="s">
        <v>987</v>
      </c>
      <c r="J375">
        <v>93325755</v>
      </c>
      <c r="K375" t="s">
        <v>1835</v>
      </c>
      <c r="L375" t="s">
        <v>1851</v>
      </c>
      <c r="M375" s="1">
        <v>40</v>
      </c>
      <c r="N375" t="s">
        <v>1858</v>
      </c>
      <c r="O375">
        <v>45918</v>
      </c>
      <c r="P375" s="1">
        <v>1836.73</v>
      </c>
      <c r="S375" s="6" t="str">
        <f t="shared" si="5"/>
        <v xml:space="preserve"> </v>
      </c>
      <c r="T375" s="6" t="str">
        <f>IF(IF(COUNTIF(H$2:$H375,H375)=1,1,"")=1,SUMIF($H$2:$H$7997,H375,$S$2:$S$7997),"")</f>
        <v/>
      </c>
      <c r="W375">
        <v>101995</v>
      </c>
      <c r="X375">
        <v>101995</v>
      </c>
      <c r="Y375">
        <v>0</v>
      </c>
      <c r="Z375">
        <v>0</v>
      </c>
      <c r="AA375" s="2">
        <v>1</v>
      </c>
      <c r="AB375" s="2">
        <v>0</v>
      </c>
      <c r="AC375" s="2">
        <v>0</v>
      </c>
      <c r="AD375">
        <v>0</v>
      </c>
      <c r="AE375" t="s">
        <v>1863</v>
      </c>
      <c r="AF375">
        <v>1836.73</v>
      </c>
      <c r="AG375">
        <v>150000</v>
      </c>
      <c r="AH375">
        <v>6000</v>
      </c>
      <c r="AI375" s="1" t="s">
        <v>264</v>
      </c>
      <c r="AJ375">
        <v>93325745</v>
      </c>
      <c r="AK375" s="1" t="s">
        <v>1867</v>
      </c>
      <c r="AL375" t="s">
        <v>1902</v>
      </c>
      <c r="AN375" t="s">
        <v>2055</v>
      </c>
      <c r="AO375" t="s">
        <v>2067</v>
      </c>
      <c r="AP375" t="s">
        <v>2092</v>
      </c>
      <c r="AQ375">
        <v>125400</v>
      </c>
      <c r="AR375" s="3">
        <v>46203</v>
      </c>
      <c r="AS375" s="3">
        <v>46174</v>
      </c>
      <c r="AT375" s="3">
        <v>46222</v>
      </c>
      <c r="AU375" t="s">
        <v>2123</v>
      </c>
      <c r="AW375" s="3">
        <v>46208.53701449134</v>
      </c>
    </row>
    <row r="376" spans="1:49" ht="16" hidden="1" x14ac:dyDescent="0.2">
      <c r="A376" t="s">
        <v>71</v>
      </c>
      <c r="B376">
        <v>10358</v>
      </c>
      <c r="C376">
        <v>2612</v>
      </c>
      <c r="D376" t="s">
        <v>136</v>
      </c>
      <c r="E376" t="s">
        <v>264</v>
      </c>
      <c r="F376">
        <v>266704</v>
      </c>
      <c r="G376" t="s">
        <v>493</v>
      </c>
      <c r="H376">
        <v>580933</v>
      </c>
      <c r="I376" t="s">
        <v>988</v>
      </c>
      <c r="J376">
        <v>93325758</v>
      </c>
      <c r="K376" t="s">
        <v>1835</v>
      </c>
      <c r="L376" t="s">
        <v>1850</v>
      </c>
      <c r="M376" s="1">
        <v>25</v>
      </c>
      <c r="N376" t="s">
        <v>1853</v>
      </c>
      <c r="O376">
        <v>734519</v>
      </c>
      <c r="P376" s="1">
        <v>12494.79</v>
      </c>
      <c r="S376" s="6" t="str">
        <f t="shared" si="5"/>
        <v xml:space="preserve"> </v>
      </c>
      <c r="T376" s="6">
        <f>IF(IF(COUNTIF(H$2:$H376,H376)=1,1,"")=1,SUMIF($H$2:$H$7997,H376,$S$2:$S$7997),"")</f>
        <v>0</v>
      </c>
      <c r="W376">
        <v>499010</v>
      </c>
      <c r="X376">
        <v>613657</v>
      </c>
      <c r="Y376">
        <v>597291</v>
      </c>
      <c r="Z376">
        <v>734519</v>
      </c>
      <c r="AA376" s="2">
        <v>1</v>
      </c>
      <c r="AB376" s="2">
        <v>1.196953957073573</v>
      </c>
      <c r="AC376" s="2">
        <v>0</v>
      </c>
      <c r="AD376">
        <v>0</v>
      </c>
      <c r="AE376" t="s">
        <v>1863</v>
      </c>
      <c r="AF376">
        <v>12494.79</v>
      </c>
      <c r="AG376">
        <v>2000000</v>
      </c>
      <c r="AH376">
        <v>50000</v>
      </c>
      <c r="AI376" s="1" t="s">
        <v>264</v>
      </c>
      <c r="AJ376">
        <v>93325745</v>
      </c>
      <c r="AK376" s="1" t="s">
        <v>1867</v>
      </c>
      <c r="AL376" t="s">
        <v>1902</v>
      </c>
      <c r="AN376" t="s">
        <v>2055</v>
      </c>
      <c r="AO376" t="s">
        <v>2067</v>
      </c>
      <c r="AP376" t="s">
        <v>2091</v>
      </c>
      <c r="AQ376">
        <v>125400</v>
      </c>
      <c r="AR376" s="3">
        <v>46203</v>
      </c>
      <c r="AS376" s="3">
        <v>46125</v>
      </c>
      <c r="AT376" s="3">
        <v>46222</v>
      </c>
      <c r="AU376" t="s">
        <v>2123</v>
      </c>
      <c r="AW376" s="3">
        <v>46208.53701449134</v>
      </c>
    </row>
    <row r="377" spans="1:49" ht="16" hidden="1" x14ac:dyDescent="0.2">
      <c r="A377" t="s">
        <v>71</v>
      </c>
      <c r="B377">
        <v>10358</v>
      </c>
      <c r="C377">
        <v>2612</v>
      </c>
      <c r="D377" t="s">
        <v>136</v>
      </c>
      <c r="E377" t="s">
        <v>264</v>
      </c>
      <c r="F377">
        <v>266704</v>
      </c>
      <c r="G377" t="s">
        <v>491</v>
      </c>
      <c r="H377">
        <v>580935</v>
      </c>
      <c r="I377" t="s">
        <v>986</v>
      </c>
      <c r="J377">
        <v>93325752</v>
      </c>
      <c r="K377" t="s">
        <v>1839</v>
      </c>
      <c r="L377" t="s">
        <v>1850</v>
      </c>
      <c r="M377" s="1">
        <v>20</v>
      </c>
      <c r="N377" t="s">
        <v>1855</v>
      </c>
      <c r="O377">
        <v>818606</v>
      </c>
      <c r="P377" s="1">
        <v>11995</v>
      </c>
      <c r="S377" s="6" t="str">
        <f t="shared" si="5"/>
        <v xml:space="preserve"> </v>
      </c>
      <c r="T377" s="6">
        <f>IF(IF(COUNTIF(H$2:$H377,H377)=1,1,"")=1,SUMIF($H$2:$H$7997,H377,$S$2:$S$7997),"")</f>
        <v>0</v>
      </c>
      <c r="W377">
        <v>741492</v>
      </c>
      <c r="X377">
        <v>818606</v>
      </c>
      <c r="Y377">
        <v>0</v>
      </c>
      <c r="Z377">
        <v>0</v>
      </c>
      <c r="AA377" s="2">
        <v>1</v>
      </c>
      <c r="AB377" s="2">
        <v>0</v>
      </c>
      <c r="AC377" s="2">
        <v>0</v>
      </c>
      <c r="AD377">
        <v>0</v>
      </c>
      <c r="AE377" t="s">
        <v>1863</v>
      </c>
      <c r="AF377">
        <v>11995</v>
      </c>
      <c r="AG377">
        <v>2400000</v>
      </c>
      <c r="AH377">
        <v>48000</v>
      </c>
      <c r="AI377" s="1" t="s">
        <v>264</v>
      </c>
      <c r="AJ377">
        <v>93325745</v>
      </c>
      <c r="AK377" s="1" t="s">
        <v>1868</v>
      </c>
      <c r="AL377" t="s">
        <v>1902</v>
      </c>
      <c r="AN377" t="s">
        <v>2055</v>
      </c>
      <c r="AO377" t="s">
        <v>2067</v>
      </c>
      <c r="AP377" t="s">
        <v>2093</v>
      </c>
      <c r="AQ377">
        <v>125400</v>
      </c>
      <c r="AR377" s="3">
        <v>46203</v>
      </c>
      <c r="AS377" s="3">
        <v>46125</v>
      </c>
      <c r="AT377" s="3">
        <v>46222</v>
      </c>
      <c r="AU377" t="s">
        <v>2124</v>
      </c>
      <c r="AW377" s="3">
        <v>46208.53701449134</v>
      </c>
    </row>
    <row r="378" spans="1:49" ht="16" hidden="1" x14ac:dyDescent="0.2">
      <c r="A378" t="s">
        <v>71</v>
      </c>
      <c r="B378">
        <v>10358</v>
      </c>
      <c r="C378">
        <v>2612</v>
      </c>
      <c r="D378" t="s">
        <v>136</v>
      </c>
      <c r="E378" t="s">
        <v>264</v>
      </c>
      <c r="F378">
        <v>266704</v>
      </c>
      <c r="G378" t="s">
        <v>491</v>
      </c>
      <c r="H378">
        <v>580935</v>
      </c>
      <c r="I378" t="s">
        <v>985</v>
      </c>
      <c r="J378">
        <v>93325748</v>
      </c>
      <c r="K378" t="s">
        <v>1840</v>
      </c>
      <c r="L378" t="s">
        <v>1850</v>
      </c>
      <c r="M378" s="1">
        <v>20</v>
      </c>
      <c r="N378" t="s">
        <v>1855</v>
      </c>
      <c r="O378">
        <v>536448</v>
      </c>
      <c r="P378" s="1">
        <v>7996.67</v>
      </c>
      <c r="S378" s="6" t="str">
        <f t="shared" si="5"/>
        <v xml:space="preserve"> </v>
      </c>
      <c r="T378" s="6" t="str">
        <f>IF(IF(COUNTIF(H$2:$H378,H378)=1,1,"")=1,SUMIF($H$2:$H$7997,H378,$S$2:$S$7997),"")</f>
        <v/>
      </c>
      <c r="W378">
        <v>475169</v>
      </c>
      <c r="X378">
        <v>536448</v>
      </c>
      <c r="Y378">
        <v>0</v>
      </c>
      <c r="Z378">
        <v>0</v>
      </c>
      <c r="AA378" s="2">
        <v>1</v>
      </c>
      <c r="AB378" s="2">
        <v>0</v>
      </c>
      <c r="AC378" s="2">
        <v>0</v>
      </c>
      <c r="AD378">
        <v>0</v>
      </c>
      <c r="AE378" t="s">
        <v>1863</v>
      </c>
      <c r="AF378">
        <v>7996.67</v>
      </c>
      <c r="AG378">
        <v>1600000</v>
      </c>
      <c r="AH378">
        <v>32000</v>
      </c>
      <c r="AI378" s="1" t="s">
        <v>264</v>
      </c>
      <c r="AJ378">
        <v>93325745</v>
      </c>
      <c r="AK378" s="1" t="s">
        <v>1868</v>
      </c>
      <c r="AL378" t="s">
        <v>1902</v>
      </c>
      <c r="AN378" t="s">
        <v>2055</v>
      </c>
      <c r="AO378" t="s">
        <v>2067</v>
      </c>
      <c r="AP378" t="s">
        <v>2083</v>
      </c>
      <c r="AQ378">
        <v>125400</v>
      </c>
      <c r="AR378" s="3">
        <v>46203</v>
      </c>
      <c r="AS378" s="3">
        <v>46125</v>
      </c>
      <c r="AT378" s="3">
        <v>46222</v>
      </c>
      <c r="AU378" t="s">
        <v>2123</v>
      </c>
      <c r="AW378" s="3">
        <v>46208.53701449134</v>
      </c>
    </row>
    <row r="379" spans="1:49" ht="16" hidden="1" x14ac:dyDescent="0.2">
      <c r="A379" t="s">
        <v>71</v>
      </c>
      <c r="B379">
        <v>10358</v>
      </c>
      <c r="C379">
        <v>2612</v>
      </c>
      <c r="D379" t="s">
        <v>136</v>
      </c>
      <c r="E379" t="s">
        <v>264</v>
      </c>
      <c r="F379">
        <v>266704</v>
      </c>
      <c r="G379" t="s">
        <v>856</v>
      </c>
      <c r="H379">
        <v>580938</v>
      </c>
      <c r="I379" t="s">
        <v>1787</v>
      </c>
      <c r="J379">
        <v>580939</v>
      </c>
      <c r="K379" t="s">
        <v>1846</v>
      </c>
      <c r="L379" t="s">
        <v>1851</v>
      </c>
      <c r="M379" s="1">
        <v>0.15</v>
      </c>
      <c r="N379" t="s">
        <v>1858</v>
      </c>
      <c r="O379">
        <v>412890267</v>
      </c>
      <c r="P379" s="1">
        <v>61933.54</v>
      </c>
      <c r="S379" s="6" t="str">
        <f t="shared" si="5"/>
        <v xml:space="preserve"> </v>
      </c>
      <c r="T379" s="6">
        <f>IF(IF(COUNTIF(H$2:$H379,H379)=1,1,"")=1,SUMIF($H$2:$H$7997,H379,$S$2:$S$7997),"")</f>
        <v>0</v>
      </c>
      <c r="W379">
        <v>0</v>
      </c>
      <c r="X379">
        <v>0</v>
      </c>
      <c r="Y379">
        <v>0</v>
      </c>
      <c r="Z379">
        <v>0</v>
      </c>
      <c r="AA379" s="2">
        <v>1</v>
      </c>
      <c r="AB379" s="2">
        <v>0</v>
      </c>
      <c r="AC379" s="2">
        <v>0</v>
      </c>
      <c r="AD379">
        <v>0</v>
      </c>
      <c r="AE379" t="s">
        <v>1863</v>
      </c>
      <c r="AF379">
        <v>61933.54</v>
      </c>
      <c r="AG379">
        <v>1407828</v>
      </c>
      <c r="AH379">
        <v>211174.2</v>
      </c>
      <c r="AI379" s="1" t="s">
        <v>264</v>
      </c>
      <c r="AJ379">
        <v>266704</v>
      </c>
      <c r="AK379" s="1" t="s">
        <v>1867</v>
      </c>
      <c r="AL379" t="s">
        <v>1902</v>
      </c>
      <c r="AN379" t="s">
        <v>2055</v>
      </c>
      <c r="AO379" t="s">
        <v>2067</v>
      </c>
      <c r="AP379" t="s">
        <v>2110</v>
      </c>
      <c r="AQ379">
        <v>125400</v>
      </c>
      <c r="AR379" s="3">
        <v>46203</v>
      </c>
      <c r="AS379" s="3">
        <v>46125</v>
      </c>
      <c r="AT379" s="3">
        <v>46222</v>
      </c>
      <c r="AU379" t="s">
        <v>2128</v>
      </c>
      <c r="AW379" s="3">
        <v>46208.53701449134</v>
      </c>
    </row>
    <row r="380" spans="1:49" ht="16" hidden="1" x14ac:dyDescent="0.2">
      <c r="A380" t="s">
        <v>71</v>
      </c>
      <c r="B380">
        <v>10358</v>
      </c>
      <c r="C380">
        <v>2612</v>
      </c>
      <c r="D380" t="s">
        <v>136</v>
      </c>
      <c r="E380" t="s">
        <v>264</v>
      </c>
      <c r="F380">
        <v>266704</v>
      </c>
      <c r="G380" t="s">
        <v>856</v>
      </c>
      <c r="H380">
        <v>580938</v>
      </c>
      <c r="I380" t="s">
        <v>1652</v>
      </c>
      <c r="J380">
        <v>580942</v>
      </c>
      <c r="K380" t="s">
        <v>1844</v>
      </c>
      <c r="L380" t="s">
        <v>1851</v>
      </c>
      <c r="M380" s="1">
        <v>0.15</v>
      </c>
      <c r="N380" t="s">
        <v>1858</v>
      </c>
      <c r="O380">
        <v>206444867</v>
      </c>
      <c r="P380" s="1">
        <v>30966.73</v>
      </c>
      <c r="S380" s="6" t="str">
        <f t="shared" si="5"/>
        <v xml:space="preserve"> </v>
      </c>
      <c r="T380" s="6" t="str">
        <f>IF(IF(COUNTIF(H$2:$H380,H380)=1,1,"")=1,SUMIF($H$2:$H$7997,H380,$S$2:$S$7997),"")</f>
        <v/>
      </c>
      <c r="W380">
        <v>0</v>
      </c>
      <c r="X380">
        <v>0</v>
      </c>
      <c r="Y380">
        <v>0</v>
      </c>
      <c r="Z380">
        <v>0</v>
      </c>
      <c r="AA380" s="2">
        <v>1</v>
      </c>
      <c r="AB380" s="2">
        <v>0</v>
      </c>
      <c r="AC380" s="2">
        <v>0</v>
      </c>
      <c r="AD380">
        <v>0</v>
      </c>
      <c r="AE380" t="s">
        <v>1863</v>
      </c>
      <c r="AF380">
        <v>30966.73</v>
      </c>
      <c r="AG380">
        <v>703913</v>
      </c>
      <c r="AH380">
        <v>105586.95</v>
      </c>
      <c r="AI380" s="1" t="s">
        <v>264</v>
      </c>
      <c r="AJ380">
        <v>266704</v>
      </c>
      <c r="AK380" s="1" t="s">
        <v>1867</v>
      </c>
      <c r="AL380" t="s">
        <v>1902</v>
      </c>
      <c r="AN380" t="s">
        <v>2055</v>
      </c>
      <c r="AO380" t="s">
        <v>2067</v>
      </c>
      <c r="AP380" t="s">
        <v>2107</v>
      </c>
      <c r="AQ380">
        <v>125400</v>
      </c>
      <c r="AR380" s="3">
        <v>46203</v>
      </c>
      <c r="AS380" s="3">
        <v>46125</v>
      </c>
      <c r="AT380" s="3">
        <v>46222</v>
      </c>
      <c r="AU380" t="s">
        <v>2127</v>
      </c>
      <c r="AW380" s="3">
        <v>46208.53701449134</v>
      </c>
    </row>
    <row r="381" spans="1:49" ht="16" hidden="1" x14ac:dyDescent="0.2">
      <c r="A381" t="s">
        <v>71</v>
      </c>
      <c r="B381">
        <v>10358</v>
      </c>
      <c r="C381">
        <v>2612</v>
      </c>
      <c r="D381" t="s">
        <v>136</v>
      </c>
      <c r="E381" t="s">
        <v>264</v>
      </c>
      <c r="F381">
        <v>266704</v>
      </c>
      <c r="G381" t="s">
        <v>856</v>
      </c>
      <c r="H381">
        <v>580938</v>
      </c>
      <c r="I381" t="s">
        <v>1736</v>
      </c>
      <c r="J381">
        <v>580940</v>
      </c>
      <c r="K381" t="s">
        <v>1847</v>
      </c>
      <c r="L381" t="s">
        <v>1851</v>
      </c>
      <c r="M381" s="1">
        <v>125000</v>
      </c>
      <c r="N381" t="s">
        <v>1858</v>
      </c>
      <c r="O381">
        <v>0</v>
      </c>
      <c r="P381" s="1">
        <v>36660.22</v>
      </c>
      <c r="S381" s="6" t="str">
        <f t="shared" si="5"/>
        <v xml:space="preserve"> </v>
      </c>
      <c r="T381" s="6" t="str">
        <f>IF(IF(COUNTIF(H$2:$H381,H381)=1,1,"")=1,SUMIF($H$2:$H$7997,H381,$S$2:$S$7997),"")</f>
        <v/>
      </c>
      <c r="W381">
        <v>0</v>
      </c>
      <c r="X381">
        <v>0</v>
      </c>
      <c r="Y381">
        <v>0</v>
      </c>
      <c r="Z381">
        <v>0</v>
      </c>
      <c r="AA381" s="2">
        <v>1</v>
      </c>
      <c r="AB381" s="2">
        <v>0</v>
      </c>
      <c r="AC381" s="2">
        <v>0</v>
      </c>
      <c r="AD381">
        <v>0</v>
      </c>
      <c r="AE381" t="s">
        <v>1863</v>
      </c>
      <c r="AF381">
        <v>36660.22</v>
      </c>
      <c r="AG381">
        <v>0</v>
      </c>
      <c r="AH381">
        <v>125000</v>
      </c>
      <c r="AI381" s="1" t="s">
        <v>264</v>
      </c>
      <c r="AJ381">
        <v>266704</v>
      </c>
      <c r="AK381" s="1" t="s">
        <v>1867</v>
      </c>
      <c r="AL381" t="s">
        <v>1902</v>
      </c>
      <c r="AN381" t="s">
        <v>2055</v>
      </c>
      <c r="AO381" t="s">
        <v>2067</v>
      </c>
      <c r="AP381" t="s">
        <v>2112</v>
      </c>
      <c r="AQ381">
        <v>125400</v>
      </c>
      <c r="AR381" s="3">
        <v>46203</v>
      </c>
      <c r="AS381" s="3">
        <v>46125</v>
      </c>
      <c r="AT381" s="3">
        <v>46222</v>
      </c>
      <c r="AU381" t="s">
        <v>2130</v>
      </c>
      <c r="AW381" s="3">
        <v>46208.53701449134</v>
      </c>
    </row>
    <row r="382" spans="1:49" ht="16" hidden="1" x14ac:dyDescent="0.2">
      <c r="A382" t="s">
        <v>71</v>
      </c>
      <c r="B382">
        <v>10358</v>
      </c>
      <c r="C382">
        <v>2612</v>
      </c>
      <c r="D382" t="s">
        <v>136</v>
      </c>
      <c r="E382" t="s">
        <v>264</v>
      </c>
      <c r="F382">
        <v>266704</v>
      </c>
      <c r="G382" t="s">
        <v>856</v>
      </c>
      <c r="H382">
        <v>580938</v>
      </c>
      <c r="I382" t="s">
        <v>1719</v>
      </c>
      <c r="J382">
        <v>580941</v>
      </c>
      <c r="K382" t="s">
        <v>1835</v>
      </c>
      <c r="L382" t="s">
        <v>1851</v>
      </c>
      <c r="M382" s="1">
        <v>0.15</v>
      </c>
      <c r="N382" t="s">
        <v>1858</v>
      </c>
      <c r="O382">
        <v>206444867</v>
      </c>
      <c r="P382" s="1">
        <v>30966.73</v>
      </c>
      <c r="S382" s="6" t="str">
        <f t="shared" si="5"/>
        <v xml:space="preserve"> </v>
      </c>
      <c r="T382" s="6" t="str">
        <f>IF(IF(COUNTIF(H$2:$H382,H382)=1,1,"")=1,SUMIF($H$2:$H$7997,H382,$S$2:$S$7997),"")</f>
        <v/>
      </c>
      <c r="W382">
        <v>0</v>
      </c>
      <c r="X382">
        <v>0</v>
      </c>
      <c r="Y382">
        <v>0</v>
      </c>
      <c r="Z382">
        <v>0</v>
      </c>
      <c r="AA382" s="2">
        <v>1</v>
      </c>
      <c r="AB382" s="2">
        <v>0</v>
      </c>
      <c r="AC382" s="2">
        <v>0</v>
      </c>
      <c r="AD382">
        <v>0</v>
      </c>
      <c r="AE382" t="s">
        <v>1863</v>
      </c>
      <c r="AF382">
        <v>30966.73</v>
      </c>
      <c r="AG382">
        <v>703913</v>
      </c>
      <c r="AH382">
        <v>105586.95</v>
      </c>
      <c r="AI382" s="1" t="s">
        <v>264</v>
      </c>
      <c r="AJ382">
        <v>266704</v>
      </c>
      <c r="AK382" s="1" t="s">
        <v>1867</v>
      </c>
      <c r="AL382" t="s">
        <v>1902</v>
      </c>
      <c r="AN382" t="s">
        <v>2055</v>
      </c>
      <c r="AO382" t="s">
        <v>2067</v>
      </c>
      <c r="AP382" t="s">
        <v>2109</v>
      </c>
      <c r="AQ382">
        <v>125400</v>
      </c>
      <c r="AR382" s="3">
        <v>46203</v>
      </c>
      <c r="AS382" s="3">
        <v>46125</v>
      </c>
      <c r="AT382" s="3">
        <v>46222</v>
      </c>
      <c r="AU382" t="s">
        <v>2129</v>
      </c>
      <c r="AW382" s="3">
        <v>46208.53701449134</v>
      </c>
    </row>
    <row r="383" spans="1:49" ht="16" hidden="1" x14ac:dyDescent="0.2">
      <c r="A383" t="s">
        <v>71</v>
      </c>
      <c r="B383">
        <v>10358</v>
      </c>
      <c r="C383">
        <v>2612</v>
      </c>
      <c r="D383" t="s">
        <v>136</v>
      </c>
      <c r="E383" t="s">
        <v>263</v>
      </c>
      <c r="F383">
        <v>266711</v>
      </c>
      <c r="G383" t="s">
        <v>490</v>
      </c>
      <c r="H383">
        <v>581007</v>
      </c>
      <c r="I383" t="s">
        <v>989</v>
      </c>
      <c r="J383">
        <v>93329241</v>
      </c>
      <c r="K383" t="s">
        <v>1839</v>
      </c>
      <c r="L383" t="s">
        <v>1851</v>
      </c>
      <c r="M383" s="1">
        <v>40</v>
      </c>
      <c r="N383" t="s">
        <v>1858</v>
      </c>
      <c r="O383">
        <v>107143</v>
      </c>
      <c r="P383" s="1">
        <v>4285.71</v>
      </c>
      <c r="S383" s="6" t="str">
        <f t="shared" si="5"/>
        <v xml:space="preserve"> </v>
      </c>
      <c r="T383" s="6">
        <f>IF(IF(COUNTIF(H$2:$H383,H383)=1,1,"")=1,SUMIF($H$2:$H$7997,H383,$S$2:$S$7997),"")</f>
        <v>0</v>
      </c>
      <c r="W383">
        <v>227350</v>
      </c>
      <c r="X383">
        <v>227350</v>
      </c>
      <c r="Y383">
        <v>0</v>
      </c>
      <c r="Z383">
        <v>0</v>
      </c>
      <c r="AA383" s="2">
        <v>1</v>
      </c>
      <c r="AB383" s="2">
        <v>0</v>
      </c>
      <c r="AC383" s="2">
        <v>0</v>
      </c>
      <c r="AD383">
        <v>0</v>
      </c>
      <c r="AE383" t="s">
        <v>1863</v>
      </c>
      <c r="AF383">
        <v>4285.71</v>
      </c>
      <c r="AG383">
        <v>350000</v>
      </c>
      <c r="AH383">
        <v>14000</v>
      </c>
      <c r="AI383" s="1" t="s">
        <v>263</v>
      </c>
      <c r="AJ383">
        <v>93259266</v>
      </c>
      <c r="AK383" s="1" t="s">
        <v>1867</v>
      </c>
      <c r="AL383" t="s">
        <v>1901</v>
      </c>
      <c r="AN383" t="s">
        <v>2055</v>
      </c>
      <c r="AO383" t="s">
        <v>2067</v>
      </c>
      <c r="AP383" t="s">
        <v>2094</v>
      </c>
      <c r="AQ383">
        <v>125118</v>
      </c>
      <c r="AR383" s="3">
        <v>46203</v>
      </c>
      <c r="AS383" s="3">
        <v>46174</v>
      </c>
      <c r="AT383" s="3">
        <v>46222</v>
      </c>
      <c r="AU383" t="s">
        <v>2124</v>
      </c>
      <c r="AW383" s="3">
        <v>46208.53701449134</v>
      </c>
    </row>
    <row r="384" spans="1:49" ht="16" hidden="1" x14ac:dyDescent="0.2">
      <c r="A384" t="s">
        <v>71</v>
      </c>
      <c r="B384">
        <v>10358</v>
      </c>
      <c r="C384">
        <v>2612</v>
      </c>
      <c r="D384" t="s">
        <v>136</v>
      </c>
      <c r="E384" t="s">
        <v>263</v>
      </c>
      <c r="F384">
        <v>266711</v>
      </c>
      <c r="G384" t="s">
        <v>490</v>
      </c>
      <c r="H384">
        <v>581007</v>
      </c>
      <c r="I384" t="s">
        <v>983</v>
      </c>
      <c r="J384">
        <v>93259284</v>
      </c>
      <c r="K384" t="s">
        <v>1835</v>
      </c>
      <c r="L384" t="s">
        <v>1851</v>
      </c>
      <c r="M384" s="1">
        <v>40</v>
      </c>
      <c r="N384" t="s">
        <v>1858</v>
      </c>
      <c r="O384">
        <v>45918</v>
      </c>
      <c r="P384" s="1">
        <v>1836.73</v>
      </c>
      <c r="S384" s="6" t="str">
        <f t="shared" si="5"/>
        <v xml:space="preserve"> </v>
      </c>
      <c r="T384" s="6" t="str">
        <f>IF(IF(COUNTIF(H$2:$H384,H384)=1,1,"")=1,SUMIF($H$2:$H$7997,H384,$S$2:$S$7997),"")</f>
        <v/>
      </c>
      <c r="W384">
        <v>102026</v>
      </c>
      <c r="X384">
        <v>102026</v>
      </c>
      <c r="Y384">
        <v>0</v>
      </c>
      <c r="Z384">
        <v>0</v>
      </c>
      <c r="AA384" s="2">
        <v>1</v>
      </c>
      <c r="AB384" s="2">
        <v>0</v>
      </c>
      <c r="AC384" s="2">
        <v>0</v>
      </c>
      <c r="AD384">
        <v>0</v>
      </c>
      <c r="AE384" t="s">
        <v>1863</v>
      </c>
      <c r="AF384">
        <v>1836.73</v>
      </c>
      <c r="AG384">
        <v>150000</v>
      </c>
      <c r="AH384">
        <v>6000</v>
      </c>
      <c r="AI384" s="1" t="s">
        <v>263</v>
      </c>
      <c r="AJ384">
        <v>93259266</v>
      </c>
      <c r="AK384" s="1" t="s">
        <v>1867</v>
      </c>
      <c r="AL384" t="s">
        <v>1901</v>
      </c>
      <c r="AN384" t="s">
        <v>2055</v>
      </c>
      <c r="AO384" t="s">
        <v>2067</v>
      </c>
      <c r="AP384" t="s">
        <v>2092</v>
      </c>
      <c r="AQ384">
        <v>125118</v>
      </c>
      <c r="AR384" s="3">
        <v>46203</v>
      </c>
      <c r="AS384" s="3">
        <v>46174</v>
      </c>
      <c r="AT384" s="3">
        <v>46222</v>
      </c>
      <c r="AU384" t="s">
        <v>2123</v>
      </c>
      <c r="AW384" s="3">
        <v>46208.53701449134</v>
      </c>
    </row>
    <row r="385" spans="1:49" ht="16" hidden="1" x14ac:dyDescent="0.2">
      <c r="A385" t="s">
        <v>71</v>
      </c>
      <c r="B385">
        <v>10358</v>
      </c>
      <c r="C385">
        <v>2612</v>
      </c>
      <c r="D385" t="s">
        <v>136</v>
      </c>
      <c r="E385" t="s">
        <v>263</v>
      </c>
      <c r="F385">
        <v>266711</v>
      </c>
      <c r="G385" t="s">
        <v>488</v>
      </c>
      <c r="H385">
        <v>581010</v>
      </c>
      <c r="I385" t="s">
        <v>981</v>
      </c>
      <c r="J385">
        <v>93259271</v>
      </c>
      <c r="K385" t="s">
        <v>1835</v>
      </c>
      <c r="L385" t="s">
        <v>1850</v>
      </c>
      <c r="M385" s="1">
        <v>25</v>
      </c>
      <c r="N385" t="s">
        <v>1853</v>
      </c>
      <c r="O385">
        <v>542133</v>
      </c>
      <c r="P385" s="1">
        <v>6276.41</v>
      </c>
      <c r="S385" s="6" t="str">
        <f t="shared" si="5"/>
        <v xml:space="preserve"> </v>
      </c>
      <c r="T385" s="6">
        <f>IF(IF(COUNTIF(H$2:$H385,H385)=1,1,"")=1,SUMIF($H$2:$H$7997,H385,$S$2:$S$7997),"")</f>
        <v>0</v>
      </c>
      <c r="W385">
        <v>424995</v>
      </c>
      <c r="X385">
        <v>461154</v>
      </c>
      <c r="Y385">
        <v>499624</v>
      </c>
      <c r="Z385">
        <v>542133</v>
      </c>
      <c r="AA385" s="2">
        <v>1</v>
      </c>
      <c r="AB385" s="2">
        <v>1.1756016168452721</v>
      </c>
      <c r="AC385" s="2">
        <v>0</v>
      </c>
      <c r="AD385">
        <v>0</v>
      </c>
      <c r="AE385" t="s">
        <v>1863</v>
      </c>
      <c r="AF385">
        <v>6276.41</v>
      </c>
      <c r="AG385">
        <v>1800000</v>
      </c>
      <c r="AH385">
        <v>45000</v>
      </c>
      <c r="AI385" s="1" t="s">
        <v>263</v>
      </c>
      <c r="AJ385">
        <v>93259266</v>
      </c>
      <c r="AK385" s="1" t="s">
        <v>1867</v>
      </c>
      <c r="AL385" t="s">
        <v>1901</v>
      </c>
      <c r="AN385" t="s">
        <v>2055</v>
      </c>
      <c r="AO385" t="s">
        <v>2067</v>
      </c>
      <c r="AP385" t="s">
        <v>2091</v>
      </c>
      <c r="AQ385">
        <v>125118</v>
      </c>
      <c r="AR385" s="3">
        <v>46203</v>
      </c>
      <c r="AS385" s="3">
        <v>46113</v>
      </c>
      <c r="AT385" s="3">
        <v>46222</v>
      </c>
      <c r="AU385" t="s">
        <v>2123</v>
      </c>
      <c r="AW385" s="3">
        <v>46208.53701449134</v>
      </c>
    </row>
    <row r="386" spans="1:49" ht="16" hidden="1" x14ac:dyDescent="0.2">
      <c r="A386" t="s">
        <v>71</v>
      </c>
      <c r="B386">
        <v>10358</v>
      </c>
      <c r="C386">
        <v>2612</v>
      </c>
      <c r="D386" t="s">
        <v>136</v>
      </c>
      <c r="E386" t="s">
        <v>263</v>
      </c>
      <c r="F386">
        <v>266711</v>
      </c>
      <c r="G386" t="s">
        <v>489</v>
      </c>
      <c r="H386">
        <v>581011</v>
      </c>
      <c r="I386" t="s">
        <v>984</v>
      </c>
      <c r="J386">
        <v>93259296</v>
      </c>
      <c r="K386" t="s">
        <v>1839</v>
      </c>
      <c r="L386" t="s">
        <v>1850</v>
      </c>
      <c r="M386" s="1">
        <v>20</v>
      </c>
      <c r="N386" t="s">
        <v>1855</v>
      </c>
      <c r="O386">
        <v>971573</v>
      </c>
      <c r="P386" s="1">
        <v>2755.1</v>
      </c>
      <c r="S386" s="6" t="str">
        <f t="shared" si="5"/>
        <v xml:space="preserve"> </v>
      </c>
      <c r="T386" s="6">
        <f>IF(IF(COUNTIF(H$2:$H386,H386)=1,1,"")=1,SUMIF($H$2:$H$7997,H386,$S$2:$S$7997),"")</f>
        <v>0</v>
      </c>
      <c r="W386">
        <v>809543</v>
      </c>
      <c r="X386">
        <v>971573</v>
      </c>
      <c r="Y386">
        <v>0</v>
      </c>
      <c r="Z386">
        <v>0</v>
      </c>
      <c r="AA386" s="2">
        <v>1</v>
      </c>
      <c r="AB386" s="2">
        <v>0</v>
      </c>
      <c r="AC386" s="2">
        <v>0</v>
      </c>
      <c r="AD386">
        <v>0</v>
      </c>
      <c r="AE386" t="s">
        <v>1863</v>
      </c>
      <c r="AF386">
        <v>2755.1</v>
      </c>
      <c r="AG386">
        <v>3150000</v>
      </c>
      <c r="AH386">
        <v>63000</v>
      </c>
      <c r="AI386" s="1" t="s">
        <v>263</v>
      </c>
      <c r="AJ386">
        <v>93259266</v>
      </c>
      <c r="AK386" s="1" t="s">
        <v>1868</v>
      </c>
      <c r="AL386" t="s">
        <v>1901</v>
      </c>
      <c r="AN386" t="s">
        <v>2055</v>
      </c>
      <c r="AO386" t="s">
        <v>2067</v>
      </c>
      <c r="AP386" t="s">
        <v>2093</v>
      </c>
      <c r="AQ386">
        <v>125118</v>
      </c>
      <c r="AR386" s="3">
        <v>46203</v>
      </c>
      <c r="AS386" s="3">
        <v>46113</v>
      </c>
      <c r="AT386" s="3">
        <v>46222</v>
      </c>
      <c r="AU386" t="s">
        <v>2124</v>
      </c>
      <c r="AW386" s="3">
        <v>46208.53701449134</v>
      </c>
    </row>
    <row r="387" spans="1:49" ht="16" hidden="1" x14ac:dyDescent="0.2">
      <c r="A387" t="s">
        <v>71</v>
      </c>
      <c r="B387">
        <v>10358</v>
      </c>
      <c r="C387">
        <v>2612</v>
      </c>
      <c r="D387" t="s">
        <v>136</v>
      </c>
      <c r="E387" t="s">
        <v>263</v>
      </c>
      <c r="F387">
        <v>266711</v>
      </c>
      <c r="G387" t="s">
        <v>489</v>
      </c>
      <c r="H387">
        <v>581011</v>
      </c>
      <c r="I387" t="s">
        <v>982</v>
      </c>
      <c r="J387">
        <v>93259280</v>
      </c>
      <c r="K387" t="s">
        <v>1840</v>
      </c>
      <c r="L387" t="s">
        <v>1850</v>
      </c>
      <c r="M387" s="1">
        <v>20</v>
      </c>
      <c r="N387" t="s">
        <v>1855</v>
      </c>
      <c r="O387">
        <v>647098</v>
      </c>
      <c r="P387" s="1">
        <v>1836.73</v>
      </c>
      <c r="S387" s="6" t="str">
        <f t="shared" ref="S387:S450" si="6">IF(ISBLANK(R387)," ",ROUND(R387*(IF(ISBLANK(Q387),(M387/1000),(Q387/1000))),2))</f>
        <v xml:space="preserve"> </v>
      </c>
      <c r="T387" s="6" t="str">
        <f>IF(IF(COUNTIF(H$2:$H387,H387)=1,1,"")=1,SUMIF($H$2:$H$7997,H387,$S$2:$S$7997),"")</f>
        <v/>
      </c>
      <c r="W387">
        <v>566709</v>
      </c>
      <c r="X387">
        <v>647098</v>
      </c>
      <c r="Y387">
        <v>0</v>
      </c>
      <c r="Z387">
        <v>0</v>
      </c>
      <c r="AA387" s="2">
        <v>1</v>
      </c>
      <c r="AB387" s="2">
        <v>0</v>
      </c>
      <c r="AC387" s="2">
        <v>0</v>
      </c>
      <c r="AD387">
        <v>0</v>
      </c>
      <c r="AE387" t="s">
        <v>1863</v>
      </c>
      <c r="AF387">
        <v>1836.73</v>
      </c>
      <c r="AG387">
        <v>2100000</v>
      </c>
      <c r="AH387">
        <v>42000</v>
      </c>
      <c r="AI387" s="1" t="s">
        <v>263</v>
      </c>
      <c r="AJ387">
        <v>93259266</v>
      </c>
      <c r="AK387" s="1" t="s">
        <v>1868</v>
      </c>
      <c r="AL387" t="s">
        <v>1901</v>
      </c>
      <c r="AN387" t="s">
        <v>2055</v>
      </c>
      <c r="AO387" t="s">
        <v>2067</v>
      </c>
      <c r="AP387" t="s">
        <v>2083</v>
      </c>
      <c r="AQ387">
        <v>125118</v>
      </c>
      <c r="AR387" s="3">
        <v>46203</v>
      </c>
      <c r="AS387" s="3">
        <v>46113</v>
      </c>
      <c r="AT387" s="3">
        <v>46222</v>
      </c>
      <c r="AU387" t="s">
        <v>2123</v>
      </c>
      <c r="AW387" s="3">
        <v>46208.53701449134</v>
      </c>
    </row>
    <row r="388" spans="1:49" ht="16" hidden="1" x14ac:dyDescent="0.2">
      <c r="A388" t="s">
        <v>71</v>
      </c>
      <c r="B388">
        <v>10358</v>
      </c>
      <c r="C388">
        <v>2612</v>
      </c>
      <c r="D388" t="s">
        <v>136</v>
      </c>
      <c r="E388" t="s">
        <v>263</v>
      </c>
      <c r="F388">
        <v>266711</v>
      </c>
      <c r="G388" t="s">
        <v>854</v>
      </c>
      <c r="H388">
        <v>581015</v>
      </c>
      <c r="I388" t="s">
        <v>1804</v>
      </c>
      <c r="J388">
        <v>581016</v>
      </c>
      <c r="K388" t="s">
        <v>1846</v>
      </c>
      <c r="L388" t="s">
        <v>1851</v>
      </c>
      <c r="M388" s="1">
        <v>0.15</v>
      </c>
      <c r="N388" t="s">
        <v>1858</v>
      </c>
      <c r="O388">
        <v>264264467</v>
      </c>
      <c r="P388" s="1">
        <v>39639.67</v>
      </c>
      <c r="S388" s="6" t="str">
        <f t="shared" si="6"/>
        <v xml:space="preserve"> </v>
      </c>
      <c r="T388" s="6">
        <f>IF(IF(COUNTIF(H$2:$H388,H388)=1,1,"")=1,SUMIF($H$2:$H$7997,H388,$S$2:$S$7997),"")</f>
        <v>0</v>
      </c>
      <c r="W388">
        <v>0</v>
      </c>
      <c r="X388">
        <v>0</v>
      </c>
      <c r="Y388">
        <v>0</v>
      </c>
      <c r="Z388">
        <v>0</v>
      </c>
      <c r="AA388" s="2">
        <v>1</v>
      </c>
      <c r="AB388" s="2">
        <v>0</v>
      </c>
      <c r="AC388" s="2">
        <v>0</v>
      </c>
      <c r="AD388">
        <v>0</v>
      </c>
      <c r="AE388" t="s">
        <v>1863</v>
      </c>
      <c r="AF388">
        <v>39639.67</v>
      </c>
      <c r="AG388">
        <v>863264</v>
      </c>
      <c r="AH388">
        <v>129489.60000000001</v>
      </c>
      <c r="AI388" s="1" t="s">
        <v>263</v>
      </c>
      <c r="AJ388">
        <v>266711</v>
      </c>
      <c r="AK388" s="1" t="s">
        <v>1867</v>
      </c>
      <c r="AL388" t="s">
        <v>1901</v>
      </c>
      <c r="AN388" t="s">
        <v>2055</v>
      </c>
      <c r="AO388" t="s">
        <v>2067</v>
      </c>
      <c r="AP388" t="s">
        <v>2110</v>
      </c>
      <c r="AQ388">
        <v>125118</v>
      </c>
      <c r="AR388" s="3">
        <v>46203</v>
      </c>
      <c r="AS388" s="3">
        <v>46174</v>
      </c>
      <c r="AT388" s="3">
        <v>46222</v>
      </c>
      <c r="AU388" t="s">
        <v>2128</v>
      </c>
      <c r="AW388" s="3">
        <v>46208.53701449134</v>
      </c>
    </row>
    <row r="389" spans="1:49" ht="16" hidden="1" x14ac:dyDescent="0.2">
      <c r="A389" t="s">
        <v>71</v>
      </c>
      <c r="B389">
        <v>10358</v>
      </c>
      <c r="C389">
        <v>2612</v>
      </c>
      <c r="D389" t="s">
        <v>136</v>
      </c>
      <c r="E389" t="s">
        <v>263</v>
      </c>
      <c r="F389">
        <v>266711</v>
      </c>
      <c r="G389" t="s">
        <v>854</v>
      </c>
      <c r="H389">
        <v>581015</v>
      </c>
      <c r="I389" t="s">
        <v>1650</v>
      </c>
      <c r="J389">
        <v>581019</v>
      </c>
      <c r="K389" t="s">
        <v>1844</v>
      </c>
      <c r="L389" t="s">
        <v>1851</v>
      </c>
      <c r="M389" s="1">
        <v>0.15</v>
      </c>
      <c r="N389" t="s">
        <v>1858</v>
      </c>
      <c r="O389">
        <v>132132267</v>
      </c>
      <c r="P389" s="1">
        <v>19819.84</v>
      </c>
      <c r="S389" s="6" t="str">
        <f t="shared" si="6"/>
        <v xml:space="preserve"> </v>
      </c>
      <c r="T389" s="6" t="str">
        <f>IF(IF(COUNTIF(H$2:$H389,H389)=1,1,"")=1,SUMIF($H$2:$H$7997,H389,$S$2:$S$7997),"")</f>
        <v/>
      </c>
      <c r="W389">
        <v>0</v>
      </c>
      <c r="X389">
        <v>0</v>
      </c>
      <c r="Y389">
        <v>0</v>
      </c>
      <c r="Z389">
        <v>0</v>
      </c>
      <c r="AA389" s="2">
        <v>1</v>
      </c>
      <c r="AB389" s="2">
        <v>0</v>
      </c>
      <c r="AC389" s="2">
        <v>0</v>
      </c>
      <c r="AD389">
        <v>0</v>
      </c>
      <c r="AE389" t="s">
        <v>1863</v>
      </c>
      <c r="AF389">
        <v>19819.84</v>
      </c>
      <c r="AG389">
        <v>431632</v>
      </c>
      <c r="AH389">
        <v>64744.800000000003</v>
      </c>
      <c r="AI389" s="1" t="s">
        <v>263</v>
      </c>
      <c r="AJ389">
        <v>266711</v>
      </c>
      <c r="AK389" s="1" t="s">
        <v>1867</v>
      </c>
      <c r="AL389" t="s">
        <v>1901</v>
      </c>
      <c r="AN389" t="s">
        <v>2055</v>
      </c>
      <c r="AO389" t="s">
        <v>2067</v>
      </c>
      <c r="AP389" t="s">
        <v>2107</v>
      </c>
      <c r="AQ389">
        <v>125118</v>
      </c>
      <c r="AR389" s="3">
        <v>46203</v>
      </c>
      <c r="AS389" s="3">
        <v>46174</v>
      </c>
      <c r="AT389" s="3">
        <v>46222</v>
      </c>
      <c r="AU389" t="s">
        <v>2127</v>
      </c>
      <c r="AW389" s="3">
        <v>46208.53701449134</v>
      </c>
    </row>
    <row r="390" spans="1:49" ht="16" hidden="1" x14ac:dyDescent="0.2">
      <c r="A390" t="s">
        <v>71</v>
      </c>
      <c r="B390">
        <v>10358</v>
      </c>
      <c r="C390">
        <v>2612</v>
      </c>
      <c r="D390" t="s">
        <v>136</v>
      </c>
      <c r="E390" t="s">
        <v>263</v>
      </c>
      <c r="F390">
        <v>266711</v>
      </c>
      <c r="G390" t="s">
        <v>854</v>
      </c>
      <c r="H390">
        <v>581015</v>
      </c>
      <c r="I390" t="s">
        <v>1774</v>
      </c>
      <c r="J390">
        <v>581018</v>
      </c>
      <c r="K390" t="s">
        <v>1835</v>
      </c>
      <c r="L390" t="s">
        <v>1851</v>
      </c>
      <c r="M390" s="1">
        <v>0.15</v>
      </c>
      <c r="N390" t="s">
        <v>1858</v>
      </c>
      <c r="O390">
        <v>132132267</v>
      </c>
      <c r="P390" s="1">
        <v>19819.84</v>
      </c>
      <c r="S390" s="6" t="str">
        <f t="shared" si="6"/>
        <v xml:space="preserve"> </v>
      </c>
      <c r="T390" s="6" t="str">
        <f>IF(IF(COUNTIF(H$2:$H390,H390)=1,1,"")=1,SUMIF($H$2:$H$7997,H390,$S$2:$S$7997),"")</f>
        <v/>
      </c>
      <c r="W390">
        <v>0</v>
      </c>
      <c r="X390">
        <v>0</v>
      </c>
      <c r="Y390">
        <v>0</v>
      </c>
      <c r="Z390">
        <v>0</v>
      </c>
      <c r="AA390" s="2">
        <v>1</v>
      </c>
      <c r="AB390" s="2">
        <v>0</v>
      </c>
      <c r="AC390" s="2">
        <v>0</v>
      </c>
      <c r="AD390">
        <v>0</v>
      </c>
      <c r="AE390" t="s">
        <v>1863</v>
      </c>
      <c r="AF390">
        <v>19819.84</v>
      </c>
      <c r="AG390">
        <v>431632</v>
      </c>
      <c r="AH390">
        <v>64744.800000000003</v>
      </c>
      <c r="AI390" s="1" t="s">
        <v>263</v>
      </c>
      <c r="AJ390">
        <v>266711</v>
      </c>
      <c r="AK390" s="1" t="s">
        <v>1867</v>
      </c>
      <c r="AL390" t="s">
        <v>1901</v>
      </c>
      <c r="AN390" t="s">
        <v>2055</v>
      </c>
      <c r="AO390" t="s">
        <v>2067</v>
      </c>
      <c r="AP390" t="s">
        <v>2109</v>
      </c>
      <c r="AQ390">
        <v>125118</v>
      </c>
      <c r="AR390" s="3">
        <v>46203</v>
      </c>
      <c r="AS390" s="3">
        <v>46174</v>
      </c>
      <c r="AT390" s="3">
        <v>46222</v>
      </c>
      <c r="AU390" t="s">
        <v>2129</v>
      </c>
      <c r="AW390" s="3">
        <v>46208.53701449134</v>
      </c>
    </row>
    <row r="391" spans="1:49" ht="16" hidden="1" x14ac:dyDescent="0.2">
      <c r="A391" t="s">
        <v>71</v>
      </c>
      <c r="B391">
        <v>10358</v>
      </c>
      <c r="C391">
        <v>2612</v>
      </c>
      <c r="D391" t="s">
        <v>136</v>
      </c>
      <c r="E391" t="s">
        <v>261</v>
      </c>
      <c r="F391">
        <v>266710</v>
      </c>
      <c r="G391" t="s">
        <v>485</v>
      </c>
      <c r="H391">
        <v>580968</v>
      </c>
      <c r="I391" t="s">
        <v>976</v>
      </c>
      <c r="J391">
        <v>93156545</v>
      </c>
      <c r="K391" t="s">
        <v>1835</v>
      </c>
      <c r="L391" t="s">
        <v>1851</v>
      </c>
      <c r="M391" s="1">
        <v>40</v>
      </c>
      <c r="N391" t="s">
        <v>1858</v>
      </c>
      <c r="O391">
        <v>45918</v>
      </c>
      <c r="P391" s="1">
        <v>1836.73</v>
      </c>
      <c r="S391" s="6" t="str">
        <f t="shared" si="6"/>
        <v xml:space="preserve"> </v>
      </c>
      <c r="T391" s="6">
        <f>IF(IF(COUNTIF(H$2:$H391,H391)=1,1,"")=1,SUMIF($H$2:$H$7997,H391,$S$2:$S$7997),"")</f>
        <v>0</v>
      </c>
      <c r="W391">
        <v>102012</v>
      </c>
      <c r="X391">
        <v>102012</v>
      </c>
      <c r="Y391">
        <v>0</v>
      </c>
      <c r="Z391">
        <v>0</v>
      </c>
      <c r="AA391" s="2">
        <v>1</v>
      </c>
      <c r="AB391" s="2">
        <v>0</v>
      </c>
      <c r="AC391" s="2">
        <v>0</v>
      </c>
      <c r="AD391">
        <v>0</v>
      </c>
      <c r="AE391" t="s">
        <v>1863</v>
      </c>
      <c r="AF391">
        <v>1836.73</v>
      </c>
      <c r="AG391">
        <v>150000</v>
      </c>
      <c r="AH391">
        <v>6000</v>
      </c>
      <c r="AI391" s="1" t="s">
        <v>261</v>
      </c>
      <c r="AJ391">
        <v>93156534</v>
      </c>
      <c r="AK391" s="1" t="s">
        <v>1867</v>
      </c>
      <c r="AL391">
        <v>1</v>
      </c>
      <c r="AN391" t="s">
        <v>2055</v>
      </c>
      <c r="AO391" t="s">
        <v>2067</v>
      </c>
      <c r="AP391" t="s">
        <v>2092</v>
      </c>
      <c r="AQ391">
        <v>124455</v>
      </c>
      <c r="AR391" s="3">
        <v>46203</v>
      </c>
      <c r="AS391" s="3">
        <v>46174</v>
      </c>
      <c r="AT391" s="3">
        <v>46222</v>
      </c>
      <c r="AU391" t="s">
        <v>2123</v>
      </c>
      <c r="AW391" s="3">
        <v>46208.53701449134</v>
      </c>
    </row>
    <row r="392" spans="1:49" ht="16" hidden="1" x14ac:dyDescent="0.2">
      <c r="A392" t="s">
        <v>71</v>
      </c>
      <c r="B392">
        <v>10358</v>
      </c>
      <c r="C392">
        <v>2612</v>
      </c>
      <c r="D392" t="s">
        <v>136</v>
      </c>
      <c r="E392" t="s">
        <v>261</v>
      </c>
      <c r="F392">
        <v>266710</v>
      </c>
      <c r="G392" t="s">
        <v>485</v>
      </c>
      <c r="H392">
        <v>580968</v>
      </c>
      <c r="I392" t="s">
        <v>979</v>
      </c>
      <c r="J392">
        <v>93183067</v>
      </c>
      <c r="K392" t="s">
        <v>1839</v>
      </c>
      <c r="L392" t="s">
        <v>1851</v>
      </c>
      <c r="M392" s="1">
        <v>40</v>
      </c>
      <c r="N392" t="s">
        <v>1858</v>
      </c>
      <c r="O392">
        <v>107143</v>
      </c>
      <c r="P392" s="1">
        <v>4285.71</v>
      </c>
      <c r="S392" s="6" t="str">
        <f t="shared" si="6"/>
        <v xml:space="preserve"> </v>
      </c>
      <c r="T392" s="6" t="str">
        <f>IF(IF(COUNTIF(H$2:$H392,H392)=1,1,"")=1,SUMIF($H$2:$H$7997,H392,$S$2:$S$7997),"")</f>
        <v/>
      </c>
      <c r="W392">
        <v>227267</v>
      </c>
      <c r="X392">
        <v>227267</v>
      </c>
      <c r="Y392">
        <v>0</v>
      </c>
      <c r="Z392">
        <v>0</v>
      </c>
      <c r="AA392" s="2">
        <v>1</v>
      </c>
      <c r="AB392" s="2">
        <v>0</v>
      </c>
      <c r="AC392" s="2">
        <v>0</v>
      </c>
      <c r="AD392">
        <v>0</v>
      </c>
      <c r="AE392" t="s">
        <v>1863</v>
      </c>
      <c r="AF392">
        <v>4285.71</v>
      </c>
      <c r="AG392">
        <v>350000</v>
      </c>
      <c r="AH392">
        <v>14000</v>
      </c>
      <c r="AI392" s="1" t="s">
        <v>261</v>
      </c>
      <c r="AJ392">
        <v>93156534</v>
      </c>
      <c r="AK392" s="1" t="s">
        <v>1867</v>
      </c>
      <c r="AL392">
        <v>1</v>
      </c>
      <c r="AN392" t="s">
        <v>2055</v>
      </c>
      <c r="AO392" t="s">
        <v>2067</v>
      </c>
      <c r="AP392" t="s">
        <v>2094</v>
      </c>
      <c r="AQ392">
        <v>124455</v>
      </c>
      <c r="AR392" s="3">
        <v>46203</v>
      </c>
      <c r="AS392" s="3">
        <v>46174</v>
      </c>
      <c r="AT392" s="3">
        <v>46222</v>
      </c>
      <c r="AU392" t="s">
        <v>2124</v>
      </c>
      <c r="AW392" s="3">
        <v>46208.53701449134</v>
      </c>
    </row>
    <row r="393" spans="1:49" ht="16" hidden="1" x14ac:dyDescent="0.2">
      <c r="A393" t="s">
        <v>71</v>
      </c>
      <c r="B393">
        <v>10358</v>
      </c>
      <c r="C393">
        <v>2612</v>
      </c>
      <c r="D393" t="s">
        <v>136</v>
      </c>
      <c r="E393" t="s">
        <v>261</v>
      </c>
      <c r="F393">
        <v>266710</v>
      </c>
      <c r="G393" t="s">
        <v>484</v>
      </c>
      <c r="H393">
        <v>580980</v>
      </c>
      <c r="I393" t="s">
        <v>975</v>
      </c>
      <c r="J393">
        <v>93156541</v>
      </c>
      <c r="K393" t="s">
        <v>1835</v>
      </c>
      <c r="L393" t="s">
        <v>1850</v>
      </c>
      <c r="M393" s="1">
        <v>25</v>
      </c>
      <c r="N393" t="s">
        <v>1853</v>
      </c>
      <c r="O393">
        <v>529498</v>
      </c>
      <c r="P393" s="1">
        <v>11131.73</v>
      </c>
      <c r="S393" s="6" t="str">
        <f t="shared" si="6"/>
        <v xml:space="preserve"> </v>
      </c>
      <c r="T393" s="6">
        <f>IF(IF(COUNTIF(H$2:$H393,H393)=1,1,"")=1,SUMIF($H$2:$H$7997,H393,$S$2:$S$7997),"")</f>
        <v>0</v>
      </c>
      <c r="W393">
        <v>424027</v>
      </c>
      <c r="X393">
        <v>446419</v>
      </c>
      <c r="Y393">
        <v>502939</v>
      </c>
      <c r="Z393">
        <v>529498</v>
      </c>
      <c r="AA393" s="2">
        <v>1</v>
      </c>
      <c r="AB393" s="2">
        <v>1.1861022307766611</v>
      </c>
      <c r="AC393" s="2">
        <v>0</v>
      </c>
      <c r="AD393">
        <v>0</v>
      </c>
      <c r="AE393" t="s">
        <v>1863</v>
      </c>
      <c r="AF393">
        <v>11131.73</v>
      </c>
      <c r="AG393">
        <v>2000000</v>
      </c>
      <c r="AH393">
        <v>50000</v>
      </c>
      <c r="AI393" s="1" t="s">
        <v>261</v>
      </c>
      <c r="AJ393">
        <v>93156534</v>
      </c>
      <c r="AK393" s="1" t="s">
        <v>1867</v>
      </c>
      <c r="AL393">
        <v>1</v>
      </c>
      <c r="AN393" t="s">
        <v>2055</v>
      </c>
      <c r="AO393" t="s">
        <v>2067</v>
      </c>
      <c r="AP393" t="s">
        <v>2091</v>
      </c>
      <c r="AQ393">
        <v>124455</v>
      </c>
      <c r="AR393" s="3">
        <v>46203</v>
      </c>
      <c r="AS393" s="3">
        <v>46113</v>
      </c>
      <c r="AT393" s="3">
        <v>46222</v>
      </c>
      <c r="AU393" t="s">
        <v>2123</v>
      </c>
      <c r="AW393" s="3">
        <v>46208.53701449134</v>
      </c>
    </row>
    <row r="394" spans="1:49" ht="16" hidden="1" x14ac:dyDescent="0.2">
      <c r="A394" t="s">
        <v>71</v>
      </c>
      <c r="B394">
        <v>10358</v>
      </c>
      <c r="C394">
        <v>2612</v>
      </c>
      <c r="D394" t="s">
        <v>136</v>
      </c>
      <c r="E394" t="s">
        <v>261</v>
      </c>
      <c r="F394">
        <v>266710</v>
      </c>
      <c r="G394" t="s">
        <v>483</v>
      </c>
      <c r="H394">
        <v>580982</v>
      </c>
      <c r="I394" t="s">
        <v>977</v>
      </c>
      <c r="J394">
        <v>93156556</v>
      </c>
      <c r="K394" t="s">
        <v>1839</v>
      </c>
      <c r="L394" t="s">
        <v>1850</v>
      </c>
      <c r="M394" s="1">
        <v>20</v>
      </c>
      <c r="N394" t="s">
        <v>1855</v>
      </c>
      <c r="O394">
        <v>1316275</v>
      </c>
      <c r="P394" s="1">
        <v>17356.41</v>
      </c>
      <c r="S394" s="6" t="str">
        <f t="shared" si="6"/>
        <v xml:space="preserve"> </v>
      </c>
      <c r="T394" s="6">
        <f>IF(IF(COUNTIF(H$2:$H394,H394)=1,1,"")=1,SUMIF($H$2:$H$7997,H394,$S$2:$S$7997),"")</f>
        <v>0</v>
      </c>
      <c r="W394">
        <v>1139926</v>
      </c>
      <c r="X394">
        <v>1316275</v>
      </c>
      <c r="Y394">
        <v>0</v>
      </c>
      <c r="Z394">
        <v>0</v>
      </c>
      <c r="AA394" s="2">
        <v>1</v>
      </c>
      <c r="AB394" s="2">
        <v>0</v>
      </c>
      <c r="AC394" s="2">
        <v>0</v>
      </c>
      <c r="AD394">
        <v>0</v>
      </c>
      <c r="AE394" t="s">
        <v>1863</v>
      </c>
      <c r="AF394">
        <v>17356.41</v>
      </c>
      <c r="AG394">
        <v>3897960</v>
      </c>
      <c r="AH394">
        <v>77959.199999999997</v>
      </c>
      <c r="AI394" s="1" t="s">
        <v>261</v>
      </c>
      <c r="AJ394">
        <v>93156534</v>
      </c>
      <c r="AK394" s="1" t="s">
        <v>1868</v>
      </c>
      <c r="AL394">
        <v>1</v>
      </c>
      <c r="AN394" t="s">
        <v>2055</v>
      </c>
      <c r="AO394" t="s">
        <v>2067</v>
      </c>
      <c r="AP394" t="s">
        <v>2093</v>
      </c>
      <c r="AQ394">
        <v>124455</v>
      </c>
      <c r="AR394" s="3">
        <v>46203</v>
      </c>
      <c r="AS394" s="3">
        <v>46113</v>
      </c>
      <c r="AT394" s="3">
        <v>46222</v>
      </c>
      <c r="AU394" t="s">
        <v>2124</v>
      </c>
      <c r="AW394" s="3">
        <v>46208.53701449134</v>
      </c>
    </row>
    <row r="395" spans="1:49" ht="16" hidden="1" x14ac:dyDescent="0.2">
      <c r="A395" t="s">
        <v>71</v>
      </c>
      <c r="B395">
        <v>10358</v>
      </c>
      <c r="C395">
        <v>2612</v>
      </c>
      <c r="D395" t="s">
        <v>136</v>
      </c>
      <c r="E395" t="s">
        <v>261</v>
      </c>
      <c r="F395">
        <v>266710</v>
      </c>
      <c r="G395" t="s">
        <v>483</v>
      </c>
      <c r="H395">
        <v>580982</v>
      </c>
      <c r="I395" t="s">
        <v>974</v>
      </c>
      <c r="J395">
        <v>93156537</v>
      </c>
      <c r="K395" t="s">
        <v>1840</v>
      </c>
      <c r="L395" t="s">
        <v>1850</v>
      </c>
      <c r="M395" s="1">
        <v>20</v>
      </c>
      <c r="N395" t="s">
        <v>1855</v>
      </c>
      <c r="O395">
        <v>839094</v>
      </c>
      <c r="P395" s="1">
        <v>11570.94</v>
      </c>
      <c r="S395" s="6" t="str">
        <f t="shared" si="6"/>
        <v xml:space="preserve"> </v>
      </c>
      <c r="T395" s="6" t="str">
        <f>IF(IF(COUNTIF(H$2:$H395,H395)=1,1,"")=1,SUMIF($H$2:$H$7997,H395,$S$2:$S$7997),"")</f>
        <v/>
      </c>
      <c r="W395">
        <v>747115</v>
      </c>
      <c r="X395">
        <v>839094</v>
      </c>
      <c r="Y395">
        <v>0</v>
      </c>
      <c r="Z395">
        <v>0</v>
      </c>
      <c r="AA395" s="2">
        <v>1</v>
      </c>
      <c r="AB395" s="2">
        <v>0</v>
      </c>
      <c r="AC395" s="2">
        <v>0</v>
      </c>
      <c r="AD395">
        <v>0</v>
      </c>
      <c r="AE395" t="s">
        <v>1863</v>
      </c>
      <c r="AF395">
        <v>11570.94</v>
      </c>
      <c r="AG395">
        <v>2598640</v>
      </c>
      <c r="AH395">
        <v>51972.800000000003</v>
      </c>
      <c r="AI395" s="1" t="s">
        <v>261</v>
      </c>
      <c r="AJ395">
        <v>93156534</v>
      </c>
      <c r="AK395" s="1" t="s">
        <v>1868</v>
      </c>
      <c r="AL395">
        <v>1</v>
      </c>
      <c r="AN395" t="s">
        <v>2055</v>
      </c>
      <c r="AO395" t="s">
        <v>2067</v>
      </c>
      <c r="AP395" t="s">
        <v>2083</v>
      </c>
      <c r="AQ395">
        <v>124455</v>
      </c>
      <c r="AR395" s="3">
        <v>46203</v>
      </c>
      <c r="AS395" s="3">
        <v>46113</v>
      </c>
      <c r="AT395" s="3">
        <v>46222</v>
      </c>
      <c r="AU395" t="s">
        <v>2123</v>
      </c>
      <c r="AW395" s="3">
        <v>46208.53701449134</v>
      </c>
    </row>
    <row r="396" spans="1:49" ht="16" hidden="1" x14ac:dyDescent="0.2">
      <c r="A396" t="s">
        <v>71</v>
      </c>
      <c r="B396">
        <v>10358</v>
      </c>
      <c r="C396">
        <v>2612</v>
      </c>
      <c r="D396" t="s">
        <v>136</v>
      </c>
      <c r="E396" t="s">
        <v>261</v>
      </c>
      <c r="F396">
        <v>266710</v>
      </c>
      <c r="G396" t="s">
        <v>832</v>
      </c>
      <c r="H396">
        <v>580985</v>
      </c>
      <c r="I396" t="s">
        <v>1639</v>
      </c>
      <c r="J396">
        <v>580986</v>
      </c>
      <c r="K396" t="s">
        <v>1846</v>
      </c>
      <c r="L396" t="s">
        <v>1851</v>
      </c>
      <c r="M396" s="1">
        <v>0.15</v>
      </c>
      <c r="N396" t="s">
        <v>1858</v>
      </c>
      <c r="O396">
        <v>340243533</v>
      </c>
      <c r="P396" s="1">
        <v>51036.53</v>
      </c>
      <c r="S396" s="6" t="str">
        <f t="shared" si="6"/>
        <v xml:space="preserve"> </v>
      </c>
      <c r="T396" s="6">
        <f>IF(IF(COUNTIF(H$2:$H396,H396)=1,1,"")=1,SUMIF($H$2:$H$7997,H396,$S$2:$S$7997),"")</f>
        <v>0</v>
      </c>
      <c r="W396">
        <v>0</v>
      </c>
      <c r="X396">
        <v>0</v>
      </c>
      <c r="Y396">
        <v>0</v>
      </c>
      <c r="Z396">
        <v>0</v>
      </c>
      <c r="AA396" s="2">
        <v>1</v>
      </c>
      <c r="AB396" s="2">
        <v>0</v>
      </c>
      <c r="AC396" s="2">
        <v>0</v>
      </c>
      <c r="AD396">
        <v>0</v>
      </c>
      <c r="AE396" t="s">
        <v>1863</v>
      </c>
      <c r="AF396">
        <v>51036.53</v>
      </c>
      <c r="AG396">
        <v>1156828</v>
      </c>
      <c r="AH396">
        <v>173524.2</v>
      </c>
      <c r="AI396" s="1" t="s">
        <v>261</v>
      </c>
      <c r="AJ396">
        <v>266710</v>
      </c>
      <c r="AK396" s="1" t="s">
        <v>1867</v>
      </c>
      <c r="AL396">
        <v>1</v>
      </c>
      <c r="AN396" t="s">
        <v>2055</v>
      </c>
      <c r="AO396" t="s">
        <v>2067</v>
      </c>
      <c r="AP396" t="s">
        <v>2110</v>
      </c>
      <c r="AQ396">
        <v>124455</v>
      </c>
      <c r="AR396" s="3">
        <v>46203</v>
      </c>
      <c r="AS396" s="3">
        <v>46174</v>
      </c>
      <c r="AT396" s="3">
        <v>46222</v>
      </c>
      <c r="AU396" t="s">
        <v>2128</v>
      </c>
      <c r="AW396" s="3">
        <v>46208.53701449134</v>
      </c>
    </row>
    <row r="397" spans="1:49" ht="16" hidden="1" x14ac:dyDescent="0.2">
      <c r="A397" t="s">
        <v>71</v>
      </c>
      <c r="B397">
        <v>10358</v>
      </c>
      <c r="C397">
        <v>2612</v>
      </c>
      <c r="D397" t="s">
        <v>136</v>
      </c>
      <c r="E397" t="s">
        <v>261</v>
      </c>
      <c r="F397">
        <v>266710</v>
      </c>
      <c r="G397" t="s">
        <v>832</v>
      </c>
      <c r="H397">
        <v>580985</v>
      </c>
      <c r="I397" t="s">
        <v>1748</v>
      </c>
      <c r="J397">
        <v>580989</v>
      </c>
      <c r="K397" t="s">
        <v>1844</v>
      </c>
      <c r="L397" t="s">
        <v>1851</v>
      </c>
      <c r="M397" s="1">
        <v>0.15</v>
      </c>
      <c r="N397" t="s">
        <v>1858</v>
      </c>
      <c r="O397">
        <v>170121467</v>
      </c>
      <c r="P397" s="1">
        <v>25518.22</v>
      </c>
      <c r="S397" s="6" t="str">
        <f t="shared" si="6"/>
        <v xml:space="preserve"> </v>
      </c>
      <c r="T397" s="6" t="str">
        <f>IF(IF(COUNTIF(H$2:$H397,H397)=1,1,"")=1,SUMIF($H$2:$H$7997,H397,$S$2:$S$7997),"")</f>
        <v/>
      </c>
      <c r="W397">
        <v>0</v>
      </c>
      <c r="X397">
        <v>0</v>
      </c>
      <c r="Y397">
        <v>0</v>
      </c>
      <c r="Z397">
        <v>0</v>
      </c>
      <c r="AA397" s="2">
        <v>1</v>
      </c>
      <c r="AB397" s="2">
        <v>0</v>
      </c>
      <c r="AC397" s="2">
        <v>0</v>
      </c>
      <c r="AD397">
        <v>0</v>
      </c>
      <c r="AE397" t="s">
        <v>1863</v>
      </c>
      <c r="AF397">
        <v>25518.22</v>
      </c>
      <c r="AG397">
        <v>578413</v>
      </c>
      <c r="AH397">
        <v>86761.95</v>
      </c>
      <c r="AI397" s="1" t="s">
        <v>261</v>
      </c>
      <c r="AJ397">
        <v>266710</v>
      </c>
      <c r="AK397" s="1" t="s">
        <v>1867</v>
      </c>
      <c r="AL397">
        <v>1</v>
      </c>
      <c r="AN397" t="s">
        <v>2055</v>
      </c>
      <c r="AO397" t="s">
        <v>2067</v>
      </c>
      <c r="AP397" t="s">
        <v>2107</v>
      </c>
      <c r="AQ397">
        <v>124455</v>
      </c>
      <c r="AR397" s="3">
        <v>46203</v>
      </c>
      <c r="AS397" s="3">
        <v>46174</v>
      </c>
      <c r="AT397" s="3">
        <v>46222</v>
      </c>
      <c r="AU397" t="s">
        <v>2127</v>
      </c>
      <c r="AW397" s="3">
        <v>46208.53701449134</v>
      </c>
    </row>
    <row r="398" spans="1:49" ht="16" hidden="1" x14ac:dyDescent="0.2">
      <c r="A398" t="s">
        <v>71</v>
      </c>
      <c r="B398">
        <v>10358</v>
      </c>
      <c r="C398">
        <v>2612</v>
      </c>
      <c r="D398" t="s">
        <v>136</v>
      </c>
      <c r="E398" t="s">
        <v>261</v>
      </c>
      <c r="F398">
        <v>266710</v>
      </c>
      <c r="G398" t="s">
        <v>832</v>
      </c>
      <c r="H398">
        <v>580985</v>
      </c>
      <c r="I398" t="s">
        <v>1626</v>
      </c>
      <c r="J398">
        <v>580988</v>
      </c>
      <c r="K398" t="s">
        <v>1835</v>
      </c>
      <c r="L398" t="s">
        <v>1851</v>
      </c>
      <c r="M398" s="1">
        <v>0.15</v>
      </c>
      <c r="N398" t="s">
        <v>1858</v>
      </c>
      <c r="O398">
        <v>170121467</v>
      </c>
      <c r="P398" s="1">
        <v>25518.22</v>
      </c>
      <c r="S398" s="6" t="str">
        <f t="shared" si="6"/>
        <v xml:space="preserve"> </v>
      </c>
      <c r="T398" s="6" t="str">
        <f>IF(IF(COUNTIF(H$2:$H398,H398)=1,1,"")=1,SUMIF($H$2:$H$7997,H398,$S$2:$S$7997),"")</f>
        <v/>
      </c>
      <c r="W398">
        <v>0</v>
      </c>
      <c r="X398">
        <v>0</v>
      </c>
      <c r="Y398">
        <v>0</v>
      </c>
      <c r="Z398">
        <v>0</v>
      </c>
      <c r="AA398" s="2">
        <v>1</v>
      </c>
      <c r="AB398" s="2">
        <v>0</v>
      </c>
      <c r="AC398" s="2">
        <v>0</v>
      </c>
      <c r="AD398">
        <v>0</v>
      </c>
      <c r="AE398" t="s">
        <v>1863</v>
      </c>
      <c r="AF398">
        <v>25518.22</v>
      </c>
      <c r="AG398">
        <v>578413</v>
      </c>
      <c r="AH398">
        <v>86761.95</v>
      </c>
      <c r="AI398" s="1" t="s">
        <v>261</v>
      </c>
      <c r="AJ398">
        <v>266710</v>
      </c>
      <c r="AK398" s="1" t="s">
        <v>1867</v>
      </c>
      <c r="AL398">
        <v>1</v>
      </c>
      <c r="AN398" t="s">
        <v>2055</v>
      </c>
      <c r="AO398" t="s">
        <v>2067</v>
      </c>
      <c r="AP398" t="s">
        <v>2109</v>
      </c>
      <c r="AQ398">
        <v>124455</v>
      </c>
      <c r="AR398" s="3">
        <v>46203</v>
      </c>
      <c r="AS398" s="3">
        <v>46174</v>
      </c>
      <c r="AT398" s="3">
        <v>46222</v>
      </c>
      <c r="AU398" t="s">
        <v>2129</v>
      </c>
      <c r="AW398" s="3">
        <v>46208.53701449134</v>
      </c>
    </row>
    <row r="399" spans="1:49" ht="16" hidden="1" x14ac:dyDescent="0.2">
      <c r="A399" t="s">
        <v>71</v>
      </c>
      <c r="B399">
        <v>10358</v>
      </c>
      <c r="C399">
        <v>2612</v>
      </c>
      <c r="D399" t="s">
        <v>136</v>
      </c>
      <c r="E399" t="s">
        <v>261</v>
      </c>
      <c r="F399">
        <v>266710</v>
      </c>
      <c r="G399" t="s">
        <v>903</v>
      </c>
      <c r="H399">
        <v>593176</v>
      </c>
      <c r="I399" t="s">
        <v>1759</v>
      </c>
      <c r="J399">
        <v>593179</v>
      </c>
      <c r="K399" t="s">
        <v>1847</v>
      </c>
      <c r="L399" t="s">
        <v>1851</v>
      </c>
      <c r="M399" s="1">
        <v>62500</v>
      </c>
      <c r="N399" t="s">
        <v>1858</v>
      </c>
      <c r="O399">
        <v>0</v>
      </c>
      <c r="P399" s="1">
        <v>19132.650000000001</v>
      </c>
      <c r="S399" s="6" t="str">
        <f t="shared" si="6"/>
        <v xml:space="preserve"> </v>
      </c>
      <c r="T399" s="6">
        <f>IF(IF(COUNTIF(H$2:$H399,H399)=1,1,"")=1,SUMIF($H$2:$H$7997,H399,$S$2:$S$7997),"")</f>
        <v>0</v>
      </c>
      <c r="W399">
        <v>0</v>
      </c>
      <c r="X399">
        <v>0</v>
      </c>
      <c r="Y399">
        <v>0</v>
      </c>
      <c r="Z399">
        <v>0</v>
      </c>
      <c r="AA399" s="2">
        <v>1</v>
      </c>
      <c r="AB399" s="2">
        <v>0</v>
      </c>
      <c r="AC399" s="2">
        <v>0</v>
      </c>
      <c r="AD399">
        <v>0</v>
      </c>
      <c r="AE399" t="s">
        <v>1863</v>
      </c>
      <c r="AF399">
        <v>19132.650000000001</v>
      </c>
      <c r="AG399">
        <v>0</v>
      </c>
      <c r="AH399">
        <v>62500</v>
      </c>
      <c r="AI399" s="1" t="s">
        <v>261</v>
      </c>
      <c r="AJ399">
        <v>266710</v>
      </c>
      <c r="AK399" s="1" t="s">
        <v>1867</v>
      </c>
      <c r="AL399">
        <v>1</v>
      </c>
      <c r="AN399" t="s">
        <v>2055</v>
      </c>
      <c r="AO399" t="s">
        <v>2067</v>
      </c>
      <c r="AP399" t="s">
        <v>2112</v>
      </c>
      <c r="AQ399">
        <v>124455</v>
      </c>
      <c r="AR399" s="3">
        <v>46203</v>
      </c>
      <c r="AS399" s="3">
        <v>46174</v>
      </c>
      <c r="AT399" s="3">
        <v>46222</v>
      </c>
      <c r="AU399" t="s">
        <v>2130</v>
      </c>
      <c r="AW399" s="3">
        <v>46208.53701449134</v>
      </c>
    </row>
    <row r="400" spans="1:49" ht="16" hidden="1" x14ac:dyDescent="0.2">
      <c r="A400" t="s">
        <v>71</v>
      </c>
      <c r="B400">
        <v>10358</v>
      </c>
      <c r="C400">
        <v>2612</v>
      </c>
      <c r="D400" t="s">
        <v>136</v>
      </c>
      <c r="E400" t="s">
        <v>260</v>
      </c>
      <c r="F400">
        <v>265853</v>
      </c>
      <c r="G400" t="s">
        <v>482</v>
      </c>
      <c r="H400">
        <v>580827</v>
      </c>
      <c r="I400" t="s">
        <v>980</v>
      </c>
      <c r="J400">
        <v>93238823</v>
      </c>
      <c r="K400" t="s">
        <v>1839</v>
      </c>
      <c r="L400" t="s">
        <v>1851</v>
      </c>
      <c r="M400" s="1">
        <v>40</v>
      </c>
      <c r="N400" t="s">
        <v>1858</v>
      </c>
      <c r="O400">
        <v>107143</v>
      </c>
      <c r="P400" s="1">
        <v>4285.71</v>
      </c>
      <c r="S400" s="6" t="str">
        <f t="shared" si="6"/>
        <v xml:space="preserve"> </v>
      </c>
      <c r="T400" s="6">
        <f>IF(IF(COUNTIF(H$2:$H400,H400)=1,1,"")=1,SUMIF($H$2:$H$7997,H400,$S$2:$S$7997),"")</f>
        <v>0</v>
      </c>
      <c r="W400">
        <v>227767</v>
      </c>
      <c r="X400">
        <v>227767</v>
      </c>
      <c r="Y400">
        <v>0</v>
      </c>
      <c r="Z400">
        <v>0</v>
      </c>
      <c r="AA400" s="2">
        <v>1</v>
      </c>
      <c r="AB400" s="2">
        <v>0</v>
      </c>
      <c r="AC400" s="2">
        <v>0</v>
      </c>
      <c r="AD400">
        <v>0</v>
      </c>
      <c r="AE400" t="s">
        <v>1863</v>
      </c>
      <c r="AF400">
        <v>4285.71</v>
      </c>
      <c r="AG400">
        <v>350000</v>
      </c>
      <c r="AH400">
        <v>14000</v>
      </c>
      <c r="AI400" s="1" t="s">
        <v>260</v>
      </c>
      <c r="AJ400">
        <v>93101775</v>
      </c>
      <c r="AK400" s="1" t="s">
        <v>1867</v>
      </c>
      <c r="AL400" t="s">
        <v>1899</v>
      </c>
      <c r="AN400" t="s">
        <v>2055</v>
      </c>
      <c r="AO400" t="s">
        <v>2067</v>
      </c>
      <c r="AP400" t="s">
        <v>2094</v>
      </c>
      <c r="AQ400">
        <v>124244</v>
      </c>
      <c r="AR400" s="3">
        <v>46203</v>
      </c>
      <c r="AS400" s="3">
        <v>46174</v>
      </c>
      <c r="AT400" s="3">
        <v>46222</v>
      </c>
      <c r="AU400" t="s">
        <v>2124</v>
      </c>
      <c r="AW400" s="3">
        <v>46208.53701449134</v>
      </c>
    </row>
    <row r="401" spans="1:49" ht="16" hidden="1" x14ac:dyDescent="0.2">
      <c r="A401" t="s">
        <v>71</v>
      </c>
      <c r="B401">
        <v>10358</v>
      </c>
      <c r="C401">
        <v>2612</v>
      </c>
      <c r="D401" t="s">
        <v>136</v>
      </c>
      <c r="E401" t="s">
        <v>260</v>
      </c>
      <c r="F401">
        <v>265853</v>
      </c>
      <c r="G401" t="s">
        <v>482</v>
      </c>
      <c r="H401">
        <v>580827</v>
      </c>
      <c r="I401" t="s">
        <v>973</v>
      </c>
      <c r="J401">
        <v>93101786</v>
      </c>
      <c r="K401" t="s">
        <v>1835</v>
      </c>
      <c r="L401" t="s">
        <v>1851</v>
      </c>
      <c r="M401" s="1">
        <v>40</v>
      </c>
      <c r="N401" t="s">
        <v>1858</v>
      </c>
      <c r="O401">
        <v>45918</v>
      </c>
      <c r="P401" s="1">
        <v>1836.73</v>
      </c>
      <c r="S401" s="6" t="str">
        <f t="shared" si="6"/>
        <v xml:space="preserve"> </v>
      </c>
      <c r="T401" s="6" t="str">
        <f>IF(IF(COUNTIF(H$2:$H401,H401)=1,1,"")=1,SUMIF($H$2:$H$7997,H401,$S$2:$S$7997),"")</f>
        <v/>
      </c>
      <c r="W401">
        <v>102010</v>
      </c>
      <c r="X401">
        <v>102010</v>
      </c>
      <c r="Y401">
        <v>0</v>
      </c>
      <c r="Z401">
        <v>0</v>
      </c>
      <c r="AA401" s="2">
        <v>1</v>
      </c>
      <c r="AB401" s="2">
        <v>0</v>
      </c>
      <c r="AC401" s="2">
        <v>0</v>
      </c>
      <c r="AD401">
        <v>0</v>
      </c>
      <c r="AE401" t="s">
        <v>1863</v>
      </c>
      <c r="AF401">
        <v>1836.73</v>
      </c>
      <c r="AG401">
        <v>150000</v>
      </c>
      <c r="AH401">
        <v>6000</v>
      </c>
      <c r="AI401" s="1" t="s">
        <v>260</v>
      </c>
      <c r="AJ401">
        <v>93101775</v>
      </c>
      <c r="AK401" s="1" t="s">
        <v>1867</v>
      </c>
      <c r="AL401" t="s">
        <v>1899</v>
      </c>
      <c r="AN401" t="s">
        <v>2055</v>
      </c>
      <c r="AO401" t="s">
        <v>2067</v>
      </c>
      <c r="AP401" t="s">
        <v>2092</v>
      </c>
      <c r="AQ401">
        <v>124244</v>
      </c>
      <c r="AR401" s="3">
        <v>46203</v>
      </c>
      <c r="AS401" s="3">
        <v>46174</v>
      </c>
      <c r="AT401" s="3">
        <v>46222</v>
      </c>
      <c r="AU401" t="s">
        <v>2123</v>
      </c>
      <c r="AW401" s="3">
        <v>46208.53701449134</v>
      </c>
    </row>
    <row r="402" spans="1:49" ht="16" hidden="1" x14ac:dyDescent="0.2">
      <c r="A402" t="s">
        <v>71</v>
      </c>
      <c r="B402">
        <v>10358</v>
      </c>
      <c r="C402">
        <v>2612</v>
      </c>
      <c r="D402" t="s">
        <v>136</v>
      </c>
      <c r="E402" t="s">
        <v>260</v>
      </c>
      <c r="F402">
        <v>265853</v>
      </c>
      <c r="G402" t="s">
        <v>481</v>
      </c>
      <c r="H402">
        <v>580830</v>
      </c>
      <c r="I402" t="s">
        <v>972</v>
      </c>
      <c r="J402">
        <v>93101782</v>
      </c>
      <c r="K402" t="s">
        <v>1835</v>
      </c>
      <c r="L402" t="s">
        <v>1850</v>
      </c>
      <c r="M402" s="1">
        <v>25</v>
      </c>
      <c r="N402" t="s">
        <v>1853</v>
      </c>
      <c r="O402">
        <v>557043</v>
      </c>
      <c r="P402" s="1">
        <v>9507.1200000000008</v>
      </c>
      <c r="S402" s="6" t="str">
        <f t="shared" si="6"/>
        <v xml:space="preserve"> </v>
      </c>
      <c r="T402" s="6">
        <f>IF(IF(COUNTIF(H$2:$H402,H402)=1,1,"")=1,SUMIF($H$2:$H$7997,H402,$S$2:$S$7997),"")</f>
        <v>0</v>
      </c>
      <c r="W402">
        <v>424497</v>
      </c>
      <c r="X402">
        <v>464363</v>
      </c>
      <c r="Y402">
        <v>509221</v>
      </c>
      <c r="Z402">
        <v>557043</v>
      </c>
      <c r="AA402" s="2">
        <v>1</v>
      </c>
      <c r="AB402" s="2">
        <v>1.199586938214801</v>
      </c>
      <c r="AC402" s="2">
        <v>0</v>
      </c>
      <c r="AD402">
        <v>0</v>
      </c>
      <c r="AE402" t="s">
        <v>1863</v>
      </c>
      <c r="AF402">
        <v>9507.1200000000008</v>
      </c>
      <c r="AG402">
        <v>2000000</v>
      </c>
      <c r="AH402">
        <v>50000</v>
      </c>
      <c r="AI402" s="1" t="s">
        <v>260</v>
      </c>
      <c r="AJ402">
        <v>93101775</v>
      </c>
      <c r="AK402" s="1" t="s">
        <v>1867</v>
      </c>
      <c r="AL402" t="s">
        <v>1899</v>
      </c>
      <c r="AN402" t="s">
        <v>2055</v>
      </c>
      <c r="AO402" t="s">
        <v>2067</v>
      </c>
      <c r="AP402" t="s">
        <v>2091</v>
      </c>
      <c r="AQ402">
        <v>124244</v>
      </c>
      <c r="AR402" s="3">
        <v>46203</v>
      </c>
      <c r="AS402" s="3">
        <v>46113</v>
      </c>
      <c r="AT402" s="3">
        <v>46222</v>
      </c>
      <c r="AU402" t="s">
        <v>2123</v>
      </c>
      <c r="AW402" s="3">
        <v>46208.53701449134</v>
      </c>
    </row>
    <row r="403" spans="1:49" ht="16" hidden="1" x14ac:dyDescent="0.2">
      <c r="A403" t="s">
        <v>71</v>
      </c>
      <c r="B403">
        <v>10358</v>
      </c>
      <c r="C403">
        <v>2612</v>
      </c>
      <c r="D403" t="s">
        <v>136</v>
      </c>
      <c r="E403" t="s">
        <v>260</v>
      </c>
      <c r="F403">
        <v>265853</v>
      </c>
      <c r="G403" t="s">
        <v>480</v>
      </c>
      <c r="H403">
        <v>580832</v>
      </c>
      <c r="I403" t="s">
        <v>971</v>
      </c>
      <c r="J403">
        <v>93101778</v>
      </c>
      <c r="K403" t="s">
        <v>1840</v>
      </c>
      <c r="L403" t="s">
        <v>1850</v>
      </c>
      <c r="M403" s="1">
        <v>20</v>
      </c>
      <c r="N403" t="s">
        <v>1855</v>
      </c>
      <c r="O403">
        <v>1097196</v>
      </c>
      <c r="P403" s="1">
        <v>2940.05</v>
      </c>
      <c r="S403" s="6" t="str">
        <f t="shared" si="6"/>
        <v xml:space="preserve"> </v>
      </c>
      <c r="T403" s="6">
        <f>IF(IF(COUNTIF(H$2:$H403,H403)=1,1,"")=1,SUMIF($H$2:$H$7997,H403,$S$2:$S$7997),"")</f>
        <v>0</v>
      </c>
      <c r="W403">
        <v>972883</v>
      </c>
      <c r="X403">
        <v>1097196</v>
      </c>
      <c r="Y403">
        <v>0</v>
      </c>
      <c r="Z403">
        <v>0</v>
      </c>
      <c r="AA403" s="2">
        <v>1</v>
      </c>
      <c r="AB403" s="2">
        <v>0</v>
      </c>
      <c r="AC403" s="2">
        <v>0</v>
      </c>
      <c r="AD403">
        <v>0</v>
      </c>
      <c r="AE403" t="s">
        <v>1863</v>
      </c>
      <c r="AF403">
        <v>2940.05</v>
      </c>
      <c r="AG403">
        <v>3601340</v>
      </c>
      <c r="AH403">
        <v>72026.8</v>
      </c>
      <c r="AI403" s="1" t="s">
        <v>260</v>
      </c>
      <c r="AJ403">
        <v>93101775</v>
      </c>
      <c r="AK403" s="1" t="s">
        <v>1868</v>
      </c>
      <c r="AL403" t="s">
        <v>1899</v>
      </c>
      <c r="AN403" t="s">
        <v>2055</v>
      </c>
      <c r="AO403" t="s">
        <v>2067</v>
      </c>
      <c r="AP403" t="s">
        <v>2083</v>
      </c>
      <c r="AQ403">
        <v>124244</v>
      </c>
      <c r="AR403" s="3">
        <v>46203</v>
      </c>
      <c r="AS403" s="3">
        <v>46113</v>
      </c>
      <c r="AT403" s="3">
        <v>46222</v>
      </c>
      <c r="AU403" t="s">
        <v>2123</v>
      </c>
      <c r="AW403" s="3">
        <v>46208.53701449134</v>
      </c>
    </row>
    <row r="404" spans="1:49" ht="16" hidden="1" x14ac:dyDescent="0.2">
      <c r="A404" t="s">
        <v>71</v>
      </c>
      <c r="B404">
        <v>10358</v>
      </c>
      <c r="C404">
        <v>2612</v>
      </c>
      <c r="D404" t="s">
        <v>136</v>
      </c>
      <c r="E404" t="s">
        <v>260</v>
      </c>
      <c r="F404">
        <v>265853</v>
      </c>
      <c r="G404" t="s">
        <v>480</v>
      </c>
      <c r="H404">
        <v>580832</v>
      </c>
      <c r="I404" t="s">
        <v>978</v>
      </c>
      <c r="J404">
        <v>93172636</v>
      </c>
      <c r="K404" t="s">
        <v>1839</v>
      </c>
      <c r="L404" t="s">
        <v>1850</v>
      </c>
      <c r="M404" s="1">
        <v>20</v>
      </c>
      <c r="N404" t="s">
        <v>1855</v>
      </c>
      <c r="O404">
        <v>1666951</v>
      </c>
      <c r="P404" s="1">
        <v>4410.08</v>
      </c>
      <c r="S404" s="6" t="str">
        <f t="shared" si="6"/>
        <v xml:space="preserve"> </v>
      </c>
      <c r="T404" s="6" t="str">
        <f>IF(IF(COUNTIF(H$2:$H404,H404)=1,1,"")=1,SUMIF($H$2:$H$7997,H404,$S$2:$S$7997),"")</f>
        <v/>
      </c>
      <c r="W404">
        <v>1510329</v>
      </c>
      <c r="X404">
        <v>1666951</v>
      </c>
      <c r="Y404">
        <v>0</v>
      </c>
      <c r="Z404">
        <v>0</v>
      </c>
      <c r="AA404" s="2">
        <v>1</v>
      </c>
      <c r="AB404" s="2">
        <v>0</v>
      </c>
      <c r="AC404" s="2">
        <v>0</v>
      </c>
      <c r="AD404">
        <v>0</v>
      </c>
      <c r="AE404" t="s">
        <v>1863</v>
      </c>
      <c r="AF404">
        <v>4410.08</v>
      </c>
      <c r="AG404">
        <v>5402010</v>
      </c>
      <c r="AH404">
        <v>108040.2</v>
      </c>
      <c r="AI404" s="1" t="s">
        <v>260</v>
      </c>
      <c r="AJ404">
        <v>93101775</v>
      </c>
      <c r="AK404" s="1" t="s">
        <v>1868</v>
      </c>
      <c r="AL404" t="s">
        <v>1899</v>
      </c>
      <c r="AN404" t="s">
        <v>2055</v>
      </c>
      <c r="AO404" t="s">
        <v>2067</v>
      </c>
      <c r="AP404" t="s">
        <v>2093</v>
      </c>
      <c r="AQ404">
        <v>124244</v>
      </c>
      <c r="AR404" s="3">
        <v>46203</v>
      </c>
      <c r="AS404" s="3">
        <v>46113</v>
      </c>
      <c r="AT404" s="3">
        <v>46222</v>
      </c>
      <c r="AU404" t="s">
        <v>2124</v>
      </c>
      <c r="AW404" s="3">
        <v>46208.53701449134</v>
      </c>
    </row>
    <row r="405" spans="1:49" ht="16" hidden="1" x14ac:dyDescent="0.2">
      <c r="A405" t="s">
        <v>71</v>
      </c>
      <c r="B405">
        <v>10358</v>
      </c>
      <c r="C405">
        <v>2612</v>
      </c>
      <c r="D405" t="s">
        <v>136</v>
      </c>
      <c r="E405" t="s">
        <v>260</v>
      </c>
      <c r="F405">
        <v>265853</v>
      </c>
      <c r="G405" t="s">
        <v>885</v>
      </c>
      <c r="H405">
        <v>580835</v>
      </c>
      <c r="I405" t="s">
        <v>1695</v>
      </c>
      <c r="J405">
        <v>580836</v>
      </c>
      <c r="K405" t="s">
        <v>1846</v>
      </c>
      <c r="L405" t="s">
        <v>1851</v>
      </c>
      <c r="M405" s="1">
        <v>0.15</v>
      </c>
      <c r="N405" t="s">
        <v>1858</v>
      </c>
      <c r="O405">
        <v>354131000</v>
      </c>
      <c r="P405" s="1">
        <v>53119.65</v>
      </c>
      <c r="S405" s="6" t="str">
        <f t="shared" si="6"/>
        <v xml:space="preserve"> </v>
      </c>
      <c r="T405" s="6">
        <f>IF(IF(COUNTIF(H$2:$H405,H405)=1,1,"")=1,SUMIF($H$2:$H$7997,H405,$S$2:$S$7997),"")</f>
        <v>0</v>
      </c>
      <c r="W405">
        <v>0</v>
      </c>
      <c r="X405">
        <v>0</v>
      </c>
      <c r="Y405">
        <v>0</v>
      </c>
      <c r="Z405">
        <v>0</v>
      </c>
      <c r="AA405" s="2">
        <v>1</v>
      </c>
      <c r="AB405" s="2">
        <v>0</v>
      </c>
      <c r="AC405" s="2">
        <v>0</v>
      </c>
      <c r="AD405">
        <v>0</v>
      </c>
      <c r="AE405" t="s">
        <v>1863</v>
      </c>
      <c r="AF405">
        <v>53119.65</v>
      </c>
      <c r="AG405">
        <v>1156828</v>
      </c>
      <c r="AH405">
        <v>173524.2</v>
      </c>
      <c r="AI405" s="1" t="s">
        <v>260</v>
      </c>
      <c r="AJ405">
        <v>265853</v>
      </c>
      <c r="AK405" s="1" t="s">
        <v>1867</v>
      </c>
      <c r="AL405" t="s">
        <v>1899</v>
      </c>
      <c r="AN405" t="s">
        <v>2055</v>
      </c>
      <c r="AO405" t="s">
        <v>2067</v>
      </c>
      <c r="AP405" t="s">
        <v>2110</v>
      </c>
      <c r="AQ405">
        <v>124244</v>
      </c>
      <c r="AR405" s="3">
        <v>46203</v>
      </c>
      <c r="AS405" s="3">
        <v>46174</v>
      </c>
      <c r="AT405" s="3">
        <v>46222</v>
      </c>
      <c r="AU405" t="s">
        <v>2128</v>
      </c>
      <c r="AW405" s="3">
        <v>46208.53701449134</v>
      </c>
    </row>
    <row r="406" spans="1:49" ht="16" hidden="1" x14ac:dyDescent="0.2">
      <c r="A406" t="s">
        <v>71</v>
      </c>
      <c r="B406">
        <v>10358</v>
      </c>
      <c r="C406">
        <v>2612</v>
      </c>
      <c r="D406" t="s">
        <v>136</v>
      </c>
      <c r="E406" t="s">
        <v>260</v>
      </c>
      <c r="F406">
        <v>265853</v>
      </c>
      <c r="G406" t="s">
        <v>885</v>
      </c>
      <c r="H406">
        <v>580835</v>
      </c>
      <c r="I406" t="s">
        <v>1742</v>
      </c>
      <c r="J406">
        <v>580839</v>
      </c>
      <c r="K406" t="s">
        <v>1844</v>
      </c>
      <c r="L406" t="s">
        <v>1851</v>
      </c>
      <c r="M406" s="1">
        <v>0.15</v>
      </c>
      <c r="N406" t="s">
        <v>1858</v>
      </c>
      <c r="O406">
        <v>177065200</v>
      </c>
      <c r="P406" s="1">
        <v>26559.78</v>
      </c>
      <c r="S406" s="6" t="str">
        <f t="shared" si="6"/>
        <v xml:space="preserve"> </v>
      </c>
      <c r="T406" s="6" t="str">
        <f>IF(IF(COUNTIF(H$2:$H406,H406)=1,1,"")=1,SUMIF($H$2:$H$7997,H406,$S$2:$S$7997),"")</f>
        <v/>
      </c>
      <c r="W406">
        <v>0</v>
      </c>
      <c r="X406">
        <v>0</v>
      </c>
      <c r="Y406">
        <v>0</v>
      </c>
      <c r="Z406">
        <v>0</v>
      </c>
      <c r="AA406" s="2">
        <v>1</v>
      </c>
      <c r="AB406" s="2">
        <v>0</v>
      </c>
      <c r="AC406" s="2">
        <v>0</v>
      </c>
      <c r="AD406">
        <v>0</v>
      </c>
      <c r="AE406" t="s">
        <v>1863</v>
      </c>
      <c r="AF406">
        <v>26559.78</v>
      </c>
      <c r="AG406">
        <v>578413</v>
      </c>
      <c r="AH406">
        <v>86761.95</v>
      </c>
      <c r="AI406" s="1" t="s">
        <v>260</v>
      </c>
      <c r="AJ406">
        <v>265853</v>
      </c>
      <c r="AK406" s="1" t="s">
        <v>1867</v>
      </c>
      <c r="AL406" t="s">
        <v>1899</v>
      </c>
      <c r="AN406" t="s">
        <v>2055</v>
      </c>
      <c r="AO406" t="s">
        <v>2067</v>
      </c>
      <c r="AP406" t="s">
        <v>2107</v>
      </c>
      <c r="AQ406">
        <v>124244</v>
      </c>
      <c r="AR406" s="3">
        <v>46203</v>
      </c>
      <c r="AS406" s="3">
        <v>46174</v>
      </c>
      <c r="AT406" s="3">
        <v>46222</v>
      </c>
      <c r="AU406" t="s">
        <v>2127</v>
      </c>
      <c r="AW406" s="3">
        <v>46208.53701449134</v>
      </c>
    </row>
    <row r="407" spans="1:49" ht="16" hidden="1" x14ac:dyDescent="0.2">
      <c r="A407" t="s">
        <v>71</v>
      </c>
      <c r="B407">
        <v>10358</v>
      </c>
      <c r="C407">
        <v>2612</v>
      </c>
      <c r="D407" t="s">
        <v>136</v>
      </c>
      <c r="E407" t="s">
        <v>260</v>
      </c>
      <c r="F407">
        <v>265853</v>
      </c>
      <c r="G407" t="s">
        <v>885</v>
      </c>
      <c r="H407">
        <v>580835</v>
      </c>
      <c r="I407" t="s">
        <v>1778</v>
      </c>
      <c r="J407">
        <v>580838</v>
      </c>
      <c r="K407" t="s">
        <v>1835</v>
      </c>
      <c r="L407" t="s">
        <v>1851</v>
      </c>
      <c r="M407" s="1">
        <v>0.15</v>
      </c>
      <c r="N407" t="s">
        <v>1858</v>
      </c>
      <c r="O407">
        <v>177065200</v>
      </c>
      <c r="P407" s="1">
        <v>26559.78</v>
      </c>
      <c r="S407" s="6" t="str">
        <f t="shared" si="6"/>
        <v xml:space="preserve"> </v>
      </c>
      <c r="T407" s="6" t="str">
        <f>IF(IF(COUNTIF(H$2:$H407,H407)=1,1,"")=1,SUMIF($H$2:$H$7997,H407,$S$2:$S$7997),"")</f>
        <v/>
      </c>
      <c r="W407">
        <v>0</v>
      </c>
      <c r="X407">
        <v>0</v>
      </c>
      <c r="Y407">
        <v>0</v>
      </c>
      <c r="Z407">
        <v>0</v>
      </c>
      <c r="AA407" s="2">
        <v>1</v>
      </c>
      <c r="AB407" s="2">
        <v>0</v>
      </c>
      <c r="AC407" s="2">
        <v>0</v>
      </c>
      <c r="AD407">
        <v>0</v>
      </c>
      <c r="AE407" t="s">
        <v>1863</v>
      </c>
      <c r="AF407">
        <v>26559.78</v>
      </c>
      <c r="AG407">
        <v>578413</v>
      </c>
      <c r="AH407">
        <v>86761.95</v>
      </c>
      <c r="AI407" s="1" t="s">
        <v>260</v>
      </c>
      <c r="AJ407">
        <v>265853</v>
      </c>
      <c r="AK407" s="1" t="s">
        <v>1867</v>
      </c>
      <c r="AL407" t="s">
        <v>1899</v>
      </c>
      <c r="AN407" t="s">
        <v>2055</v>
      </c>
      <c r="AO407" t="s">
        <v>2067</v>
      </c>
      <c r="AP407" t="s">
        <v>2109</v>
      </c>
      <c r="AQ407">
        <v>124244</v>
      </c>
      <c r="AR407" s="3">
        <v>46203</v>
      </c>
      <c r="AS407" s="3">
        <v>46174</v>
      </c>
      <c r="AT407" s="3">
        <v>46222</v>
      </c>
      <c r="AU407" t="s">
        <v>2129</v>
      </c>
      <c r="AW407" s="3">
        <v>46208.53701449134</v>
      </c>
    </row>
    <row r="408" spans="1:49" ht="16" hidden="1" x14ac:dyDescent="0.2">
      <c r="A408" t="s">
        <v>71</v>
      </c>
      <c r="B408">
        <v>10358</v>
      </c>
      <c r="C408">
        <v>2612</v>
      </c>
      <c r="D408" t="s">
        <v>136</v>
      </c>
      <c r="E408" t="s">
        <v>260</v>
      </c>
      <c r="F408">
        <v>265853</v>
      </c>
      <c r="G408" t="s">
        <v>877</v>
      </c>
      <c r="H408">
        <v>593185</v>
      </c>
      <c r="I408" t="s">
        <v>1681</v>
      </c>
      <c r="J408">
        <v>593186</v>
      </c>
      <c r="K408" t="s">
        <v>1847</v>
      </c>
      <c r="L408" t="s">
        <v>1851</v>
      </c>
      <c r="M408" s="1">
        <v>62500</v>
      </c>
      <c r="N408" t="s">
        <v>1858</v>
      </c>
      <c r="O408">
        <v>0</v>
      </c>
      <c r="P408" s="1">
        <v>19132.650000000001</v>
      </c>
      <c r="S408" s="6" t="str">
        <f t="shared" si="6"/>
        <v xml:space="preserve"> </v>
      </c>
      <c r="T408" s="6">
        <f>IF(IF(COUNTIF(H$2:$H408,H408)=1,1,"")=1,SUMIF($H$2:$H$7997,H408,$S$2:$S$7997),"")</f>
        <v>0</v>
      </c>
      <c r="W408">
        <v>0</v>
      </c>
      <c r="X408">
        <v>0</v>
      </c>
      <c r="Y408">
        <v>0</v>
      </c>
      <c r="Z408">
        <v>0</v>
      </c>
      <c r="AA408" s="2">
        <v>1</v>
      </c>
      <c r="AB408" s="2">
        <v>0</v>
      </c>
      <c r="AC408" s="2">
        <v>0</v>
      </c>
      <c r="AD408">
        <v>0</v>
      </c>
      <c r="AE408" t="s">
        <v>1863</v>
      </c>
      <c r="AF408">
        <v>19132.650000000001</v>
      </c>
      <c r="AG408">
        <v>0</v>
      </c>
      <c r="AH408">
        <v>62500</v>
      </c>
      <c r="AI408" s="1" t="s">
        <v>260</v>
      </c>
      <c r="AJ408">
        <v>265853</v>
      </c>
      <c r="AK408" s="1" t="s">
        <v>1867</v>
      </c>
      <c r="AL408" t="s">
        <v>1899</v>
      </c>
      <c r="AN408" t="s">
        <v>2055</v>
      </c>
      <c r="AO408" t="s">
        <v>2067</v>
      </c>
      <c r="AP408" t="s">
        <v>2112</v>
      </c>
      <c r="AQ408">
        <v>124244</v>
      </c>
      <c r="AR408" s="3">
        <v>46203</v>
      </c>
      <c r="AS408" s="3">
        <v>46174</v>
      </c>
      <c r="AT408" s="3">
        <v>46222</v>
      </c>
      <c r="AU408" t="s">
        <v>2130</v>
      </c>
      <c r="AW408" s="3">
        <v>46208.53701449134</v>
      </c>
    </row>
    <row r="409" spans="1:49" ht="16" hidden="1" x14ac:dyDescent="0.2">
      <c r="A409" t="s">
        <v>71</v>
      </c>
      <c r="B409">
        <v>10358</v>
      </c>
      <c r="C409">
        <v>2612</v>
      </c>
      <c r="D409" t="s">
        <v>136</v>
      </c>
      <c r="E409" t="s">
        <v>275</v>
      </c>
      <c r="F409">
        <v>266872</v>
      </c>
      <c r="G409" t="s">
        <v>509</v>
      </c>
      <c r="H409">
        <v>581186</v>
      </c>
      <c r="I409" t="s">
        <v>1023</v>
      </c>
      <c r="J409">
        <v>93714738</v>
      </c>
      <c r="K409" t="s">
        <v>1839</v>
      </c>
      <c r="L409" t="s">
        <v>1851</v>
      </c>
      <c r="M409" s="1">
        <v>40</v>
      </c>
      <c r="N409" t="s">
        <v>1858</v>
      </c>
      <c r="O409">
        <v>538085</v>
      </c>
      <c r="P409" s="1">
        <v>21523.38</v>
      </c>
      <c r="S409" s="6" t="str">
        <f t="shared" si="6"/>
        <v xml:space="preserve"> </v>
      </c>
      <c r="T409" s="6">
        <f>IF(IF(COUNTIF(H$2:$H409,H409)=1,1,"")=1,SUMIF($H$2:$H$7997,H409,$S$2:$S$7997),"")</f>
        <v>0</v>
      </c>
      <c r="W409">
        <v>1390739</v>
      </c>
      <c r="X409">
        <v>1390739</v>
      </c>
      <c r="Y409">
        <v>0</v>
      </c>
      <c r="Z409">
        <v>0</v>
      </c>
      <c r="AA409" s="2">
        <v>1</v>
      </c>
      <c r="AB409" s="2">
        <v>0</v>
      </c>
      <c r="AC409" s="2">
        <v>0</v>
      </c>
      <c r="AD409">
        <v>0</v>
      </c>
      <c r="AE409" t="s">
        <v>1863</v>
      </c>
      <c r="AF409">
        <v>21523.38</v>
      </c>
      <c r="AG409">
        <v>2098530</v>
      </c>
      <c r="AH409">
        <v>83941.2</v>
      </c>
      <c r="AI409" s="1" t="s">
        <v>275</v>
      </c>
      <c r="AJ409">
        <v>93651028</v>
      </c>
      <c r="AK409" s="1" t="s">
        <v>1867</v>
      </c>
      <c r="AL409" t="s">
        <v>1913</v>
      </c>
      <c r="AN409" t="s">
        <v>2055</v>
      </c>
      <c r="AO409" t="s">
        <v>2067</v>
      </c>
      <c r="AP409" t="s">
        <v>2094</v>
      </c>
      <c r="AQ409">
        <v>126800</v>
      </c>
      <c r="AR409" s="3">
        <v>46203</v>
      </c>
      <c r="AS409" s="3">
        <v>46184</v>
      </c>
      <c r="AT409" s="3">
        <v>46222</v>
      </c>
      <c r="AU409" t="s">
        <v>2124</v>
      </c>
      <c r="AW409" s="3">
        <v>46208.53701449134</v>
      </c>
    </row>
    <row r="410" spans="1:49" ht="16" hidden="1" x14ac:dyDescent="0.2">
      <c r="A410" t="s">
        <v>71</v>
      </c>
      <c r="B410">
        <v>10358</v>
      </c>
      <c r="C410">
        <v>2612</v>
      </c>
      <c r="D410" t="s">
        <v>136</v>
      </c>
      <c r="E410" t="s">
        <v>275</v>
      </c>
      <c r="F410">
        <v>266872</v>
      </c>
      <c r="G410" t="s">
        <v>509</v>
      </c>
      <c r="H410">
        <v>581186</v>
      </c>
      <c r="I410" t="s">
        <v>1011</v>
      </c>
      <c r="J410">
        <v>93651031</v>
      </c>
      <c r="K410" t="s">
        <v>1835</v>
      </c>
      <c r="L410" t="s">
        <v>1851</v>
      </c>
      <c r="M410" s="1">
        <v>40</v>
      </c>
      <c r="N410" t="s">
        <v>1858</v>
      </c>
      <c r="O410">
        <v>230608</v>
      </c>
      <c r="P410" s="1">
        <v>9224.31</v>
      </c>
      <c r="S410" s="6" t="str">
        <f t="shared" si="6"/>
        <v xml:space="preserve"> </v>
      </c>
      <c r="T410" s="6" t="str">
        <f>IF(IF(COUNTIF(H$2:$H410,H410)=1,1,"")=1,SUMIF($H$2:$H$7997,H410,$S$2:$S$7997),"")</f>
        <v/>
      </c>
      <c r="W410">
        <v>610974</v>
      </c>
      <c r="X410">
        <v>610974</v>
      </c>
      <c r="Y410">
        <v>0</v>
      </c>
      <c r="Z410">
        <v>0</v>
      </c>
      <c r="AA410" s="2">
        <v>1</v>
      </c>
      <c r="AB410" s="2">
        <v>0</v>
      </c>
      <c r="AC410" s="2">
        <v>0</v>
      </c>
      <c r="AD410">
        <v>0</v>
      </c>
      <c r="AE410" t="s">
        <v>1863</v>
      </c>
      <c r="AF410">
        <v>9224.31</v>
      </c>
      <c r="AG410">
        <v>899370</v>
      </c>
      <c r="AH410">
        <v>35974.800000000003</v>
      </c>
      <c r="AI410" s="1" t="s">
        <v>275</v>
      </c>
      <c r="AJ410">
        <v>93651028</v>
      </c>
      <c r="AK410" s="1" t="s">
        <v>1867</v>
      </c>
      <c r="AL410" t="s">
        <v>1913</v>
      </c>
      <c r="AN410" t="s">
        <v>2055</v>
      </c>
      <c r="AO410" t="s">
        <v>2067</v>
      </c>
      <c r="AP410" t="s">
        <v>2092</v>
      </c>
      <c r="AQ410">
        <v>126800</v>
      </c>
      <c r="AR410" s="3">
        <v>46203</v>
      </c>
      <c r="AS410" s="3">
        <v>46184</v>
      </c>
      <c r="AT410" s="3">
        <v>46222</v>
      </c>
      <c r="AU410" t="s">
        <v>2123</v>
      </c>
      <c r="AW410" s="3">
        <v>46208.53701449134</v>
      </c>
    </row>
    <row r="411" spans="1:49" ht="16" hidden="1" x14ac:dyDescent="0.2">
      <c r="A411" t="s">
        <v>71</v>
      </c>
      <c r="B411">
        <v>10358</v>
      </c>
      <c r="C411">
        <v>2612</v>
      </c>
      <c r="D411" t="s">
        <v>136</v>
      </c>
      <c r="E411" t="s">
        <v>277</v>
      </c>
      <c r="F411">
        <v>266874</v>
      </c>
      <c r="G411" t="s">
        <v>511</v>
      </c>
      <c r="H411">
        <v>581190</v>
      </c>
      <c r="I411" t="s">
        <v>1027</v>
      </c>
      <c r="J411">
        <v>93714803</v>
      </c>
      <c r="K411" t="s">
        <v>1839</v>
      </c>
      <c r="L411" t="s">
        <v>1851</v>
      </c>
      <c r="M411" s="1">
        <v>40</v>
      </c>
      <c r="N411" t="s">
        <v>1858</v>
      </c>
      <c r="O411">
        <v>538080</v>
      </c>
      <c r="P411" s="1">
        <v>21523.21</v>
      </c>
      <c r="S411" s="6" t="str">
        <f t="shared" si="6"/>
        <v xml:space="preserve"> </v>
      </c>
      <c r="T411" s="6">
        <f>IF(IF(COUNTIF(H$2:$H411,H411)=1,1,"")=1,SUMIF($H$2:$H$7997,H411,$S$2:$S$7997),"")</f>
        <v>0</v>
      </c>
      <c r="W411">
        <v>1391162</v>
      </c>
      <c r="X411">
        <v>1391162</v>
      </c>
      <c r="Y411">
        <v>0</v>
      </c>
      <c r="Z411">
        <v>0</v>
      </c>
      <c r="AA411" s="2">
        <v>1</v>
      </c>
      <c r="AB411" s="2">
        <v>0</v>
      </c>
      <c r="AC411" s="2">
        <v>0</v>
      </c>
      <c r="AD411">
        <v>0</v>
      </c>
      <c r="AE411" t="s">
        <v>1863</v>
      </c>
      <c r="AF411">
        <v>21523.21</v>
      </c>
      <c r="AG411">
        <v>2098513</v>
      </c>
      <c r="AH411">
        <v>83940.52</v>
      </c>
      <c r="AI411" s="1" t="s">
        <v>277</v>
      </c>
      <c r="AJ411">
        <v>93652144</v>
      </c>
      <c r="AK411" s="1" t="s">
        <v>1867</v>
      </c>
      <c r="AL411" t="s">
        <v>1915</v>
      </c>
      <c r="AN411" t="s">
        <v>2055</v>
      </c>
      <c r="AO411" t="s">
        <v>2067</v>
      </c>
      <c r="AP411" t="s">
        <v>2094</v>
      </c>
      <c r="AQ411">
        <v>126812</v>
      </c>
      <c r="AR411" s="3">
        <v>46203</v>
      </c>
      <c r="AS411" s="3">
        <v>46184</v>
      </c>
      <c r="AT411" s="3">
        <v>46222</v>
      </c>
      <c r="AU411" t="s">
        <v>2124</v>
      </c>
      <c r="AW411" s="3">
        <v>46208.53701449134</v>
      </c>
    </row>
    <row r="412" spans="1:49" ht="16" hidden="1" x14ac:dyDescent="0.2">
      <c r="A412" t="s">
        <v>71</v>
      </c>
      <c r="B412">
        <v>10358</v>
      </c>
      <c r="C412">
        <v>2612</v>
      </c>
      <c r="D412" t="s">
        <v>136</v>
      </c>
      <c r="E412" t="s">
        <v>277</v>
      </c>
      <c r="F412">
        <v>266874</v>
      </c>
      <c r="G412" t="s">
        <v>511</v>
      </c>
      <c r="H412">
        <v>581190</v>
      </c>
      <c r="I412" t="s">
        <v>1013</v>
      </c>
      <c r="J412">
        <v>93652148</v>
      </c>
      <c r="K412" t="s">
        <v>1835</v>
      </c>
      <c r="L412" t="s">
        <v>1851</v>
      </c>
      <c r="M412" s="1">
        <v>40</v>
      </c>
      <c r="N412" t="s">
        <v>1858</v>
      </c>
      <c r="O412">
        <v>230606</v>
      </c>
      <c r="P412" s="1">
        <v>9224.24</v>
      </c>
      <c r="S412" s="6" t="str">
        <f t="shared" si="6"/>
        <v xml:space="preserve"> </v>
      </c>
      <c r="T412" s="6" t="str">
        <f>IF(IF(COUNTIF(H$2:$H412,H412)=1,1,"")=1,SUMIF($H$2:$H$7997,H412,$S$2:$S$7997),"")</f>
        <v/>
      </c>
      <c r="W412">
        <v>610872</v>
      </c>
      <c r="X412">
        <v>610872</v>
      </c>
      <c r="Y412">
        <v>0</v>
      </c>
      <c r="Z412">
        <v>0</v>
      </c>
      <c r="AA412" s="2">
        <v>1</v>
      </c>
      <c r="AB412" s="2">
        <v>0</v>
      </c>
      <c r="AC412" s="2">
        <v>0</v>
      </c>
      <c r="AD412">
        <v>0</v>
      </c>
      <c r="AE412" t="s">
        <v>1863</v>
      </c>
      <c r="AF412">
        <v>9224.24</v>
      </c>
      <c r="AG412">
        <v>899363</v>
      </c>
      <c r="AH412">
        <v>35974.519999999997</v>
      </c>
      <c r="AI412" s="1" t="s">
        <v>277</v>
      </c>
      <c r="AJ412">
        <v>93652144</v>
      </c>
      <c r="AK412" s="1" t="s">
        <v>1867</v>
      </c>
      <c r="AL412" t="s">
        <v>1915</v>
      </c>
      <c r="AN412" t="s">
        <v>2055</v>
      </c>
      <c r="AO412" t="s">
        <v>2067</v>
      </c>
      <c r="AP412" t="s">
        <v>2092</v>
      </c>
      <c r="AQ412">
        <v>126812</v>
      </c>
      <c r="AR412" s="3">
        <v>46203</v>
      </c>
      <c r="AS412" s="3">
        <v>46184</v>
      </c>
      <c r="AT412" s="3">
        <v>46222</v>
      </c>
      <c r="AU412" t="s">
        <v>2123</v>
      </c>
      <c r="AW412" s="3">
        <v>46208.53701449134</v>
      </c>
    </row>
    <row r="413" spans="1:49" ht="16" hidden="1" x14ac:dyDescent="0.2">
      <c r="A413" t="s">
        <v>71</v>
      </c>
      <c r="B413">
        <v>10358</v>
      </c>
      <c r="C413">
        <v>2612</v>
      </c>
      <c r="D413" t="s">
        <v>136</v>
      </c>
      <c r="E413" t="s">
        <v>276</v>
      </c>
      <c r="F413">
        <v>266866</v>
      </c>
      <c r="G413" t="s">
        <v>510</v>
      </c>
      <c r="H413">
        <v>581108</v>
      </c>
      <c r="I413" t="s">
        <v>1012</v>
      </c>
      <c r="J413">
        <v>93652059</v>
      </c>
      <c r="K413" t="s">
        <v>1835</v>
      </c>
      <c r="L413" t="s">
        <v>1851</v>
      </c>
      <c r="M413" s="1">
        <v>40</v>
      </c>
      <c r="N413" t="s">
        <v>1858</v>
      </c>
      <c r="O413">
        <v>230608</v>
      </c>
      <c r="P413" s="1">
        <v>9224.31</v>
      </c>
      <c r="S413" s="6" t="str">
        <f t="shared" si="6"/>
        <v xml:space="preserve"> </v>
      </c>
      <c r="T413" s="6">
        <f>IF(IF(COUNTIF(H$2:$H413,H413)=1,1,"")=1,SUMIF($H$2:$H$7997,H413,$S$2:$S$7997),"")</f>
        <v>0</v>
      </c>
      <c r="W413">
        <v>610966</v>
      </c>
      <c r="X413">
        <v>610966</v>
      </c>
      <c r="Y413">
        <v>0</v>
      </c>
      <c r="Z413">
        <v>0</v>
      </c>
      <c r="AA413" s="2">
        <v>1</v>
      </c>
      <c r="AB413" s="2">
        <v>0</v>
      </c>
      <c r="AC413" s="2">
        <v>0</v>
      </c>
      <c r="AD413">
        <v>0</v>
      </c>
      <c r="AE413" t="s">
        <v>1863</v>
      </c>
      <c r="AF413">
        <v>9224.31</v>
      </c>
      <c r="AG413">
        <v>899370</v>
      </c>
      <c r="AH413">
        <v>35974.800000000003</v>
      </c>
      <c r="AI413" s="1" t="s">
        <v>276</v>
      </c>
      <c r="AJ413">
        <v>93652056</v>
      </c>
      <c r="AK413" s="1" t="s">
        <v>1867</v>
      </c>
      <c r="AL413" t="s">
        <v>1914</v>
      </c>
      <c r="AN413" t="s">
        <v>2055</v>
      </c>
      <c r="AO413" t="s">
        <v>2067</v>
      </c>
      <c r="AP413" t="s">
        <v>2092</v>
      </c>
      <c r="AQ413">
        <v>126815</v>
      </c>
      <c r="AR413" s="3">
        <v>46203</v>
      </c>
      <c r="AS413" s="3">
        <v>46184</v>
      </c>
      <c r="AT413" s="3">
        <v>46222</v>
      </c>
      <c r="AU413" t="s">
        <v>2123</v>
      </c>
      <c r="AW413" s="3">
        <v>46208.53701449134</v>
      </c>
    </row>
    <row r="414" spans="1:49" ht="16" hidden="1" x14ac:dyDescent="0.2">
      <c r="A414" t="s">
        <v>71</v>
      </c>
      <c r="B414">
        <v>10358</v>
      </c>
      <c r="C414">
        <v>2612</v>
      </c>
      <c r="D414" t="s">
        <v>136</v>
      </c>
      <c r="E414" t="s">
        <v>276</v>
      </c>
      <c r="F414">
        <v>266866</v>
      </c>
      <c r="G414" t="s">
        <v>510</v>
      </c>
      <c r="H414">
        <v>581108</v>
      </c>
      <c r="I414" t="s">
        <v>1025</v>
      </c>
      <c r="J414">
        <v>93714780</v>
      </c>
      <c r="K414" t="s">
        <v>1839</v>
      </c>
      <c r="L414" t="s">
        <v>1851</v>
      </c>
      <c r="M414" s="1">
        <v>40</v>
      </c>
      <c r="N414" t="s">
        <v>1858</v>
      </c>
      <c r="O414">
        <v>538085</v>
      </c>
      <c r="P414" s="1">
        <v>21523.38</v>
      </c>
      <c r="S414" s="6" t="str">
        <f t="shared" si="6"/>
        <v xml:space="preserve"> </v>
      </c>
      <c r="T414" s="6" t="str">
        <f>IF(IF(COUNTIF(H$2:$H414,H414)=1,1,"")=1,SUMIF($H$2:$H$7997,H414,$S$2:$S$7997),"")</f>
        <v/>
      </c>
      <c r="W414">
        <v>1390227</v>
      </c>
      <c r="X414">
        <v>1390227</v>
      </c>
      <c r="Y414">
        <v>0</v>
      </c>
      <c r="Z414">
        <v>0</v>
      </c>
      <c r="AA414" s="2">
        <v>1</v>
      </c>
      <c r="AB414" s="2">
        <v>0</v>
      </c>
      <c r="AC414" s="2">
        <v>0</v>
      </c>
      <c r="AD414">
        <v>0</v>
      </c>
      <c r="AE414" t="s">
        <v>1863</v>
      </c>
      <c r="AF414">
        <v>21523.38</v>
      </c>
      <c r="AG414">
        <v>2098530</v>
      </c>
      <c r="AH414">
        <v>83941.2</v>
      </c>
      <c r="AI414" s="1" t="s">
        <v>276</v>
      </c>
      <c r="AJ414">
        <v>93652056</v>
      </c>
      <c r="AK414" s="1" t="s">
        <v>1867</v>
      </c>
      <c r="AL414" t="s">
        <v>1914</v>
      </c>
      <c r="AN414" t="s">
        <v>2055</v>
      </c>
      <c r="AO414" t="s">
        <v>2067</v>
      </c>
      <c r="AP414" t="s">
        <v>2094</v>
      </c>
      <c r="AQ414">
        <v>126815</v>
      </c>
      <c r="AR414" s="3">
        <v>46203</v>
      </c>
      <c r="AS414" s="3">
        <v>46184</v>
      </c>
      <c r="AT414" s="3">
        <v>46222</v>
      </c>
      <c r="AU414" t="s">
        <v>2124</v>
      </c>
      <c r="AW414" s="3">
        <v>46208.53701449134</v>
      </c>
    </row>
    <row r="415" spans="1:49" ht="16" hidden="1" x14ac:dyDescent="0.2">
      <c r="A415" t="s">
        <v>71</v>
      </c>
      <c r="B415">
        <v>10358</v>
      </c>
      <c r="C415">
        <v>2612</v>
      </c>
      <c r="D415" t="s">
        <v>136</v>
      </c>
      <c r="E415" t="s">
        <v>279</v>
      </c>
      <c r="F415">
        <v>266869</v>
      </c>
      <c r="G415" t="s">
        <v>513</v>
      </c>
      <c r="H415">
        <v>581180</v>
      </c>
      <c r="I415" t="s">
        <v>1026</v>
      </c>
      <c r="J415">
        <v>93714783</v>
      </c>
      <c r="K415" t="s">
        <v>1839</v>
      </c>
      <c r="L415" t="s">
        <v>1851</v>
      </c>
      <c r="M415" s="1">
        <v>40</v>
      </c>
      <c r="N415" t="s">
        <v>1858</v>
      </c>
      <c r="O415">
        <v>817735</v>
      </c>
      <c r="P415" s="1">
        <v>32709.38</v>
      </c>
      <c r="S415" s="6" t="str">
        <f t="shared" si="6"/>
        <v xml:space="preserve"> </v>
      </c>
      <c r="T415" s="6">
        <f>IF(IF(COUNTIF(H$2:$H415,H415)=1,1,"")=1,SUMIF($H$2:$H$7997,H415,$S$2:$S$7997),"")</f>
        <v>0</v>
      </c>
      <c r="W415">
        <v>2117057</v>
      </c>
      <c r="X415">
        <v>2117057</v>
      </c>
      <c r="Y415">
        <v>0</v>
      </c>
      <c r="Z415">
        <v>0</v>
      </c>
      <c r="AA415" s="2">
        <v>1</v>
      </c>
      <c r="AB415" s="2">
        <v>0</v>
      </c>
      <c r="AC415" s="2">
        <v>0</v>
      </c>
      <c r="AD415">
        <v>0</v>
      </c>
      <c r="AE415" t="s">
        <v>1863</v>
      </c>
      <c r="AF415">
        <v>32709.38</v>
      </c>
      <c r="AG415">
        <v>3189165</v>
      </c>
      <c r="AH415">
        <v>127566.6</v>
      </c>
      <c r="AI415" s="1" t="s">
        <v>279</v>
      </c>
      <c r="AJ415">
        <v>93652625</v>
      </c>
      <c r="AK415" s="1" t="s">
        <v>1867</v>
      </c>
      <c r="AL415" t="s">
        <v>1917</v>
      </c>
      <c r="AN415" t="s">
        <v>2055</v>
      </c>
      <c r="AO415" t="s">
        <v>2067</v>
      </c>
      <c r="AP415" t="s">
        <v>2094</v>
      </c>
      <c r="AQ415">
        <v>126809</v>
      </c>
      <c r="AR415" s="3">
        <v>46203</v>
      </c>
      <c r="AS415" s="3">
        <v>46184</v>
      </c>
      <c r="AT415" s="3">
        <v>46222</v>
      </c>
      <c r="AU415" t="s">
        <v>2124</v>
      </c>
      <c r="AW415" s="3">
        <v>46208.53701449134</v>
      </c>
    </row>
    <row r="416" spans="1:49" ht="16" hidden="1" x14ac:dyDescent="0.2">
      <c r="A416" t="s">
        <v>71</v>
      </c>
      <c r="B416">
        <v>10358</v>
      </c>
      <c r="C416">
        <v>2612</v>
      </c>
      <c r="D416" t="s">
        <v>136</v>
      </c>
      <c r="E416" t="s">
        <v>279</v>
      </c>
      <c r="F416">
        <v>266869</v>
      </c>
      <c r="G416" t="s">
        <v>513</v>
      </c>
      <c r="H416">
        <v>581180</v>
      </c>
      <c r="I416" t="s">
        <v>1016</v>
      </c>
      <c r="J416">
        <v>93652628</v>
      </c>
      <c r="K416" t="s">
        <v>1835</v>
      </c>
      <c r="L416" t="s">
        <v>1851</v>
      </c>
      <c r="M416" s="1">
        <v>40</v>
      </c>
      <c r="N416" t="s">
        <v>1858</v>
      </c>
      <c r="O416">
        <v>350458</v>
      </c>
      <c r="P416" s="1">
        <v>14018.31</v>
      </c>
      <c r="S416" s="6" t="str">
        <f t="shared" si="6"/>
        <v xml:space="preserve"> </v>
      </c>
      <c r="T416" s="6" t="str">
        <f>IF(IF(COUNTIF(H$2:$H416,H416)=1,1,"")=1,SUMIF($H$2:$H$7997,H416,$S$2:$S$7997),"")</f>
        <v/>
      </c>
      <c r="W416">
        <v>925360</v>
      </c>
      <c r="X416">
        <v>925360</v>
      </c>
      <c r="Y416">
        <v>0</v>
      </c>
      <c r="Z416">
        <v>0</v>
      </c>
      <c r="AA416" s="2">
        <v>1</v>
      </c>
      <c r="AB416" s="2">
        <v>0</v>
      </c>
      <c r="AC416" s="2">
        <v>0</v>
      </c>
      <c r="AD416">
        <v>0</v>
      </c>
      <c r="AE416" t="s">
        <v>1863</v>
      </c>
      <c r="AF416">
        <v>14018.31</v>
      </c>
      <c r="AG416">
        <v>1366785</v>
      </c>
      <c r="AH416">
        <v>54671.4</v>
      </c>
      <c r="AI416" s="1" t="s">
        <v>279</v>
      </c>
      <c r="AJ416">
        <v>93652625</v>
      </c>
      <c r="AK416" s="1" t="s">
        <v>1867</v>
      </c>
      <c r="AL416" t="s">
        <v>1917</v>
      </c>
      <c r="AN416" t="s">
        <v>2055</v>
      </c>
      <c r="AO416" t="s">
        <v>2067</v>
      </c>
      <c r="AP416" t="s">
        <v>2092</v>
      </c>
      <c r="AQ416">
        <v>126809</v>
      </c>
      <c r="AR416" s="3">
        <v>46203</v>
      </c>
      <c r="AS416" s="3">
        <v>46184</v>
      </c>
      <c r="AT416" s="3">
        <v>46222</v>
      </c>
      <c r="AU416" t="s">
        <v>2123</v>
      </c>
      <c r="AW416" s="3">
        <v>46208.53701449134</v>
      </c>
    </row>
    <row r="417" spans="1:49" ht="16" hidden="1" x14ac:dyDescent="0.2">
      <c r="A417" t="s">
        <v>71</v>
      </c>
      <c r="B417">
        <v>10358</v>
      </c>
      <c r="C417">
        <v>2612</v>
      </c>
      <c r="D417" t="s">
        <v>136</v>
      </c>
      <c r="E417" t="s">
        <v>280</v>
      </c>
      <c r="F417">
        <v>266871</v>
      </c>
      <c r="G417" t="s">
        <v>514</v>
      </c>
      <c r="H417">
        <v>581183</v>
      </c>
      <c r="I417" t="s">
        <v>1024</v>
      </c>
      <c r="J417">
        <v>93714769</v>
      </c>
      <c r="K417" t="s">
        <v>1839</v>
      </c>
      <c r="L417" t="s">
        <v>1851</v>
      </c>
      <c r="M417" s="1">
        <v>40</v>
      </c>
      <c r="N417" t="s">
        <v>1858</v>
      </c>
      <c r="O417">
        <v>258430</v>
      </c>
      <c r="P417" s="1">
        <v>10337.209999999999</v>
      </c>
      <c r="S417" s="6" t="str">
        <f t="shared" si="6"/>
        <v xml:space="preserve"> </v>
      </c>
      <c r="T417" s="6">
        <f>IF(IF(COUNTIF(H$2:$H417,H417)=1,1,"")=1,SUMIF($H$2:$H$7997,H417,$S$2:$S$7997),"")</f>
        <v>0</v>
      </c>
      <c r="W417">
        <v>665123</v>
      </c>
      <c r="X417">
        <v>665123</v>
      </c>
      <c r="Y417">
        <v>0</v>
      </c>
      <c r="Z417">
        <v>0</v>
      </c>
      <c r="AA417" s="2">
        <v>1</v>
      </c>
      <c r="AB417" s="2">
        <v>0</v>
      </c>
      <c r="AC417" s="2">
        <v>0</v>
      </c>
      <c r="AD417">
        <v>0</v>
      </c>
      <c r="AE417" t="s">
        <v>1863</v>
      </c>
      <c r="AF417">
        <v>10337.209999999999</v>
      </c>
      <c r="AG417">
        <v>1007878</v>
      </c>
      <c r="AH417">
        <v>40315.120000000003</v>
      </c>
      <c r="AI417" s="1" t="s">
        <v>280</v>
      </c>
      <c r="AJ417">
        <v>93652631</v>
      </c>
      <c r="AK417" s="1" t="s">
        <v>1867</v>
      </c>
      <c r="AL417" t="s">
        <v>1918</v>
      </c>
      <c r="AN417" t="s">
        <v>2055</v>
      </c>
      <c r="AO417" t="s">
        <v>2067</v>
      </c>
      <c r="AP417" t="s">
        <v>2094</v>
      </c>
      <c r="AQ417">
        <v>126806</v>
      </c>
      <c r="AR417" s="3">
        <v>46203</v>
      </c>
      <c r="AS417" s="3">
        <v>46184</v>
      </c>
      <c r="AT417" s="3">
        <v>46222</v>
      </c>
      <c r="AU417" t="s">
        <v>2124</v>
      </c>
      <c r="AW417" s="3">
        <v>46208.53701449134</v>
      </c>
    </row>
    <row r="418" spans="1:49" ht="16" hidden="1" x14ac:dyDescent="0.2">
      <c r="A418" t="s">
        <v>71</v>
      </c>
      <c r="B418">
        <v>10358</v>
      </c>
      <c r="C418">
        <v>2612</v>
      </c>
      <c r="D418" t="s">
        <v>136</v>
      </c>
      <c r="E418" t="s">
        <v>280</v>
      </c>
      <c r="F418">
        <v>266871</v>
      </c>
      <c r="G418" t="s">
        <v>514</v>
      </c>
      <c r="H418">
        <v>581183</v>
      </c>
      <c r="I418" t="s">
        <v>1017</v>
      </c>
      <c r="J418">
        <v>93652634</v>
      </c>
      <c r="K418" t="s">
        <v>1835</v>
      </c>
      <c r="L418" t="s">
        <v>1851</v>
      </c>
      <c r="M418" s="1">
        <v>40</v>
      </c>
      <c r="N418" t="s">
        <v>1858</v>
      </c>
      <c r="O418">
        <v>110756</v>
      </c>
      <c r="P418" s="1">
        <v>4430.24</v>
      </c>
      <c r="S418" s="6" t="str">
        <f t="shared" si="6"/>
        <v xml:space="preserve"> </v>
      </c>
      <c r="T418" s="6" t="str">
        <f>IF(IF(COUNTIF(H$2:$H418,H418)=1,1,"")=1,SUMIF($H$2:$H$7997,H418,$S$2:$S$7997),"")</f>
        <v/>
      </c>
      <c r="W418">
        <v>293593</v>
      </c>
      <c r="X418">
        <v>293593</v>
      </c>
      <c r="Y418">
        <v>0</v>
      </c>
      <c r="Z418">
        <v>0</v>
      </c>
      <c r="AA418" s="2">
        <v>1</v>
      </c>
      <c r="AB418" s="2">
        <v>0</v>
      </c>
      <c r="AC418" s="2">
        <v>0</v>
      </c>
      <c r="AD418">
        <v>0</v>
      </c>
      <c r="AE418" t="s">
        <v>1863</v>
      </c>
      <c r="AF418">
        <v>4430.24</v>
      </c>
      <c r="AG418">
        <v>431948</v>
      </c>
      <c r="AH418">
        <v>17277.919999999998</v>
      </c>
      <c r="AI418" s="1" t="s">
        <v>280</v>
      </c>
      <c r="AJ418">
        <v>93652631</v>
      </c>
      <c r="AK418" s="1" t="s">
        <v>1867</v>
      </c>
      <c r="AL418" t="s">
        <v>1918</v>
      </c>
      <c r="AN418" t="s">
        <v>2055</v>
      </c>
      <c r="AO418" t="s">
        <v>2067</v>
      </c>
      <c r="AP418" t="s">
        <v>2092</v>
      </c>
      <c r="AQ418">
        <v>126806</v>
      </c>
      <c r="AR418" s="3">
        <v>46203</v>
      </c>
      <c r="AS418" s="3">
        <v>46184</v>
      </c>
      <c r="AT418" s="3">
        <v>46222</v>
      </c>
      <c r="AU418" t="s">
        <v>2123</v>
      </c>
      <c r="AW418" s="3">
        <v>46208.53701449134</v>
      </c>
    </row>
    <row r="419" spans="1:49" ht="16" hidden="1" x14ac:dyDescent="0.2">
      <c r="A419" t="s">
        <v>62</v>
      </c>
      <c r="B419">
        <v>11545</v>
      </c>
      <c r="C419">
        <v>9083</v>
      </c>
      <c r="D419" t="s">
        <v>124</v>
      </c>
      <c r="E419" t="s">
        <v>244</v>
      </c>
      <c r="F419">
        <v>263735</v>
      </c>
      <c r="G419" t="s">
        <v>244</v>
      </c>
      <c r="H419">
        <v>569809</v>
      </c>
      <c r="I419" t="s">
        <v>947</v>
      </c>
      <c r="J419">
        <v>92792952</v>
      </c>
      <c r="K419" t="s">
        <v>1840</v>
      </c>
      <c r="L419" t="s">
        <v>1850</v>
      </c>
      <c r="M419" s="1">
        <v>28</v>
      </c>
      <c r="N419" t="s">
        <v>1855</v>
      </c>
      <c r="O419">
        <v>553558</v>
      </c>
      <c r="P419" s="1">
        <v>15499.62</v>
      </c>
      <c r="S419" s="6" t="str">
        <f t="shared" si="6"/>
        <v xml:space="preserve"> </v>
      </c>
      <c r="T419" s="6">
        <f>IF(IF(COUNTIF(H$2:$H419,H419)=1,1,"")=1,SUMIF($H$2:$H$7997,H419,$S$2:$S$7997),"")</f>
        <v>0</v>
      </c>
      <c r="W419">
        <v>454400</v>
      </c>
      <c r="X419">
        <v>553558</v>
      </c>
      <c r="Y419">
        <v>0</v>
      </c>
      <c r="Z419">
        <v>0</v>
      </c>
      <c r="AA419" s="2">
        <v>1</v>
      </c>
      <c r="AB419" s="2">
        <v>0</v>
      </c>
      <c r="AC419" s="2">
        <v>0</v>
      </c>
      <c r="AD419">
        <v>0</v>
      </c>
      <c r="AE419" t="s">
        <v>1862</v>
      </c>
      <c r="AF419">
        <v>6387.15</v>
      </c>
      <c r="AG419">
        <v>1446429</v>
      </c>
      <c r="AH419">
        <v>40500.01</v>
      </c>
      <c r="AI419" s="1" t="s">
        <v>244</v>
      </c>
      <c r="AJ419">
        <v>92792949</v>
      </c>
      <c r="AK419" s="1" t="s">
        <v>1868</v>
      </c>
      <c r="AN419" t="s">
        <v>2052</v>
      </c>
      <c r="AO419" t="s">
        <v>2067</v>
      </c>
      <c r="AP419" t="s">
        <v>2083</v>
      </c>
      <c r="AQ419">
        <v>120963</v>
      </c>
      <c r="AR419" s="3">
        <v>46203</v>
      </c>
      <c r="AS419" s="3">
        <v>46118</v>
      </c>
      <c r="AT419" s="3">
        <v>46203</v>
      </c>
      <c r="AU419" t="s">
        <v>2123</v>
      </c>
      <c r="AW419" s="3">
        <v>46208.53701449134</v>
      </c>
    </row>
    <row r="420" spans="1:49" ht="16" hidden="1" x14ac:dyDescent="0.2">
      <c r="A420" t="s">
        <v>101</v>
      </c>
      <c r="B420">
        <v>10438</v>
      </c>
      <c r="C420">
        <v>1786</v>
      </c>
      <c r="D420" t="s">
        <v>199</v>
      </c>
      <c r="E420" t="s">
        <v>396</v>
      </c>
      <c r="F420">
        <v>267910</v>
      </c>
      <c r="G420" t="s">
        <v>734</v>
      </c>
      <c r="H420">
        <v>587313</v>
      </c>
      <c r="I420" t="s">
        <v>1421</v>
      </c>
      <c r="J420">
        <v>94701678</v>
      </c>
      <c r="K420" t="s">
        <v>1839</v>
      </c>
      <c r="L420" t="s">
        <v>1850</v>
      </c>
      <c r="M420" s="1">
        <v>20</v>
      </c>
      <c r="N420" t="s">
        <v>1855</v>
      </c>
      <c r="O420">
        <v>939628</v>
      </c>
      <c r="P420" s="1">
        <v>18792.560000000001</v>
      </c>
      <c r="S420" s="6" t="str">
        <f t="shared" si="6"/>
        <v xml:space="preserve"> </v>
      </c>
      <c r="T420" s="6">
        <f>IF(IF(COUNTIF(H$2:$H420,H420)=1,1,"")=1,SUMIF($H$2:$H$7997,H420,$S$2:$S$7997),"")</f>
        <v>0</v>
      </c>
      <c r="W420">
        <v>939628</v>
      </c>
      <c r="X420">
        <v>939628</v>
      </c>
      <c r="Y420">
        <v>0</v>
      </c>
      <c r="Z420">
        <v>0</v>
      </c>
      <c r="AA420" s="2">
        <v>1</v>
      </c>
      <c r="AB420" s="2">
        <v>0</v>
      </c>
      <c r="AC420" s="2">
        <v>0</v>
      </c>
      <c r="AD420">
        <v>0</v>
      </c>
      <c r="AE420" t="s">
        <v>1862</v>
      </c>
      <c r="AF420">
        <v>9488.6200000000008</v>
      </c>
      <c r="AG420">
        <v>1500000</v>
      </c>
      <c r="AH420">
        <v>30000</v>
      </c>
      <c r="AI420" s="1" t="s">
        <v>396</v>
      </c>
      <c r="AJ420">
        <v>94701642</v>
      </c>
      <c r="AK420" s="1" t="s">
        <v>1868</v>
      </c>
      <c r="AL420" t="s">
        <v>1987</v>
      </c>
      <c r="AN420" t="s">
        <v>2061</v>
      </c>
      <c r="AO420" t="s">
        <v>2067</v>
      </c>
      <c r="AP420" t="s">
        <v>2093</v>
      </c>
      <c r="AQ420">
        <v>131007</v>
      </c>
      <c r="AR420" s="3">
        <v>46203</v>
      </c>
      <c r="AS420" s="3">
        <v>46184</v>
      </c>
      <c r="AT420" s="3">
        <v>46222</v>
      </c>
      <c r="AU420" t="s">
        <v>2124</v>
      </c>
      <c r="AW420" s="3">
        <v>46208.53701449134</v>
      </c>
    </row>
    <row r="421" spans="1:49" ht="16" hidden="1" x14ac:dyDescent="0.2">
      <c r="A421" t="s">
        <v>101</v>
      </c>
      <c r="B421">
        <v>10438</v>
      </c>
      <c r="C421">
        <v>1786</v>
      </c>
      <c r="D421" t="s">
        <v>199</v>
      </c>
      <c r="E421" t="s">
        <v>396</v>
      </c>
      <c r="F421">
        <v>267910</v>
      </c>
      <c r="G421" t="s">
        <v>734</v>
      </c>
      <c r="H421">
        <v>587313</v>
      </c>
      <c r="I421" t="s">
        <v>1422</v>
      </c>
      <c r="J421">
        <v>94701681</v>
      </c>
      <c r="K421" t="s">
        <v>1840</v>
      </c>
      <c r="L421" t="s">
        <v>1850</v>
      </c>
      <c r="M421" s="1">
        <v>20</v>
      </c>
      <c r="N421" t="s">
        <v>1855</v>
      </c>
      <c r="O421">
        <v>3453619</v>
      </c>
      <c r="P421" s="1">
        <v>69072.38</v>
      </c>
      <c r="S421" s="6" t="str">
        <f t="shared" si="6"/>
        <v xml:space="preserve"> </v>
      </c>
      <c r="T421" s="6" t="str">
        <f>IF(IF(COUNTIF(H$2:$H421,H421)=1,1,"")=1,SUMIF($H$2:$H$7997,H421,$S$2:$S$7997),"")</f>
        <v/>
      </c>
      <c r="W421">
        <v>3453619</v>
      </c>
      <c r="X421">
        <v>3453619</v>
      </c>
      <c r="Y421">
        <v>0</v>
      </c>
      <c r="Z421">
        <v>0</v>
      </c>
      <c r="AA421" s="2">
        <v>1</v>
      </c>
      <c r="AB421" s="2">
        <v>0</v>
      </c>
      <c r="AC421" s="2">
        <v>0</v>
      </c>
      <c r="AD421">
        <v>0</v>
      </c>
      <c r="AE421" t="s">
        <v>1862</v>
      </c>
      <c r="AF421">
        <v>37954.480000000003</v>
      </c>
      <c r="AG421">
        <v>6000000</v>
      </c>
      <c r="AH421">
        <v>120000</v>
      </c>
      <c r="AI421" s="1" t="s">
        <v>396</v>
      </c>
      <c r="AJ421">
        <v>94701642</v>
      </c>
      <c r="AK421" s="1" t="s">
        <v>1868</v>
      </c>
      <c r="AL421" t="s">
        <v>1987</v>
      </c>
      <c r="AN421" t="s">
        <v>2061</v>
      </c>
      <c r="AO421" t="s">
        <v>2067</v>
      </c>
      <c r="AP421" t="s">
        <v>2083</v>
      </c>
      <c r="AQ421">
        <v>131007</v>
      </c>
      <c r="AR421" s="3">
        <v>46203</v>
      </c>
      <c r="AS421" s="3">
        <v>46184</v>
      </c>
      <c r="AT421" s="3">
        <v>46222</v>
      </c>
      <c r="AU421" t="s">
        <v>2123</v>
      </c>
      <c r="AW421" s="3">
        <v>46208.53701449134</v>
      </c>
    </row>
    <row r="422" spans="1:49" ht="16" hidden="1" x14ac:dyDescent="0.2">
      <c r="A422" t="s">
        <v>101</v>
      </c>
      <c r="B422">
        <v>10438</v>
      </c>
      <c r="C422">
        <v>1786</v>
      </c>
      <c r="D422" t="s">
        <v>199</v>
      </c>
      <c r="E422" t="s">
        <v>396</v>
      </c>
      <c r="F422">
        <v>267910</v>
      </c>
      <c r="G422" t="s">
        <v>740</v>
      </c>
      <c r="H422">
        <v>587567</v>
      </c>
      <c r="I422" t="s">
        <v>1433</v>
      </c>
      <c r="J422">
        <v>94718297</v>
      </c>
      <c r="K422" t="s">
        <v>1839</v>
      </c>
      <c r="L422" t="s">
        <v>1850</v>
      </c>
      <c r="M422" s="1">
        <v>44</v>
      </c>
      <c r="N422" t="s">
        <v>23</v>
      </c>
      <c r="O422">
        <v>2625041</v>
      </c>
      <c r="P422" s="1">
        <v>115501.8</v>
      </c>
      <c r="S422" s="6" t="str">
        <f t="shared" si="6"/>
        <v xml:space="preserve"> </v>
      </c>
      <c r="T422" s="6">
        <f>IF(IF(COUNTIF(H$2:$H422,H422)=1,1,"")=1,SUMIF($H$2:$H$7997,H422,$S$2:$S$7997),"")</f>
        <v>0</v>
      </c>
      <c r="W422">
        <v>2625041</v>
      </c>
      <c r="X422">
        <v>2625041</v>
      </c>
      <c r="Y422">
        <v>0</v>
      </c>
      <c r="Z422">
        <v>0</v>
      </c>
      <c r="AA422" s="2">
        <v>1</v>
      </c>
      <c r="AB422" s="2">
        <v>0</v>
      </c>
      <c r="AC422" s="2">
        <v>0</v>
      </c>
      <c r="AD422">
        <v>0</v>
      </c>
      <c r="AE422" t="s">
        <v>1862</v>
      </c>
      <c r="AF422">
        <v>61065.62</v>
      </c>
      <c r="AG422">
        <v>3977273</v>
      </c>
      <c r="AH422">
        <v>175000.01</v>
      </c>
      <c r="AI422" s="1" t="s">
        <v>396</v>
      </c>
      <c r="AJ422">
        <v>94701642</v>
      </c>
      <c r="AK422" s="1" t="s">
        <v>1867</v>
      </c>
      <c r="AL422" t="s">
        <v>1987</v>
      </c>
      <c r="AN422" t="s">
        <v>2061</v>
      </c>
      <c r="AO422" t="s">
        <v>2067</v>
      </c>
      <c r="AP422" t="s">
        <v>2094</v>
      </c>
      <c r="AQ422">
        <v>131007</v>
      </c>
      <c r="AR422" s="3">
        <v>46203</v>
      </c>
      <c r="AS422" s="3">
        <v>46184</v>
      </c>
      <c r="AT422" s="3">
        <v>46222</v>
      </c>
      <c r="AU422" t="s">
        <v>2124</v>
      </c>
      <c r="AW422" s="3">
        <v>46208.53701449134</v>
      </c>
    </row>
    <row r="423" spans="1:49" ht="16" hidden="1" x14ac:dyDescent="0.2">
      <c r="A423" t="s">
        <v>101</v>
      </c>
      <c r="B423">
        <v>10438</v>
      </c>
      <c r="C423">
        <v>1786</v>
      </c>
      <c r="D423" t="s">
        <v>199</v>
      </c>
      <c r="E423" t="s">
        <v>396</v>
      </c>
      <c r="F423">
        <v>267910</v>
      </c>
      <c r="G423" t="s">
        <v>740</v>
      </c>
      <c r="H423">
        <v>587567</v>
      </c>
      <c r="I423" t="s">
        <v>1432</v>
      </c>
      <c r="J423">
        <v>94718270</v>
      </c>
      <c r="K423" t="s">
        <v>1835</v>
      </c>
      <c r="L423" t="s">
        <v>1850</v>
      </c>
      <c r="M423" s="1">
        <v>44</v>
      </c>
      <c r="N423" t="s">
        <v>23</v>
      </c>
      <c r="O423">
        <v>1146398</v>
      </c>
      <c r="P423" s="1">
        <v>50441.51</v>
      </c>
      <c r="S423" s="6" t="str">
        <f t="shared" si="6"/>
        <v xml:space="preserve"> </v>
      </c>
      <c r="T423" s="6" t="str">
        <f>IF(IF(COUNTIF(H$2:$H423,H423)=1,1,"")=1,SUMIF($H$2:$H$7997,H423,$S$2:$S$7997),"")</f>
        <v/>
      </c>
      <c r="W423">
        <v>1146398</v>
      </c>
      <c r="X423">
        <v>1146398</v>
      </c>
      <c r="Y423">
        <v>0</v>
      </c>
      <c r="Z423">
        <v>0</v>
      </c>
      <c r="AA423" s="2">
        <v>1</v>
      </c>
      <c r="AB423" s="2">
        <v>0</v>
      </c>
      <c r="AC423" s="2">
        <v>0</v>
      </c>
      <c r="AD423">
        <v>0</v>
      </c>
      <c r="AE423" t="s">
        <v>1862</v>
      </c>
      <c r="AF423">
        <v>26170.98</v>
      </c>
      <c r="AG423">
        <v>1704546</v>
      </c>
      <c r="AH423">
        <v>75000.02</v>
      </c>
      <c r="AI423" s="1" t="s">
        <v>396</v>
      </c>
      <c r="AJ423">
        <v>94701642</v>
      </c>
      <c r="AK423" s="1" t="s">
        <v>1867</v>
      </c>
      <c r="AL423" t="s">
        <v>1987</v>
      </c>
      <c r="AN423" t="s">
        <v>2061</v>
      </c>
      <c r="AO423" t="s">
        <v>2067</v>
      </c>
      <c r="AP423" t="s">
        <v>2092</v>
      </c>
      <c r="AQ423">
        <v>131007</v>
      </c>
      <c r="AR423" s="3">
        <v>46203</v>
      </c>
      <c r="AS423" s="3">
        <v>46184</v>
      </c>
      <c r="AT423" s="3">
        <v>46222</v>
      </c>
      <c r="AU423" t="s">
        <v>2123</v>
      </c>
      <c r="AW423" s="3">
        <v>46208.53701449134</v>
      </c>
    </row>
    <row r="424" spans="1:49" ht="16" hidden="1" x14ac:dyDescent="0.2">
      <c r="A424" t="s">
        <v>101</v>
      </c>
      <c r="B424">
        <v>10438</v>
      </c>
      <c r="C424">
        <v>1786</v>
      </c>
      <c r="D424" t="s">
        <v>199</v>
      </c>
      <c r="E424" t="s">
        <v>396</v>
      </c>
      <c r="F424">
        <v>267910</v>
      </c>
      <c r="G424" t="s">
        <v>733</v>
      </c>
      <c r="H424">
        <v>587596</v>
      </c>
      <c r="I424" t="s">
        <v>1420</v>
      </c>
      <c r="J424">
        <v>94701675</v>
      </c>
      <c r="K424" t="s">
        <v>1835</v>
      </c>
      <c r="L424" t="s">
        <v>1850</v>
      </c>
      <c r="M424" s="1">
        <v>34.72</v>
      </c>
      <c r="N424" t="s">
        <v>1853</v>
      </c>
      <c r="O424">
        <v>952012</v>
      </c>
      <c r="P424" s="1">
        <v>33053.86</v>
      </c>
      <c r="S424" s="6" t="str">
        <f t="shared" si="6"/>
        <v xml:space="preserve"> </v>
      </c>
      <c r="T424" s="6">
        <f>IF(IF(COUNTIF(H$2:$H424,H424)=1,1,"")=1,SUMIF($H$2:$H$7997,H424,$S$2:$S$7997),"")</f>
        <v>0</v>
      </c>
      <c r="W424">
        <v>1236162</v>
      </c>
      <c r="X424">
        <v>1236162</v>
      </c>
      <c r="Y424">
        <v>952012</v>
      </c>
      <c r="Z424">
        <v>952012</v>
      </c>
      <c r="AA424" s="2">
        <v>1</v>
      </c>
      <c r="AB424" s="2">
        <v>0.77013561935424435</v>
      </c>
      <c r="AC424" s="2">
        <v>0</v>
      </c>
      <c r="AD424">
        <v>0</v>
      </c>
      <c r="AE424" t="s">
        <v>1862</v>
      </c>
      <c r="AF424">
        <v>15429.67</v>
      </c>
      <c r="AG424">
        <v>1985430</v>
      </c>
      <c r="AH424">
        <v>68934.13</v>
      </c>
      <c r="AI424" s="1" t="s">
        <v>396</v>
      </c>
      <c r="AJ424">
        <v>94701642</v>
      </c>
      <c r="AK424" s="1" t="s">
        <v>1867</v>
      </c>
      <c r="AL424" t="s">
        <v>1987</v>
      </c>
      <c r="AN424" t="s">
        <v>2061</v>
      </c>
      <c r="AO424" t="s">
        <v>2067</v>
      </c>
      <c r="AP424" t="s">
        <v>2091</v>
      </c>
      <c r="AQ424">
        <v>131007</v>
      </c>
      <c r="AR424" s="3">
        <v>46203</v>
      </c>
      <c r="AS424" s="3">
        <v>46184</v>
      </c>
      <c r="AT424" s="3">
        <v>46222</v>
      </c>
      <c r="AU424" t="s">
        <v>2123</v>
      </c>
      <c r="AW424" s="3">
        <v>46208.53701449134</v>
      </c>
    </row>
    <row r="425" spans="1:49" ht="16" hidden="1" x14ac:dyDescent="0.2">
      <c r="A425" t="s">
        <v>101</v>
      </c>
      <c r="B425">
        <v>10438</v>
      </c>
      <c r="C425">
        <v>1786</v>
      </c>
      <c r="D425" t="s">
        <v>199</v>
      </c>
      <c r="E425" t="s">
        <v>396</v>
      </c>
      <c r="F425">
        <v>267910</v>
      </c>
      <c r="G425" t="s">
        <v>733</v>
      </c>
      <c r="H425">
        <v>587596</v>
      </c>
      <c r="I425" t="s">
        <v>1469</v>
      </c>
      <c r="J425">
        <v>94964952</v>
      </c>
      <c r="K425" t="s">
        <v>1843</v>
      </c>
      <c r="L425" t="s">
        <v>1850</v>
      </c>
      <c r="M425" s="1">
        <v>34.72</v>
      </c>
      <c r="N425" t="s">
        <v>23</v>
      </c>
      <c r="O425">
        <v>339008</v>
      </c>
      <c r="P425" s="1">
        <v>11770.36</v>
      </c>
      <c r="S425" s="6" t="str">
        <f t="shared" si="6"/>
        <v xml:space="preserve"> </v>
      </c>
      <c r="T425" s="6" t="str">
        <f>IF(IF(COUNTIF(H$2:$H425,H425)=1,1,"")=1,SUMIF($H$2:$H$7997,H425,$S$2:$S$7997),"")</f>
        <v/>
      </c>
      <c r="W425">
        <v>339008</v>
      </c>
      <c r="X425">
        <v>339008</v>
      </c>
      <c r="Y425">
        <v>0</v>
      </c>
      <c r="Z425">
        <v>0</v>
      </c>
      <c r="AA425" s="2">
        <v>1</v>
      </c>
      <c r="AB425" s="2">
        <v>0.27152911181215228</v>
      </c>
      <c r="AC425" s="2">
        <v>0</v>
      </c>
      <c r="AD425">
        <v>0</v>
      </c>
      <c r="AE425" t="s">
        <v>1862</v>
      </c>
      <c r="AF425">
        <v>6953.55</v>
      </c>
      <c r="AG425">
        <v>894755</v>
      </c>
      <c r="AH425">
        <v>31065.89</v>
      </c>
      <c r="AI425" s="1" t="s">
        <v>396</v>
      </c>
      <c r="AJ425">
        <v>94701642</v>
      </c>
      <c r="AK425" s="1" t="s">
        <v>1867</v>
      </c>
      <c r="AL425" t="s">
        <v>1987</v>
      </c>
      <c r="AN425" t="s">
        <v>2061</v>
      </c>
      <c r="AO425" t="s">
        <v>2067</v>
      </c>
      <c r="AP425" t="s">
        <v>2099</v>
      </c>
      <c r="AQ425">
        <v>131007</v>
      </c>
      <c r="AR425" s="3">
        <v>46203</v>
      </c>
      <c r="AS425" s="3">
        <v>46184</v>
      </c>
      <c r="AT425" s="3">
        <v>46222</v>
      </c>
      <c r="AU425" t="s">
        <v>2125</v>
      </c>
      <c r="AW425" s="3">
        <v>46208.53701449134</v>
      </c>
    </row>
    <row r="426" spans="1:49" ht="16" hidden="1" x14ac:dyDescent="0.2">
      <c r="A426" t="s">
        <v>101</v>
      </c>
      <c r="B426">
        <v>10438</v>
      </c>
      <c r="C426">
        <v>1786</v>
      </c>
      <c r="D426" t="s">
        <v>199</v>
      </c>
      <c r="E426" t="s">
        <v>373</v>
      </c>
      <c r="F426">
        <v>270448</v>
      </c>
      <c r="G426" t="s">
        <v>693</v>
      </c>
      <c r="H426">
        <v>591686</v>
      </c>
      <c r="I426" t="s">
        <v>1344</v>
      </c>
      <c r="J426">
        <v>94396292</v>
      </c>
      <c r="K426" t="s">
        <v>1836</v>
      </c>
      <c r="L426" t="s">
        <v>1850</v>
      </c>
      <c r="M426" s="1">
        <v>18.62</v>
      </c>
      <c r="N426" t="s">
        <v>23</v>
      </c>
      <c r="O426">
        <v>2916121</v>
      </c>
      <c r="P426" s="1">
        <v>54298.17</v>
      </c>
      <c r="S426" s="6" t="str">
        <f t="shared" si="6"/>
        <v xml:space="preserve"> </v>
      </c>
      <c r="T426" s="6">
        <f>IF(IF(COUNTIF(H$2:$H426,H426)=1,1,"")=1,SUMIF($H$2:$H$7997,H426,$S$2:$S$7997),"")</f>
        <v>0</v>
      </c>
      <c r="V426" t="s">
        <v>1860</v>
      </c>
      <c r="W426">
        <v>2916121</v>
      </c>
      <c r="X426">
        <v>2916121</v>
      </c>
      <c r="Y426">
        <v>0</v>
      </c>
      <c r="Z426">
        <v>0</v>
      </c>
      <c r="AA426" s="2">
        <v>1</v>
      </c>
      <c r="AB426" s="2">
        <v>0</v>
      </c>
      <c r="AC426" s="2">
        <v>0</v>
      </c>
      <c r="AD426">
        <v>0</v>
      </c>
      <c r="AE426" t="s">
        <v>1862</v>
      </c>
      <c r="AF426">
        <v>55389.94</v>
      </c>
      <c r="AG426">
        <v>5370570</v>
      </c>
      <c r="AH426">
        <v>100000.01</v>
      </c>
      <c r="AI426" s="1" t="s">
        <v>373</v>
      </c>
      <c r="AJ426">
        <v>94396283</v>
      </c>
      <c r="AK426" s="1" t="s">
        <v>1867</v>
      </c>
      <c r="AL426" t="s">
        <v>1990</v>
      </c>
      <c r="AN426" t="s">
        <v>2061</v>
      </c>
      <c r="AO426" t="s">
        <v>2067</v>
      </c>
      <c r="AP426" t="s">
        <v>2072</v>
      </c>
      <c r="AQ426">
        <v>129944</v>
      </c>
      <c r="AR426" s="3">
        <v>46203</v>
      </c>
      <c r="AS426" s="3">
        <v>46181</v>
      </c>
      <c r="AT426" s="3">
        <v>46200</v>
      </c>
      <c r="AU426" t="s">
        <v>2124</v>
      </c>
      <c r="AW426" s="3">
        <v>46208.53701449134</v>
      </c>
    </row>
    <row r="427" spans="1:49" ht="16" hidden="1" x14ac:dyDescent="0.2">
      <c r="A427" t="s">
        <v>101</v>
      </c>
      <c r="B427">
        <v>10438</v>
      </c>
      <c r="C427">
        <v>1786</v>
      </c>
      <c r="D427" t="s">
        <v>199</v>
      </c>
      <c r="E427" t="s">
        <v>373</v>
      </c>
      <c r="F427">
        <v>270448</v>
      </c>
      <c r="G427" t="s">
        <v>694</v>
      </c>
      <c r="H427">
        <v>591688</v>
      </c>
      <c r="I427" t="s">
        <v>1345</v>
      </c>
      <c r="J427">
        <v>94396391</v>
      </c>
      <c r="K427" t="s">
        <v>1836</v>
      </c>
      <c r="L427" t="s">
        <v>1850</v>
      </c>
      <c r="M427" s="1">
        <v>18.62</v>
      </c>
      <c r="N427" t="s">
        <v>23</v>
      </c>
      <c r="O427">
        <v>2413051</v>
      </c>
      <c r="P427" s="1">
        <v>44931.01</v>
      </c>
      <c r="S427" s="6" t="str">
        <f t="shared" si="6"/>
        <v xml:space="preserve"> </v>
      </c>
      <c r="T427" s="6">
        <f>IF(IF(COUNTIF(H$2:$H427,H427)=1,1,"")=1,SUMIF($H$2:$H$7997,H427,$S$2:$S$7997),"")</f>
        <v>0</v>
      </c>
      <c r="W427">
        <v>2413051</v>
      </c>
      <c r="X427">
        <v>2413051</v>
      </c>
      <c r="Y427">
        <v>0</v>
      </c>
      <c r="Z427">
        <v>0</v>
      </c>
      <c r="AA427" s="2">
        <v>1</v>
      </c>
      <c r="AB427" s="2">
        <v>0</v>
      </c>
      <c r="AC427" s="2">
        <v>0</v>
      </c>
      <c r="AD427">
        <v>0</v>
      </c>
      <c r="AE427" t="s">
        <v>1862</v>
      </c>
      <c r="AF427">
        <v>45790.43</v>
      </c>
      <c r="AG427">
        <v>5370570</v>
      </c>
      <c r="AH427">
        <v>100000.01</v>
      </c>
      <c r="AI427" s="1" t="s">
        <v>373</v>
      </c>
      <c r="AJ427">
        <v>94396283</v>
      </c>
      <c r="AK427" s="1" t="s">
        <v>1867</v>
      </c>
      <c r="AL427" t="s">
        <v>1990</v>
      </c>
      <c r="AN427" t="s">
        <v>2061</v>
      </c>
      <c r="AO427" t="s">
        <v>2067</v>
      </c>
      <c r="AP427" t="s">
        <v>2072</v>
      </c>
      <c r="AQ427">
        <v>129944</v>
      </c>
      <c r="AR427" s="3">
        <v>46203</v>
      </c>
      <c r="AS427" s="3">
        <v>46181</v>
      </c>
      <c r="AT427" s="3">
        <v>46200</v>
      </c>
      <c r="AU427" t="s">
        <v>2124</v>
      </c>
      <c r="AW427" s="3">
        <v>46208.53701449134</v>
      </c>
    </row>
    <row r="428" spans="1:49" ht="16" hidden="1" x14ac:dyDescent="0.2">
      <c r="A428" t="s">
        <v>101</v>
      </c>
      <c r="B428">
        <v>10438</v>
      </c>
      <c r="C428">
        <v>1786</v>
      </c>
      <c r="D428" t="s">
        <v>199</v>
      </c>
      <c r="E428" t="s">
        <v>411</v>
      </c>
      <c r="F428">
        <v>271603</v>
      </c>
      <c r="G428" t="s">
        <v>766</v>
      </c>
      <c r="H428">
        <v>594901</v>
      </c>
      <c r="I428" t="s">
        <v>1496</v>
      </c>
      <c r="J428">
        <v>95049286</v>
      </c>
      <c r="K428" t="s">
        <v>1836</v>
      </c>
      <c r="L428" t="s">
        <v>1850</v>
      </c>
      <c r="M428" s="1">
        <v>18.62</v>
      </c>
      <c r="N428" t="s">
        <v>23</v>
      </c>
      <c r="O428">
        <v>154974</v>
      </c>
      <c r="P428" s="1">
        <v>2885.62</v>
      </c>
      <c r="S428" s="6" t="str">
        <f t="shared" si="6"/>
        <v xml:space="preserve"> </v>
      </c>
      <c r="T428" s="6">
        <f>IF(IF(COUNTIF(H$2:$H428,H428)=1,1,"")=1,SUMIF($H$2:$H$7997,H428,$S$2:$S$7997),"")</f>
        <v>0</v>
      </c>
      <c r="V428" t="s">
        <v>1860</v>
      </c>
      <c r="W428">
        <v>154974</v>
      </c>
      <c r="X428">
        <v>154974</v>
      </c>
      <c r="Y428">
        <v>0</v>
      </c>
      <c r="Z428">
        <v>0</v>
      </c>
      <c r="AA428" s="2">
        <v>1</v>
      </c>
      <c r="AB428" s="2">
        <v>0</v>
      </c>
      <c r="AC428" s="2">
        <v>0</v>
      </c>
      <c r="AD428">
        <v>0</v>
      </c>
      <c r="AE428" t="s">
        <v>1862</v>
      </c>
      <c r="AF428">
        <v>3144.42</v>
      </c>
      <c r="AG428">
        <v>2685285</v>
      </c>
      <c r="AH428">
        <v>50000.01</v>
      </c>
      <c r="AI428" s="1" t="s">
        <v>411</v>
      </c>
      <c r="AJ428">
        <v>95049267</v>
      </c>
      <c r="AK428" s="1" t="s">
        <v>1867</v>
      </c>
      <c r="AL428" t="s">
        <v>2019</v>
      </c>
      <c r="AN428" t="s">
        <v>2061</v>
      </c>
      <c r="AO428" t="s">
        <v>2067</v>
      </c>
      <c r="AP428" t="s">
        <v>2072</v>
      </c>
      <c r="AQ428">
        <v>132708</v>
      </c>
      <c r="AR428" s="3">
        <v>46203</v>
      </c>
      <c r="AS428" s="3">
        <v>46201</v>
      </c>
      <c r="AT428" s="3">
        <v>46214</v>
      </c>
      <c r="AU428" t="s">
        <v>2124</v>
      </c>
      <c r="AW428" s="3">
        <v>46208.53701449134</v>
      </c>
    </row>
    <row r="429" spans="1:49" ht="16" hidden="1" x14ac:dyDescent="0.2">
      <c r="A429" t="s">
        <v>101</v>
      </c>
      <c r="B429">
        <v>10438</v>
      </c>
      <c r="C429">
        <v>1786</v>
      </c>
      <c r="D429" t="s">
        <v>199</v>
      </c>
      <c r="E429" t="s">
        <v>411</v>
      </c>
      <c r="F429">
        <v>271603</v>
      </c>
      <c r="G429" t="s">
        <v>765</v>
      </c>
      <c r="H429">
        <v>594903</v>
      </c>
      <c r="I429" t="s">
        <v>1495</v>
      </c>
      <c r="J429">
        <v>95049274</v>
      </c>
      <c r="K429" t="s">
        <v>1836</v>
      </c>
      <c r="L429" t="s">
        <v>1850</v>
      </c>
      <c r="M429" s="1">
        <v>18.62</v>
      </c>
      <c r="N429" t="s">
        <v>23</v>
      </c>
      <c r="O429">
        <v>127864</v>
      </c>
      <c r="P429" s="1">
        <v>2380.83</v>
      </c>
      <c r="S429" s="6" t="str">
        <f t="shared" si="6"/>
        <v xml:space="preserve"> </v>
      </c>
      <c r="T429" s="6">
        <f>IF(IF(COUNTIF(H$2:$H429,H429)=1,1,"")=1,SUMIF($H$2:$H$7997,H429,$S$2:$S$7997),"")</f>
        <v>0</v>
      </c>
      <c r="W429">
        <v>127864</v>
      </c>
      <c r="X429">
        <v>127864</v>
      </c>
      <c r="Y429">
        <v>0</v>
      </c>
      <c r="Z429">
        <v>0</v>
      </c>
      <c r="AA429" s="2">
        <v>1</v>
      </c>
      <c r="AB429" s="2">
        <v>0</v>
      </c>
      <c r="AC429" s="2">
        <v>0</v>
      </c>
      <c r="AD429">
        <v>0</v>
      </c>
      <c r="AE429" t="s">
        <v>1862</v>
      </c>
      <c r="AF429">
        <v>2628.18</v>
      </c>
      <c r="AG429">
        <v>2685285</v>
      </c>
      <c r="AH429">
        <v>50000.01</v>
      </c>
      <c r="AI429" s="1" t="s">
        <v>411</v>
      </c>
      <c r="AJ429">
        <v>95049267</v>
      </c>
      <c r="AK429" s="1" t="s">
        <v>1867</v>
      </c>
      <c r="AL429" t="s">
        <v>2019</v>
      </c>
      <c r="AN429" t="s">
        <v>2061</v>
      </c>
      <c r="AO429" t="s">
        <v>2067</v>
      </c>
      <c r="AP429" t="s">
        <v>2072</v>
      </c>
      <c r="AQ429">
        <v>132708</v>
      </c>
      <c r="AR429" s="3">
        <v>46203</v>
      </c>
      <c r="AS429" s="3">
        <v>46201</v>
      </c>
      <c r="AT429" s="3">
        <v>46214</v>
      </c>
      <c r="AU429" t="s">
        <v>2124</v>
      </c>
      <c r="AW429" s="3">
        <v>46208.53701449134</v>
      </c>
    </row>
    <row r="430" spans="1:49" ht="16" hidden="1" x14ac:dyDescent="0.2">
      <c r="A430" t="s">
        <v>81</v>
      </c>
      <c r="B430">
        <v>11528</v>
      </c>
      <c r="C430">
        <v>7602</v>
      </c>
      <c r="D430" t="s">
        <v>214</v>
      </c>
      <c r="E430" t="s">
        <v>404</v>
      </c>
      <c r="F430">
        <v>272138</v>
      </c>
      <c r="G430" t="s">
        <v>756</v>
      </c>
      <c r="H430">
        <v>596075</v>
      </c>
      <c r="I430" t="s">
        <v>1482</v>
      </c>
      <c r="J430">
        <v>94978396</v>
      </c>
      <c r="K430" t="s">
        <v>1834</v>
      </c>
      <c r="L430" t="s">
        <v>1850</v>
      </c>
      <c r="M430" s="1">
        <v>44</v>
      </c>
      <c r="N430" t="s">
        <v>23</v>
      </c>
      <c r="O430">
        <v>1117027</v>
      </c>
      <c r="P430" s="1">
        <v>47762.44</v>
      </c>
      <c r="S430" s="6" t="str">
        <f t="shared" si="6"/>
        <v xml:space="preserve"> </v>
      </c>
      <c r="T430" s="6">
        <f>IF(IF(COUNTIF(H$2:$H430,H430)=1,1,"")=1,SUMIF($H$2:$H$7997,H430,$S$2:$S$7997),"")</f>
        <v>0</v>
      </c>
      <c r="W430">
        <v>1117027</v>
      </c>
      <c r="X430">
        <v>1117027</v>
      </c>
      <c r="Y430">
        <v>0</v>
      </c>
      <c r="Z430">
        <v>0</v>
      </c>
      <c r="AA430" s="2">
        <v>1</v>
      </c>
      <c r="AB430" s="2">
        <v>0</v>
      </c>
      <c r="AC430" s="2">
        <v>0</v>
      </c>
      <c r="AD430">
        <v>0</v>
      </c>
      <c r="AE430" t="s">
        <v>1862</v>
      </c>
      <c r="AF430">
        <v>23881.22</v>
      </c>
      <c r="AG430">
        <v>1085510</v>
      </c>
      <c r="AH430">
        <v>47762.44</v>
      </c>
      <c r="AI430" s="1" t="s">
        <v>404</v>
      </c>
      <c r="AJ430">
        <v>94978389</v>
      </c>
      <c r="AK430" s="1" t="s">
        <v>1867</v>
      </c>
      <c r="AL430" t="s">
        <v>2012</v>
      </c>
      <c r="AN430" t="s">
        <v>2060</v>
      </c>
      <c r="AO430" t="s">
        <v>2067</v>
      </c>
      <c r="AP430" t="s">
        <v>2094</v>
      </c>
      <c r="AQ430">
        <v>133015</v>
      </c>
      <c r="AR430" s="3">
        <v>46203</v>
      </c>
      <c r="AS430" s="3">
        <v>46197</v>
      </c>
      <c r="AT430" s="3">
        <v>46202</v>
      </c>
      <c r="AU430" t="s">
        <v>2124</v>
      </c>
      <c r="AW430" s="3">
        <v>46208.53701449134</v>
      </c>
    </row>
    <row r="431" spans="1:49" ht="16" hidden="1" x14ac:dyDescent="0.2">
      <c r="A431" t="s">
        <v>81</v>
      </c>
      <c r="B431">
        <v>11528</v>
      </c>
      <c r="C431">
        <v>7602</v>
      </c>
      <c r="D431" t="s">
        <v>214</v>
      </c>
      <c r="E431" t="s">
        <v>404</v>
      </c>
      <c r="F431">
        <v>272138</v>
      </c>
      <c r="G431" t="s">
        <v>756</v>
      </c>
      <c r="H431">
        <v>596075</v>
      </c>
      <c r="I431" t="s">
        <v>1481</v>
      </c>
      <c r="J431">
        <v>94978392</v>
      </c>
      <c r="K431" t="s">
        <v>1835</v>
      </c>
      <c r="L431" t="s">
        <v>1850</v>
      </c>
      <c r="M431" s="1">
        <v>44</v>
      </c>
      <c r="N431" t="s">
        <v>23</v>
      </c>
      <c r="O431">
        <v>468125</v>
      </c>
      <c r="P431" s="1">
        <v>20469.59</v>
      </c>
      <c r="S431" s="6" t="str">
        <f t="shared" si="6"/>
        <v xml:space="preserve"> </v>
      </c>
      <c r="T431" s="6" t="str">
        <f>IF(IF(COUNTIF(H$2:$H431,H431)=1,1,"")=1,SUMIF($H$2:$H$7997,H431,$S$2:$S$7997),"")</f>
        <v/>
      </c>
      <c r="W431">
        <v>468125</v>
      </c>
      <c r="X431">
        <v>468125</v>
      </c>
      <c r="Y431">
        <v>0</v>
      </c>
      <c r="Z431">
        <v>0</v>
      </c>
      <c r="AA431" s="2">
        <v>1</v>
      </c>
      <c r="AB431" s="2">
        <v>0</v>
      </c>
      <c r="AC431" s="2">
        <v>0</v>
      </c>
      <c r="AD431">
        <v>0</v>
      </c>
      <c r="AE431" t="s">
        <v>1862</v>
      </c>
      <c r="AF431">
        <v>10234.799999999999</v>
      </c>
      <c r="AG431">
        <v>465218</v>
      </c>
      <c r="AH431">
        <v>20469.59</v>
      </c>
      <c r="AI431" s="1" t="s">
        <v>404</v>
      </c>
      <c r="AJ431">
        <v>94978389</v>
      </c>
      <c r="AK431" s="1" t="s">
        <v>1867</v>
      </c>
      <c r="AL431" t="s">
        <v>2012</v>
      </c>
      <c r="AN431" t="s">
        <v>2060</v>
      </c>
      <c r="AO431" t="s">
        <v>2067</v>
      </c>
      <c r="AP431" t="s">
        <v>2092</v>
      </c>
      <c r="AQ431">
        <v>133015</v>
      </c>
      <c r="AR431" s="3">
        <v>46203</v>
      </c>
      <c r="AS431" s="3">
        <v>46197</v>
      </c>
      <c r="AT431" s="3">
        <v>46202</v>
      </c>
      <c r="AU431" t="s">
        <v>2123</v>
      </c>
      <c r="AW431" s="3">
        <v>46208.53701449134</v>
      </c>
    </row>
    <row r="432" spans="1:49" ht="16" hidden="1" x14ac:dyDescent="0.2">
      <c r="A432" t="s">
        <v>81</v>
      </c>
      <c r="B432">
        <v>11528</v>
      </c>
      <c r="C432">
        <v>7753</v>
      </c>
      <c r="D432" t="s">
        <v>165</v>
      </c>
      <c r="E432" t="s">
        <v>307</v>
      </c>
      <c r="F432">
        <v>267884</v>
      </c>
      <c r="G432" t="s">
        <v>565</v>
      </c>
      <c r="H432">
        <v>585599</v>
      </c>
      <c r="I432" t="s">
        <v>1110</v>
      </c>
      <c r="J432">
        <v>93962401</v>
      </c>
      <c r="K432" t="s">
        <v>1839</v>
      </c>
      <c r="L432" t="s">
        <v>1850</v>
      </c>
      <c r="M432" s="1">
        <v>44</v>
      </c>
      <c r="N432" t="s">
        <v>23</v>
      </c>
      <c r="O432">
        <v>2841824</v>
      </c>
      <c r="P432" s="1">
        <v>125040.26</v>
      </c>
      <c r="S432" s="6" t="str">
        <f t="shared" si="6"/>
        <v xml:space="preserve"> </v>
      </c>
      <c r="T432" s="6">
        <f>IF(IF(COUNTIF(H$2:$H432,H432)=1,1,"")=1,SUMIF($H$2:$H$7997,H432,$S$2:$S$7997),"")</f>
        <v>0</v>
      </c>
      <c r="W432">
        <v>2841824</v>
      </c>
      <c r="X432">
        <v>2841824</v>
      </c>
      <c r="Y432">
        <v>0</v>
      </c>
      <c r="Z432">
        <v>0</v>
      </c>
      <c r="AA432" s="2">
        <v>1</v>
      </c>
      <c r="AB432" s="2">
        <v>0</v>
      </c>
      <c r="AC432" s="2">
        <v>0</v>
      </c>
      <c r="AD432">
        <v>0</v>
      </c>
      <c r="AE432" t="s">
        <v>1862</v>
      </c>
      <c r="AF432">
        <v>56548.43</v>
      </c>
      <c r="AG432">
        <v>2914005</v>
      </c>
      <c r="AH432">
        <v>128216.22</v>
      </c>
      <c r="AI432" s="1" t="s">
        <v>307</v>
      </c>
      <c r="AJ432">
        <v>93962384</v>
      </c>
      <c r="AK432" s="1" t="s">
        <v>1867</v>
      </c>
      <c r="AL432">
        <v>1</v>
      </c>
      <c r="AN432" t="s">
        <v>2060</v>
      </c>
      <c r="AO432" t="s">
        <v>2067</v>
      </c>
      <c r="AP432" t="s">
        <v>2094</v>
      </c>
      <c r="AQ432">
        <v>128166</v>
      </c>
      <c r="AR432" s="3">
        <v>46203</v>
      </c>
      <c r="AS432" s="3">
        <v>46174</v>
      </c>
      <c r="AT432" s="3">
        <v>46208</v>
      </c>
      <c r="AU432" t="s">
        <v>2124</v>
      </c>
      <c r="AW432" s="3">
        <v>46208.53701449134</v>
      </c>
    </row>
    <row r="433" spans="1:49" ht="16" hidden="1" x14ac:dyDescent="0.2">
      <c r="A433" t="s">
        <v>81</v>
      </c>
      <c r="B433">
        <v>11528</v>
      </c>
      <c r="C433">
        <v>7753</v>
      </c>
      <c r="D433" t="s">
        <v>165</v>
      </c>
      <c r="E433" t="s">
        <v>307</v>
      </c>
      <c r="F433">
        <v>267884</v>
      </c>
      <c r="G433" t="s">
        <v>565</v>
      </c>
      <c r="H433">
        <v>585599</v>
      </c>
      <c r="I433" t="s">
        <v>1111</v>
      </c>
      <c r="J433">
        <v>93962404</v>
      </c>
      <c r="K433" t="s">
        <v>1835</v>
      </c>
      <c r="L433" t="s">
        <v>1850</v>
      </c>
      <c r="M433" s="1">
        <v>44</v>
      </c>
      <c r="N433" t="s">
        <v>23</v>
      </c>
      <c r="O433">
        <v>848197</v>
      </c>
      <c r="P433" s="1">
        <v>37320.67</v>
      </c>
      <c r="S433" s="6" t="str">
        <f t="shared" si="6"/>
        <v xml:space="preserve"> </v>
      </c>
      <c r="T433" s="6" t="str">
        <f>IF(IF(COUNTIF(H$2:$H433,H433)=1,1,"")=1,SUMIF($H$2:$H$7997,H433,$S$2:$S$7997),"")</f>
        <v/>
      </c>
      <c r="W433">
        <v>848197</v>
      </c>
      <c r="X433">
        <v>848197</v>
      </c>
      <c r="Y433">
        <v>0</v>
      </c>
      <c r="Z433">
        <v>0</v>
      </c>
      <c r="AA433" s="2">
        <v>1</v>
      </c>
      <c r="AB433" s="2">
        <v>0</v>
      </c>
      <c r="AC433" s="2">
        <v>0</v>
      </c>
      <c r="AD433">
        <v>0</v>
      </c>
      <c r="AE433" t="s">
        <v>1862</v>
      </c>
      <c r="AF433">
        <v>24235.040000000001</v>
      </c>
      <c r="AG433">
        <v>1248859</v>
      </c>
      <c r="AH433">
        <v>54949.8</v>
      </c>
      <c r="AI433" s="1" t="s">
        <v>307</v>
      </c>
      <c r="AJ433">
        <v>93962384</v>
      </c>
      <c r="AK433" s="1" t="s">
        <v>1867</v>
      </c>
      <c r="AL433">
        <v>1</v>
      </c>
      <c r="AN433" t="s">
        <v>2060</v>
      </c>
      <c r="AO433" t="s">
        <v>2067</v>
      </c>
      <c r="AP433" t="s">
        <v>2092</v>
      </c>
      <c r="AQ433">
        <v>128166</v>
      </c>
      <c r="AR433" s="3">
        <v>46203</v>
      </c>
      <c r="AS433" s="3">
        <v>46174</v>
      </c>
      <c r="AT433" s="3">
        <v>46208</v>
      </c>
      <c r="AU433" t="s">
        <v>2123</v>
      </c>
      <c r="AW433" s="3">
        <v>46208.53701449134</v>
      </c>
    </row>
    <row r="434" spans="1:49" ht="16" hidden="1" x14ac:dyDescent="0.2">
      <c r="A434" t="s">
        <v>81</v>
      </c>
      <c r="B434">
        <v>11528</v>
      </c>
      <c r="C434">
        <v>7753</v>
      </c>
      <c r="D434" t="s">
        <v>165</v>
      </c>
      <c r="E434" t="s">
        <v>307</v>
      </c>
      <c r="F434">
        <v>267884</v>
      </c>
      <c r="G434" t="s">
        <v>564</v>
      </c>
      <c r="H434">
        <v>585606</v>
      </c>
      <c r="I434" t="s">
        <v>1108</v>
      </c>
      <c r="J434">
        <v>93962387</v>
      </c>
      <c r="K434" t="s">
        <v>1839</v>
      </c>
      <c r="L434" t="s">
        <v>1850</v>
      </c>
      <c r="M434" s="1">
        <v>19.25</v>
      </c>
      <c r="N434" t="s">
        <v>1855</v>
      </c>
      <c r="O434">
        <v>1067355</v>
      </c>
      <c r="P434" s="1">
        <v>20546.580000000002</v>
      </c>
      <c r="S434" s="6" t="str">
        <f t="shared" si="6"/>
        <v xml:space="preserve"> </v>
      </c>
      <c r="T434" s="6">
        <f>IF(IF(COUNTIF(H$2:$H434,H434)=1,1,"")=1,SUMIF($H$2:$H$7997,H434,$S$2:$S$7997),"")</f>
        <v>0</v>
      </c>
      <c r="W434">
        <v>1067355</v>
      </c>
      <c r="X434">
        <v>1067355</v>
      </c>
      <c r="Y434">
        <v>0</v>
      </c>
      <c r="Z434">
        <v>0</v>
      </c>
      <c r="AA434" s="2">
        <v>1</v>
      </c>
      <c r="AB434" s="2">
        <v>0</v>
      </c>
      <c r="AC434" s="2">
        <v>0</v>
      </c>
      <c r="AD434">
        <v>0</v>
      </c>
      <c r="AE434" t="s">
        <v>1862</v>
      </c>
      <c r="AF434">
        <v>10185.33</v>
      </c>
      <c r="AG434">
        <v>1101725</v>
      </c>
      <c r="AH434">
        <v>21208.21</v>
      </c>
      <c r="AI434" s="1" t="s">
        <v>307</v>
      </c>
      <c r="AJ434">
        <v>93962384</v>
      </c>
      <c r="AK434" s="1" t="s">
        <v>1868</v>
      </c>
      <c r="AL434">
        <v>1</v>
      </c>
      <c r="AN434" t="s">
        <v>2060</v>
      </c>
      <c r="AO434" t="s">
        <v>2067</v>
      </c>
      <c r="AP434" t="s">
        <v>2093</v>
      </c>
      <c r="AQ434">
        <v>128166</v>
      </c>
      <c r="AR434" s="3">
        <v>46203</v>
      </c>
      <c r="AS434" s="3">
        <v>46174</v>
      </c>
      <c r="AT434" s="3">
        <v>46208</v>
      </c>
      <c r="AU434" t="s">
        <v>2124</v>
      </c>
      <c r="AW434" s="3">
        <v>46208.53701449134</v>
      </c>
    </row>
    <row r="435" spans="1:49" ht="16" hidden="1" x14ac:dyDescent="0.2">
      <c r="A435" t="s">
        <v>81</v>
      </c>
      <c r="B435">
        <v>11528</v>
      </c>
      <c r="C435">
        <v>7753</v>
      </c>
      <c r="D435" t="s">
        <v>165</v>
      </c>
      <c r="E435" t="s">
        <v>307</v>
      </c>
      <c r="F435">
        <v>267884</v>
      </c>
      <c r="G435" t="s">
        <v>564</v>
      </c>
      <c r="H435">
        <v>585606</v>
      </c>
      <c r="I435" t="s">
        <v>1109</v>
      </c>
      <c r="J435">
        <v>93962390</v>
      </c>
      <c r="K435" t="s">
        <v>1840</v>
      </c>
      <c r="L435" t="s">
        <v>1850</v>
      </c>
      <c r="M435" s="1">
        <v>19.25</v>
      </c>
      <c r="N435" t="s">
        <v>1855</v>
      </c>
      <c r="O435">
        <v>2450254</v>
      </c>
      <c r="P435" s="1">
        <v>47167.39</v>
      </c>
      <c r="S435" s="6" t="str">
        <f t="shared" si="6"/>
        <v xml:space="preserve"> </v>
      </c>
      <c r="T435" s="6" t="str">
        <f>IF(IF(COUNTIF(H$2:$H435,H435)=1,1,"")=1,SUMIF($H$2:$H$7997,H435,$S$2:$S$7997),"")</f>
        <v/>
      </c>
      <c r="W435">
        <v>2450254</v>
      </c>
      <c r="X435">
        <v>2450254</v>
      </c>
      <c r="Y435">
        <v>0</v>
      </c>
      <c r="Z435">
        <v>0</v>
      </c>
      <c r="AA435" s="2">
        <v>1</v>
      </c>
      <c r="AB435" s="2">
        <v>0</v>
      </c>
      <c r="AC435" s="2">
        <v>0</v>
      </c>
      <c r="AD435">
        <v>0</v>
      </c>
      <c r="AE435" t="s">
        <v>1862</v>
      </c>
      <c r="AF435">
        <v>23765.77</v>
      </c>
      <c r="AG435">
        <v>2570691</v>
      </c>
      <c r="AH435">
        <v>49485.8</v>
      </c>
      <c r="AI435" s="1" t="s">
        <v>307</v>
      </c>
      <c r="AJ435">
        <v>93962384</v>
      </c>
      <c r="AK435" s="1" t="s">
        <v>1868</v>
      </c>
      <c r="AL435">
        <v>1</v>
      </c>
      <c r="AN435" t="s">
        <v>2060</v>
      </c>
      <c r="AO435" t="s">
        <v>2067</v>
      </c>
      <c r="AP435" t="s">
        <v>2083</v>
      </c>
      <c r="AQ435">
        <v>128166</v>
      </c>
      <c r="AR435" s="3">
        <v>46203</v>
      </c>
      <c r="AS435" s="3">
        <v>46174</v>
      </c>
      <c r="AT435" s="3">
        <v>46208</v>
      </c>
      <c r="AU435" t="s">
        <v>2123</v>
      </c>
      <c r="AW435" s="3">
        <v>46208.53701449134</v>
      </c>
    </row>
    <row r="436" spans="1:49" ht="16" hidden="1" x14ac:dyDescent="0.2">
      <c r="A436" t="s">
        <v>81</v>
      </c>
      <c r="B436">
        <v>11528</v>
      </c>
      <c r="C436">
        <v>7753</v>
      </c>
      <c r="D436" t="s">
        <v>165</v>
      </c>
      <c r="E436" t="s">
        <v>307</v>
      </c>
      <c r="F436">
        <v>267884</v>
      </c>
      <c r="G436" t="s">
        <v>821</v>
      </c>
      <c r="H436">
        <v>592295</v>
      </c>
      <c r="I436" t="s">
        <v>1608</v>
      </c>
      <c r="J436">
        <v>7330737500</v>
      </c>
      <c r="K436" t="s">
        <v>1835</v>
      </c>
      <c r="L436" t="s">
        <v>1850</v>
      </c>
      <c r="M436" s="1">
        <v>5</v>
      </c>
      <c r="N436" t="s">
        <v>23</v>
      </c>
      <c r="O436">
        <v>0</v>
      </c>
      <c r="P436" s="1">
        <v>0</v>
      </c>
      <c r="S436" s="6" t="str">
        <f t="shared" si="6"/>
        <v xml:space="preserve"> </v>
      </c>
      <c r="T436" s="6">
        <f>IF(IF(COUNTIF(H$2:$H436,H436)=1,1,"")=1,SUMIF($H$2:$H$7997,H436,$S$2:$S$7997),"")</f>
        <v>0</v>
      </c>
      <c r="W436">
        <v>0</v>
      </c>
      <c r="X436">
        <v>0</v>
      </c>
      <c r="Y436">
        <v>0</v>
      </c>
      <c r="Z436">
        <v>0</v>
      </c>
      <c r="AA436" s="2">
        <v>1</v>
      </c>
      <c r="AB436" s="2">
        <v>0</v>
      </c>
      <c r="AC436" s="2">
        <v>0</v>
      </c>
      <c r="AD436">
        <v>0</v>
      </c>
      <c r="AE436" t="s">
        <v>1862</v>
      </c>
      <c r="AF436">
        <v>31460.21</v>
      </c>
      <c r="AG436">
        <v>14395400</v>
      </c>
      <c r="AH436">
        <v>71977</v>
      </c>
      <c r="AI436" s="1" t="s">
        <v>307</v>
      </c>
      <c r="AJ436">
        <v>267884</v>
      </c>
      <c r="AK436" s="1" t="s">
        <v>1867</v>
      </c>
      <c r="AL436">
        <v>1</v>
      </c>
      <c r="AN436" t="s">
        <v>2060</v>
      </c>
      <c r="AO436" t="s">
        <v>2067</v>
      </c>
      <c r="AP436" t="s">
        <v>2102</v>
      </c>
      <c r="AQ436">
        <v>128166</v>
      </c>
      <c r="AR436" s="3">
        <v>46203</v>
      </c>
      <c r="AS436" s="3">
        <v>46176</v>
      </c>
      <c r="AT436" s="3">
        <v>46208</v>
      </c>
      <c r="AU436" t="s">
        <v>2126</v>
      </c>
      <c r="AW436" s="3">
        <v>46208.53701449134</v>
      </c>
    </row>
    <row r="437" spans="1:49" ht="16" hidden="1" x14ac:dyDescent="0.2">
      <c r="A437" t="s">
        <v>81</v>
      </c>
      <c r="B437">
        <v>11528</v>
      </c>
      <c r="C437">
        <v>8930</v>
      </c>
      <c r="D437" t="s">
        <v>178</v>
      </c>
      <c r="E437" t="s">
        <v>329</v>
      </c>
      <c r="F437">
        <v>265065</v>
      </c>
      <c r="G437" t="s">
        <v>805</v>
      </c>
      <c r="H437">
        <v>588533</v>
      </c>
      <c r="I437" t="s">
        <v>1566</v>
      </c>
      <c r="J437">
        <v>7316468803</v>
      </c>
      <c r="K437" t="s">
        <v>1835</v>
      </c>
      <c r="L437" t="s">
        <v>1850</v>
      </c>
      <c r="M437" s="1">
        <v>5</v>
      </c>
      <c r="N437" t="s">
        <v>23</v>
      </c>
      <c r="O437">
        <v>0</v>
      </c>
      <c r="P437" s="1">
        <v>0</v>
      </c>
      <c r="S437" s="6" t="str">
        <f t="shared" si="6"/>
        <v xml:space="preserve"> </v>
      </c>
      <c r="T437" s="6">
        <f>IF(IF(COUNTIF(H$2:$H437,H437)=1,1,"")=1,SUMIF($H$2:$H$7997,H437,$S$2:$S$7997),"")</f>
        <v>0</v>
      </c>
      <c r="W437">
        <v>0</v>
      </c>
      <c r="X437">
        <v>0</v>
      </c>
      <c r="Y437">
        <v>0</v>
      </c>
      <c r="Z437">
        <v>0</v>
      </c>
      <c r="AA437" s="2">
        <v>1</v>
      </c>
      <c r="AB437" s="2">
        <v>0</v>
      </c>
      <c r="AC437" s="2">
        <v>0</v>
      </c>
      <c r="AD437">
        <v>0</v>
      </c>
      <c r="AE437" t="s">
        <v>1862</v>
      </c>
      <c r="AF437">
        <v>18369.810000000001</v>
      </c>
      <c r="AG437">
        <v>50000000</v>
      </c>
      <c r="AH437">
        <v>250000</v>
      </c>
      <c r="AI437" s="1" t="s">
        <v>329</v>
      </c>
      <c r="AJ437">
        <v>265065</v>
      </c>
      <c r="AK437" s="1" t="s">
        <v>1867</v>
      </c>
      <c r="AL437" t="s">
        <v>1958</v>
      </c>
      <c r="AN437" t="s">
        <v>2060</v>
      </c>
      <c r="AO437" t="s">
        <v>2067</v>
      </c>
      <c r="AP437" t="s">
        <v>2103</v>
      </c>
      <c r="AQ437">
        <v>128780</v>
      </c>
      <c r="AR437" s="3">
        <v>46203</v>
      </c>
      <c r="AS437" s="3">
        <v>46201</v>
      </c>
      <c r="AT437" s="3">
        <v>46222</v>
      </c>
      <c r="AU437" t="s">
        <v>2126</v>
      </c>
      <c r="AW437" s="3">
        <v>46208.53701449134</v>
      </c>
    </row>
    <row r="438" spans="1:49" ht="16" hidden="1" x14ac:dyDescent="0.2">
      <c r="A438" t="s">
        <v>81</v>
      </c>
      <c r="B438">
        <v>11528</v>
      </c>
      <c r="C438">
        <v>8930</v>
      </c>
      <c r="D438" t="s">
        <v>178</v>
      </c>
      <c r="E438" t="s">
        <v>329</v>
      </c>
      <c r="F438">
        <v>265065</v>
      </c>
      <c r="G438" t="s">
        <v>616</v>
      </c>
      <c r="H438">
        <v>588770</v>
      </c>
      <c r="I438" t="s">
        <v>1205</v>
      </c>
      <c r="J438">
        <v>94149782</v>
      </c>
      <c r="K438" t="s">
        <v>1839</v>
      </c>
      <c r="L438" t="s">
        <v>1850</v>
      </c>
      <c r="M438" s="1">
        <v>30</v>
      </c>
      <c r="N438" t="s">
        <v>23</v>
      </c>
      <c r="O438">
        <v>6917056</v>
      </c>
      <c r="P438" s="1">
        <v>207511.67999999999</v>
      </c>
      <c r="S438" s="6" t="str">
        <f t="shared" si="6"/>
        <v xml:space="preserve"> </v>
      </c>
      <c r="T438" s="6">
        <f>IF(IF(COUNTIF(H$2:$H438,H438)=1,1,"")=1,SUMIF($H$2:$H$7997,H438,$S$2:$S$7997),"")</f>
        <v>0</v>
      </c>
      <c r="W438">
        <v>6917056</v>
      </c>
      <c r="X438">
        <v>6917056</v>
      </c>
      <c r="Y438">
        <v>0</v>
      </c>
      <c r="Z438">
        <v>0</v>
      </c>
      <c r="AA438" s="2">
        <v>1</v>
      </c>
      <c r="AB438" s="2">
        <v>0</v>
      </c>
      <c r="AC438" s="2">
        <v>0</v>
      </c>
      <c r="AD438">
        <v>0</v>
      </c>
      <c r="AE438" t="s">
        <v>1862</v>
      </c>
      <c r="AF438">
        <v>104492.33</v>
      </c>
      <c r="AG438">
        <v>13416667</v>
      </c>
      <c r="AH438">
        <v>402500.01</v>
      </c>
      <c r="AI438" s="1" t="s">
        <v>329</v>
      </c>
      <c r="AJ438">
        <v>92693300</v>
      </c>
      <c r="AK438" s="1" t="s">
        <v>1867</v>
      </c>
      <c r="AL438" t="s">
        <v>1958</v>
      </c>
      <c r="AN438" t="s">
        <v>2060</v>
      </c>
      <c r="AO438" t="s">
        <v>2067</v>
      </c>
      <c r="AP438" t="s">
        <v>2094</v>
      </c>
      <c r="AQ438">
        <v>128780</v>
      </c>
      <c r="AR438" s="3">
        <v>46203</v>
      </c>
      <c r="AS438" s="3">
        <v>46184</v>
      </c>
      <c r="AT438" s="3">
        <v>46222</v>
      </c>
      <c r="AU438" t="s">
        <v>2124</v>
      </c>
      <c r="AW438" s="3">
        <v>46208.53701449134</v>
      </c>
    </row>
    <row r="439" spans="1:49" ht="16" hidden="1" x14ac:dyDescent="0.2">
      <c r="A439" t="s">
        <v>81</v>
      </c>
      <c r="B439">
        <v>11528</v>
      </c>
      <c r="C439">
        <v>8930</v>
      </c>
      <c r="D439" t="s">
        <v>178</v>
      </c>
      <c r="E439" t="s">
        <v>329</v>
      </c>
      <c r="F439">
        <v>265065</v>
      </c>
      <c r="G439" t="s">
        <v>616</v>
      </c>
      <c r="H439">
        <v>588770</v>
      </c>
      <c r="I439" t="s">
        <v>1204</v>
      </c>
      <c r="J439">
        <v>94149778</v>
      </c>
      <c r="K439" t="s">
        <v>1835</v>
      </c>
      <c r="L439" t="s">
        <v>1850</v>
      </c>
      <c r="M439" s="1">
        <v>30</v>
      </c>
      <c r="N439" t="s">
        <v>23</v>
      </c>
      <c r="O439">
        <v>3032850</v>
      </c>
      <c r="P439" s="1">
        <v>90985.5</v>
      </c>
      <c r="S439" s="6" t="str">
        <f t="shared" si="6"/>
        <v xml:space="preserve"> </v>
      </c>
      <c r="T439" s="6" t="str">
        <f>IF(IF(COUNTIF(H$2:$H439,H439)=1,1,"")=1,SUMIF($H$2:$H$7997,H439,$S$2:$S$7997),"")</f>
        <v/>
      </c>
      <c r="W439">
        <v>3032850</v>
      </c>
      <c r="X439">
        <v>3032850</v>
      </c>
      <c r="Y439">
        <v>0</v>
      </c>
      <c r="Z439">
        <v>0</v>
      </c>
      <c r="AA439" s="2">
        <v>1</v>
      </c>
      <c r="AB439" s="2">
        <v>0</v>
      </c>
      <c r="AC439" s="2">
        <v>0</v>
      </c>
      <c r="AD439">
        <v>0</v>
      </c>
      <c r="AE439" t="s">
        <v>1862</v>
      </c>
      <c r="AF439">
        <v>44782.42</v>
      </c>
      <c r="AG439">
        <v>5750000</v>
      </c>
      <c r="AH439">
        <v>172500</v>
      </c>
      <c r="AI439" s="1" t="s">
        <v>329</v>
      </c>
      <c r="AJ439">
        <v>92693300</v>
      </c>
      <c r="AK439" s="1" t="s">
        <v>1867</v>
      </c>
      <c r="AL439" t="s">
        <v>1958</v>
      </c>
      <c r="AN439" t="s">
        <v>2060</v>
      </c>
      <c r="AO439" t="s">
        <v>2067</v>
      </c>
      <c r="AP439" t="s">
        <v>2092</v>
      </c>
      <c r="AQ439">
        <v>128780</v>
      </c>
      <c r="AR439" s="3">
        <v>46203</v>
      </c>
      <c r="AS439" s="3">
        <v>46184</v>
      </c>
      <c r="AT439" s="3">
        <v>46222</v>
      </c>
      <c r="AU439" t="s">
        <v>2123</v>
      </c>
      <c r="AW439" s="3">
        <v>46208.53701449134</v>
      </c>
    </row>
    <row r="440" spans="1:49" ht="16" hidden="1" x14ac:dyDescent="0.2">
      <c r="A440" t="s">
        <v>81</v>
      </c>
      <c r="B440">
        <v>11528</v>
      </c>
      <c r="C440">
        <v>8930</v>
      </c>
      <c r="D440" t="s">
        <v>178</v>
      </c>
      <c r="E440" t="s">
        <v>329</v>
      </c>
      <c r="F440">
        <v>265065</v>
      </c>
      <c r="G440" t="s">
        <v>869</v>
      </c>
      <c r="H440">
        <v>588775</v>
      </c>
      <c r="I440" t="s">
        <v>1659</v>
      </c>
      <c r="J440">
        <v>588776</v>
      </c>
      <c r="K440" t="s">
        <v>1846</v>
      </c>
      <c r="L440" t="s">
        <v>1851</v>
      </c>
      <c r="M440" s="1">
        <v>0.15</v>
      </c>
      <c r="N440" t="s">
        <v>1858</v>
      </c>
      <c r="O440">
        <v>455840533</v>
      </c>
      <c r="P440" s="1">
        <v>68376.08</v>
      </c>
      <c r="S440" s="6" t="str">
        <f t="shared" si="6"/>
        <v xml:space="preserve"> </v>
      </c>
      <c r="T440" s="6">
        <f>IF(IF(COUNTIF(H$2:$H440,H440)=1,1,"")=1,SUMIF($H$2:$H$7997,H440,$S$2:$S$7997),"")</f>
        <v>0</v>
      </c>
      <c r="W440">
        <v>0</v>
      </c>
      <c r="X440">
        <v>0</v>
      </c>
      <c r="Y440">
        <v>0</v>
      </c>
      <c r="Z440">
        <v>0</v>
      </c>
      <c r="AA440" s="2">
        <v>1</v>
      </c>
      <c r="AB440" s="2">
        <v>0</v>
      </c>
      <c r="AC440" s="2">
        <v>0</v>
      </c>
      <c r="AD440">
        <v>0</v>
      </c>
      <c r="AE440" t="s">
        <v>1863</v>
      </c>
      <c r="AF440">
        <v>68376.08</v>
      </c>
      <c r="AG440">
        <v>1777778</v>
      </c>
      <c r="AH440">
        <v>266666.7</v>
      </c>
      <c r="AI440" s="1" t="s">
        <v>329</v>
      </c>
      <c r="AJ440">
        <v>265065</v>
      </c>
      <c r="AK440" s="1" t="s">
        <v>1867</v>
      </c>
      <c r="AL440" t="s">
        <v>1958</v>
      </c>
      <c r="AN440" t="s">
        <v>2060</v>
      </c>
      <c r="AO440" t="s">
        <v>2067</v>
      </c>
      <c r="AP440" t="s">
        <v>2110</v>
      </c>
      <c r="AQ440">
        <v>128780</v>
      </c>
      <c r="AR440" s="3">
        <v>46203</v>
      </c>
      <c r="AS440" s="3">
        <v>46184</v>
      </c>
      <c r="AT440" s="3">
        <v>46222</v>
      </c>
      <c r="AU440" t="s">
        <v>2128</v>
      </c>
      <c r="AW440" s="3">
        <v>46208.53701449134</v>
      </c>
    </row>
    <row r="441" spans="1:49" ht="16" hidden="1" x14ac:dyDescent="0.2">
      <c r="A441" t="s">
        <v>81</v>
      </c>
      <c r="B441">
        <v>11528</v>
      </c>
      <c r="C441">
        <v>8930</v>
      </c>
      <c r="D441" t="s">
        <v>178</v>
      </c>
      <c r="E441" t="s">
        <v>329</v>
      </c>
      <c r="F441">
        <v>265065</v>
      </c>
      <c r="G441" t="s">
        <v>869</v>
      </c>
      <c r="H441">
        <v>588775</v>
      </c>
      <c r="I441" t="s">
        <v>1809</v>
      </c>
      <c r="J441">
        <v>588779</v>
      </c>
      <c r="K441" t="s">
        <v>1844</v>
      </c>
      <c r="L441" t="s">
        <v>1851</v>
      </c>
      <c r="M441" s="1">
        <v>0.15</v>
      </c>
      <c r="N441" t="s">
        <v>1858</v>
      </c>
      <c r="O441">
        <v>455840533</v>
      </c>
      <c r="P441" s="1">
        <v>68376.08</v>
      </c>
      <c r="S441" s="6" t="str">
        <f t="shared" si="6"/>
        <v xml:space="preserve"> </v>
      </c>
      <c r="T441" s="6" t="str">
        <f>IF(IF(COUNTIF(H$2:$H441,H441)=1,1,"")=1,SUMIF($H$2:$H$7997,H441,$S$2:$S$7997),"")</f>
        <v/>
      </c>
      <c r="W441">
        <v>0</v>
      </c>
      <c r="X441">
        <v>0</v>
      </c>
      <c r="Y441">
        <v>0</v>
      </c>
      <c r="Z441">
        <v>0</v>
      </c>
      <c r="AA441" s="2">
        <v>1</v>
      </c>
      <c r="AB441" s="2">
        <v>0</v>
      </c>
      <c r="AC441" s="2">
        <v>0</v>
      </c>
      <c r="AD441">
        <v>0</v>
      </c>
      <c r="AE441" t="s">
        <v>1863</v>
      </c>
      <c r="AF441">
        <v>68376.08</v>
      </c>
      <c r="AG441">
        <v>1777778</v>
      </c>
      <c r="AH441">
        <v>266666.7</v>
      </c>
      <c r="AI441" s="1" t="s">
        <v>329</v>
      </c>
      <c r="AJ441">
        <v>265065</v>
      </c>
      <c r="AK441" s="1" t="s">
        <v>1867</v>
      </c>
      <c r="AL441" t="s">
        <v>1958</v>
      </c>
      <c r="AN441" t="s">
        <v>2060</v>
      </c>
      <c r="AO441" t="s">
        <v>2067</v>
      </c>
      <c r="AP441" t="s">
        <v>2107</v>
      </c>
      <c r="AQ441">
        <v>128780</v>
      </c>
      <c r="AR441" s="3">
        <v>46203</v>
      </c>
      <c r="AS441" s="3">
        <v>46184</v>
      </c>
      <c r="AT441" s="3">
        <v>46222</v>
      </c>
      <c r="AU441" t="s">
        <v>2127</v>
      </c>
      <c r="AW441" s="3">
        <v>46208.53701449134</v>
      </c>
    </row>
    <row r="442" spans="1:49" ht="16" hidden="1" x14ac:dyDescent="0.2">
      <c r="A442" t="s">
        <v>81</v>
      </c>
      <c r="B442">
        <v>11528</v>
      </c>
      <c r="C442">
        <v>8930</v>
      </c>
      <c r="D442" t="s">
        <v>178</v>
      </c>
      <c r="E442" t="s">
        <v>329</v>
      </c>
      <c r="F442">
        <v>265065</v>
      </c>
      <c r="G442" t="s">
        <v>869</v>
      </c>
      <c r="H442">
        <v>588775</v>
      </c>
      <c r="I442" t="s">
        <v>1667</v>
      </c>
      <c r="J442">
        <v>588778</v>
      </c>
      <c r="K442" t="s">
        <v>1835</v>
      </c>
      <c r="L442" t="s">
        <v>1851</v>
      </c>
      <c r="M442" s="1">
        <v>0.15</v>
      </c>
      <c r="N442" t="s">
        <v>1858</v>
      </c>
      <c r="O442">
        <v>455840533</v>
      </c>
      <c r="P442" s="1">
        <v>68376.08</v>
      </c>
      <c r="S442" s="6" t="str">
        <f t="shared" si="6"/>
        <v xml:space="preserve"> </v>
      </c>
      <c r="T442" s="6" t="str">
        <f>IF(IF(COUNTIF(H$2:$H442,H442)=1,1,"")=1,SUMIF($H$2:$H$7997,H442,$S$2:$S$7997),"")</f>
        <v/>
      </c>
      <c r="W442">
        <v>0</v>
      </c>
      <c r="X442">
        <v>0</v>
      </c>
      <c r="Y442">
        <v>0</v>
      </c>
      <c r="Z442">
        <v>0</v>
      </c>
      <c r="AA442" s="2">
        <v>1</v>
      </c>
      <c r="AB442" s="2">
        <v>0</v>
      </c>
      <c r="AC442" s="2">
        <v>0</v>
      </c>
      <c r="AD442">
        <v>0</v>
      </c>
      <c r="AE442" t="s">
        <v>1863</v>
      </c>
      <c r="AF442">
        <v>68376.08</v>
      </c>
      <c r="AG442">
        <v>1777778</v>
      </c>
      <c r="AH442">
        <v>266666.7</v>
      </c>
      <c r="AI442" s="1" t="s">
        <v>329</v>
      </c>
      <c r="AJ442">
        <v>265065</v>
      </c>
      <c r="AK442" s="1" t="s">
        <v>1867</v>
      </c>
      <c r="AL442" t="s">
        <v>1958</v>
      </c>
      <c r="AN442" t="s">
        <v>2060</v>
      </c>
      <c r="AO442" t="s">
        <v>2067</v>
      </c>
      <c r="AP442" t="s">
        <v>2109</v>
      </c>
      <c r="AQ442">
        <v>128780</v>
      </c>
      <c r="AR442" s="3">
        <v>46203</v>
      </c>
      <c r="AS442" s="3">
        <v>46184</v>
      </c>
      <c r="AT442" s="3">
        <v>46222</v>
      </c>
      <c r="AU442" t="s">
        <v>2129</v>
      </c>
      <c r="AW442" s="3">
        <v>46208.53701449134</v>
      </c>
    </row>
    <row r="443" spans="1:49" ht="16" hidden="1" x14ac:dyDescent="0.2">
      <c r="A443" t="s">
        <v>81</v>
      </c>
      <c r="B443">
        <v>11528</v>
      </c>
      <c r="C443">
        <v>8930</v>
      </c>
      <c r="D443" t="s">
        <v>178</v>
      </c>
      <c r="E443" t="s">
        <v>329</v>
      </c>
      <c r="F443">
        <v>265065</v>
      </c>
      <c r="G443" t="s">
        <v>836</v>
      </c>
      <c r="H443">
        <v>596028</v>
      </c>
      <c r="I443" t="s">
        <v>1631</v>
      </c>
      <c r="J443">
        <v>596029</v>
      </c>
      <c r="K443" t="s">
        <v>1846</v>
      </c>
      <c r="L443" t="s">
        <v>1851</v>
      </c>
      <c r="M443" s="1">
        <v>0.15</v>
      </c>
      <c r="N443" t="s">
        <v>1858</v>
      </c>
      <c r="O443">
        <v>273809533</v>
      </c>
      <c r="P443" s="1">
        <v>41071.43</v>
      </c>
      <c r="S443" s="6" t="str">
        <f t="shared" si="6"/>
        <v xml:space="preserve"> </v>
      </c>
      <c r="T443" s="6">
        <f>IF(IF(COUNTIF(H$2:$H443,H443)=1,1,"")=1,SUMIF($H$2:$H$7997,H443,$S$2:$S$7997),"")</f>
        <v>0</v>
      </c>
      <c r="W443">
        <v>0</v>
      </c>
      <c r="X443">
        <v>0</v>
      </c>
      <c r="Y443">
        <v>0</v>
      </c>
      <c r="Z443">
        <v>0</v>
      </c>
      <c r="AA443" s="2">
        <v>1</v>
      </c>
      <c r="AB443" s="2">
        <v>0</v>
      </c>
      <c r="AC443" s="2">
        <v>0</v>
      </c>
      <c r="AD443">
        <v>0</v>
      </c>
      <c r="AE443" t="s">
        <v>1863</v>
      </c>
      <c r="AF443">
        <v>41071.43</v>
      </c>
      <c r="AG443">
        <v>1000000</v>
      </c>
      <c r="AH443">
        <v>150000</v>
      </c>
      <c r="AI443" s="1" t="s">
        <v>329</v>
      </c>
      <c r="AJ443">
        <v>265065</v>
      </c>
      <c r="AK443" s="1" t="s">
        <v>1867</v>
      </c>
      <c r="AL443" t="s">
        <v>1958</v>
      </c>
      <c r="AN443" t="s">
        <v>2060</v>
      </c>
      <c r="AO443" t="s">
        <v>2067</v>
      </c>
      <c r="AP443" t="s">
        <v>2110</v>
      </c>
      <c r="AQ443">
        <v>128780</v>
      </c>
      <c r="AR443" s="3">
        <v>46203</v>
      </c>
      <c r="AS443" s="3">
        <v>46181</v>
      </c>
      <c r="AT443" s="3">
        <v>46222</v>
      </c>
      <c r="AU443" t="s">
        <v>2128</v>
      </c>
      <c r="AW443" s="3">
        <v>46208.53701449134</v>
      </c>
    </row>
    <row r="444" spans="1:49" ht="16" hidden="1" x14ac:dyDescent="0.2">
      <c r="A444" t="s">
        <v>81</v>
      </c>
      <c r="B444">
        <v>11528</v>
      </c>
      <c r="C444">
        <v>8930</v>
      </c>
      <c r="D444" t="s">
        <v>178</v>
      </c>
      <c r="E444" t="s">
        <v>329</v>
      </c>
      <c r="F444">
        <v>265065</v>
      </c>
      <c r="G444" t="s">
        <v>863</v>
      </c>
      <c r="H444">
        <v>596032</v>
      </c>
      <c r="I444" t="s">
        <v>1728</v>
      </c>
      <c r="J444">
        <v>596035</v>
      </c>
      <c r="K444" t="s">
        <v>1835</v>
      </c>
      <c r="L444" t="s">
        <v>1851</v>
      </c>
      <c r="M444" s="1">
        <v>160000</v>
      </c>
      <c r="N444" t="s">
        <v>1858</v>
      </c>
      <c r="O444">
        <v>0</v>
      </c>
      <c r="P444" s="1">
        <v>43809.52</v>
      </c>
      <c r="S444" s="6" t="str">
        <f t="shared" si="6"/>
        <v xml:space="preserve"> </v>
      </c>
      <c r="T444" s="6">
        <f>IF(IF(COUNTIF(H$2:$H444,H444)=1,1,"")=1,SUMIF($H$2:$H$7997,H444,$S$2:$S$7997),"")</f>
        <v>0</v>
      </c>
      <c r="W444">
        <v>0</v>
      </c>
      <c r="X444">
        <v>0</v>
      </c>
      <c r="Y444">
        <v>0</v>
      </c>
      <c r="Z444">
        <v>0</v>
      </c>
      <c r="AA444" s="2">
        <v>1</v>
      </c>
      <c r="AB444" s="2">
        <v>0</v>
      </c>
      <c r="AC444" s="2">
        <v>0</v>
      </c>
      <c r="AD444">
        <v>0</v>
      </c>
      <c r="AE444" t="s">
        <v>1863</v>
      </c>
      <c r="AF444">
        <v>43809.52</v>
      </c>
      <c r="AG444">
        <v>0</v>
      </c>
      <c r="AH444">
        <v>160000</v>
      </c>
      <c r="AI444" s="1" t="s">
        <v>329</v>
      </c>
      <c r="AJ444">
        <v>265065</v>
      </c>
      <c r="AK444" s="1" t="s">
        <v>1867</v>
      </c>
      <c r="AL444" t="s">
        <v>1958</v>
      </c>
      <c r="AN444" t="s">
        <v>2060</v>
      </c>
      <c r="AO444" t="s">
        <v>2067</v>
      </c>
      <c r="AP444" t="s">
        <v>2117</v>
      </c>
      <c r="AQ444">
        <v>128780</v>
      </c>
      <c r="AR444" s="3">
        <v>46203</v>
      </c>
      <c r="AS444" s="3">
        <v>46181</v>
      </c>
      <c r="AT444" s="3">
        <v>46222</v>
      </c>
      <c r="AU444" t="s">
        <v>2131</v>
      </c>
      <c r="AW444" s="3">
        <v>46208.53701449134</v>
      </c>
    </row>
    <row r="445" spans="1:49" ht="16" hidden="1" x14ac:dyDescent="0.2">
      <c r="A445" t="s">
        <v>81</v>
      </c>
      <c r="B445">
        <v>11528</v>
      </c>
      <c r="C445">
        <v>8930</v>
      </c>
      <c r="D445" t="s">
        <v>178</v>
      </c>
      <c r="E445" t="s">
        <v>329</v>
      </c>
      <c r="F445">
        <v>265065</v>
      </c>
      <c r="G445" t="s">
        <v>863</v>
      </c>
      <c r="H445">
        <v>596032</v>
      </c>
      <c r="I445" t="s">
        <v>1659</v>
      </c>
      <c r="J445">
        <v>596033</v>
      </c>
      <c r="K445" t="s">
        <v>1846</v>
      </c>
      <c r="L445" t="s">
        <v>1851</v>
      </c>
      <c r="M445" s="1">
        <v>0.15</v>
      </c>
      <c r="N445" t="s">
        <v>1858</v>
      </c>
      <c r="O445">
        <v>255555467</v>
      </c>
      <c r="P445" s="1">
        <v>38333.32</v>
      </c>
      <c r="S445" s="6" t="str">
        <f t="shared" si="6"/>
        <v xml:space="preserve"> </v>
      </c>
      <c r="T445" s="6" t="str">
        <f>IF(IF(COUNTIF(H$2:$H445,H445)=1,1,"")=1,SUMIF($H$2:$H$7997,H445,$S$2:$S$7997),"")</f>
        <v/>
      </c>
      <c r="W445">
        <v>0</v>
      </c>
      <c r="X445">
        <v>0</v>
      </c>
      <c r="Y445">
        <v>0</v>
      </c>
      <c r="Z445">
        <v>0</v>
      </c>
      <c r="AA445" s="2">
        <v>1</v>
      </c>
      <c r="AB445" s="2">
        <v>0</v>
      </c>
      <c r="AC445" s="2">
        <v>0</v>
      </c>
      <c r="AD445">
        <v>0</v>
      </c>
      <c r="AE445" t="s">
        <v>1863</v>
      </c>
      <c r="AF445">
        <v>38333.32</v>
      </c>
      <c r="AG445">
        <v>933333</v>
      </c>
      <c r="AH445">
        <v>139999.95000000001</v>
      </c>
      <c r="AI445" s="1" t="s">
        <v>329</v>
      </c>
      <c r="AJ445">
        <v>265065</v>
      </c>
      <c r="AK445" s="1" t="s">
        <v>1867</v>
      </c>
      <c r="AL445" t="s">
        <v>1958</v>
      </c>
      <c r="AN445" t="s">
        <v>2060</v>
      </c>
      <c r="AO445" t="s">
        <v>2067</v>
      </c>
      <c r="AP445" t="s">
        <v>2110</v>
      </c>
      <c r="AQ445">
        <v>128780</v>
      </c>
      <c r="AR445" s="3">
        <v>46203</v>
      </c>
      <c r="AS445" s="3">
        <v>46181</v>
      </c>
      <c r="AT445" s="3">
        <v>46222</v>
      </c>
      <c r="AU445" t="s">
        <v>2128</v>
      </c>
      <c r="AW445" s="3">
        <v>46208.53701449134</v>
      </c>
    </row>
    <row r="446" spans="1:49" ht="16" hidden="1" x14ac:dyDescent="0.2">
      <c r="A446" t="s">
        <v>81</v>
      </c>
      <c r="B446">
        <v>11528</v>
      </c>
      <c r="C446">
        <v>5550</v>
      </c>
      <c r="D446" t="s">
        <v>163</v>
      </c>
      <c r="E446" t="s">
        <v>302</v>
      </c>
      <c r="F446">
        <v>267903</v>
      </c>
      <c r="G446" t="s">
        <v>551</v>
      </c>
      <c r="H446">
        <v>587629</v>
      </c>
      <c r="I446" t="s">
        <v>1084</v>
      </c>
      <c r="J446">
        <v>93910157</v>
      </c>
      <c r="K446" t="s">
        <v>1839</v>
      </c>
      <c r="L446" t="s">
        <v>1850</v>
      </c>
      <c r="M446" s="1">
        <v>40</v>
      </c>
      <c r="N446" t="s">
        <v>22</v>
      </c>
      <c r="O446">
        <v>604310</v>
      </c>
      <c r="P446" s="1">
        <v>24172.400000000001</v>
      </c>
      <c r="S446" s="6" t="str">
        <f t="shared" si="6"/>
        <v xml:space="preserve"> </v>
      </c>
      <c r="T446" s="6">
        <f>IF(IF(COUNTIF(H$2:$H446,H446)=1,1,"")=1,SUMIF($H$2:$H$7997,H446,$S$2:$S$7997),"")</f>
        <v>0</v>
      </c>
      <c r="W446">
        <v>604310</v>
      </c>
      <c r="X446">
        <v>604310</v>
      </c>
      <c r="Y446">
        <v>0</v>
      </c>
      <c r="Z446">
        <v>0</v>
      </c>
      <c r="AA446" s="2">
        <v>1</v>
      </c>
      <c r="AB446" s="2">
        <v>0</v>
      </c>
      <c r="AC446" s="2">
        <v>0</v>
      </c>
      <c r="AD446">
        <v>0</v>
      </c>
      <c r="AE446" t="s">
        <v>1865</v>
      </c>
      <c r="AF446">
        <v>14127.75</v>
      </c>
      <c r="AG446">
        <v>1750000</v>
      </c>
      <c r="AH446">
        <v>70000</v>
      </c>
      <c r="AI446" s="1" t="s">
        <v>302</v>
      </c>
      <c r="AJ446">
        <v>93910154</v>
      </c>
      <c r="AK446" s="1" t="s">
        <v>1867</v>
      </c>
      <c r="AL446" t="s">
        <v>1935</v>
      </c>
      <c r="AN446" t="s">
        <v>2060</v>
      </c>
      <c r="AO446" t="s">
        <v>2067</v>
      </c>
      <c r="AP446" t="s">
        <v>2094</v>
      </c>
      <c r="AQ446">
        <v>128029</v>
      </c>
      <c r="AR446" s="3">
        <v>46203</v>
      </c>
      <c r="AS446" s="3">
        <v>46153</v>
      </c>
      <c r="AT446" s="3">
        <v>46222</v>
      </c>
      <c r="AU446" t="s">
        <v>2124</v>
      </c>
      <c r="AW446" s="3">
        <v>46208.53701449134</v>
      </c>
    </row>
    <row r="447" spans="1:49" ht="16" hidden="1" x14ac:dyDescent="0.2">
      <c r="A447" t="s">
        <v>81</v>
      </c>
      <c r="B447">
        <v>11528</v>
      </c>
      <c r="C447">
        <v>5550</v>
      </c>
      <c r="D447" t="s">
        <v>163</v>
      </c>
      <c r="E447" t="s">
        <v>302</v>
      </c>
      <c r="F447">
        <v>267903</v>
      </c>
      <c r="G447" t="s">
        <v>551</v>
      </c>
      <c r="H447">
        <v>587629</v>
      </c>
      <c r="I447" t="s">
        <v>1085</v>
      </c>
      <c r="J447">
        <v>93910160</v>
      </c>
      <c r="K447" t="s">
        <v>1835</v>
      </c>
      <c r="L447" t="s">
        <v>1850</v>
      </c>
      <c r="M447" s="1">
        <v>40</v>
      </c>
      <c r="N447" t="s">
        <v>22</v>
      </c>
      <c r="O447">
        <v>404815</v>
      </c>
      <c r="P447" s="1">
        <v>16192.6</v>
      </c>
      <c r="S447" s="6" t="str">
        <f t="shared" si="6"/>
        <v xml:space="preserve"> </v>
      </c>
      <c r="T447" s="6" t="str">
        <f>IF(IF(COUNTIF(H$2:$H447,H447)=1,1,"")=1,SUMIF($H$2:$H$7997,H447,$S$2:$S$7997),"")</f>
        <v/>
      </c>
      <c r="W447">
        <v>404815</v>
      </c>
      <c r="X447">
        <v>404815</v>
      </c>
      <c r="Y447">
        <v>0</v>
      </c>
      <c r="Z447">
        <v>0</v>
      </c>
      <c r="AA447" s="2">
        <v>1</v>
      </c>
      <c r="AB447" s="2">
        <v>0</v>
      </c>
      <c r="AC447" s="2">
        <v>0</v>
      </c>
      <c r="AD447">
        <v>0</v>
      </c>
      <c r="AE447" t="s">
        <v>1865</v>
      </c>
      <c r="AF447">
        <v>6054.75</v>
      </c>
      <c r="AG447">
        <v>750000</v>
      </c>
      <c r="AH447">
        <v>30000</v>
      </c>
      <c r="AI447" s="1" t="s">
        <v>302</v>
      </c>
      <c r="AJ447">
        <v>93910154</v>
      </c>
      <c r="AK447" s="1" t="s">
        <v>1867</v>
      </c>
      <c r="AL447" t="s">
        <v>1935</v>
      </c>
      <c r="AN447" t="s">
        <v>2060</v>
      </c>
      <c r="AO447" t="s">
        <v>2067</v>
      </c>
      <c r="AP447" t="s">
        <v>2092</v>
      </c>
      <c r="AQ447">
        <v>128029</v>
      </c>
      <c r="AR447" s="3">
        <v>46203</v>
      </c>
      <c r="AS447" s="3">
        <v>46153</v>
      </c>
      <c r="AT447" s="3">
        <v>46222</v>
      </c>
      <c r="AU447" t="s">
        <v>2123</v>
      </c>
      <c r="AW447" s="3">
        <v>46208.53701449134</v>
      </c>
    </row>
    <row r="448" spans="1:49" ht="16" hidden="1" x14ac:dyDescent="0.2">
      <c r="A448" t="s">
        <v>81</v>
      </c>
      <c r="B448">
        <v>11528</v>
      </c>
      <c r="C448">
        <v>5550</v>
      </c>
      <c r="D448" t="s">
        <v>163</v>
      </c>
      <c r="E448" t="s">
        <v>302</v>
      </c>
      <c r="F448">
        <v>267903</v>
      </c>
      <c r="G448" t="s">
        <v>552</v>
      </c>
      <c r="H448">
        <v>587634</v>
      </c>
      <c r="I448" t="s">
        <v>1087</v>
      </c>
      <c r="J448">
        <v>93910167</v>
      </c>
      <c r="K448" t="s">
        <v>1839</v>
      </c>
      <c r="L448" t="s">
        <v>1850</v>
      </c>
      <c r="M448" s="1">
        <v>20</v>
      </c>
      <c r="N448" t="s">
        <v>1859</v>
      </c>
      <c r="O448">
        <v>615132</v>
      </c>
      <c r="P448" s="1">
        <v>12302.64</v>
      </c>
      <c r="S448" s="6" t="str">
        <f t="shared" si="6"/>
        <v xml:space="preserve"> </v>
      </c>
      <c r="T448" s="6">
        <f>IF(IF(COUNTIF(H$2:$H448,H448)=1,1,"")=1,SUMIF($H$2:$H$7997,H448,$S$2:$S$7997),"")</f>
        <v>0</v>
      </c>
      <c r="W448">
        <v>615132</v>
      </c>
      <c r="X448">
        <v>615132</v>
      </c>
      <c r="Y448">
        <v>0</v>
      </c>
      <c r="Z448">
        <v>0</v>
      </c>
      <c r="AA448" s="2">
        <v>1</v>
      </c>
      <c r="AB448" s="2">
        <v>0</v>
      </c>
      <c r="AC448" s="2">
        <v>0</v>
      </c>
      <c r="AD448">
        <v>0</v>
      </c>
      <c r="AE448" t="s">
        <v>1865</v>
      </c>
      <c r="AF448">
        <v>6100.01</v>
      </c>
      <c r="AG448">
        <v>1500050</v>
      </c>
      <c r="AH448">
        <v>30001</v>
      </c>
      <c r="AI448" s="1" t="s">
        <v>302</v>
      </c>
      <c r="AJ448">
        <v>93910154</v>
      </c>
      <c r="AK448" s="1" t="s">
        <v>1868</v>
      </c>
      <c r="AL448" t="s">
        <v>1935</v>
      </c>
      <c r="AN448" t="s">
        <v>2060</v>
      </c>
      <c r="AO448" t="s">
        <v>2067</v>
      </c>
      <c r="AP448" t="s">
        <v>2093</v>
      </c>
      <c r="AQ448">
        <v>128029</v>
      </c>
      <c r="AR448" s="3">
        <v>46203</v>
      </c>
      <c r="AS448" s="3">
        <v>46153</v>
      </c>
      <c r="AT448" s="3">
        <v>46229</v>
      </c>
      <c r="AU448" t="s">
        <v>2124</v>
      </c>
      <c r="AW448" s="3">
        <v>46208.53701449134</v>
      </c>
    </row>
    <row r="449" spans="1:49" ht="16" hidden="1" x14ac:dyDescent="0.2">
      <c r="A449" t="s">
        <v>81</v>
      </c>
      <c r="B449">
        <v>11528</v>
      </c>
      <c r="C449">
        <v>5550</v>
      </c>
      <c r="D449" t="s">
        <v>163</v>
      </c>
      <c r="E449" t="s">
        <v>302</v>
      </c>
      <c r="F449">
        <v>267903</v>
      </c>
      <c r="G449" t="s">
        <v>552</v>
      </c>
      <c r="H449">
        <v>587634</v>
      </c>
      <c r="I449" t="s">
        <v>1086</v>
      </c>
      <c r="J449">
        <v>93910163</v>
      </c>
      <c r="K449" t="s">
        <v>1840</v>
      </c>
      <c r="L449" t="s">
        <v>1850</v>
      </c>
      <c r="M449" s="1">
        <v>20</v>
      </c>
      <c r="N449" t="s">
        <v>1859</v>
      </c>
      <c r="O449">
        <v>1418157</v>
      </c>
      <c r="P449" s="1">
        <v>28363.14</v>
      </c>
      <c r="S449" s="6" t="str">
        <f t="shared" si="6"/>
        <v xml:space="preserve"> </v>
      </c>
      <c r="T449" s="6" t="str">
        <f>IF(IF(COUNTIF(H$2:$H449,H449)=1,1,"")=1,SUMIF($H$2:$H$7997,H449,$S$2:$S$7997),"")</f>
        <v/>
      </c>
      <c r="W449">
        <v>1418157</v>
      </c>
      <c r="X449">
        <v>1418157</v>
      </c>
      <c r="Y449">
        <v>0</v>
      </c>
      <c r="Z449">
        <v>0</v>
      </c>
      <c r="AA449" s="2">
        <v>1</v>
      </c>
      <c r="AB449" s="2">
        <v>0</v>
      </c>
      <c r="AC449" s="2">
        <v>0</v>
      </c>
      <c r="AD449">
        <v>0</v>
      </c>
      <c r="AE449" t="s">
        <v>1865</v>
      </c>
      <c r="AF449">
        <v>14232.88</v>
      </c>
      <c r="AG449">
        <v>3500000</v>
      </c>
      <c r="AH449">
        <v>70000</v>
      </c>
      <c r="AI449" s="1" t="s">
        <v>302</v>
      </c>
      <c r="AJ449">
        <v>93910154</v>
      </c>
      <c r="AK449" s="1" t="s">
        <v>1868</v>
      </c>
      <c r="AL449" t="s">
        <v>1935</v>
      </c>
      <c r="AN449" t="s">
        <v>2060</v>
      </c>
      <c r="AO449" t="s">
        <v>2067</v>
      </c>
      <c r="AP449" t="s">
        <v>2083</v>
      </c>
      <c r="AQ449">
        <v>128029</v>
      </c>
      <c r="AR449" s="3">
        <v>46203</v>
      </c>
      <c r="AS449" s="3">
        <v>46153</v>
      </c>
      <c r="AT449" s="3">
        <v>46229</v>
      </c>
      <c r="AU449" t="s">
        <v>2123</v>
      </c>
      <c r="AW449" s="3">
        <v>46208.53701449134</v>
      </c>
    </row>
    <row r="450" spans="1:49" ht="16" hidden="1" x14ac:dyDescent="0.2">
      <c r="A450" t="s">
        <v>81</v>
      </c>
      <c r="B450">
        <v>11528</v>
      </c>
      <c r="C450">
        <v>5550</v>
      </c>
      <c r="D450" t="s">
        <v>163</v>
      </c>
      <c r="E450" t="s">
        <v>324</v>
      </c>
      <c r="F450">
        <v>267992</v>
      </c>
      <c r="G450" t="s">
        <v>597</v>
      </c>
      <c r="H450">
        <v>588070</v>
      </c>
      <c r="I450" t="s">
        <v>1171</v>
      </c>
      <c r="J450">
        <v>94015480</v>
      </c>
      <c r="K450" t="s">
        <v>1839</v>
      </c>
      <c r="L450" t="s">
        <v>1850</v>
      </c>
      <c r="M450" s="1">
        <v>21.49</v>
      </c>
      <c r="N450" t="s">
        <v>1855</v>
      </c>
      <c r="O450">
        <v>2714773</v>
      </c>
      <c r="P450" s="1">
        <v>58340.47</v>
      </c>
      <c r="S450" s="6" t="str">
        <f t="shared" si="6"/>
        <v xml:space="preserve"> </v>
      </c>
      <c r="T450" s="6">
        <f>IF(IF(COUNTIF(H$2:$H450,H450)=1,1,"")=1,SUMIF($H$2:$H$7997,H450,$S$2:$S$7997),"")</f>
        <v>0</v>
      </c>
      <c r="W450">
        <v>2714773</v>
      </c>
      <c r="X450">
        <v>2714773</v>
      </c>
      <c r="Y450">
        <v>0</v>
      </c>
      <c r="Z450">
        <v>0</v>
      </c>
      <c r="AA450" s="2">
        <v>1</v>
      </c>
      <c r="AB450" s="2">
        <v>0</v>
      </c>
      <c r="AC450" s="2">
        <v>0</v>
      </c>
      <c r="AD450">
        <v>0</v>
      </c>
      <c r="AE450" t="s">
        <v>1862</v>
      </c>
      <c r="AF450">
        <v>29034.05</v>
      </c>
      <c r="AG450">
        <v>6212192</v>
      </c>
      <c r="AH450">
        <v>133500.01</v>
      </c>
      <c r="AI450" s="1" t="s">
        <v>324</v>
      </c>
      <c r="AJ450">
        <v>94015477</v>
      </c>
      <c r="AK450" s="1" t="s">
        <v>1868</v>
      </c>
      <c r="AL450" t="s">
        <v>1953</v>
      </c>
      <c r="AN450" t="s">
        <v>2044</v>
      </c>
      <c r="AO450" t="s">
        <v>2067</v>
      </c>
      <c r="AP450" t="s">
        <v>2093</v>
      </c>
      <c r="AQ450">
        <v>128461</v>
      </c>
      <c r="AR450" s="3">
        <v>46203</v>
      </c>
      <c r="AS450" s="3">
        <v>46157</v>
      </c>
      <c r="AT450" s="3">
        <v>46229</v>
      </c>
      <c r="AU450" t="s">
        <v>2124</v>
      </c>
      <c r="AW450" s="3">
        <v>46208.53701449134</v>
      </c>
    </row>
    <row r="451" spans="1:49" ht="16" hidden="1" x14ac:dyDescent="0.2">
      <c r="A451" t="s">
        <v>81</v>
      </c>
      <c r="B451">
        <v>11528</v>
      </c>
      <c r="C451">
        <v>5550</v>
      </c>
      <c r="D451" t="s">
        <v>163</v>
      </c>
      <c r="E451" t="s">
        <v>324</v>
      </c>
      <c r="F451">
        <v>267992</v>
      </c>
      <c r="G451" t="s">
        <v>597</v>
      </c>
      <c r="H451">
        <v>588070</v>
      </c>
      <c r="I451" t="s">
        <v>1172</v>
      </c>
      <c r="J451">
        <v>94015483</v>
      </c>
      <c r="K451" t="s">
        <v>1840</v>
      </c>
      <c r="L451" t="s">
        <v>1850</v>
      </c>
      <c r="M451" s="1">
        <v>21.49</v>
      </c>
      <c r="N451" t="s">
        <v>1855</v>
      </c>
      <c r="O451">
        <v>6292223</v>
      </c>
      <c r="P451" s="1">
        <v>135219.87</v>
      </c>
      <c r="S451" s="6" t="str">
        <f t="shared" ref="S451:S514" si="7">IF(ISBLANK(R451)," ",ROUND(R451*(IF(ISBLANK(Q451),(M451/1000),(Q451/1000))),2))</f>
        <v xml:space="preserve"> </v>
      </c>
      <c r="T451" s="6" t="str">
        <f>IF(IF(COUNTIF(H$2:$H451,H451)=1,1,"")=1,SUMIF($H$2:$H$7997,H451,$S$2:$S$7997),"")</f>
        <v/>
      </c>
      <c r="W451">
        <v>6292223</v>
      </c>
      <c r="X451">
        <v>6292223</v>
      </c>
      <c r="Y451">
        <v>0</v>
      </c>
      <c r="Z451">
        <v>0</v>
      </c>
      <c r="AA451" s="2">
        <v>1</v>
      </c>
      <c r="AB451" s="2">
        <v>0</v>
      </c>
      <c r="AC451" s="2">
        <v>0</v>
      </c>
      <c r="AD451">
        <v>0</v>
      </c>
      <c r="AE451" t="s">
        <v>1862</v>
      </c>
      <c r="AF451">
        <v>67746.12</v>
      </c>
      <c r="AG451">
        <v>14495114</v>
      </c>
      <c r="AH451">
        <v>311500</v>
      </c>
      <c r="AI451" s="1" t="s">
        <v>324</v>
      </c>
      <c r="AJ451">
        <v>94015477</v>
      </c>
      <c r="AK451" s="1" t="s">
        <v>1868</v>
      </c>
      <c r="AL451" t="s">
        <v>1953</v>
      </c>
      <c r="AN451" t="s">
        <v>2044</v>
      </c>
      <c r="AO451" t="s">
        <v>2067</v>
      </c>
      <c r="AP451" t="s">
        <v>2083</v>
      </c>
      <c r="AQ451">
        <v>128461</v>
      </c>
      <c r="AR451" s="3">
        <v>46203</v>
      </c>
      <c r="AS451" s="3">
        <v>46157</v>
      </c>
      <c r="AT451" s="3">
        <v>46229</v>
      </c>
      <c r="AU451" t="s">
        <v>2123</v>
      </c>
      <c r="AW451" s="3">
        <v>46208.53701449134</v>
      </c>
    </row>
    <row r="452" spans="1:49" ht="16" hidden="1" x14ac:dyDescent="0.2">
      <c r="A452" t="s">
        <v>81</v>
      </c>
      <c r="B452">
        <v>11528</v>
      </c>
      <c r="C452">
        <v>9044</v>
      </c>
      <c r="D452" t="s">
        <v>211</v>
      </c>
      <c r="E452" t="s">
        <v>399</v>
      </c>
      <c r="F452">
        <v>270964</v>
      </c>
      <c r="G452" t="s">
        <v>741</v>
      </c>
      <c r="H452">
        <v>593133</v>
      </c>
      <c r="I452" t="s">
        <v>1436</v>
      </c>
      <c r="J452">
        <v>94722304</v>
      </c>
      <c r="K452" t="s">
        <v>1839</v>
      </c>
      <c r="L452" t="s">
        <v>1850</v>
      </c>
      <c r="M452" s="1">
        <v>40</v>
      </c>
      <c r="N452" t="s">
        <v>23</v>
      </c>
      <c r="O452">
        <v>1834082</v>
      </c>
      <c r="P452" s="1">
        <v>70000</v>
      </c>
      <c r="S452" s="6" t="str">
        <f t="shared" si="7"/>
        <v xml:space="preserve"> </v>
      </c>
      <c r="T452" s="6">
        <f>IF(IF(COUNTIF(H$2:$H452,H452)=1,1,"")=1,SUMIF($H$2:$H$7997,H452,$S$2:$S$7997),"")</f>
        <v>0</v>
      </c>
      <c r="W452">
        <v>1834082</v>
      </c>
      <c r="X452">
        <v>1834082</v>
      </c>
      <c r="Y452">
        <v>0</v>
      </c>
      <c r="Z452">
        <v>0</v>
      </c>
      <c r="AA452" s="2">
        <v>1</v>
      </c>
      <c r="AB452" s="2">
        <v>0</v>
      </c>
      <c r="AC452" s="2">
        <v>0</v>
      </c>
      <c r="AD452">
        <v>0</v>
      </c>
      <c r="AE452" t="s">
        <v>1862</v>
      </c>
      <c r="AF452">
        <v>34298.21</v>
      </c>
      <c r="AG452">
        <v>1750000</v>
      </c>
      <c r="AH452">
        <v>70000</v>
      </c>
      <c r="AI452" s="1" t="s">
        <v>399</v>
      </c>
      <c r="AJ452">
        <v>94722301</v>
      </c>
      <c r="AK452" s="1" t="s">
        <v>1867</v>
      </c>
      <c r="AL452" t="s">
        <v>2008</v>
      </c>
      <c r="AN452" t="s">
        <v>2060</v>
      </c>
      <c r="AO452" t="s">
        <v>2067</v>
      </c>
      <c r="AP452" t="s">
        <v>2094</v>
      </c>
      <c r="AQ452">
        <v>131163</v>
      </c>
      <c r="AR452" s="3">
        <v>46203</v>
      </c>
      <c r="AS452" s="3">
        <v>46184</v>
      </c>
      <c r="AT452" s="3">
        <v>46203</v>
      </c>
      <c r="AU452" t="s">
        <v>2124</v>
      </c>
      <c r="AW452" s="3">
        <v>46208.53701449134</v>
      </c>
    </row>
    <row r="453" spans="1:49" ht="16" hidden="1" x14ac:dyDescent="0.2">
      <c r="A453" t="s">
        <v>81</v>
      </c>
      <c r="B453">
        <v>11528</v>
      </c>
      <c r="C453">
        <v>9044</v>
      </c>
      <c r="D453" t="s">
        <v>211</v>
      </c>
      <c r="E453" t="s">
        <v>399</v>
      </c>
      <c r="F453">
        <v>270964</v>
      </c>
      <c r="G453" t="s">
        <v>741</v>
      </c>
      <c r="H453">
        <v>593133</v>
      </c>
      <c r="I453" t="s">
        <v>1437</v>
      </c>
      <c r="J453">
        <v>94722307</v>
      </c>
      <c r="K453" t="s">
        <v>1835</v>
      </c>
      <c r="L453" t="s">
        <v>1850</v>
      </c>
      <c r="M453" s="1">
        <v>40</v>
      </c>
      <c r="N453" t="s">
        <v>23</v>
      </c>
      <c r="O453">
        <v>778590</v>
      </c>
      <c r="P453" s="1">
        <v>30000</v>
      </c>
      <c r="S453" s="6" t="str">
        <f t="shared" si="7"/>
        <v xml:space="preserve"> </v>
      </c>
      <c r="T453" s="6" t="str">
        <f>IF(IF(COUNTIF(H$2:$H453,H453)=1,1,"")=1,SUMIF($H$2:$H$7997,H453,$S$2:$S$7997),"")</f>
        <v/>
      </c>
      <c r="W453">
        <v>778590</v>
      </c>
      <c r="X453">
        <v>778590</v>
      </c>
      <c r="Y453">
        <v>0</v>
      </c>
      <c r="Z453">
        <v>0</v>
      </c>
      <c r="AA453" s="2">
        <v>1</v>
      </c>
      <c r="AB453" s="2">
        <v>0</v>
      </c>
      <c r="AC453" s="2">
        <v>0</v>
      </c>
      <c r="AD453">
        <v>0</v>
      </c>
      <c r="AE453" t="s">
        <v>1862</v>
      </c>
      <c r="AF453">
        <v>14699.23</v>
      </c>
      <c r="AG453">
        <v>750000</v>
      </c>
      <c r="AH453">
        <v>30000</v>
      </c>
      <c r="AI453" s="1" t="s">
        <v>399</v>
      </c>
      <c r="AJ453">
        <v>94722301</v>
      </c>
      <c r="AK453" s="1" t="s">
        <v>1867</v>
      </c>
      <c r="AL453" t="s">
        <v>2008</v>
      </c>
      <c r="AN453" t="s">
        <v>2060</v>
      </c>
      <c r="AO453" t="s">
        <v>2067</v>
      </c>
      <c r="AP453" t="s">
        <v>2092</v>
      </c>
      <c r="AQ453">
        <v>131163</v>
      </c>
      <c r="AR453" s="3">
        <v>46203</v>
      </c>
      <c r="AS453" s="3">
        <v>46184</v>
      </c>
      <c r="AT453" s="3">
        <v>46203</v>
      </c>
      <c r="AU453" t="s">
        <v>2123</v>
      </c>
      <c r="AW453" s="3">
        <v>46208.53701449134</v>
      </c>
    </row>
    <row r="454" spans="1:49" ht="16" hidden="1" x14ac:dyDescent="0.2">
      <c r="A454" t="s">
        <v>81</v>
      </c>
      <c r="B454">
        <v>11528</v>
      </c>
      <c r="C454">
        <v>8659</v>
      </c>
      <c r="D454" t="s">
        <v>177</v>
      </c>
      <c r="E454" t="s">
        <v>332</v>
      </c>
      <c r="F454">
        <v>269721</v>
      </c>
      <c r="G454" t="s">
        <v>620</v>
      </c>
      <c r="H454">
        <v>589039</v>
      </c>
      <c r="I454" t="s">
        <v>1211</v>
      </c>
      <c r="J454">
        <v>94169473</v>
      </c>
      <c r="K454" t="s">
        <v>1839</v>
      </c>
      <c r="L454" t="s">
        <v>1850</v>
      </c>
      <c r="M454" s="1">
        <v>30</v>
      </c>
      <c r="N454" t="s">
        <v>23</v>
      </c>
      <c r="O454">
        <v>2325525</v>
      </c>
      <c r="P454" s="1">
        <v>69765.75</v>
      </c>
      <c r="S454" s="6" t="str">
        <f t="shared" si="7"/>
        <v xml:space="preserve"> </v>
      </c>
      <c r="T454" s="6">
        <f>IF(IF(COUNTIF(H$2:$H454,H454)=1,1,"")=1,SUMIF($H$2:$H$7997,H454,$S$2:$S$7997),"")</f>
        <v>0</v>
      </c>
      <c r="W454">
        <v>2325525</v>
      </c>
      <c r="X454">
        <v>2325525</v>
      </c>
      <c r="Y454">
        <v>0</v>
      </c>
      <c r="Z454">
        <v>0</v>
      </c>
      <c r="AA454" s="2">
        <v>1</v>
      </c>
      <c r="AB454" s="2">
        <v>0</v>
      </c>
      <c r="AC454" s="2">
        <v>0</v>
      </c>
      <c r="AD454">
        <v>0</v>
      </c>
      <c r="AE454" t="s">
        <v>1862</v>
      </c>
      <c r="AF454">
        <v>35188.1</v>
      </c>
      <c r="AG454">
        <v>3500000</v>
      </c>
      <c r="AH454">
        <v>105000</v>
      </c>
      <c r="AI454" s="1" t="s">
        <v>332</v>
      </c>
      <c r="AJ454">
        <v>94169464</v>
      </c>
      <c r="AK454" s="1" t="s">
        <v>1867</v>
      </c>
      <c r="AL454" t="s">
        <v>1959</v>
      </c>
      <c r="AN454" t="s">
        <v>2060</v>
      </c>
      <c r="AO454" t="s">
        <v>2067</v>
      </c>
      <c r="AP454" t="s">
        <v>2094</v>
      </c>
      <c r="AQ454">
        <v>128885</v>
      </c>
      <c r="AR454" s="3">
        <v>46203</v>
      </c>
      <c r="AS454" s="3">
        <v>46174</v>
      </c>
      <c r="AT454" s="3">
        <v>46222</v>
      </c>
      <c r="AU454" t="s">
        <v>2124</v>
      </c>
      <c r="AW454" s="3">
        <v>46208.53701449134</v>
      </c>
    </row>
    <row r="455" spans="1:49" ht="16" hidden="1" x14ac:dyDescent="0.2">
      <c r="A455" t="s">
        <v>81</v>
      </c>
      <c r="B455">
        <v>11528</v>
      </c>
      <c r="C455">
        <v>8659</v>
      </c>
      <c r="D455" t="s">
        <v>177</v>
      </c>
      <c r="E455" t="s">
        <v>332</v>
      </c>
      <c r="F455">
        <v>269721</v>
      </c>
      <c r="G455" t="s">
        <v>620</v>
      </c>
      <c r="H455">
        <v>589039</v>
      </c>
      <c r="I455" t="s">
        <v>1212</v>
      </c>
      <c r="J455">
        <v>94169484</v>
      </c>
      <c r="K455" t="s">
        <v>1835</v>
      </c>
      <c r="L455" t="s">
        <v>1850</v>
      </c>
      <c r="M455" s="1">
        <v>30</v>
      </c>
      <c r="N455" t="s">
        <v>23</v>
      </c>
      <c r="O455">
        <v>1020482</v>
      </c>
      <c r="P455" s="1">
        <v>30614.46</v>
      </c>
      <c r="S455" s="6" t="str">
        <f t="shared" si="7"/>
        <v xml:space="preserve"> </v>
      </c>
      <c r="T455" s="6" t="str">
        <f>IF(IF(COUNTIF(H$2:$H455,H455)=1,1,"")=1,SUMIF($H$2:$H$7997,H455,$S$2:$S$7997),"")</f>
        <v/>
      </c>
      <c r="W455">
        <v>1020482</v>
      </c>
      <c r="X455">
        <v>1020482</v>
      </c>
      <c r="Y455">
        <v>0</v>
      </c>
      <c r="Z455">
        <v>0</v>
      </c>
      <c r="AA455" s="2">
        <v>1</v>
      </c>
      <c r="AB455" s="2">
        <v>0</v>
      </c>
      <c r="AC455" s="2">
        <v>0</v>
      </c>
      <c r="AD455">
        <v>0</v>
      </c>
      <c r="AE455" t="s">
        <v>1862</v>
      </c>
      <c r="AF455">
        <v>15080.62</v>
      </c>
      <c r="AG455">
        <v>1500000</v>
      </c>
      <c r="AH455">
        <v>45000</v>
      </c>
      <c r="AI455" s="1" t="s">
        <v>332</v>
      </c>
      <c r="AJ455">
        <v>94169464</v>
      </c>
      <c r="AK455" s="1" t="s">
        <v>1867</v>
      </c>
      <c r="AL455" t="s">
        <v>1959</v>
      </c>
      <c r="AN455" t="s">
        <v>2060</v>
      </c>
      <c r="AO455" t="s">
        <v>2067</v>
      </c>
      <c r="AP455" t="s">
        <v>2092</v>
      </c>
      <c r="AQ455">
        <v>128885</v>
      </c>
      <c r="AR455" s="3">
        <v>46203</v>
      </c>
      <c r="AS455" s="3">
        <v>46174</v>
      </c>
      <c r="AT455" s="3">
        <v>46222</v>
      </c>
      <c r="AU455" t="s">
        <v>2123</v>
      </c>
      <c r="AW455" s="3">
        <v>46208.53701449134</v>
      </c>
    </row>
    <row r="456" spans="1:49" ht="16" hidden="1" x14ac:dyDescent="0.2">
      <c r="A456" t="s">
        <v>81</v>
      </c>
      <c r="B456">
        <v>11528</v>
      </c>
      <c r="C456">
        <v>8659</v>
      </c>
      <c r="D456" t="s">
        <v>177</v>
      </c>
      <c r="E456" t="s">
        <v>332</v>
      </c>
      <c r="F456">
        <v>269721</v>
      </c>
      <c r="G456" t="s">
        <v>804</v>
      </c>
      <c r="H456">
        <v>589042</v>
      </c>
      <c r="I456" t="s">
        <v>1563</v>
      </c>
      <c r="J456">
        <v>7316203825</v>
      </c>
      <c r="K456" t="s">
        <v>1835</v>
      </c>
      <c r="L456" t="s">
        <v>1850</v>
      </c>
      <c r="M456" s="1">
        <v>5</v>
      </c>
      <c r="N456" t="s">
        <v>23</v>
      </c>
      <c r="O456">
        <v>0</v>
      </c>
      <c r="P456" s="1">
        <v>0</v>
      </c>
      <c r="S456" s="6" t="str">
        <f t="shared" si="7"/>
        <v xml:space="preserve"> </v>
      </c>
      <c r="T456" s="6">
        <f>IF(IF(COUNTIF(H$2:$H456,H456)=1,1,"")=1,SUMIF($H$2:$H$7997,H456,$S$2:$S$7997),"")</f>
        <v>0</v>
      </c>
      <c r="W456">
        <v>0</v>
      </c>
      <c r="X456">
        <v>0</v>
      </c>
      <c r="Y456">
        <v>0</v>
      </c>
      <c r="Z456">
        <v>0</v>
      </c>
      <c r="AA456" s="2">
        <v>1</v>
      </c>
      <c r="AB456" s="2">
        <v>0</v>
      </c>
      <c r="AC456" s="2">
        <v>0</v>
      </c>
      <c r="AD456">
        <v>0</v>
      </c>
      <c r="AE456" t="s">
        <v>1862</v>
      </c>
      <c r="AF456">
        <v>41362.07</v>
      </c>
      <c r="AG456">
        <v>20000000</v>
      </c>
      <c r="AH456">
        <v>100000</v>
      </c>
      <c r="AI456" s="1" t="s">
        <v>332</v>
      </c>
      <c r="AJ456">
        <v>269721</v>
      </c>
      <c r="AK456" s="1" t="s">
        <v>1867</v>
      </c>
      <c r="AL456" t="s">
        <v>1959</v>
      </c>
      <c r="AN456" t="s">
        <v>2060</v>
      </c>
      <c r="AO456" t="s">
        <v>2067</v>
      </c>
      <c r="AP456" t="s">
        <v>2102</v>
      </c>
      <c r="AQ456">
        <v>128885</v>
      </c>
      <c r="AR456" s="3">
        <v>46203</v>
      </c>
      <c r="AS456" s="3">
        <v>46174</v>
      </c>
      <c r="AT456" s="3">
        <v>46222</v>
      </c>
      <c r="AU456" t="s">
        <v>2126</v>
      </c>
      <c r="AW456" s="3">
        <v>46208.53701449134</v>
      </c>
    </row>
    <row r="457" spans="1:49" ht="16" hidden="1" x14ac:dyDescent="0.2">
      <c r="A457" t="s">
        <v>81</v>
      </c>
      <c r="B457">
        <v>11528</v>
      </c>
      <c r="C457">
        <v>8659</v>
      </c>
      <c r="D457" t="s">
        <v>177</v>
      </c>
      <c r="E457" t="s">
        <v>332</v>
      </c>
      <c r="F457">
        <v>269721</v>
      </c>
      <c r="G457" t="s">
        <v>864</v>
      </c>
      <c r="H457">
        <v>589046</v>
      </c>
      <c r="I457" t="s">
        <v>1661</v>
      </c>
      <c r="J457">
        <v>589047</v>
      </c>
      <c r="K457" t="s">
        <v>1846</v>
      </c>
      <c r="L457" t="s">
        <v>1851</v>
      </c>
      <c r="M457" s="1">
        <v>0.15</v>
      </c>
      <c r="N457" t="s">
        <v>1858</v>
      </c>
      <c r="O457">
        <v>204081400</v>
      </c>
      <c r="P457" s="1">
        <v>30612.21</v>
      </c>
      <c r="S457" s="6" t="str">
        <f t="shared" si="7"/>
        <v xml:space="preserve"> </v>
      </c>
      <c r="T457" s="6">
        <f>IF(IF(COUNTIF(H$2:$H457,H457)=1,1,"")=1,SUMIF($H$2:$H$7997,H457,$S$2:$S$7997),"")</f>
        <v>0</v>
      </c>
      <c r="W457">
        <v>0</v>
      </c>
      <c r="X457">
        <v>0</v>
      </c>
      <c r="Y457">
        <v>0</v>
      </c>
      <c r="Z457">
        <v>0</v>
      </c>
      <c r="AA457" s="2">
        <v>1</v>
      </c>
      <c r="AB457" s="2">
        <v>0</v>
      </c>
      <c r="AC457" s="2">
        <v>0</v>
      </c>
      <c r="AD457">
        <v>0</v>
      </c>
      <c r="AE457" t="s">
        <v>1863</v>
      </c>
      <c r="AF457">
        <v>30612.21</v>
      </c>
      <c r="AG457">
        <v>666666</v>
      </c>
      <c r="AH457">
        <v>99999.9</v>
      </c>
      <c r="AI457" s="1" t="s">
        <v>332</v>
      </c>
      <c r="AJ457">
        <v>269721</v>
      </c>
      <c r="AK457" s="1" t="s">
        <v>1867</v>
      </c>
      <c r="AL457" t="s">
        <v>1959</v>
      </c>
      <c r="AN457" t="s">
        <v>2060</v>
      </c>
      <c r="AO457" t="s">
        <v>2067</v>
      </c>
      <c r="AP457" t="s">
        <v>2110</v>
      </c>
      <c r="AQ457">
        <v>128885</v>
      </c>
      <c r="AR457" s="3">
        <v>46203</v>
      </c>
      <c r="AS457" s="3">
        <v>46174</v>
      </c>
      <c r="AT457" s="3">
        <v>46222</v>
      </c>
      <c r="AU457" t="s">
        <v>2128</v>
      </c>
      <c r="AW457" s="3">
        <v>46208.53701449134</v>
      </c>
    </row>
    <row r="458" spans="1:49" ht="16" hidden="1" x14ac:dyDescent="0.2">
      <c r="A458" t="s">
        <v>81</v>
      </c>
      <c r="B458">
        <v>11528</v>
      </c>
      <c r="C458">
        <v>8659</v>
      </c>
      <c r="D458" t="s">
        <v>177</v>
      </c>
      <c r="E458" t="s">
        <v>332</v>
      </c>
      <c r="F458">
        <v>269721</v>
      </c>
      <c r="G458" t="s">
        <v>864</v>
      </c>
      <c r="H458">
        <v>589046</v>
      </c>
      <c r="I458" t="s">
        <v>1734</v>
      </c>
      <c r="J458">
        <v>589050</v>
      </c>
      <c r="K458" t="s">
        <v>1844</v>
      </c>
      <c r="L458" t="s">
        <v>1851</v>
      </c>
      <c r="M458" s="1">
        <v>0.15</v>
      </c>
      <c r="N458" t="s">
        <v>1858</v>
      </c>
      <c r="O458">
        <v>204081733</v>
      </c>
      <c r="P458" s="1">
        <v>30612.26</v>
      </c>
      <c r="S458" s="6" t="str">
        <f t="shared" si="7"/>
        <v xml:space="preserve"> </v>
      </c>
      <c r="T458" s="6" t="str">
        <f>IF(IF(COUNTIF(H$2:$H458,H458)=1,1,"")=1,SUMIF($H$2:$H$7997,H458,$S$2:$S$7997),"")</f>
        <v/>
      </c>
      <c r="W458">
        <v>0</v>
      </c>
      <c r="X458">
        <v>0</v>
      </c>
      <c r="Y458">
        <v>0</v>
      </c>
      <c r="Z458">
        <v>0</v>
      </c>
      <c r="AA458" s="2">
        <v>1</v>
      </c>
      <c r="AB458" s="2">
        <v>0</v>
      </c>
      <c r="AC458" s="2">
        <v>0</v>
      </c>
      <c r="AD458">
        <v>0</v>
      </c>
      <c r="AE458" t="s">
        <v>1863</v>
      </c>
      <c r="AF458">
        <v>30612.26</v>
      </c>
      <c r="AG458">
        <v>666667</v>
      </c>
      <c r="AH458">
        <v>100000.05</v>
      </c>
      <c r="AI458" s="1" t="s">
        <v>332</v>
      </c>
      <c r="AJ458">
        <v>269721</v>
      </c>
      <c r="AK458" s="1" t="s">
        <v>1867</v>
      </c>
      <c r="AL458" t="s">
        <v>1959</v>
      </c>
      <c r="AN458" t="s">
        <v>2060</v>
      </c>
      <c r="AO458" t="s">
        <v>2067</v>
      </c>
      <c r="AP458" t="s">
        <v>2107</v>
      </c>
      <c r="AQ458">
        <v>128885</v>
      </c>
      <c r="AR458" s="3">
        <v>46203</v>
      </c>
      <c r="AS458" s="3">
        <v>46174</v>
      </c>
      <c r="AT458" s="3">
        <v>46222</v>
      </c>
      <c r="AU458" t="s">
        <v>2127</v>
      </c>
      <c r="AW458" s="3">
        <v>46208.53701449134</v>
      </c>
    </row>
    <row r="459" spans="1:49" ht="16" hidden="1" x14ac:dyDescent="0.2">
      <c r="A459" t="s">
        <v>81</v>
      </c>
      <c r="B459">
        <v>11528</v>
      </c>
      <c r="C459">
        <v>8659</v>
      </c>
      <c r="D459" t="s">
        <v>177</v>
      </c>
      <c r="E459" t="s">
        <v>332</v>
      </c>
      <c r="F459">
        <v>269721</v>
      </c>
      <c r="G459" t="s">
        <v>864</v>
      </c>
      <c r="H459">
        <v>589046</v>
      </c>
      <c r="I459" t="s">
        <v>1788</v>
      </c>
      <c r="J459">
        <v>589049</v>
      </c>
      <c r="K459" t="s">
        <v>1835</v>
      </c>
      <c r="L459" t="s">
        <v>1851</v>
      </c>
      <c r="M459" s="1">
        <v>0.15</v>
      </c>
      <c r="N459" t="s">
        <v>1858</v>
      </c>
      <c r="O459">
        <v>204081733</v>
      </c>
      <c r="P459" s="1">
        <v>30612.26</v>
      </c>
      <c r="S459" s="6" t="str">
        <f t="shared" si="7"/>
        <v xml:space="preserve"> </v>
      </c>
      <c r="T459" s="6" t="str">
        <f>IF(IF(COUNTIF(H$2:$H459,H459)=1,1,"")=1,SUMIF($H$2:$H$7997,H459,$S$2:$S$7997),"")</f>
        <v/>
      </c>
      <c r="W459">
        <v>0</v>
      </c>
      <c r="X459">
        <v>0</v>
      </c>
      <c r="Y459">
        <v>0</v>
      </c>
      <c r="Z459">
        <v>0</v>
      </c>
      <c r="AA459" s="2">
        <v>1</v>
      </c>
      <c r="AB459" s="2">
        <v>0</v>
      </c>
      <c r="AC459" s="2">
        <v>0</v>
      </c>
      <c r="AD459">
        <v>0</v>
      </c>
      <c r="AE459" t="s">
        <v>1863</v>
      </c>
      <c r="AF459">
        <v>30612.26</v>
      </c>
      <c r="AG459">
        <v>666667</v>
      </c>
      <c r="AH459">
        <v>100000.05</v>
      </c>
      <c r="AI459" s="1" t="s">
        <v>332</v>
      </c>
      <c r="AJ459">
        <v>269721</v>
      </c>
      <c r="AK459" s="1" t="s">
        <v>1867</v>
      </c>
      <c r="AL459" t="s">
        <v>1959</v>
      </c>
      <c r="AN459" t="s">
        <v>2060</v>
      </c>
      <c r="AO459" t="s">
        <v>2067</v>
      </c>
      <c r="AP459" t="s">
        <v>2109</v>
      </c>
      <c r="AQ459">
        <v>128885</v>
      </c>
      <c r="AR459" s="3">
        <v>46203</v>
      </c>
      <c r="AS459" s="3">
        <v>46174</v>
      </c>
      <c r="AT459" s="3">
        <v>46222</v>
      </c>
      <c r="AU459" t="s">
        <v>2129</v>
      </c>
      <c r="AW459" s="3">
        <v>46208.53701449134</v>
      </c>
    </row>
    <row r="460" spans="1:49" ht="16" hidden="1" x14ac:dyDescent="0.2">
      <c r="A460" t="s">
        <v>81</v>
      </c>
      <c r="B460">
        <v>11528</v>
      </c>
      <c r="C460">
        <v>8659</v>
      </c>
      <c r="D460" t="s">
        <v>177</v>
      </c>
      <c r="E460" t="s">
        <v>328</v>
      </c>
      <c r="F460">
        <v>269736</v>
      </c>
      <c r="G460" t="s">
        <v>615</v>
      </c>
      <c r="H460">
        <v>589051</v>
      </c>
      <c r="I460" t="s">
        <v>1203</v>
      </c>
      <c r="J460">
        <v>94130217</v>
      </c>
      <c r="K460" t="s">
        <v>1839</v>
      </c>
      <c r="L460" t="s">
        <v>1850</v>
      </c>
      <c r="M460" s="1">
        <v>30</v>
      </c>
      <c r="N460" t="s">
        <v>23</v>
      </c>
      <c r="O460">
        <v>2714554</v>
      </c>
      <c r="P460" s="1">
        <v>81436.62</v>
      </c>
      <c r="S460" s="6" t="str">
        <f t="shared" si="7"/>
        <v xml:space="preserve"> </v>
      </c>
      <c r="T460" s="6">
        <f>IF(IF(COUNTIF(H$2:$H460,H460)=1,1,"")=1,SUMIF($H$2:$H$7997,H460,$S$2:$S$7997),"")</f>
        <v>0</v>
      </c>
      <c r="W460">
        <v>2714554</v>
      </c>
      <c r="X460">
        <v>2714554</v>
      </c>
      <c r="Y460">
        <v>0</v>
      </c>
      <c r="Z460">
        <v>0</v>
      </c>
      <c r="AA460" s="2">
        <v>1</v>
      </c>
      <c r="AB460" s="2">
        <v>0</v>
      </c>
      <c r="AC460" s="2">
        <v>0</v>
      </c>
      <c r="AD460">
        <v>0</v>
      </c>
      <c r="AE460" t="s">
        <v>1862</v>
      </c>
      <c r="AF460">
        <v>41046.01</v>
      </c>
      <c r="AG460">
        <v>4083333</v>
      </c>
      <c r="AH460">
        <v>122499.99</v>
      </c>
      <c r="AI460" s="1" t="s">
        <v>328</v>
      </c>
      <c r="AJ460">
        <v>94130210</v>
      </c>
      <c r="AK460" s="1" t="s">
        <v>1867</v>
      </c>
      <c r="AL460" t="s">
        <v>1957</v>
      </c>
      <c r="AN460" t="s">
        <v>2060</v>
      </c>
      <c r="AO460" t="s">
        <v>2067</v>
      </c>
      <c r="AP460" t="s">
        <v>2094</v>
      </c>
      <c r="AQ460">
        <v>128712</v>
      </c>
      <c r="AR460" s="3">
        <v>46203</v>
      </c>
      <c r="AS460" s="3">
        <v>46174</v>
      </c>
      <c r="AT460" s="3">
        <v>46222</v>
      </c>
      <c r="AU460" t="s">
        <v>2124</v>
      </c>
      <c r="AW460" s="3">
        <v>46208.53701449134</v>
      </c>
    </row>
    <row r="461" spans="1:49" ht="16" hidden="1" x14ac:dyDescent="0.2">
      <c r="A461" t="s">
        <v>81</v>
      </c>
      <c r="B461">
        <v>11528</v>
      </c>
      <c r="C461">
        <v>8659</v>
      </c>
      <c r="D461" t="s">
        <v>177</v>
      </c>
      <c r="E461" t="s">
        <v>328</v>
      </c>
      <c r="F461">
        <v>269736</v>
      </c>
      <c r="G461" t="s">
        <v>615</v>
      </c>
      <c r="H461">
        <v>589051</v>
      </c>
      <c r="I461" t="s">
        <v>1202</v>
      </c>
      <c r="J461">
        <v>94130213</v>
      </c>
      <c r="K461" t="s">
        <v>1835</v>
      </c>
      <c r="L461" t="s">
        <v>1850</v>
      </c>
      <c r="M461" s="1">
        <v>30</v>
      </c>
      <c r="N461" t="s">
        <v>23</v>
      </c>
      <c r="O461">
        <v>1190332</v>
      </c>
      <c r="P461" s="1">
        <v>35709.96</v>
      </c>
      <c r="S461" s="6" t="str">
        <f t="shared" si="7"/>
        <v xml:space="preserve"> </v>
      </c>
      <c r="T461" s="6" t="str">
        <f>IF(IF(COUNTIF(H$2:$H461,H461)=1,1,"")=1,SUMIF($H$2:$H$7997,H461,$S$2:$S$7997),"")</f>
        <v/>
      </c>
      <c r="W461">
        <v>1190332</v>
      </c>
      <c r="X461">
        <v>1190332</v>
      </c>
      <c r="Y461">
        <v>0</v>
      </c>
      <c r="Z461">
        <v>0</v>
      </c>
      <c r="AA461" s="2">
        <v>1</v>
      </c>
      <c r="AB461" s="2">
        <v>0</v>
      </c>
      <c r="AC461" s="2">
        <v>0</v>
      </c>
      <c r="AD461">
        <v>0</v>
      </c>
      <c r="AE461" t="s">
        <v>1862</v>
      </c>
      <c r="AF461">
        <v>17591.150000000001</v>
      </c>
      <c r="AG461">
        <v>1750000</v>
      </c>
      <c r="AH461">
        <v>52500</v>
      </c>
      <c r="AI461" s="1" t="s">
        <v>328</v>
      </c>
      <c r="AJ461">
        <v>94130210</v>
      </c>
      <c r="AK461" s="1" t="s">
        <v>1867</v>
      </c>
      <c r="AL461" t="s">
        <v>1957</v>
      </c>
      <c r="AN461" t="s">
        <v>2060</v>
      </c>
      <c r="AO461" t="s">
        <v>2067</v>
      </c>
      <c r="AP461" t="s">
        <v>2092</v>
      </c>
      <c r="AQ461">
        <v>128712</v>
      </c>
      <c r="AR461" s="3">
        <v>46203</v>
      </c>
      <c r="AS461" s="3">
        <v>46174</v>
      </c>
      <c r="AT461" s="3">
        <v>46222</v>
      </c>
      <c r="AU461" t="s">
        <v>2123</v>
      </c>
      <c r="AW461" s="3">
        <v>46208.53701449134</v>
      </c>
    </row>
    <row r="462" spans="1:49" ht="16" hidden="1" x14ac:dyDescent="0.2">
      <c r="A462" t="s">
        <v>81</v>
      </c>
      <c r="B462">
        <v>11528</v>
      </c>
      <c r="C462">
        <v>8659</v>
      </c>
      <c r="D462" t="s">
        <v>177</v>
      </c>
      <c r="E462" t="s">
        <v>419</v>
      </c>
      <c r="F462">
        <v>269740</v>
      </c>
      <c r="G462" t="s">
        <v>817</v>
      </c>
      <c r="H462">
        <v>589083</v>
      </c>
      <c r="I462" t="s">
        <v>1596</v>
      </c>
      <c r="J462">
        <v>7321340537</v>
      </c>
      <c r="K462" t="s">
        <v>1835</v>
      </c>
      <c r="L462" t="s">
        <v>1850</v>
      </c>
      <c r="M462" s="1">
        <v>5</v>
      </c>
      <c r="N462" t="s">
        <v>23</v>
      </c>
      <c r="O462">
        <v>0</v>
      </c>
      <c r="P462" s="1">
        <v>0</v>
      </c>
      <c r="S462" s="6" t="str">
        <f t="shared" si="7"/>
        <v xml:space="preserve"> </v>
      </c>
      <c r="T462" s="6">
        <f>IF(IF(COUNTIF(H$2:$H462,H462)=1,1,"")=1,SUMIF($H$2:$H$7997,H462,$S$2:$S$7997),"")</f>
        <v>0</v>
      </c>
      <c r="W462">
        <v>0</v>
      </c>
      <c r="X462">
        <v>0</v>
      </c>
      <c r="Y462">
        <v>0</v>
      </c>
      <c r="Z462">
        <v>0</v>
      </c>
      <c r="AA462" s="2">
        <v>1</v>
      </c>
      <c r="AB462" s="2">
        <v>0</v>
      </c>
      <c r="AC462" s="2">
        <v>0</v>
      </c>
      <c r="AD462">
        <v>0</v>
      </c>
      <c r="AE462" t="s">
        <v>1862</v>
      </c>
      <c r="AF462">
        <v>37500</v>
      </c>
      <c r="AG462">
        <v>15000001</v>
      </c>
      <c r="AH462">
        <v>75000.009999999995</v>
      </c>
      <c r="AI462" s="1" t="s">
        <v>419</v>
      </c>
      <c r="AJ462">
        <v>269740</v>
      </c>
      <c r="AK462" s="1" t="s">
        <v>1867</v>
      </c>
      <c r="AL462" t="s">
        <v>2026</v>
      </c>
      <c r="AN462" t="s">
        <v>2060</v>
      </c>
      <c r="AO462" t="s">
        <v>2067</v>
      </c>
      <c r="AP462" t="s">
        <v>2102</v>
      </c>
      <c r="AQ462">
        <v>129136</v>
      </c>
      <c r="AR462" s="3">
        <v>46203</v>
      </c>
      <c r="AS462" s="3">
        <v>46174</v>
      </c>
      <c r="AT462" s="3">
        <v>46200</v>
      </c>
      <c r="AU462" t="s">
        <v>2126</v>
      </c>
      <c r="AW462" s="3">
        <v>46208.53701449134</v>
      </c>
    </row>
    <row r="463" spans="1:49" ht="16" hidden="1" x14ac:dyDescent="0.2">
      <c r="A463" t="s">
        <v>81</v>
      </c>
      <c r="B463">
        <v>11528</v>
      </c>
      <c r="C463">
        <v>8659</v>
      </c>
      <c r="D463" t="s">
        <v>177</v>
      </c>
      <c r="E463" t="s">
        <v>419</v>
      </c>
      <c r="F463">
        <v>269740</v>
      </c>
      <c r="G463" t="s">
        <v>902</v>
      </c>
      <c r="H463">
        <v>589086</v>
      </c>
      <c r="I463" t="s">
        <v>1813</v>
      </c>
      <c r="J463">
        <v>589087</v>
      </c>
      <c r="K463" t="s">
        <v>1846</v>
      </c>
      <c r="L463" t="s">
        <v>1851</v>
      </c>
      <c r="M463" s="1">
        <v>0.15</v>
      </c>
      <c r="N463" t="s">
        <v>1858</v>
      </c>
      <c r="O463">
        <v>136054600</v>
      </c>
      <c r="P463" s="1">
        <v>20408.189999999999</v>
      </c>
      <c r="S463" s="6" t="str">
        <f t="shared" si="7"/>
        <v xml:space="preserve"> </v>
      </c>
      <c r="T463" s="6">
        <f>IF(IF(COUNTIF(H$2:$H463,H463)=1,1,"")=1,SUMIF($H$2:$H$7997,H463,$S$2:$S$7997),"")</f>
        <v>0</v>
      </c>
      <c r="W463">
        <v>0</v>
      </c>
      <c r="X463">
        <v>0</v>
      </c>
      <c r="Y463">
        <v>0</v>
      </c>
      <c r="Z463">
        <v>0</v>
      </c>
      <c r="AA463" s="2">
        <v>1</v>
      </c>
      <c r="AB463" s="2">
        <v>0</v>
      </c>
      <c r="AC463" s="2">
        <v>0</v>
      </c>
      <c r="AD463">
        <v>0</v>
      </c>
      <c r="AE463" t="s">
        <v>1863</v>
      </c>
      <c r="AF463">
        <v>20408.189999999999</v>
      </c>
      <c r="AG463">
        <v>444445</v>
      </c>
      <c r="AH463">
        <v>66666.75</v>
      </c>
      <c r="AI463" s="1" t="s">
        <v>419</v>
      </c>
      <c r="AJ463">
        <v>269740</v>
      </c>
      <c r="AK463" s="1" t="s">
        <v>1867</v>
      </c>
      <c r="AL463" t="s">
        <v>2026</v>
      </c>
      <c r="AN463" t="s">
        <v>2060</v>
      </c>
      <c r="AO463" t="s">
        <v>2067</v>
      </c>
      <c r="AP463" t="s">
        <v>2110</v>
      </c>
      <c r="AQ463">
        <v>129136</v>
      </c>
      <c r="AR463" s="3">
        <v>46203</v>
      </c>
      <c r="AS463" s="3">
        <v>46174</v>
      </c>
      <c r="AT463" s="3">
        <v>46222</v>
      </c>
      <c r="AU463" t="s">
        <v>2128</v>
      </c>
      <c r="AW463" s="3">
        <v>46208.53701449134</v>
      </c>
    </row>
    <row r="464" spans="1:49" ht="16" hidden="1" x14ac:dyDescent="0.2">
      <c r="A464" t="s">
        <v>81</v>
      </c>
      <c r="B464">
        <v>11528</v>
      </c>
      <c r="C464">
        <v>8659</v>
      </c>
      <c r="D464" t="s">
        <v>177</v>
      </c>
      <c r="E464" t="s">
        <v>419</v>
      </c>
      <c r="F464">
        <v>269740</v>
      </c>
      <c r="G464" t="s">
        <v>902</v>
      </c>
      <c r="H464">
        <v>589086</v>
      </c>
      <c r="I464" t="s">
        <v>1830</v>
      </c>
      <c r="J464">
        <v>589090</v>
      </c>
      <c r="K464" t="s">
        <v>1844</v>
      </c>
      <c r="L464" t="s">
        <v>1851</v>
      </c>
      <c r="M464" s="1">
        <v>0.15</v>
      </c>
      <c r="N464" t="s">
        <v>1858</v>
      </c>
      <c r="O464">
        <v>136054267</v>
      </c>
      <c r="P464" s="1">
        <v>20408.14</v>
      </c>
      <c r="S464" s="6" t="str">
        <f t="shared" si="7"/>
        <v xml:space="preserve"> </v>
      </c>
      <c r="T464" s="6" t="str">
        <f>IF(IF(COUNTIF(H$2:$H464,H464)=1,1,"")=1,SUMIF($H$2:$H$7997,H464,$S$2:$S$7997),"")</f>
        <v/>
      </c>
      <c r="W464">
        <v>0</v>
      </c>
      <c r="X464">
        <v>0</v>
      </c>
      <c r="Y464">
        <v>0</v>
      </c>
      <c r="Z464">
        <v>0</v>
      </c>
      <c r="AA464" s="2">
        <v>1</v>
      </c>
      <c r="AB464" s="2">
        <v>0</v>
      </c>
      <c r="AC464" s="2">
        <v>0</v>
      </c>
      <c r="AD464">
        <v>0</v>
      </c>
      <c r="AE464" t="s">
        <v>1863</v>
      </c>
      <c r="AF464">
        <v>20408.14</v>
      </c>
      <c r="AG464">
        <v>444444</v>
      </c>
      <c r="AH464">
        <v>66666.600000000006</v>
      </c>
      <c r="AI464" s="1" t="s">
        <v>419</v>
      </c>
      <c r="AJ464">
        <v>269740</v>
      </c>
      <c r="AK464" s="1" t="s">
        <v>1867</v>
      </c>
      <c r="AL464" t="s">
        <v>2026</v>
      </c>
      <c r="AN464" t="s">
        <v>2060</v>
      </c>
      <c r="AO464" t="s">
        <v>2067</v>
      </c>
      <c r="AP464" t="s">
        <v>2107</v>
      </c>
      <c r="AQ464">
        <v>129136</v>
      </c>
      <c r="AR464" s="3">
        <v>46203</v>
      </c>
      <c r="AS464" s="3">
        <v>46174</v>
      </c>
      <c r="AT464" s="3">
        <v>46222</v>
      </c>
      <c r="AU464" t="s">
        <v>2127</v>
      </c>
      <c r="AW464" s="3">
        <v>46208.53701449134</v>
      </c>
    </row>
    <row r="465" spans="1:49" ht="16" hidden="1" x14ac:dyDescent="0.2">
      <c r="A465" t="s">
        <v>81</v>
      </c>
      <c r="B465">
        <v>11528</v>
      </c>
      <c r="C465">
        <v>8659</v>
      </c>
      <c r="D465" t="s">
        <v>177</v>
      </c>
      <c r="E465" t="s">
        <v>419</v>
      </c>
      <c r="F465">
        <v>269740</v>
      </c>
      <c r="G465" t="s">
        <v>902</v>
      </c>
      <c r="H465">
        <v>589086</v>
      </c>
      <c r="I465" t="s">
        <v>1753</v>
      </c>
      <c r="J465">
        <v>589089</v>
      </c>
      <c r="K465" t="s">
        <v>1835</v>
      </c>
      <c r="L465" t="s">
        <v>1851</v>
      </c>
      <c r="M465" s="1">
        <v>0.15</v>
      </c>
      <c r="N465" t="s">
        <v>1858</v>
      </c>
      <c r="O465">
        <v>136054600</v>
      </c>
      <c r="P465" s="1">
        <v>20408.189999999999</v>
      </c>
      <c r="S465" s="6" t="str">
        <f t="shared" si="7"/>
        <v xml:space="preserve"> </v>
      </c>
      <c r="T465" s="6" t="str">
        <f>IF(IF(COUNTIF(H$2:$H465,H465)=1,1,"")=1,SUMIF($H$2:$H$7997,H465,$S$2:$S$7997),"")</f>
        <v/>
      </c>
      <c r="W465">
        <v>0</v>
      </c>
      <c r="X465">
        <v>0</v>
      </c>
      <c r="Y465">
        <v>0</v>
      </c>
      <c r="Z465">
        <v>0</v>
      </c>
      <c r="AA465" s="2">
        <v>1</v>
      </c>
      <c r="AB465" s="2">
        <v>0</v>
      </c>
      <c r="AC465" s="2">
        <v>0</v>
      </c>
      <c r="AD465">
        <v>0</v>
      </c>
      <c r="AE465" t="s">
        <v>1863</v>
      </c>
      <c r="AF465">
        <v>20408.189999999999</v>
      </c>
      <c r="AG465">
        <v>444445</v>
      </c>
      <c r="AH465">
        <v>66666.75</v>
      </c>
      <c r="AI465" s="1" t="s">
        <v>419</v>
      </c>
      <c r="AJ465">
        <v>269740</v>
      </c>
      <c r="AK465" s="1" t="s">
        <v>1867</v>
      </c>
      <c r="AL465" t="s">
        <v>2026</v>
      </c>
      <c r="AN465" t="s">
        <v>2060</v>
      </c>
      <c r="AO465" t="s">
        <v>2067</v>
      </c>
      <c r="AP465" t="s">
        <v>2109</v>
      </c>
      <c r="AQ465">
        <v>129136</v>
      </c>
      <c r="AR465" s="3">
        <v>46203</v>
      </c>
      <c r="AS465" s="3">
        <v>46174</v>
      </c>
      <c r="AT465" s="3">
        <v>46222</v>
      </c>
      <c r="AU465" t="s">
        <v>2129</v>
      </c>
      <c r="AW465" s="3">
        <v>46208.53701449134</v>
      </c>
    </row>
    <row r="466" spans="1:49" ht="16" hidden="1" x14ac:dyDescent="0.2">
      <c r="A466" t="s">
        <v>81</v>
      </c>
      <c r="B466">
        <v>11528</v>
      </c>
      <c r="C466">
        <v>8659</v>
      </c>
      <c r="D466" t="s">
        <v>177</v>
      </c>
      <c r="E466" t="s">
        <v>430</v>
      </c>
      <c r="F466">
        <v>269737</v>
      </c>
      <c r="G466" t="s">
        <v>906</v>
      </c>
      <c r="H466">
        <v>589069</v>
      </c>
      <c r="I466" t="s">
        <v>1764</v>
      </c>
      <c r="J466">
        <v>589071</v>
      </c>
      <c r="K466" t="s">
        <v>1847</v>
      </c>
      <c r="L466" t="s">
        <v>1851</v>
      </c>
      <c r="M466" s="1">
        <v>250000</v>
      </c>
      <c r="N466" t="s">
        <v>1858</v>
      </c>
      <c r="O466">
        <v>0</v>
      </c>
      <c r="P466" s="1">
        <v>76530.61</v>
      </c>
      <c r="S466" s="6" t="str">
        <f t="shared" si="7"/>
        <v xml:space="preserve"> </v>
      </c>
      <c r="T466" s="6">
        <f>IF(IF(COUNTIF(H$2:$H466,H466)=1,1,"")=1,SUMIF($H$2:$H$7997,H466,$S$2:$S$7997),"")</f>
        <v>0</v>
      </c>
      <c r="W466">
        <v>0</v>
      </c>
      <c r="X466">
        <v>0</v>
      </c>
      <c r="Y466">
        <v>0</v>
      </c>
      <c r="Z466">
        <v>0</v>
      </c>
      <c r="AA466" s="2">
        <v>1</v>
      </c>
      <c r="AB466" s="2">
        <v>0</v>
      </c>
      <c r="AC466" s="2">
        <v>0</v>
      </c>
      <c r="AD466">
        <v>0</v>
      </c>
      <c r="AE466" t="s">
        <v>1863</v>
      </c>
      <c r="AF466">
        <v>76530.61</v>
      </c>
      <c r="AG466">
        <v>1</v>
      </c>
      <c r="AH466">
        <v>250000</v>
      </c>
      <c r="AI466" s="1" t="s">
        <v>430</v>
      </c>
      <c r="AJ466">
        <v>269737</v>
      </c>
      <c r="AK466" s="1" t="s">
        <v>1867</v>
      </c>
      <c r="AL466" t="s">
        <v>2035</v>
      </c>
      <c r="AN466" t="s">
        <v>2060</v>
      </c>
      <c r="AO466" t="s">
        <v>2067</v>
      </c>
      <c r="AP466" t="s">
        <v>2112</v>
      </c>
      <c r="AQ466">
        <v>128456</v>
      </c>
      <c r="AR466" s="3">
        <v>46203</v>
      </c>
      <c r="AS466" s="3">
        <v>46174</v>
      </c>
      <c r="AT466" s="3">
        <v>46222</v>
      </c>
      <c r="AU466" t="s">
        <v>2130</v>
      </c>
      <c r="AW466" s="3">
        <v>46208.53701449134</v>
      </c>
    </row>
    <row r="467" spans="1:49" ht="16" hidden="1" x14ac:dyDescent="0.2">
      <c r="A467" t="s">
        <v>81</v>
      </c>
      <c r="B467">
        <v>11528</v>
      </c>
      <c r="C467">
        <v>6766</v>
      </c>
      <c r="D467" t="s">
        <v>147</v>
      </c>
      <c r="E467" t="s">
        <v>282</v>
      </c>
      <c r="F467">
        <v>254371</v>
      </c>
      <c r="G467" t="s">
        <v>517</v>
      </c>
      <c r="H467">
        <v>585268</v>
      </c>
      <c r="I467" t="s">
        <v>1028</v>
      </c>
      <c r="J467">
        <v>93714810</v>
      </c>
      <c r="K467" t="s">
        <v>1835</v>
      </c>
      <c r="L467" t="s">
        <v>1850</v>
      </c>
      <c r="M467" s="1">
        <v>27.97</v>
      </c>
      <c r="N467" t="s">
        <v>1855</v>
      </c>
      <c r="O467">
        <v>327417</v>
      </c>
      <c r="P467" s="1">
        <v>8691.3700000000008</v>
      </c>
      <c r="S467" s="6" t="str">
        <f t="shared" si="7"/>
        <v xml:space="preserve"> </v>
      </c>
      <c r="T467" s="6">
        <f>IF(IF(COUNTIF(H$2:$H467,H467)=1,1,"")=1,SUMIF($H$2:$H$7997,H467,$S$2:$S$7997),"")</f>
        <v>0</v>
      </c>
      <c r="W467">
        <v>327417</v>
      </c>
      <c r="X467">
        <v>327417</v>
      </c>
      <c r="Y467">
        <v>0</v>
      </c>
      <c r="Z467">
        <v>0</v>
      </c>
      <c r="AA467" s="2">
        <v>1</v>
      </c>
      <c r="AB467" s="2">
        <v>0</v>
      </c>
      <c r="AC467" s="2">
        <v>0</v>
      </c>
      <c r="AD467">
        <v>0</v>
      </c>
      <c r="AE467" t="s">
        <v>1862</v>
      </c>
      <c r="AF467">
        <v>965.55</v>
      </c>
      <c r="AG467">
        <v>310739</v>
      </c>
      <c r="AH467">
        <v>8691.3700000000008</v>
      </c>
      <c r="AI467" s="1" t="s">
        <v>282</v>
      </c>
      <c r="AJ467">
        <v>90456771</v>
      </c>
      <c r="AK467" s="1" t="s">
        <v>1868</v>
      </c>
      <c r="AL467" t="s">
        <v>1919</v>
      </c>
      <c r="AN467" t="s">
        <v>2060</v>
      </c>
      <c r="AO467" t="s">
        <v>2067</v>
      </c>
      <c r="AP467" t="s">
        <v>2091</v>
      </c>
      <c r="AQ467">
        <v>109200</v>
      </c>
      <c r="AR467" s="3">
        <v>46203</v>
      </c>
      <c r="AS467" s="3">
        <v>46136</v>
      </c>
      <c r="AT467" s="3">
        <v>46201</v>
      </c>
      <c r="AU467" t="s">
        <v>2123</v>
      </c>
      <c r="AW467" s="3">
        <v>46208.53701449134</v>
      </c>
    </row>
    <row r="468" spans="1:49" ht="16" hidden="1" x14ac:dyDescent="0.2">
      <c r="A468" t="s">
        <v>57</v>
      </c>
      <c r="B468">
        <v>10462</v>
      </c>
      <c r="C468">
        <v>2078</v>
      </c>
      <c r="D468" t="s">
        <v>120</v>
      </c>
      <c r="E468" t="s">
        <v>237</v>
      </c>
      <c r="F468">
        <v>253348</v>
      </c>
      <c r="G468" t="s">
        <v>450</v>
      </c>
      <c r="H468">
        <v>538224</v>
      </c>
      <c r="I468" t="s">
        <v>450</v>
      </c>
      <c r="J468">
        <v>91575892</v>
      </c>
      <c r="K468" t="s">
        <v>1837</v>
      </c>
      <c r="L468" t="s">
        <v>1851</v>
      </c>
      <c r="M468" s="1">
        <v>75000</v>
      </c>
      <c r="N468" t="s">
        <v>1857</v>
      </c>
      <c r="O468">
        <v>0</v>
      </c>
      <c r="P468" s="1">
        <v>75000</v>
      </c>
      <c r="S468" s="6" t="str">
        <f t="shared" si="7"/>
        <v xml:space="preserve"> </v>
      </c>
      <c r="T468" s="6">
        <f>IF(IF(COUNTIF(H$2:$H468,H468)=1,1,"")=1,SUMIF($H$2:$H$7997,H468,$S$2:$S$7997),"")</f>
        <v>0</v>
      </c>
      <c r="V468" t="s">
        <v>1860</v>
      </c>
      <c r="W468">
        <v>0</v>
      </c>
      <c r="X468">
        <v>0</v>
      </c>
      <c r="Y468">
        <v>0</v>
      </c>
      <c r="Z468">
        <v>0</v>
      </c>
      <c r="AA468" s="2">
        <v>1</v>
      </c>
      <c r="AB468" s="2">
        <v>0</v>
      </c>
      <c r="AC468" s="2">
        <v>0</v>
      </c>
      <c r="AD468">
        <v>0</v>
      </c>
      <c r="AE468" t="s">
        <v>1863</v>
      </c>
      <c r="AF468">
        <v>6768</v>
      </c>
      <c r="AG468">
        <v>1</v>
      </c>
      <c r="AH468">
        <v>75000</v>
      </c>
      <c r="AI468" s="1" t="s">
        <v>237</v>
      </c>
      <c r="AJ468">
        <v>253348</v>
      </c>
      <c r="AK468" s="1" t="s">
        <v>1867</v>
      </c>
      <c r="AL468" t="s">
        <v>1881</v>
      </c>
      <c r="AN468" t="s">
        <v>2047</v>
      </c>
      <c r="AO468" t="s">
        <v>2067</v>
      </c>
      <c r="AP468" t="s">
        <v>2078</v>
      </c>
      <c r="AQ468">
        <v>101619</v>
      </c>
      <c r="AR468" s="3">
        <v>46203</v>
      </c>
      <c r="AS468" s="3">
        <v>46074</v>
      </c>
      <c r="AT468" s="3">
        <v>46387</v>
      </c>
      <c r="AU468" t="s">
        <v>2124</v>
      </c>
      <c r="AW468" s="3">
        <v>46208.53701449134</v>
      </c>
    </row>
    <row r="469" spans="1:49" ht="16" hidden="1" x14ac:dyDescent="0.2">
      <c r="A469" t="s">
        <v>57</v>
      </c>
      <c r="B469">
        <v>10462</v>
      </c>
      <c r="C469">
        <v>2078</v>
      </c>
      <c r="D469" t="s">
        <v>120</v>
      </c>
      <c r="E469" t="s">
        <v>237</v>
      </c>
      <c r="F469">
        <v>253348</v>
      </c>
      <c r="G469" t="s">
        <v>449</v>
      </c>
      <c r="H469">
        <v>538226</v>
      </c>
      <c r="I469" t="s">
        <v>934</v>
      </c>
      <c r="J469">
        <v>91493157</v>
      </c>
      <c r="K469" t="s">
        <v>1835</v>
      </c>
      <c r="L469" t="s">
        <v>1850</v>
      </c>
      <c r="M469" s="1">
        <v>25.7</v>
      </c>
      <c r="N469" t="s">
        <v>1853</v>
      </c>
      <c r="O469">
        <v>111</v>
      </c>
      <c r="P469" s="1">
        <v>2.85</v>
      </c>
      <c r="S469" s="6" t="str">
        <f t="shared" si="7"/>
        <v xml:space="preserve"> </v>
      </c>
      <c r="T469" s="6">
        <f>IF(IF(COUNTIF(H$2:$H469,H469)=1,1,"")=1,SUMIF($H$2:$H$7997,H469,$S$2:$S$7997),"")</f>
        <v>0</v>
      </c>
      <c r="W469">
        <v>181</v>
      </c>
      <c r="X469">
        <v>104</v>
      </c>
      <c r="Y469">
        <v>194</v>
      </c>
      <c r="Z469">
        <v>111</v>
      </c>
      <c r="AA469" s="2">
        <v>1</v>
      </c>
      <c r="AB469" s="2">
        <v>1.071823204419889</v>
      </c>
      <c r="AC469" s="2">
        <v>0</v>
      </c>
      <c r="AD469">
        <v>0</v>
      </c>
      <c r="AE469" t="s">
        <v>1862</v>
      </c>
      <c r="AF469">
        <v>211.02</v>
      </c>
      <c r="AG469">
        <v>194553</v>
      </c>
      <c r="AH469">
        <v>5000.01</v>
      </c>
      <c r="AI469" s="1" t="s">
        <v>237</v>
      </c>
      <c r="AJ469">
        <v>91493146</v>
      </c>
      <c r="AK469" s="1" t="s">
        <v>1867</v>
      </c>
      <c r="AL469" t="s">
        <v>1881</v>
      </c>
      <c r="AN469" t="s">
        <v>2047</v>
      </c>
      <c r="AO469" t="s">
        <v>2067</v>
      </c>
      <c r="AP469" t="s">
        <v>2077</v>
      </c>
      <c r="AQ469">
        <v>101619</v>
      </c>
      <c r="AR469" s="3">
        <v>46203</v>
      </c>
      <c r="AS469" s="3">
        <v>46074</v>
      </c>
      <c r="AT469" s="3">
        <v>46387</v>
      </c>
      <c r="AU469" t="s">
        <v>2123</v>
      </c>
      <c r="AW469" s="3">
        <v>46208.53701449134</v>
      </c>
    </row>
    <row r="470" spans="1:49" ht="16" hidden="1" x14ac:dyDescent="0.2">
      <c r="A470" t="s">
        <v>57</v>
      </c>
      <c r="B470">
        <v>10462</v>
      </c>
      <c r="C470">
        <v>2078</v>
      </c>
      <c r="D470" t="s">
        <v>120</v>
      </c>
      <c r="E470" t="s">
        <v>237</v>
      </c>
      <c r="F470">
        <v>253348</v>
      </c>
      <c r="G470" t="s">
        <v>449</v>
      </c>
      <c r="H470">
        <v>538226</v>
      </c>
      <c r="I470" t="s">
        <v>933</v>
      </c>
      <c r="J470">
        <v>91493153</v>
      </c>
      <c r="K470" t="s">
        <v>1835</v>
      </c>
      <c r="L470" t="s">
        <v>1850</v>
      </c>
      <c r="M470" s="1">
        <v>25.7</v>
      </c>
      <c r="N470" t="s">
        <v>1853</v>
      </c>
      <c r="O470">
        <v>22088</v>
      </c>
      <c r="P470" s="1">
        <v>567.66</v>
      </c>
      <c r="S470" s="6" t="str">
        <f t="shared" si="7"/>
        <v xml:space="preserve"> </v>
      </c>
      <c r="T470" s="6" t="str">
        <f>IF(IF(COUNTIF(H$2:$H470,H470)=1,1,"")=1,SUMIF($H$2:$H$7997,H470,$S$2:$S$7997),"")</f>
        <v/>
      </c>
      <c r="W470">
        <v>14275</v>
      </c>
      <c r="X470">
        <v>20082</v>
      </c>
      <c r="Y470">
        <v>15701</v>
      </c>
      <c r="Z470">
        <v>22088</v>
      </c>
      <c r="AA470" s="2">
        <v>1</v>
      </c>
      <c r="AB470" s="2">
        <v>1.0998950682056661</v>
      </c>
      <c r="AC470" s="2">
        <v>0</v>
      </c>
      <c r="AD470">
        <v>0</v>
      </c>
      <c r="AE470" t="s">
        <v>1862</v>
      </c>
      <c r="AF470">
        <v>211.02</v>
      </c>
      <c r="AG470">
        <v>194553</v>
      </c>
      <c r="AH470">
        <v>5000.01</v>
      </c>
      <c r="AI470" s="1" t="s">
        <v>237</v>
      </c>
      <c r="AJ470">
        <v>91493146</v>
      </c>
      <c r="AK470" s="1" t="s">
        <v>1867</v>
      </c>
      <c r="AL470" t="s">
        <v>1881</v>
      </c>
      <c r="AN470" t="s">
        <v>2047</v>
      </c>
      <c r="AO470" t="s">
        <v>2067</v>
      </c>
      <c r="AP470" t="s">
        <v>2076</v>
      </c>
      <c r="AQ470">
        <v>101619</v>
      </c>
      <c r="AR470" s="3">
        <v>46203</v>
      </c>
      <c r="AS470" s="3">
        <v>46074</v>
      </c>
      <c r="AT470" s="3">
        <v>46387</v>
      </c>
      <c r="AU470" t="s">
        <v>2123</v>
      </c>
      <c r="AW470" s="3">
        <v>46208.53701449134</v>
      </c>
    </row>
    <row r="471" spans="1:49" ht="16" hidden="1" x14ac:dyDescent="0.2">
      <c r="A471" t="s">
        <v>57</v>
      </c>
      <c r="B471">
        <v>10462</v>
      </c>
      <c r="C471">
        <v>4473</v>
      </c>
      <c r="D471" t="s">
        <v>173</v>
      </c>
      <c r="E471" t="s">
        <v>334</v>
      </c>
      <c r="F471">
        <v>269478</v>
      </c>
      <c r="G471" t="s">
        <v>623</v>
      </c>
      <c r="H471">
        <v>588192</v>
      </c>
      <c r="I471" t="s">
        <v>1217</v>
      </c>
      <c r="J471">
        <v>94177954</v>
      </c>
      <c r="K471" t="s">
        <v>1835</v>
      </c>
      <c r="L471" t="s">
        <v>1851</v>
      </c>
      <c r="M471" s="1">
        <v>32.5</v>
      </c>
      <c r="N471" t="s">
        <v>1858</v>
      </c>
      <c r="O471">
        <v>124616</v>
      </c>
      <c r="P471" s="1">
        <v>4050.01</v>
      </c>
      <c r="S471" s="6" t="str">
        <f t="shared" si="7"/>
        <v xml:space="preserve"> </v>
      </c>
      <c r="T471" s="6">
        <f>IF(IF(COUNTIF(H$2:$H471,H471)=1,1,"")=1,SUMIF($H$2:$H$7997,H471,$S$2:$S$7997),"")</f>
        <v>0</v>
      </c>
      <c r="W471">
        <v>253817</v>
      </c>
      <c r="X471">
        <v>253817</v>
      </c>
      <c r="Y471">
        <v>0</v>
      </c>
      <c r="Z471">
        <v>0</v>
      </c>
      <c r="AA471" s="2">
        <v>1</v>
      </c>
      <c r="AB471" s="2">
        <v>0</v>
      </c>
      <c r="AC471" s="2">
        <v>0</v>
      </c>
      <c r="AD471">
        <v>0</v>
      </c>
      <c r="AE471" t="s">
        <v>1864</v>
      </c>
      <c r="AF471">
        <v>4050.01</v>
      </c>
      <c r="AG471">
        <v>249231</v>
      </c>
      <c r="AH471">
        <v>8100.01</v>
      </c>
      <c r="AI471" s="1" t="s">
        <v>334</v>
      </c>
      <c r="AJ471">
        <v>94177945</v>
      </c>
      <c r="AK471" s="1" t="s">
        <v>1867</v>
      </c>
      <c r="AL471" t="s">
        <v>1961</v>
      </c>
      <c r="AN471" t="s">
        <v>2047</v>
      </c>
      <c r="AO471" t="s">
        <v>2067</v>
      </c>
      <c r="AP471" t="s">
        <v>2092</v>
      </c>
      <c r="AQ471">
        <v>128995</v>
      </c>
      <c r="AR471" s="3">
        <v>46203</v>
      </c>
      <c r="AS471" s="3">
        <v>46174</v>
      </c>
      <c r="AT471" s="3">
        <v>46203</v>
      </c>
      <c r="AU471" t="s">
        <v>2123</v>
      </c>
      <c r="AW471" s="3">
        <v>46208.53701449134</v>
      </c>
    </row>
    <row r="472" spans="1:49" ht="16" hidden="1" x14ac:dyDescent="0.2">
      <c r="A472" t="s">
        <v>57</v>
      </c>
      <c r="B472">
        <v>10462</v>
      </c>
      <c r="C472">
        <v>4473</v>
      </c>
      <c r="D472" t="s">
        <v>173</v>
      </c>
      <c r="E472" t="s">
        <v>334</v>
      </c>
      <c r="F472">
        <v>269478</v>
      </c>
      <c r="G472" t="s">
        <v>623</v>
      </c>
      <c r="H472">
        <v>588192</v>
      </c>
      <c r="I472" t="s">
        <v>1218</v>
      </c>
      <c r="J472">
        <v>94177962</v>
      </c>
      <c r="K472" t="s">
        <v>1839</v>
      </c>
      <c r="L472" t="s">
        <v>1851</v>
      </c>
      <c r="M472" s="1">
        <v>32.5</v>
      </c>
      <c r="N472" t="s">
        <v>1858</v>
      </c>
      <c r="O472">
        <v>290769</v>
      </c>
      <c r="P472" s="1">
        <v>9450</v>
      </c>
      <c r="S472" s="6" t="str">
        <f t="shared" si="7"/>
        <v xml:space="preserve"> </v>
      </c>
      <c r="T472" s="6" t="str">
        <f>IF(IF(COUNTIF(H$2:$H472,H472)=1,1,"")=1,SUMIF($H$2:$H$7997,H472,$S$2:$S$7997),"")</f>
        <v/>
      </c>
      <c r="W472">
        <v>590957</v>
      </c>
      <c r="X472">
        <v>590957</v>
      </c>
      <c r="Y472">
        <v>0</v>
      </c>
      <c r="Z472">
        <v>0</v>
      </c>
      <c r="AA472" s="2">
        <v>1</v>
      </c>
      <c r="AB472" s="2">
        <v>0</v>
      </c>
      <c r="AC472" s="2">
        <v>0</v>
      </c>
      <c r="AD472">
        <v>0</v>
      </c>
      <c r="AE472" t="s">
        <v>1864</v>
      </c>
      <c r="AF472">
        <v>9450</v>
      </c>
      <c r="AG472">
        <v>581538</v>
      </c>
      <c r="AH472">
        <v>18899.990000000002</v>
      </c>
      <c r="AI472" s="1" t="s">
        <v>334</v>
      </c>
      <c r="AJ472">
        <v>94177945</v>
      </c>
      <c r="AK472" s="1" t="s">
        <v>1867</v>
      </c>
      <c r="AL472" t="s">
        <v>1961</v>
      </c>
      <c r="AN472" t="s">
        <v>2047</v>
      </c>
      <c r="AO472" t="s">
        <v>2067</v>
      </c>
      <c r="AP472" t="s">
        <v>2094</v>
      </c>
      <c r="AQ472">
        <v>128995</v>
      </c>
      <c r="AR472" s="3">
        <v>46203</v>
      </c>
      <c r="AS472" s="3">
        <v>46174</v>
      </c>
      <c r="AT472" s="3">
        <v>46203</v>
      </c>
      <c r="AU472" t="s">
        <v>2124</v>
      </c>
      <c r="AW472" s="3">
        <v>46208.53701449134</v>
      </c>
    </row>
    <row r="473" spans="1:49" ht="16" hidden="1" x14ac:dyDescent="0.2">
      <c r="A473" t="s">
        <v>57</v>
      </c>
      <c r="B473">
        <v>10462</v>
      </c>
      <c r="C473">
        <v>4473</v>
      </c>
      <c r="D473" t="s">
        <v>173</v>
      </c>
      <c r="E473" t="s">
        <v>334</v>
      </c>
      <c r="F473">
        <v>269478</v>
      </c>
      <c r="G473" t="s">
        <v>798</v>
      </c>
      <c r="H473">
        <v>588198</v>
      </c>
      <c r="I473" t="s">
        <v>1564</v>
      </c>
      <c r="J473">
        <v>7316403337</v>
      </c>
      <c r="K473" t="s">
        <v>1835</v>
      </c>
      <c r="L473" t="s">
        <v>1851</v>
      </c>
      <c r="M473" s="1">
        <v>0</v>
      </c>
      <c r="N473" t="s">
        <v>1858</v>
      </c>
      <c r="O473">
        <v>0</v>
      </c>
      <c r="P473" s="1">
        <v>0</v>
      </c>
      <c r="S473" s="6" t="str">
        <f t="shared" si="7"/>
        <v xml:space="preserve"> </v>
      </c>
      <c r="T473" s="6">
        <f>IF(IF(COUNTIF(H$2:$H473,H473)=1,1,"")=1,SUMIF($H$2:$H$7997,H473,$S$2:$S$7997),"")</f>
        <v>0</v>
      </c>
      <c r="W473">
        <v>0</v>
      </c>
      <c r="X473">
        <v>0</v>
      </c>
      <c r="Y473">
        <v>0</v>
      </c>
      <c r="Z473">
        <v>0</v>
      </c>
      <c r="AA473" s="2">
        <v>1</v>
      </c>
      <c r="AB473" s="2">
        <v>0</v>
      </c>
      <c r="AC473" s="2">
        <v>0</v>
      </c>
      <c r="AD473">
        <v>0</v>
      </c>
      <c r="AE473" t="s">
        <v>1864</v>
      </c>
      <c r="AF473">
        <v>0</v>
      </c>
      <c r="AG473">
        <v>1</v>
      </c>
      <c r="AH473">
        <v>0</v>
      </c>
      <c r="AI473" s="1" t="s">
        <v>334</v>
      </c>
      <c r="AJ473">
        <v>269478</v>
      </c>
      <c r="AK473" s="1" t="s">
        <v>1867</v>
      </c>
      <c r="AL473" t="s">
        <v>1961</v>
      </c>
      <c r="AN473" t="s">
        <v>2047</v>
      </c>
      <c r="AO473" t="s">
        <v>2067</v>
      </c>
      <c r="AP473" t="s">
        <v>2105</v>
      </c>
      <c r="AQ473">
        <v>128995</v>
      </c>
      <c r="AR473" s="3">
        <v>46203</v>
      </c>
      <c r="AS473" s="3">
        <v>46187</v>
      </c>
      <c r="AT473" s="3">
        <v>46187</v>
      </c>
      <c r="AU473" t="s">
        <v>2126</v>
      </c>
      <c r="AW473" s="3">
        <v>46208.53701449134</v>
      </c>
    </row>
    <row r="474" spans="1:49" ht="16" hidden="1" x14ac:dyDescent="0.2">
      <c r="A474" t="s">
        <v>57</v>
      </c>
      <c r="B474">
        <v>10462</v>
      </c>
      <c r="C474">
        <v>4473</v>
      </c>
      <c r="D474" t="s">
        <v>173</v>
      </c>
      <c r="E474" t="s">
        <v>334</v>
      </c>
      <c r="F474">
        <v>269478</v>
      </c>
      <c r="G474" t="s">
        <v>798</v>
      </c>
      <c r="H474">
        <v>588198</v>
      </c>
      <c r="I474" t="s">
        <v>1576</v>
      </c>
      <c r="J474">
        <v>7317937919</v>
      </c>
      <c r="K474" t="s">
        <v>1835</v>
      </c>
      <c r="L474" t="s">
        <v>1851</v>
      </c>
      <c r="M474" s="1">
        <v>60000</v>
      </c>
      <c r="N474" t="s">
        <v>1858</v>
      </c>
      <c r="O474">
        <v>500</v>
      </c>
      <c r="P474" s="1">
        <v>30000</v>
      </c>
      <c r="S474" s="6" t="str">
        <f t="shared" si="7"/>
        <v xml:space="preserve"> </v>
      </c>
      <c r="T474" s="6" t="str">
        <f>IF(IF(COUNTIF(H$2:$H474,H474)=1,1,"")=1,SUMIF($H$2:$H$7997,H474,$S$2:$S$7997),"")</f>
        <v/>
      </c>
      <c r="W474">
        <v>0</v>
      </c>
      <c r="X474">
        <v>0</v>
      </c>
      <c r="Y474">
        <v>0</v>
      </c>
      <c r="Z474">
        <v>0</v>
      </c>
      <c r="AA474" s="2">
        <v>1</v>
      </c>
      <c r="AB474" s="2">
        <v>0</v>
      </c>
      <c r="AC474" s="2">
        <v>0</v>
      </c>
      <c r="AD474">
        <v>0</v>
      </c>
      <c r="AE474" t="s">
        <v>1864</v>
      </c>
      <c r="AF474">
        <v>30000</v>
      </c>
      <c r="AG474">
        <v>1</v>
      </c>
      <c r="AH474">
        <v>60000</v>
      </c>
      <c r="AI474" s="1" t="s">
        <v>334</v>
      </c>
      <c r="AJ474">
        <v>269478</v>
      </c>
      <c r="AK474" s="1" t="s">
        <v>1867</v>
      </c>
      <c r="AL474" t="s">
        <v>1961</v>
      </c>
      <c r="AN474" t="s">
        <v>2047</v>
      </c>
      <c r="AO474" t="s">
        <v>2067</v>
      </c>
      <c r="AP474" t="s">
        <v>2104</v>
      </c>
      <c r="AQ474">
        <v>128995</v>
      </c>
      <c r="AR474" s="3">
        <v>46203</v>
      </c>
      <c r="AS474" s="3">
        <v>46187</v>
      </c>
      <c r="AT474" s="3">
        <v>46187</v>
      </c>
      <c r="AU474" t="s">
        <v>2126</v>
      </c>
      <c r="AW474" s="3">
        <v>46208.53701449134</v>
      </c>
    </row>
    <row r="475" spans="1:49" ht="16" hidden="1" x14ac:dyDescent="0.2">
      <c r="A475" t="s">
        <v>57</v>
      </c>
      <c r="B475">
        <v>10462</v>
      </c>
      <c r="C475">
        <v>4473</v>
      </c>
      <c r="D475" t="s">
        <v>173</v>
      </c>
      <c r="E475" t="s">
        <v>334</v>
      </c>
      <c r="F475">
        <v>269478</v>
      </c>
      <c r="G475" t="s">
        <v>798</v>
      </c>
      <c r="H475">
        <v>588198</v>
      </c>
      <c r="I475" t="s">
        <v>1554</v>
      </c>
      <c r="J475">
        <v>7314018390</v>
      </c>
      <c r="K475" t="s">
        <v>1835</v>
      </c>
      <c r="L475" t="s">
        <v>1851</v>
      </c>
      <c r="M475" s="1">
        <v>60000</v>
      </c>
      <c r="N475" t="s">
        <v>1858</v>
      </c>
      <c r="O475">
        <v>500</v>
      </c>
      <c r="P475" s="1">
        <v>30000</v>
      </c>
      <c r="S475" s="6" t="str">
        <f t="shared" si="7"/>
        <v xml:space="preserve"> </v>
      </c>
      <c r="T475" s="6" t="str">
        <f>IF(IF(COUNTIF(H$2:$H475,H475)=1,1,"")=1,SUMIF($H$2:$H$7997,H475,$S$2:$S$7997),"")</f>
        <v/>
      </c>
      <c r="W475">
        <v>0</v>
      </c>
      <c r="X475">
        <v>0</v>
      </c>
      <c r="Y475">
        <v>0</v>
      </c>
      <c r="Z475">
        <v>0</v>
      </c>
      <c r="AA475" s="2">
        <v>1</v>
      </c>
      <c r="AB475" s="2">
        <v>0</v>
      </c>
      <c r="AC475" s="2">
        <v>0</v>
      </c>
      <c r="AD475">
        <v>0</v>
      </c>
      <c r="AE475" t="s">
        <v>1864</v>
      </c>
      <c r="AF475">
        <v>30000</v>
      </c>
      <c r="AG475">
        <v>1</v>
      </c>
      <c r="AH475">
        <v>60000</v>
      </c>
      <c r="AI475" s="1" t="s">
        <v>334</v>
      </c>
      <c r="AJ475">
        <v>269478</v>
      </c>
      <c r="AK475" s="1" t="s">
        <v>1867</v>
      </c>
      <c r="AL475" t="s">
        <v>1961</v>
      </c>
      <c r="AN475" t="s">
        <v>2047</v>
      </c>
      <c r="AO475" t="s">
        <v>2067</v>
      </c>
      <c r="AP475" t="s">
        <v>2104</v>
      </c>
      <c r="AQ475">
        <v>128995</v>
      </c>
      <c r="AR475" s="3">
        <v>46203</v>
      </c>
      <c r="AS475" s="3">
        <v>46187</v>
      </c>
      <c r="AT475" s="3">
        <v>46187</v>
      </c>
      <c r="AU475" t="s">
        <v>2126</v>
      </c>
      <c r="AW475" s="3">
        <v>46208.53701449134</v>
      </c>
    </row>
    <row r="476" spans="1:49" ht="16" hidden="1" x14ac:dyDescent="0.2">
      <c r="A476" t="s">
        <v>57</v>
      </c>
      <c r="B476">
        <v>10462</v>
      </c>
      <c r="C476">
        <v>4473</v>
      </c>
      <c r="D476" t="s">
        <v>173</v>
      </c>
      <c r="E476" t="s">
        <v>334</v>
      </c>
      <c r="F476">
        <v>269478</v>
      </c>
      <c r="G476" t="s">
        <v>798</v>
      </c>
      <c r="H476">
        <v>588198</v>
      </c>
      <c r="I476" t="s">
        <v>1577</v>
      </c>
      <c r="J476">
        <v>7317938042</v>
      </c>
      <c r="K476" t="s">
        <v>1835</v>
      </c>
      <c r="L476" t="s">
        <v>1851</v>
      </c>
      <c r="M476" s="1">
        <v>60000</v>
      </c>
      <c r="N476" t="s">
        <v>1858</v>
      </c>
      <c r="O476">
        <v>500</v>
      </c>
      <c r="P476" s="1">
        <v>30000</v>
      </c>
      <c r="S476" s="6" t="str">
        <f t="shared" si="7"/>
        <v xml:space="preserve"> </v>
      </c>
      <c r="T476" s="6" t="str">
        <f>IF(IF(COUNTIF(H$2:$H476,H476)=1,1,"")=1,SUMIF($H$2:$H$7997,H476,$S$2:$S$7997),"")</f>
        <v/>
      </c>
      <c r="W476">
        <v>0</v>
      </c>
      <c r="X476">
        <v>0</v>
      </c>
      <c r="Y476">
        <v>0</v>
      </c>
      <c r="Z476">
        <v>0</v>
      </c>
      <c r="AA476" s="2">
        <v>1</v>
      </c>
      <c r="AB476" s="2">
        <v>0</v>
      </c>
      <c r="AC476" s="2">
        <v>0</v>
      </c>
      <c r="AD476">
        <v>0</v>
      </c>
      <c r="AE476" t="s">
        <v>1864</v>
      </c>
      <c r="AF476">
        <v>30000</v>
      </c>
      <c r="AG476">
        <v>1</v>
      </c>
      <c r="AH476">
        <v>60000</v>
      </c>
      <c r="AI476" s="1" t="s">
        <v>334</v>
      </c>
      <c r="AJ476">
        <v>269478</v>
      </c>
      <c r="AK476" s="1" t="s">
        <v>1867</v>
      </c>
      <c r="AL476" t="s">
        <v>1961</v>
      </c>
      <c r="AN476" t="s">
        <v>2047</v>
      </c>
      <c r="AO476" t="s">
        <v>2067</v>
      </c>
      <c r="AP476" t="s">
        <v>2104</v>
      </c>
      <c r="AQ476">
        <v>128995</v>
      </c>
      <c r="AR476" s="3">
        <v>46203</v>
      </c>
      <c r="AS476" s="3">
        <v>46187</v>
      </c>
      <c r="AT476" s="3">
        <v>46187</v>
      </c>
      <c r="AU476" t="s">
        <v>2126</v>
      </c>
      <c r="AW476" s="3">
        <v>46208.53701449134</v>
      </c>
    </row>
    <row r="477" spans="1:49" ht="16" hidden="1" x14ac:dyDescent="0.2">
      <c r="A477" t="s">
        <v>57</v>
      </c>
      <c r="B477">
        <v>10462</v>
      </c>
      <c r="C477">
        <v>4473</v>
      </c>
      <c r="D477" t="s">
        <v>173</v>
      </c>
      <c r="E477" t="s">
        <v>334</v>
      </c>
      <c r="F477">
        <v>269478</v>
      </c>
      <c r="G477" t="s">
        <v>798</v>
      </c>
      <c r="H477">
        <v>588198</v>
      </c>
      <c r="I477" t="s">
        <v>1575</v>
      </c>
      <c r="J477">
        <v>7317937403</v>
      </c>
      <c r="K477" t="s">
        <v>1835</v>
      </c>
      <c r="L477" t="s">
        <v>1851</v>
      </c>
      <c r="M477" s="1">
        <v>60000</v>
      </c>
      <c r="N477" t="s">
        <v>1858</v>
      </c>
      <c r="O477">
        <v>500</v>
      </c>
      <c r="P477" s="1">
        <v>30000</v>
      </c>
      <c r="S477" s="6" t="str">
        <f t="shared" si="7"/>
        <v xml:space="preserve"> </v>
      </c>
      <c r="T477" s="6" t="str">
        <f>IF(IF(COUNTIF(H$2:$H477,H477)=1,1,"")=1,SUMIF($H$2:$H$7997,H477,$S$2:$S$7997),"")</f>
        <v/>
      </c>
      <c r="W477">
        <v>0</v>
      </c>
      <c r="X477">
        <v>0</v>
      </c>
      <c r="Y477">
        <v>0</v>
      </c>
      <c r="Z477">
        <v>0</v>
      </c>
      <c r="AA477" s="2">
        <v>1</v>
      </c>
      <c r="AB477" s="2">
        <v>0</v>
      </c>
      <c r="AC477" s="2">
        <v>0</v>
      </c>
      <c r="AD477">
        <v>0</v>
      </c>
      <c r="AE477" t="s">
        <v>1864</v>
      </c>
      <c r="AF477">
        <v>30000</v>
      </c>
      <c r="AG477">
        <v>1</v>
      </c>
      <c r="AH477">
        <v>60000</v>
      </c>
      <c r="AI477" s="1" t="s">
        <v>334</v>
      </c>
      <c r="AJ477">
        <v>269478</v>
      </c>
      <c r="AK477" s="1" t="s">
        <v>1867</v>
      </c>
      <c r="AL477" t="s">
        <v>1961</v>
      </c>
      <c r="AN477" t="s">
        <v>2047</v>
      </c>
      <c r="AO477" t="s">
        <v>2067</v>
      </c>
      <c r="AP477" t="s">
        <v>2106</v>
      </c>
      <c r="AQ477">
        <v>128995</v>
      </c>
      <c r="AR477" s="3">
        <v>46203</v>
      </c>
      <c r="AS477" s="3">
        <v>46187</v>
      </c>
      <c r="AT477" s="3">
        <v>46187</v>
      </c>
      <c r="AU477" t="s">
        <v>2126</v>
      </c>
      <c r="AW477" s="3">
        <v>46208.53701449134</v>
      </c>
    </row>
    <row r="478" spans="1:49" ht="16" hidden="1" x14ac:dyDescent="0.2">
      <c r="A478" t="s">
        <v>57</v>
      </c>
      <c r="B478">
        <v>10462</v>
      </c>
      <c r="C478">
        <v>4473</v>
      </c>
      <c r="D478" t="s">
        <v>173</v>
      </c>
      <c r="E478" t="s">
        <v>334</v>
      </c>
      <c r="F478">
        <v>269478</v>
      </c>
      <c r="G478" t="s">
        <v>798</v>
      </c>
      <c r="H478">
        <v>588198</v>
      </c>
      <c r="I478" t="s">
        <v>1565</v>
      </c>
      <c r="J478">
        <v>7316405023</v>
      </c>
      <c r="K478" t="s">
        <v>1835</v>
      </c>
      <c r="L478" t="s">
        <v>1851</v>
      </c>
      <c r="M478" s="1">
        <v>60000</v>
      </c>
      <c r="N478" t="s">
        <v>1858</v>
      </c>
      <c r="O478">
        <v>500</v>
      </c>
      <c r="P478" s="1">
        <v>30000</v>
      </c>
      <c r="S478" s="6" t="str">
        <f t="shared" si="7"/>
        <v xml:space="preserve"> </v>
      </c>
      <c r="T478" s="6" t="str">
        <f>IF(IF(COUNTIF(H$2:$H478,H478)=1,1,"")=1,SUMIF($H$2:$H$7997,H478,$S$2:$S$7997),"")</f>
        <v/>
      </c>
      <c r="W478">
        <v>0</v>
      </c>
      <c r="X478">
        <v>0</v>
      </c>
      <c r="Y478">
        <v>0</v>
      </c>
      <c r="Z478">
        <v>0</v>
      </c>
      <c r="AA478" s="2">
        <v>1</v>
      </c>
      <c r="AB478" s="2">
        <v>0</v>
      </c>
      <c r="AC478" s="2">
        <v>0</v>
      </c>
      <c r="AD478">
        <v>0</v>
      </c>
      <c r="AE478" t="s">
        <v>1864</v>
      </c>
      <c r="AF478">
        <v>30000</v>
      </c>
      <c r="AG478">
        <v>1</v>
      </c>
      <c r="AH478">
        <v>60000</v>
      </c>
      <c r="AI478" s="1" t="s">
        <v>334</v>
      </c>
      <c r="AJ478">
        <v>269478</v>
      </c>
      <c r="AK478" s="1" t="s">
        <v>1867</v>
      </c>
      <c r="AL478" t="s">
        <v>1961</v>
      </c>
      <c r="AN478" t="s">
        <v>2047</v>
      </c>
      <c r="AO478" t="s">
        <v>2067</v>
      </c>
      <c r="AP478" t="s">
        <v>2104</v>
      </c>
      <c r="AQ478">
        <v>128995</v>
      </c>
      <c r="AR478" s="3">
        <v>46203</v>
      </c>
      <c r="AS478" s="3">
        <v>46187</v>
      </c>
      <c r="AT478" s="3">
        <v>46187</v>
      </c>
      <c r="AU478" t="s">
        <v>2126</v>
      </c>
      <c r="AW478" s="3">
        <v>46208.53701449134</v>
      </c>
    </row>
    <row r="479" spans="1:49" ht="16" hidden="1" x14ac:dyDescent="0.2">
      <c r="A479" t="s">
        <v>57</v>
      </c>
      <c r="B479">
        <v>10462</v>
      </c>
      <c r="C479">
        <v>4473</v>
      </c>
      <c r="D479" t="s">
        <v>173</v>
      </c>
      <c r="E479" t="s">
        <v>334</v>
      </c>
      <c r="F479">
        <v>269478</v>
      </c>
      <c r="G479" t="s">
        <v>846</v>
      </c>
      <c r="H479">
        <v>588205</v>
      </c>
      <c r="I479" t="s">
        <v>1701</v>
      </c>
      <c r="J479">
        <v>588206</v>
      </c>
      <c r="K479" t="s">
        <v>1846</v>
      </c>
      <c r="L479" t="s">
        <v>1851</v>
      </c>
      <c r="M479" s="1">
        <v>0.15</v>
      </c>
      <c r="N479" t="s">
        <v>1858</v>
      </c>
      <c r="O479">
        <v>388889000</v>
      </c>
      <c r="P479" s="1">
        <v>58333.35</v>
      </c>
      <c r="S479" s="6" t="str">
        <f t="shared" si="7"/>
        <v xml:space="preserve"> </v>
      </c>
      <c r="T479" s="6">
        <f>IF(IF(COUNTIF(H$2:$H479,H479)=1,1,"")=1,SUMIF($H$2:$H$7997,H479,$S$2:$S$7997),"")</f>
        <v>0</v>
      </c>
      <c r="W479">
        <v>0</v>
      </c>
      <c r="X479">
        <v>0</v>
      </c>
      <c r="Y479">
        <v>0</v>
      </c>
      <c r="Z479">
        <v>0</v>
      </c>
      <c r="AA479" s="2">
        <v>1</v>
      </c>
      <c r="AB479" s="2">
        <v>0</v>
      </c>
      <c r="AC479" s="2">
        <v>0</v>
      </c>
      <c r="AD479">
        <v>0</v>
      </c>
      <c r="AE479" t="s">
        <v>1864</v>
      </c>
      <c r="AF479">
        <v>58333.35</v>
      </c>
      <c r="AG479">
        <v>777778</v>
      </c>
      <c r="AH479">
        <v>116666.7</v>
      </c>
      <c r="AI479" s="1" t="s">
        <v>334</v>
      </c>
      <c r="AJ479">
        <v>269478</v>
      </c>
      <c r="AK479" s="1" t="s">
        <v>1867</v>
      </c>
      <c r="AL479" t="s">
        <v>1961</v>
      </c>
      <c r="AN479" t="s">
        <v>2047</v>
      </c>
      <c r="AO479" t="s">
        <v>2067</v>
      </c>
      <c r="AP479" t="s">
        <v>2110</v>
      </c>
      <c r="AQ479">
        <v>128995</v>
      </c>
      <c r="AR479" s="3">
        <v>46203</v>
      </c>
      <c r="AS479" s="3">
        <v>46174</v>
      </c>
      <c r="AT479" s="3">
        <v>46203</v>
      </c>
      <c r="AU479" t="s">
        <v>2128</v>
      </c>
      <c r="AW479" s="3">
        <v>46208.53701449134</v>
      </c>
    </row>
    <row r="480" spans="1:49" ht="16" hidden="1" x14ac:dyDescent="0.2">
      <c r="A480" t="s">
        <v>57</v>
      </c>
      <c r="B480">
        <v>10462</v>
      </c>
      <c r="C480">
        <v>4473</v>
      </c>
      <c r="D480" t="s">
        <v>173</v>
      </c>
      <c r="E480" t="s">
        <v>334</v>
      </c>
      <c r="F480">
        <v>269478</v>
      </c>
      <c r="G480" t="s">
        <v>846</v>
      </c>
      <c r="H480">
        <v>588205</v>
      </c>
      <c r="I480" t="s">
        <v>1642</v>
      </c>
      <c r="J480">
        <v>588208</v>
      </c>
      <c r="K480" t="s">
        <v>1844</v>
      </c>
      <c r="L480" t="s">
        <v>1851</v>
      </c>
      <c r="M480" s="1">
        <v>0.15</v>
      </c>
      <c r="N480" t="s">
        <v>1858</v>
      </c>
      <c r="O480">
        <v>388889000</v>
      </c>
      <c r="P480" s="1">
        <v>58333.35</v>
      </c>
      <c r="S480" s="6" t="str">
        <f t="shared" si="7"/>
        <v xml:space="preserve"> </v>
      </c>
      <c r="T480" s="6" t="str">
        <f>IF(IF(COUNTIF(H$2:$H480,H480)=1,1,"")=1,SUMIF($H$2:$H$7997,H480,$S$2:$S$7997),"")</f>
        <v/>
      </c>
      <c r="W480">
        <v>0</v>
      </c>
      <c r="X480">
        <v>0</v>
      </c>
      <c r="Y480">
        <v>0</v>
      </c>
      <c r="Z480">
        <v>0</v>
      </c>
      <c r="AA480" s="2">
        <v>1</v>
      </c>
      <c r="AB480" s="2">
        <v>0</v>
      </c>
      <c r="AC480" s="2">
        <v>0</v>
      </c>
      <c r="AD480">
        <v>0</v>
      </c>
      <c r="AE480" t="s">
        <v>1864</v>
      </c>
      <c r="AF480">
        <v>58333.35</v>
      </c>
      <c r="AG480">
        <v>777778</v>
      </c>
      <c r="AH480">
        <v>116666.7</v>
      </c>
      <c r="AI480" s="1" t="s">
        <v>334</v>
      </c>
      <c r="AJ480">
        <v>269478</v>
      </c>
      <c r="AK480" s="1" t="s">
        <v>1867</v>
      </c>
      <c r="AL480" t="s">
        <v>1961</v>
      </c>
      <c r="AN480" t="s">
        <v>2047</v>
      </c>
      <c r="AO480" t="s">
        <v>2067</v>
      </c>
      <c r="AP480" t="s">
        <v>2107</v>
      </c>
      <c r="AQ480">
        <v>128995</v>
      </c>
      <c r="AR480" s="3">
        <v>46203</v>
      </c>
      <c r="AS480" s="3">
        <v>46174</v>
      </c>
      <c r="AT480" s="3">
        <v>46203</v>
      </c>
      <c r="AU480" t="s">
        <v>2127</v>
      </c>
      <c r="AW480" s="3">
        <v>46208.53701449134</v>
      </c>
    </row>
    <row r="481" spans="1:49" ht="16" hidden="1" x14ac:dyDescent="0.2">
      <c r="A481" t="s">
        <v>57</v>
      </c>
      <c r="B481">
        <v>10462</v>
      </c>
      <c r="C481">
        <v>4473</v>
      </c>
      <c r="D481" t="s">
        <v>173</v>
      </c>
      <c r="E481" t="s">
        <v>334</v>
      </c>
      <c r="F481">
        <v>269478</v>
      </c>
      <c r="G481" t="s">
        <v>846</v>
      </c>
      <c r="H481">
        <v>588205</v>
      </c>
      <c r="I481" t="s">
        <v>1761</v>
      </c>
      <c r="J481">
        <v>588207</v>
      </c>
      <c r="K481" t="s">
        <v>1835</v>
      </c>
      <c r="L481" t="s">
        <v>1851</v>
      </c>
      <c r="M481" s="1">
        <v>0.15</v>
      </c>
      <c r="N481" t="s">
        <v>1858</v>
      </c>
      <c r="O481">
        <v>388889000</v>
      </c>
      <c r="P481" s="1">
        <v>58333.35</v>
      </c>
      <c r="S481" s="6" t="str">
        <f t="shared" si="7"/>
        <v xml:space="preserve"> </v>
      </c>
      <c r="T481" s="6" t="str">
        <f>IF(IF(COUNTIF(H$2:$H481,H481)=1,1,"")=1,SUMIF($H$2:$H$7997,H481,$S$2:$S$7997),"")</f>
        <v/>
      </c>
      <c r="W481">
        <v>0</v>
      </c>
      <c r="X481">
        <v>0</v>
      </c>
      <c r="Y481">
        <v>0</v>
      </c>
      <c r="Z481">
        <v>0</v>
      </c>
      <c r="AA481" s="2">
        <v>1</v>
      </c>
      <c r="AB481" s="2">
        <v>0</v>
      </c>
      <c r="AC481" s="2">
        <v>0</v>
      </c>
      <c r="AD481">
        <v>0</v>
      </c>
      <c r="AE481" t="s">
        <v>1864</v>
      </c>
      <c r="AF481">
        <v>58333.35</v>
      </c>
      <c r="AG481">
        <v>777778</v>
      </c>
      <c r="AH481">
        <v>116666.7</v>
      </c>
      <c r="AI481" s="1" t="s">
        <v>334</v>
      </c>
      <c r="AJ481">
        <v>269478</v>
      </c>
      <c r="AK481" s="1" t="s">
        <v>1867</v>
      </c>
      <c r="AL481" t="s">
        <v>1961</v>
      </c>
      <c r="AN481" t="s">
        <v>2047</v>
      </c>
      <c r="AO481" t="s">
        <v>2067</v>
      </c>
      <c r="AP481" t="s">
        <v>2109</v>
      </c>
      <c r="AQ481">
        <v>128995</v>
      </c>
      <c r="AR481" s="3">
        <v>46203</v>
      </c>
      <c r="AS481" s="3">
        <v>46174</v>
      </c>
      <c r="AT481" s="3">
        <v>46203</v>
      </c>
      <c r="AU481" t="s">
        <v>2129</v>
      </c>
      <c r="AW481" s="3">
        <v>46208.53701449134</v>
      </c>
    </row>
    <row r="482" spans="1:49" ht="16" hidden="1" x14ac:dyDescent="0.2">
      <c r="A482" t="s">
        <v>57</v>
      </c>
      <c r="B482">
        <v>10462</v>
      </c>
      <c r="C482">
        <v>4473</v>
      </c>
      <c r="D482" t="s">
        <v>173</v>
      </c>
      <c r="E482" t="s">
        <v>334</v>
      </c>
      <c r="F482">
        <v>269478</v>
      </c>
      <c r="G482" t="s">
        <v>825</v>
      </c>
      <c r="H482">
        <v>594401</v>
      </c>
      <c r="I482" t="s">
        <v>1614</v>
      </c>
      <c r="J482">
        <v>7341859626</v>
      </c>
      <c r="K482" t="s">
        <v>1835</v>
      </c>
      <c r="L482" t="s">
        <v>1851</v>
      </c>
      <c r="M482" s="1">
        <v>0</v>
      </c>
      <c r="N482" t="s">
        <v>1858</v>
      </c>
      <c r="O482">
        <v>0</v>
      </c>
      <c r="P482" s="1">
        <v>0</v>
      </c>
      <c r="S482" s="6" t="str">
        <f t="shared" si="7"/>
        <v xml:space="preserve"> </v>
      </c>
      <c r="T482" s="6">
        <f>IF(IF(COUNTIF(H$2:$H482,H482)=1,1,"")=1,SUMIF($H$2:$H$7997,H482,$S$2:$S$7997),"")</f>
        <v>0</v>
      </c>
      <c r="W482">
        <v>0</v>
      </c>
      <c r="X482">
        <v>0</v>
      </c>
      <c r="Y482">
        <v>0</v>
      </c>
      <c r="Z482">
        <v>0</v>
      </c>
      <c r="AA482" s="2">
        <v>1</v>
      </c>
      <c r="AB482" s="2">
        <v>0</v>
      </c>
      <c r="AC482" s="2">
        <v>0</v>
      </c>
      <c r="AD482">
        <v>0</v>
      </c>
      <c r="AE482" t="s">
        <v>1864</v>
      </c>
      <c r="AF482">
        <v>0</v>
      </c>
      <c r="AG482">
        <v>1</v>
      </c>
      <c r="AH482">
        <v>0</v>
      </c>
      <c r="AI482" s="1" t="s">
        <v>334</v>
      </c>
      <c r="AJ482">
        <v>269478</v>
      </c>
      <c r="AK482" s="1" t="s">
        <v>1867</v>
      </c>
      <c r="AL482" t="s">
        <v>1961</v>
      </c>
      <c r="AN482" t="s">
        <v>2047</v>
      </c>
      <c r="AO482" t="s">
        <v>2068</v>
      </c>
      <c r="AP482" t="s">
        <v>2105</v>
      </c>
      <c r="AQ482">
        <v>128995</v>
      </c>
      <c r="AR482" s="3">
        <v>46203</v>
      </c>
      <c r="AS482" s="3">
        <v>46195</v>
      </c>
      <c r="AT482" s="3">
        <v>46195</v>
      </c>
      <c r="AU482" t="s">
        <v>2126</v>
      </c>
      <c r="AW482" s="3">
        <v>46208.53701449134</v>
      </c>
    </row>
    <row r="483" spans="1:49" ht="16" hidden="1" x14ac:dyDescent="0.2">
      <c r="A483" t="s">
        <v>57</v>
      </c>
      <c r="B483">
        <v>10462</v>
      </c>
      <c r="C483">
        <v>4473</v>
      </c>
      <c r="D483" t="s">
        <v>173</v>
      </c>
      <c r="E483" t="s">
        <v>334</v>
      </c>
      <c r="F483">
        <v>269478</v>
      </c>
      <c r="G483" t="s">
        <v>825</v>
      </c>
      <c r="H483">
        <v>594401</v>
      </c>
      <c r="I483" t="s">
        <v>1616</v>
      </c>
      <c r="J483">
        <v>7345874609</v>
      </c>
      <c r="K483" t="s">
        <v>1835</v>
      </c>
      <c r="L483" t="s">
        <v>1851</v>
      </c>
      <c r="M483" s="1">
        <v>0</v>
      </c>
      <c r="N483" t="s">
        <v>1858</v>
      </c>
      <c r="O483">
        <v>0</v>
      </c>
      <c r="P483" s="1">
        <v>0</v>
      </c>
      <c r="S483" s="6" t="str">
        <f t="shared" si="7"/>
        <v xml:space="preserve"> </v>
      </c>
      <c r="T483" s="6" t="str">
        <f>IF(IF(COUNTIF(H$2:$H483,H483)=1,1,"")=1,SUMIF($H$2:$H$7997,H483,$S$2:$S$7997),"")</f>
        <v/>
      </c>
      <c r="W483">
        <v>0</v>
      </c>
      <c r="X483">
        <v>0</v>
      </c>
      <c r="Y483">
        <v>0</v>
      </c>
      <c r="Z483">
        <v>0</v>
      </c>
      <c r="AA483" s="2">
        <v>1</v>
      </c>
      <c r="AB483" s="2">
        <v>0</v>
      </c>
      <c r="AC483" s="2">
        <v>0</v>
      </c>
      <c r="AD483">
        <v>0</v>
      </c>
      <c r="AE483" t="s">
        <v>1864</v>
      </c>
      <c r="AF483">
        <v>0</v>
      </c>
      <c r="AG483">
        <v>1</v>
      </c>
      <c r="AH483">
        <v>0</v>
      </c>
      <c r="AI483" s="1" t="s">
        <v>334</v>
      </c>
      <c r="AJ483">
        <v>269478</v>
      </c>
      <c r="AK483" s="1" t="s">
        <v>1867</v>
      </c>
      <c r="AL483" t="s">
        <v>1961</v>
      </c>
      <c r="AN483" t="s">
        <v>2047</v>
      </c>
      <c r="AO483" t="s">
        <v>2068</v>
      </c>
      <c r="AP483" t="s">
        <v>2104</v>
      </c>
      <c r="AQ483">
        <v>128995</v>
      </c>
      <c r="AR483" s="3">
        <v>46203</v>
      </c>
      <c r="AS483" s="3">
        <v>46195</v>
      </c>
      <c r="AT483" s="3">
        <v>46195</v>
      </c>
      <c r="AU483" t="s">
        <v>2126</v>
      </c>
      <c r="AW483" s="3">
        <v>46208.53701449134</v>
      </c>
    </row>
    <row r="484" spans="1:49" ht="16" hidden="1" x14ac:dyDescent="0.2">
      <c r="A484" t="s">
        <v>57</v>
      </c>
      <c r="B484">
        <v>10462</v>
      </c>
      <c r="C484">
        <v>4473</v>
      </c>
      <c r="D484" t="s">
        <v>173</v>
      </c>
      <c r="E484" t="s">
        <v>334</v>
      </c>
      <c r="F484">
        <v>269478</v>
      </c>
      <c r="G484" t="s">
        <v>825</v>
      </c>
      <c r="H484">
        <v>594401</v>
      </c>
      <c r="I484" t="s">
        <v>1613</v>
      </c>
      <c r="J484">
        <v>7341859605</v>
      </c>
      <c r="K484" t="s">
        <v>1835</v>
      </c>
      <c r="L484" t="s">
        <v>1851</v>
      </c>
      <c r="M484" s="1">
        <v>0</v>
      </c>
      <c r="N484" t="s">
        <v>1858</v>
      </c>
      <c r="O484">
        <v>0</v>
      </c>
      <c r="P484" s="1">
        <v>0</v>
      </c>
      <c r="S484" s="6" t="str">
        <f t="shared" si="7"/>
        <v xml:space="preserve"> </v>
      </c>
      <c r="T484" s="6" t="str">
        <f>IF(IF(COUNTIF(H$2:$H484,H484)=1,1,"")=1,SUMIF($H$2:$H$7997,H484,$S$2:$S$7997),"")</f>
        <v/>
      </c>
      <c r="W484">
        <v>0</v>
      </c>
      <c r="X484">
        <v>0</v>
      </c>
      <c r="Y484">
        <v>0</v>
      </c>
      <c r="Z484">
        <v>0</v>
      </c>
      <c r="AA484" s="2">
        <v>1</v>
      </c>
      <c r="AB484" s="2">
        <v>0</v>
      </c>
      <c r="AC484" s="2">
        <v>0</v>
      </c>
      <c r="AD484">
        <v>0</v>
      </c>
      <c r="AE484" t="s">
        <v>1864</v>
      </c>
      <c r="AF484">
        <v>0</v>
      </c>
      <c r="AG484">
        <v>1</v>
      </c>
      <c r="AH484">
        <v>0</v>
      </c>
      <c r="AI484" s="1" t="s">
        <v>334</v>
      </c>
      <c r="AJ484">
        <v>269478</v>
      </c>
      <c r="AK484" s="1" t="s">
        <v>1867</v>
      </c>
      <c r="AL484" t="s">
        <v>1961</v>
      </c>
      <c r="AN484" t="s">
        <v>2047</v>
      </c>
      <c r="AO484" t="s">
        <v>2068</v>
      </c>
      <c r="AP484" t="s">
        <v>2104</v>
      </c>
      <c r="AQ484">
        <v>128995</v>
      </c>
      <c r="AR484" s="3">
        <v>46203</v>
      </c>
      <c r="AS484" s="3">
        <v>46195</v>
      </c>
      <c r="AT484" s="3">
        <v>46195</v>
      </c>
      <c r="AU484" t="s">
        <v>2126</v>
      </c>
      <c r="AW484" s="3">
        <v>46208.53701449134</v>
      </c>
    </row>
    <row r="485" spans="1:49" ht="16" hidden="1" x14ac:dyDescent="0.2">
      <c r="A485" t="s">
        <v>57</v>
      </c>
      <c r="B485">
        <v>10462</v>
      </c>
      <c r="C485">
        <v>4473</v>
      </c>
      <c r="D485" t="s">
        <v>173</v>
      </c>
      <c r="E485" t="s">
        <v>334</v>
      </c>
      <c r="F485">
        <v>269478</v>
      </c>
      <c r="G485" t="s">
        <v>825</v>
      </c>
      <c r="H485">
        <v>594401</v>
      </c>
      <c r="I485" t="s">
        <v>1615</v>
      </c>
      <c r="J485">
        <v>7344315571</v>
      </c>
      <c r="K485" t="s">
        <v>1835</v>
      </c>
      <c r="L485" t="s">
        <v>1851</v>
      </c>
      <c r="M485" s="1">
        <v>0</v>
      </c>
      <c r="N485" t="s">
        <v>1858</v>
      </c>
      <c r="O485">
        <v>0</v>
      </c>
      <c r="P485" s="1">
        <v>0</v>
      </c>
      <c r="S485" s="6" t="str">
        <f t="shared" si="7"/>
        <v xml:space="preserve"> </v>
      </c>
      <c r="T485" s="6" t="str">
        <f>IF(IF(COUNTIF(H$2:$H485,H485)=1,1,"")=1,SUMIF($H$2:$H$7997,H485,$S$2:$S$7997),"")</f>
        <v/>
      </c>
      <c r="W485">
        <v>0</v>
      </c>
      <c r="X485">
        <v>0</v>
      </c>
      <c r="Y485">
        <v>0</v>
      </c>
      <c r="Z485">
        <v>0</v>
      </c>
      <c r="AA485" s="2">
        <v>1</v>
      </c>
      <c r="AB485" s="2">
        <v>0</v>
      </c>
      <c r="AC485" s="2">
        <v>0</v>
      </c>
      <c r="AD485">
        <v>0</v>
      </c>
      <c r="AE485" t="s">
        <v>1864</v>
      </c>
      <c r="AF485">
        <v>0</v>
      </c>
      <c r="AG485">
        <v>1</v>
      </c>
      <c r="AH485">
        <v>0</v>
      </c>
      <c r="AI485" s="1" t="s">
        <v>334</v>
      </c>
      <c r="AJ485">
        <v>269478</v>
      </c>
      <c r="AK485" s="1" t="s">
        <v>1867</v>
      </c>
      <c r="AL485" t="s">
        <v>1961</v>
      </c>
      <c r="AN485" t="s">
        <v>2047</v>
      </c>
      <c r="AO485" t="s">
        <v>2068</v>
      </c>
      <c r="AP485" t="s">
        <v>2104</v>
      </c>
      <c r="AQ485">
        <v>128995</v>
      </c>
      <c r="AR485" s="3">
        <v>46203</v>
      </c>
      <c r="AS485" s="3">
        <v>46195</v>
      </c>
      <c r="AT485" s="3">
        <v>46195</v>
      </c>
      <c r="AU485" t="s">
        <v>2126</v>
      </c>
      <c r="AW485" s="3">
        <v>46208.53701449134</v>
      </c>
    </row>
    <row r="486" spans="1:49" ht="16" hidden="1" x14ac:dyDescent="0.2">
      <c r="A486" t="s">
        <v>57</v>
      </c>
      <c r="B486">
        <v>10462</v>
      </c>
      <c r="C486">
        <v>4473</v>
      </c>
      <c r="D486" t="s">
        <v>173</v>
      </c>
      <c r="E486" t="s">
        <v>334</v>
      </c>
      <c r="F486">
        <v>269478</v>
      </c>
      <c r="G486" t="s">
        <v>825</v>
      </c>
      <c r="H486">
        <v>594401</v>
      </c>
      <c r="I486" t="s">
        <v>1612</v>
      </c>
      <c r="J486">
        <v>7341858375</v>
      </c>
      <c r="K486" t="s">
        <v>1835</v>
      </c>
      <c r="L486" t="s">
        <v>1851</v>
      </c>
      <c r="M486" s="1">
        <v>0</v>
      </c>
      <c r="N486" t="s">
        <v>1858</v>
      </c>
      <c r="O486">
        <v>0</v>
      </c>
      <c r="P486" s="1">
        <v>0</v>
      </c>
      <c r="S486" s="6" t="str">
        <f t="shared" si="7"/>
        <v xml:space="preserve"> </v>
      </c>
      <c r="T486" s="6" t="str">
        <f>IF(IF(COUNTIF(H$2:$H486,H486)=1,1,"")=1,SUMIF($H$2:$H$7997,H486,$S$2:$S$7997),"")</f>
        <v/>
      </c>
      <c r="W486">
        <v>0</v>
      </c>
      <c r="X486">
        <v>0</v>
      </c>
      <c r="Y486">
        <v>0</v>
      </c>
      <c r="Z486">
        <v>0</v>
      </c>
      <c r="AA486" s="2">
        <v>1</v>
      </c>
      <c r="AB486" s="2">
        <v>0</v>
      </c>
      <c r="AC486" s="2">
        <v>0</v>
      </c>
      <c r="AD486">
        <v>0</v>
      </c>
      <c r="AE486" t="s">
        <v>1864</v>
      </c>
      <c r="AF486">
        <v>0</v>
      </c>
      <c r="AG486">
        <v>1</v>
      </c>
      <c r="AH486">
        <v>0</v>
      </c>
      <c r="AI486" s="1" t="s">
        <v>334</v>
      </c>
      <c r="AJ486">
        <v>269478</v>
      </c>
      <c r="AK486" s="1" t="s">
        <v>1867</v>
      </c>
      <c r="AL486" t="s">
        <v>1961</v>
      </c>
      <c r="AN486" t="s">
        <v>2047</v>
      </c>
      <c r="AO486" t="s">
        <v>2068</v>
      </c>
      <c r="AP486" t="s">
        <v>2106</v>
      </c>
      <c r="AQ486">
        <v>128995</v>
      </c>
      <c r="AR486" s="3">
        <v>46203</v>
      </c>
      <c r="AS486" s="3">
        <v>46195</v>
      </c>
      <c r="AT486" s="3">
        <v>46195</v>
      </c>
      <c r="AU486" t="s">
        <v>2126</v>
      </c>
      <c r="AW486" s="3">
        <v>46208.53701449134</v>
      </c>
    </row>
    <row r="487" spans="1:49" ht="16" hidden="1" x14ac:dyDescent="0.2">
      <c r="A487" t="s">
        <v>57</v>
      </c>
      <c r="B487">
        <v>10462</v>
      </c>
      <c r="C487">
        <v>4473</v>
      </c>
      <c r="D487" t="s">
        <v>173</v>
      </c>
      <c r="E487" t="s">
        <v>334</v>
      </c>
      <c r="F487">
        <v>269478</v>
      </c>
      <c r="G487" t="s">
        <v>825</v>
      </c>
      <c r="H487">
        <v>594401</v>
      </c>
      <c r="I487" t="s">
        <v>1617</v>
      </c>
      <c r="J487">
        <v>7345874612</v>
      </c>
      <c r="K487" t="s">
        <v>1835</v>
      </c>
      <c r="L487" t="s">
        <v>1851</v>
      </c>
      <c r="M487" s="1">
        <v>0</v>
      </c>
      <c r="N487" t="s">
        <v>1858</v>
      </c>
      <c r="O487">
        <v>0</v>
      </c>
      <c r="P487" s="1">
        <v>0</v>
      </c>
      <c r="S487" s="6" t="str">
        <f t="shared" si="7"/>
        <v xml:space="preserve"> </v>
      </c>
      <c r="T487" s="6" t="str">
        <f>IF(IF(COUNTIF(H$2:$H487,H487)=1,1,"")=1,SUMIF($H$2:$H$7997,H487,$S$2:$S$7997),"")</f>
        <v/>
      </c>
      <c r="W487">
        <v>0</v>
      </c>
      <c r="X487">
        <v>0</v>
      </c>
      <c r="Y487">
        <v>0</v>
      </c>
      <c r="Z487">
        <v>0</v>
      </c>
      <c r="AA487" s="2">
        <v>1</v>
      </c>
      <c r="AB487" s="2">
        <v>0</v>
      </c>
      <c r="AC487" s="2">
        <v>0</v>
      </c>
      <c r="AD487">
        <v>0</v>
      </c>
      <c r="AE487" t="s">
        <v>1864</v>
      </c>
      <c r="AF487">
        <v>0</v>
      </c>
      <c r="AG487">
        <v>1</v>
      </c>
      <c r="AH487">
        <v>0</v>
      </c>
      <c r="AI487" s="1" t="s">
        <v>334</v>
      </c>
      <c r="AJ487">
        <v>269478</v>
      </c>
      <c r="AK487" s="1" t="s">
        <v>1867</v>
      </c>
      <c r="AL487" t="s">
        <v>1961</v>
      </c>
      <c r="AN487" t="s">
        <v>2047</v>
      </c>
      <c r="AO487" t="s">
        <v>2068</v>
      </c>
      <c r="AP487" t="s">
        <v>2104</v>
      </c>
      <c r="AQ487">
        <v>128995</v>
      </c>
      <c r="AR487" s="3">
        <v>46203</v>
      </c>
      <c r="AS487" s="3">
        <v>46195</v>
      </c>
      <c r="AT487" s="3">
        <v>46195</v>
      </c>
      <c r="AU487" t="s">
        <v>2126</v>
      </c>
      <c r="AW487" s="3">
        <v>46208.53701449134</v>
      </c>
    </row>
    <row r="488" spans="1:49" ht="16" hidden="1" x14ac:dyDescent="0.2">
      <c r="A488" t="s">
        <v>57</v>
      </c>
      <c r="B488">
        <v>10462</v>
      </c>
      <c r="C488">
        <v>4473</v>
      </c>
      <c r="D488" t="s">
        <v>173</v>
      </c>
      <c r="E488" t="s">
        <v>325</v>
      </c>
      <c r="F488">
        <v>269479</v>
      </c>
      <c r="G488" t="s">
        <v>598</v>
      </c>
      <c r="H488">
        <v>588259</v>
      </c>
      <c r="I488" t="s">
        <v>1174</v>
      </c>
      <c r="J488">
        <v>94054293</v>
      </c>
      <c r="K488" t="s">
        <v>1839</v>
      </c>
      <c r="L488" t="s">
        <v>1850</v>
      </c>
      <c r="M488" s="1">
        <v>32.5</v>
      </c>
      <c r="N488" t="s">
        <v>23</v>
      </c>
      <c r="O488">
        <v>2874579</v>
      </c>
      <c r="P488" s="1">
        <v>91875</v>
      </c>
      <c r="S488" s="6" t="str">
        <f t="shared" si="7"/>
        <v xml:space="preserve"> </v>
      </c>
      <c r="T488" s="6">
        <f>IF(IF(COUNTIF(H$2:$H488,H488)=1,1,"")=1,SUMIF($H$2:$H$7997,H488,$S$2:$S$7997),"")</f>
        <v>0</v>
      </c>
      <c r="W488">
        <v>2874579</v>
      </c>
      <c r="X488">
        <v>2874579</v>
      </c>
      <c r="Y488">
        <v>0</v>
      </c>
      <c r="Z488">
        <v>0</v>
      </c>
      <c r="AA488" s="2">
        <v>1</v>
      </c>
      <c r="AB488" s="2">
        <v>0</v>
      </c>
      <c r="AC488" s="2">
        <v>0</v>
      </c>
      <c r="AD488">
        <v>0</v>
      </c>
      <c r="AE488" t="s">
        <v>1862</v>
      </c>
      <c r="AF488">
        <v>45937.5</v>
      </c>
      <c r="AG488">
        <v>2826923</v>
      </c>
      <c r="AH488">
        <v>91875</v>
      </c>
      <c r="AI488" s="1" t="s">
        <v>325</v>
      </c>
      <c r="AJ488">
        <v>94054283</v>
      </c>
      <c r="AK488" s="1" t="s">
        <v>1867</v>
      </c>
      <c r="AL488" t="s">
        <v>1954</v>
      </c>
      <c r="AN488" t="s">
        <v>2047</v>
      </c>
      <c r="AO488" t="s">
        <v>2067</v>
      </c>
      <c r="AP488" t="s">
        <v>2094</v>
      </c>
      <c r="AQ488">
        <v>128342</v>
      </c>
      <c r="AR488" s="3">
        <v>46203</v>
      </c>
      <c r="AS488" s="3">
        <v>46174</v>
      </c>
      <c r="AT488" s="3">
        <v>46203</v>
      </c>
      <c r="AU488" t="s">
        <v>2124</v>
      </c>
      <c r="AW488" s="3">
        <v>46208.53701449134</v>
      </c>
    </row>
    <row r="489" spans="1:49" ht="16" hidden="1" x14ac:dyDescent="0.2">
      <c r="A489" t="s">
        <v>57</v>
      </c>
      <c r="B489">
        <v>10462</v>
      </c>
      <c r="C489">
        <v>4473</v>
      </c>
      <c r="D489" t="s">
        <v>173</v>
      </c>
      <c r="E489" t="s">
        <v>325</v>
      </c>
      <c r="F489">
        <v>269479</v>
      </c>
      <c r="G489" t="s">
        <v>598</v>
      </c>
      <c r="H489">
        <v>588259</v>
      </c>
      <c r="I489" t="s">
        <v>1173</v>
      </c>
      <c r="J489">
        <v>94054286</v>
      </c>
      <c r="K489" t="s">
        <v>1835</v>
      </c>
      <c r="L489" t="s">
        <v>1850</v>
      </c>
      <c r="M489" s="1">
        <v>32.5</v>
      </c>
      <c r="N489" t="s">
        <v>23</v>
      </c>
      <c r="O489">
        <v>1236483</v>
      </c>
      <c r="P489" s="1">
        <v>39375.019999999997</v>
      </c>
      <c r="S489" s="6" t="str">
        <f t="shared" si="7"/>
        <v xml:space="preserve"> </v>
      </c>
      <c r="T489" s="6" t="str">
        <f>IF(IF(COUNTIF(H$2:$H489,H489)=1,1,"")=1,SUMIF($H$2:$H$7997,H489,$S$2:$S$7997),"")</f>
        <v/>
      </c>
      <c r="W489">
        <v>1236483</v>
      </c>
      <c r="X489">
        <v>1236483</v>
      </c>
      <c r="Y489">
        <v>0</v>
      </c>
      <c r="Z489">
        <v>0</v>
      </c>
      <c r="AA489" s="2">
        <v>1</v>
      </c>
      <c r="AB489" s="2">
        <v>0</v>
      </c>
      <c r="AC489" s="2">
        <v>0</v>
      </c>
      <c r="AD489">
        <v>0</v>
      </c>
      <c r="AE489" t="s">
        <v>1862</v>
      </c>
      <c r="AF489">
        <v>19687.509999999998</v>
      </c>
      <c r="AG489">
        <v>1211539</v>
      </c>
      <c r="AH489">
        <v>39375.019999999997</v>
      </c>
      <c r="AI489" s="1" t="s">
        <v>325</v>
      </c>
      <c r="AJ489">
        <v>94054283</v>
      </c>
      <c r="AK489" s="1" t="s">
        <v>1867</v>
      </c>
      <c r="AL489" t="s">
        <v>1954</v>
      </c>
      <c r="AN489" t="s">
        <v>2047</v>
      </c>
      <c r="AO489" t="s">
        <v>2067</v>
      </c>
      <c r="AP489" t="s">
        <v>2092</v>
      </c>
      <c r="AQ489">
        <v>128342</v>
      </c>
      <c r="AR489" s="3">
        <v>46203</v>
      </c>
      <c r="AS489" s="3">
        <v>46174</v>
      </c>
      <c r="AT489" s="3">
        <v>46203</v>
      </c>
      <c r="AU489" t="s">
        <v>2123</v>
      </c>
      <c r="AW489" s="3">
        <v>46208.53701449134</v>
      </c>
    </row>
    <row r="490" spans="1:49" ht="16" hidden="1" x14ac:dyDescent="0.2">
      <c r="A490" t="s">
        <v>57</v>
      </c>
      <c r="B490">
        <v>10462</v>
      </c>
      <c r="C490">
        <v>4473</v>
      </c>
      <c r="D490" t="s">
        <v>173</v>
      </c>
      <c r="E490" t="s">
        <v>325</v>
      </c>
      <c r="F490">
        <v>269479</v>
      </c>
      <c r="G490" t="s">
        <v>797</v>
      </c>
      <c r="H490">
        <v>588262</v>
      </c>
      <c r="I490" t="s">
        <v>1553</v>
      </c>
      <c r="J490">
        <v>7312810991</v>
      </c>
      <c r="K490" t="s">
        <v>1835</v>
      </c>
      <c r="L490" t="s">
        <v>1850</v>
      </c>
      <c r="M490" s="1">
        <v>6</v>
      </c>
      <c r="N490" t="s">
        <v>23</v>
      </c>
      <c r="O490">
        <v>0</v>
      </c>
      <c r="P490" s="1">
        <v>0</v>
      </c>
      <c r="S490" s="6" t="str">
        <f t="shared" si="7"/>
        <v xml:space="preserve"> </v>
      </c>
      <c r="T490" s="6">
        <f>IF(IF(COUNTIF(H$2:$H490,H490)=1,1,"")=1,SUMIF($H$2:$H$7997,H490,$S$2:$S$7997),"")</f>
        <v>0</v>
      </c>
      <c r="W490">
        <v>0</v>
      </c>
      <c r="X490">
        <v>0</v>
      </c>
      <c r="Y490">
        <v>0</v>
      </c>
      <c r="Z490">
        <v>0</v>
      </c>
      <c r="AA490" s="2">
        <v>1</v>
      </c>
      <c r="AB490" s="2">
        <v>0</v>
      </c>
      <c r="AC490" s="2">
        <v>0</v>
      </c>
      <c r="AD490">
        <v>0</v>
      </c>
      <c r="AE490" t="s">
        <v>1862</v>
      </c>
      <c r="AF490">
        <v>13887.29</v>
      </c>
      <c r="AG490">
        <v>7291667</v>
      </c>
      <c r="AH490">
        <v>43750</v>
      </c>
      <c r="AI490" s="1" t="s">
        <v>325</v>
      </c>
      <c r="AJ490">
        <v>269479</v>
      </c>
      <c r="AK490" s="1" t="s">
        <v>1867</v>
      </c>
      <c r="AL490" t="s">
        <v>1954</v>
      </c>
      <c r="AN490" t="s">
        <v>2047</v>
      </c>
      <c r="AO490" t="s">
        <v>2067</v>
      </c>
      <c r="AP490" t="s">
        <v>2103</v>
      </c>
      <c r="AQ490">
        <v>128342</v>
      </c>
      <c r="AR490" s="3">
        <v>46203</v>
      </c>
      <c r="AS490" s="3">
        <v>46174</v>
      </c>
      <c r="AT490" s="3">
        <v>46203</v>
      </c>
      <c r="AU490" t="s">
        <v>2126</v>
      </c>
      <c r="AW490" s="3">
        <v>46208.53701449134</v>
      </c>
    </row>
    <row r="491" spans="1:49" ht="16" hidden="1" x14ac:dyDescent="0.2">
      <c r="A491" t="s">
        <v>57</v>
      </c>
      <c r="B491">
        <v>10462</v>
      </c>
      <c r="C491">
        <v>4473</v>
      </c>
      <c r="D491" t="s">
        <v>173</v>
      </c>
      <c r="E491" t="s">
        <v>322</v>
      </c>
      <c r="F491">
        <v>269482</v>
      </c>
      <c r="G491" t="s">
        <v>796</v>
      </c>
      <c r="H491">
        <v>588361</v>
      </c>
      <c r="I491" t="s">
        <v>1552</v>
      </c>
      <c r="J491">
        <v>7312809785</v>
      </c>
      <c r="K491" t="s">
        <v>1835</v>
      </c>
      <c r="L491" t="s">
        <v>1850</v>
      </c>
      <c r="M491" s="1">
        <v>6</v>
      </c>
      <c r="N491" t="s">
        <v>23</v>
      </c>
      <c r="O491">
        <v>0</v>
      </c>
      <c r="P491" s="1">
        <v>0</v>
      </c>
      <c r="S491" s="6" t="str">
        <f t="shared" si="7"/>
        <v xml:space="preserve"> </v>
      </c>
      <c r="T491" s="6">
        <f>IF(IF(COUNTIF(H$2:$H491,H491)=1,1,"")=1,SUMIF($H$2:$H$7997,H491,$S$2:$S$7997),"")</f>
        <v>0</v>
      </c>
      <c r="W491">
        <v>0</v>
      </c>
      <c r="X491">
        <v>0</v>
      </c>
      <c r="Y491">
        <v>0</v>
      </c>
      <c r="Z491">
        <v>0</v>
      </c>
      <c r="AA491" s="2">
        <v>1</v>
      </c>
      <c r="AB491" s="2">
        <v>0</v>
      </c>
      <c r="AC491" s="2">
        <v>0</v>
      </c>
      <c r="AD491">
        <v>0</v>
      </c>
      <c r="AE491" t="s">
        <v>1862</v>
      </c>
      <c r="AF491">
        <v>9199.57</v>
      </c>
      <c r="AG491">
        <v>3083333</v>
      </c>
      <c r="AH491">
        <v>18500</v>
      </c>
      <c r="AI491" s="1" t="s">
        <v>322</v>
      </c>
      <c r="AJ491">
        <v>269482</v>
      </c>
      <c r="AK491" s="1" t="s">
        <v>1867</v>
      </c>
      <c r="AL491" t="s">
        <v>1951</v>
      </c>
      <c r="AN491" t="s">
        <v>2047</v>
      </c>
      <c r="AO491" t="s">
        <v>2067</v>
      </c>
      <c r="AP491" t="s">
        <v>2103</v>
      </c>
      <c r="AQ491">
        <v>128343</v>
      </c>
      <c r="AR491" s="3">
        <v>46203</v>
      </c>
      <c r="AS491" s="3">
        <v>46174</v>
      </c>
      <c r="AT491" s="3">
        <v>46203</v>
      </c>
      <c r="AU491" t="s">
        <v>2126</v>
      </c>
      <c r="AW491" s="3">
        <v>46208.53701449134</v>
      </c>
    </row>
    <row r="492" spans="1:49" ht="16" hidden="1" x14ac:dyDescent="0.2">
      <c r="A492" t="s">
        <v>57</v>
      </c>
      <c r="B492">
        <v>10462</v>
      </c>
      <c r="C492">
        <v>4473</v>
      </c>
      <c r="D492" t="s">
        <v>173</v>
      </c>
      <c r="E492" t="s">
        <v>322</v>
      </c>
      <c r="F492">
        <v>269482</v>
      </c>
      <c r="G492" t="s">
        <v>594</v>
      </c>
      <c r="H492">
        <v>588363</v>
      </c>
      <c r="I492" t="s">
        <v>1165</v>
      </c>
      <c r="J492">
        <v>94010960</v>
      </c>
      <c r="K492" t="s">
        <v>1835</v>
      </c>
      <c r="L492" t="s">
        <v>1850</v>
      </c>
      <c r="M492" s="1">
        <v>32.5</v>
      </c>
      <c r="N492" t="s">
        <v>23</v>
      </c>
      <c r="O492">
        <v>527509</v>
      </c>
      <c r="P492" s="1">
        <v>16650.009999999998</v>
      </c>
      <c r="S492" s="6" t="str">
        <f t="shared" si="7"/>
        <v xml:space="preserve"> </v>
      </c>
      <c r="T492" s="6">
        <f>IF(IF(COUNTIF(H$2:$H492,H492)=1,1,"")=1,SUMIF($H$2:$H$7997,H492,$S$2:$S$7997),"")</f>
        <v>0</v>
      </c>
      <c r="W492">
        <v>527509</v>
      </c>
      <c r="X492">
        <v>527509</v>
      </c>
      <c r="Y492">
        <v>0</v>
      </c>
      <c r="Z492">
        <v>0</v>
      </c>
      <c r="AA492" s="2">
        <v>1</v>
      </c>
      <c r="AB492" s="2">
        <v>0</v>
      </c>
      <c r="AC492" s="2">
        <v>0</v>
      </c>
      <c r="AD492">
        <v>0</v>
      </c>
      <c r="AE492" t="s">
        <v>1862</v>
      </c>
      <c r="AF492">
        <v>8325</v>
      </c>
      <c r="AG492">
        <v>512308</v>
      </c>
      <c r="AH492">
        <v>16650.009999999998</v>
      </c>
      <c r="AI492" s="1" t="s">
        <v>322</v>
      </c>
      <c r="AJ492">
        <v>94010957</v>
      </c>
      <c r="AK492" s="1" t="s">
        <v>1867</v>
      </c>
      <c r="AL492" t="s">
        <v>1951</v>
      </c>
      <c r="AN492" t="s">
        <v>2047</v>
      </c>
      <c r="AO492" t="s">
        <v>2067</v>
      </c>
      <c r="AP492" t="s">
        <v>2092</v>
      </c>
      <c r="AQ492">
        <v>128343</v>
      </c>
      <c r="AR492" s="3">
        <v>46203</v>
      </c>
      <c r="AS492" s="3">
        <v>46174</v>
      </c>
      <c r="AT492" s="3">
        <v>46203</v>
      </c>
      <c r="AU492" t="s">
        <v>2123</v>
      </c>
      <c r="AW492" s="3">
        <v>46208.53701449134</v>
      </c>
    </row>
    <row r="493" spans="1:49" ht="16" hidden="1" x14ac:dyDescent="0.2">
      <c r="A493" t="s">
        <v>57</v>
      </c>
      <c r="B493">
        <v>10462</v>
      </c>
      <c r="C493">
        <v>4473</v>
      </c>
      <c r="D493" t="s">
        <v>173</v>
      </c>
      <c r="E493" t="s">
        <v>322</v>
      </c>
      <c r="F493">
        <v>269482</v>
      </c>
      <c r="G493" t="s">
        <v>594</v>
      </c>
      <c r="H493">
        <v>588363</v>
      </c>
      <c r="I493" t="s">
        <v>1166</v>
      </c>
      <c r="J493">
        <v>94010963</v>
      </c>
      <c r="K493" t="s">
        <v>1839</v>
      </c>
      <c r="L493" t="s">
        <v>1850</v>
      </c>
      <c r="M493" s="1">
        <v>32.5</v>
      </c>
      <c r="N493" t="s">
        <v>23</v>
      </c>
      <c r="O493">
        <v>1229512</v>
      </c>
      <c r="P493" s="1">
        <v>38850.01</v>
      </c>
      <c r="S493" s="6" t="str">
        <f t="shared" si="7"/>
        <v xml:space="preserve"> </v>
      </c>
      <c r="T493" s="6" t="str">
        <f>IF(IF(COUNTIF(H$2:$H493,H493)=1,1,"")=1,SUMIF($H$2:$H$7997,H493,$S$2:$S$7997),"")</f>
        <v/>
      </c>
      <c r="W493">
        <v>1229512</v>
      </c>
      <c r="X493">
        <v>1229512</v>
      </c>
      <c r="Y493">
        <v>0</v>
      </c>
      <c r="Z493">
        <v>0</v>
      </c>
      <c r="AA493" s="2">
        <v>1</v>
      </c>
      <c r="AB493" s="2">
        <v>0</v>
      </c>
      <c r="AC493" s="2">
        <v>0</v>
      </c>
      <c r="AD493">
        <v>0</v>
      </c>
      <c r="AE493" t="s">
        <v>1862</v>
      </c>
      <c r="AF493">
        <v>19425.009999999998</v>
      </c>
      <c r="AG493">
        <v>1195385</v>
      </c>
      <c r="AH493">
        <v>38850.01</v>
      </c>
      <c r="AI493" s="1" t="s">
        <v>322</v>
      </c>
      <c r="AJ493">
        <v>94010957</v>
      </c>
      <c r="AK493" s="1" t="s">
        <v>1867</v>
      </c>
      <c r="AL493" t="s">
        <v>1951</v>
      </c>
      <c r="AN493" t="s">
        <v>2047</v>
      </c>
      <c r="AO493" t="s">
        <v>2067</v>
      </c>
      <c r="AP493" t="s">
        <v>2094</v>
      </c>
      <c r="AQ493">
        <v>128343</v>
      </c>
      <c r="AR493" s="3">
        <v>46203</v>
      </c>
      <c r="AS493" s="3">
        <v>46174</v>
      </c>
      <c r="AT493" s="3">
        <v>46203</v>
      </c>
      <c r="AU493" t="s">
        <v>2124</v>
      </c>
      <c r="AW493" s="3">
        <v>46208.53701449134</v>
      </c>
    </row>
    <row r="494" spans="1:49" ht="16" hidden="1" x14ac:dyDescent="0.2">
      <c r="A494" t="s">
        <v>57</v>
      </c>
      <c r="B494">
        <v>10462</v>
      </c>
      <c r="C494">
        <v>4473</v>
      </c>
      <c r="D494" t="s">
        <v>173</v>
      </c>
      <c r="E494" t="s">
        <v>320</v>
      </c>
      <c r="F494">
        <v>269480</v>
      </c>
      <c r="G494" t="s">
        <v>592</v>
      </c>
      <c r="H494">
        <v>588310</v>
      </c>
      <c r="I494" t="s">
        <v>1162</v>
      </c>
      <c r="J494">
        <v>94010698</v>
      </c>
      <c r="K494" t="s">
        <v>1839</v>
      </c>
      <c r="L494" t="s">
        <v>1850</v>
      </c>
      <c r="M494" s="1">
        <v>32.5</v>
      </c>
      <c r="N494" t="s">
        <v>23</v>
      </c>
      <c r="O494">
        <v>1662119</v>
      </c>
      <c r="P494" s="1">
        <v>52500.01</v>
      </c>
      <c r="S494" s="6" t="str">
        <f t="shared" si="7"/>
        <v xml:space="preserve"> </v>
      </c>
      <c r="T494" s="6">
        <f>IF(IF(COUNTIF(H$2:$H494,H494)=1,1,"")=1,SUMIF($H$2:$H$7997,H494,$S$2:$S$7997),"")</f>
        <v>0</v>
      </c>
      <c r="W494">
        <v>1662119</v>
      </c>
      <c r="X494">
        <v>1662119</v>
      </c>
      <c r="Y494">
        <v>0</v>
      </c>
      <c r="Z494">
        <v>0</v>
      </c>
      <c r="AA494" s="2">
        <v>1</v>
      </c>
      <c r="AB494" s="2">
        <v>0</v>
      </c>
      <c r="AC494" s="2">
        <v>0</v>
      </c>
      <c r="AD494">
        <v>0</v>
      </c>
      <c r="AE494" t="s">
        <v>1862</v>
      </c>
      <c r="AF494">
        <v>26250.01</v>
      </c>
      <c r="AG494">
        <v>1615385</v>
      </c>
      <c r="AH494">
        <v>52500.01</v>
      </c>
      <c r="AI494" s="1" t="s">
        <v>320</v>
      </c>
      <c r="AJ494">
        <v>94010685</v>
      </c>
      <c r="AK494" s="1" t="s">
        <v>1867</v>
      </c>
      <c r="AL494" t="s">
        <v>1949</v>
      </c>
      <c r="AN494" t="s">
        <v>2047</v>
      </c>
      <c r="AO494" t="s">
        <v>2067</v>
      </c>
      <c r="AP494" t="s">
        <v>2094</v>
      </c>
      <c r="AQ494">
        <v>128368</v>
      </c>
      <c r="AR494" s="3">
        <v>46203</v>
      </c>
      <c r="AS494" s="3">
        <v>46174</v>
      </c>
      <c r="AT494" s="3">
        <v>46203</v>
      </c>
      <c r="AU494" t="s">
        <v>2124</v>
      </c>
      <c r="AW494" s="3">
        <v>46208.53701449134</v>
      </c>
    </row>
    <row r="495" spans="1:49" ht="16" hidden="1" x14ac:dyDescent="0.2">
      <c r="A495" t="s">
        <v>57</v>
      </c>
      <c r="B495">
        <v>10462</v>
      </c>
      <c r="C495">
        <v>4473</v>
      </c>
      <c r="D495" t="s">
        <v>173</v>
      </c>
      <c r="E495" t="s">
        <v>320</v>
      </c>
      <c r="F495">
        <v>269480</v>
      </c>
      <c r="G495" t="s">
        <v>592</v>
      </c>
      <c r="H495">
        <v>588310</v>
      </c>
      <c r="I495" t="s">
        <v>1161</v>
      </c>
      <c r="J495">
        <v>94010692</v>
      </c>
      <c r="K495" t="s">
        <v>1835</v>
      </c>
      <c r="L495" t="s">
        <v>1850</v>
      </c>
      <c r="M495" s="1">
        <v>32.5</v>
      </c>
      <c r="N495" t="s">
        <v>23</v>
      </c>
      <c r="O495">
        <v>707321</v>
      </c>
      <c r="P495" s="1">
        <v>22500.01</v>
      </c>
      <c r="S495" s="6" t="str">
        <f t="shared" si="7"/>
        <v xml:space="preserve"> </v>
      </c>
      <c r="T495" s="6" t="str">
        <f>IF(IF(COUNTIF(H$2:$H495,H495)=1,1,"")=1,SUMIF($H$2:$H$7997,H495,$S$2:$S$7997),"")</f>
        <v/>
      </c>
      <c r="W495">
        <v>707321</v>
      </c>
      <c r="X495">
        <v>707321</v>
      </c>
      <c r="Y495">
        <v>0</v>
      </c>
      <c r="Z495">
        <v>0</v>
      </c>
      <c r="AA495" s="2">
        <v>1</v>
      </c>
      <c r="AB495" s="2">
        <v>0</v>
      </c>
      <c r="AC495" s="2">
        <v>0</v>
      </c>
      <c r="AD495">
        <v>0</v>
      </c>
      <c r="AE495" t="s">
        <v>1862</v>
      </c>
      <c r="AF495">
        <v>11250.01</v>
      </c>
      <c r="AG495">
        <v>692308</v>
      </c>
      <c r="AH495">
        <v>22500.01</v>
      </c>
      <c r="AI495" s="1" t="s">
        <v>320</v>
      </c>
      <c r="AJ495">
        <v>94010685</v>
      </c>
      <c r="AK495" s="1" t="s">
        <v>1867</v>
      </c>
      <c r="AL495" t="s">
        <v>1949</v>
      </c>
      <c r="AN495" t="s">
        <v>2047</v>
      </c>
      <c r="AO495" t="s">
        <v>2067</v>
      </c>
      <c r="AP495" t="s">
        <v>2092</v>
      </c>
      <c r="AQ495">
        <v>128368</v>
      </c>
      <c r="AR495" s="3">
        <v>46203</v>
      </c>
      <c r="AS495" s="3">
        <v>46174</v>
      </c>
      <c r="AT495" s="3">
        <v>46203</v>
      </c>
      <c r="AU495" t="s">
        <v>2123</v>
      </c>
      <c r="AW495" s="3">
        <v>46208.53701449134</v>
      </c>
    </row>
    <row r="496" spans="1:49" ht="16" hidden="1" x14ac:dyDescent="0.2">
      <c r="A496" t="s">
        <v>57</v>
      </c>
      <c r="B496">
        <v>10462</v>
      </c>
      <c r="C496">
        <v>4473</v>
      </c>
      <c r="D496" t="s">
        <v>173</v>
      </c>
      <c r="E496" t="s">
        <v>320</v>
      </c>
      <c r="F496">
        <v>269480</v>
      </c>
      <c r="G496" t="s">
        <v>795</v>
      </c>
      <c r="H496">
        <v>588313</v>
      </c>
      <c r="I496" t="s">
        <v>1551</v>
      </c>
      <c r="J496">
        <v>7312807838</v>
      </c>
      <c r="K496" t="s">
        <v>1835</v>
      </c>
      <c r="L496" t="s">
        <v>1850</v>
      </c>
      <c r="M496" s="1">
        <v>6</v>
      </c>
      <c r="N496" t="s">
        <v>23</v>
      </c>
      <c r="O496">
        <v>0</v>
      </c>
      <c r="P496" s="1">
        <v>0</v>
      </c>
      <c r="S496" s="6" t="str">
        <f t="shared" si="7"/>
        <v xml:space="preserve"> </v>
      </c>
      <c r="T496" s="6">
        <f>IF(IF(COUNTIF(H$2:$H496,H496)=1,1,"")=1,SUMIF($H$2:$H$7997,H496,$S$2:$S$7997),"")</f>
        <v>0</v>
      </c>
      <c r="W496">
        <v>0</v>
      </c>
      <c r="X496">
        <v>0</v>
      </c>
      <c r="Y496">
        <v>0</v>
      </c>
      <c r="Z496">
        <v>0</v>
      </c>
      <c r="AA496" s="2">
        <v>1</v>
      </c>
      <c r="AB496" s="2">
        <v>0</v>
      </c>
      <c r="AC496" s="2">
        <v>0</v>
      </c>
      <c r="AD496">
        <v>0</v>
      </c>
      <c r="AE496" t="s">
        <v>1862</v>
      </c>
      <c r="AF496">
        <v>8541.7999999999993</v>
      </c>
      <c r="AG496">
        <v>4166667</v>
      </c>
      <c r="AH496">
        <v>25000</v>
      </c>
      <c r="AI496" s="1" t="s">
        <v>320</v>
      </c>
      <c r="AJ496">
        <v>269480</v>
      </c>
      <c r="AK496" s="1" t="s">
        <v>1867</v>
      </c>
      <c r="AL496" t="s">
        <v>1949</v>
      </c>
      <c r="AN496" t="s">
        <v>2047</v>
      </c>
      <c r="AO496" t="s">
        <v>2067</v>
      </c>
      <c r="AP496" t="s">
        <v>2103</v>
      </c>
      <c r="AQ496">
        <v>128368</v>
      </c>
      <c r="AR496" s="3">
        <v>46203</v>
      </c>
      <c r="AS496" s="3">
        <v>46174</v>
      </c>
      <c r="AT496" s="3">
        <v>46203</v>
      </c>
      <c r="AU496" t="s">
        <v>2126</v>
      </c>
      <c r="AW496" s="3">
        <v>46208.53701449134</v>
      </c>
    </row>
    <row r="497" spans="1:49" ht="16" hidden="1" x14ac:dyDescent="0.2">
      <c r="A497" t="s">
        <v>57</v>
      </c>
      <c r="B497">
        <v>10462</v>
      </c>
      <c r="C497">
        <v>4473</v>
      </c>
      <c r="D497" t="s">
        <v>173</v>
      </c>
      <c r="E497" t="s">
        <v>321</v>
      </c>
      <c r="F497">
        <v>269483</v>
      </c>
      <c r="G497" t="s">
        <v>789</v>
      </c>
      <c r="H497">
        <v>588412</v>
      </c>
      <c r="I497" t="s">
        <v>1542</v>
      </c>
      <c r="J497">
        <v>7308703908</v>
      </c>
      <c r="K497" t="s">
        <v>1835</v>
      </c>
      <c r="L497" t="s">
        <v>1850</v>
      </c>
      <c r="M497" s="1">
        <v>6</v>
      </c>
      <c r="N497" t="s">
        <v>23</v>
      </c>
      <c r="O497">
        <v>0</v>
      </c>
      <c r="P497" s="1">
        <v>0</v>
      </c>
      <c r="S497" s="6" t="str">
        <f t="shared" si="7"/>
        <v xml:space="preserve"> </v>
      </c>
      <c r="T497" s="6">
        <f>IF(IF(COUNTIF(H$2:$H497,H497)=1,1,"")=1,SUMIF($H$2:$H$7997,H497,$S$2:$S$7997),"")</f>
        <v>0</v>
      </c>
      <c r="W497">
        <v>0</v>
      </c>
      <c r="X497">
        <v>0</v>
      </c>
      <c r="Y497">
        <v>0</v>
      </c>
      <c r="Z497">
        <v>0</v>
      </c>
      <c r="AA497" s="2">
        <v>1</v>
      </c>
      <c r="AB497" s="2">
        <v>0</v>
      </c>
      <c r="AC497" s="2">
        <v>0</v>
      </c>
      <c r="AD497">
        <v>0</v>
      </c>
      <c r="AE497" t="s">
        <v>1862</v>
      </c>
      <c r="AF497">
        <v>11353.93</v>
      </c>
      <c r="AG497">
        <v>5838167</v>
      </c>
      <c r="AH497">
        <v>35029</v>
      </c>
      <c r="AI497" s="1" t="s">
        <v>321</v>
      </c>
      <c r="AJ497">
        <v>269483</v>
      </c>
      <c r="AK497" s="1" t="s">
        <v>1867</v>
      </c>
      <c r="AL497" t="s">
        <v>1950</v>
      </c>
      <c r="AN497" t="s">
        <v>2047</v>
      </c>
      <c r="AO497" t="s">
        <v>2067</v>
      </c>
      <c r="AP497" t="s">
        <v>2103</v>
      </c>
      <c r="AQ497">
        <v>128364</v>
      </c>
      <c r="AR497" s="3">
        <v>46203</v>
      </c>
      <c r="AS497" s="3">
        <v>46174</v>
      </c>
      <c r="AT497" s="3">
        <v>46203</v>
      </c>
      <c r="AU497" t="s">
        <v>2126</v>
      </c>
      <c r="AW497" s="3">
        <v>46208.53701449134</v>
      </c>
    </row>
    <row r="498" spans="1:49" ht="16" hidden="1" x14ac:dyDescent="0.2">
      <c r="A498" t="s">
        <v>57</v>
      </c>
      <c r="B498">
        <v>10462</v>
      </c>
      <c r="C498">
        <v>4473</v>
      </c>
      <c r="D498" t="s">
        <v>173</v>
      </c>
      <c r="E498" t="s">
        <v>321</v>
      </c>
      <c r="F498">
        <v>269483</v>
      </c>
      <c r="G498" t="s">
        <v>593</v>
      </c>
      <c r="H498">
        <v>588414</v>
      </c>
      <c r="I498" t="s">
        <v>1163</v>
      </c>
      <c r="J498">
        <v>94010913</v>
      </c>
      <c r="K498" t="s">
        <v>1835</v>
      </c>
      <c r="L498" t="s">
        <v>1850</v>
      </c>
      <c r="M498" s="1">
        <v>32.5</v>
      </c>
      <c r="N498" t="s">
        <v>23</v>
      </c>
      <c r="O498">
        <v>990106</v>
      </c>
      <c r="P498" s="1">
        <v>31525.52</v>
      </c>
      <c r="S498" s="6" t="str">
        <f t="shared" si="7"/>
        <v xml:space="preserve"> </v>
      </c>
      <c r="T498" s="6">
        <f>IF(IF(COUNTIF(H$2:$H498,H498)=1,1,"")=1,SUMIF($H$2:$H$7997,H498,$S$2:$S$7997),"")</f>
        <v>0</v>
      </c>
      <c r="W498">
        <v>990106</v>
      </c>
      <c r="X498">
        <v>990106</v>
      </c>
      <c r="Y498">
        <v>0</v>
      </c>
      <c r="Z498">
        <v>0</v>
      </c>
      <c r="AA498" s="2">
        <v>1</v>
      </c>
      <c r="AB498" s="2">
        <v>0</v>
      </c>
      <c r="AC498" s="2">
        <v>0</v>
      </c>
      <c r="AD498">
        <v>0</v>
      </c>
      <c r="AE498" t="s">
        <v>1862</v>
      </c>
      <c r="AF498">
        <v>15762.76</v>
      </c>
      <c r="AG498">
        <v>970016</v>
      </c>
      <c r="AH498">
        <v>31525.52</v>
      </c>
      <c r="AI498" s="1" t="s">
        <v>321</v>
      </c>
      <c r="AJ498">
        <v>94010910</v>
      </c>
      <c r="AK498" s="1" t="s">
        <v>1867</v>
      </c>
      <c r="AL498" t="s">
        <v>1950</v>
      </c>
      <c r="AN498" t="s">
        <v>2047</v>
      </c>
      <c r="AO498" t="s">
        <v>2067</v>
      </c>
      <c r="AP498" t="s">
        <v>2092</v>
      </c>
      <c r="AQ498">
        <v>128364</v>
      </c>
      <c r="AR498" s="3">
        <v>46203</v>
      </c>
      <c r="AS498" s="3">
        <v>46174</v>
      </c>
      <c r="AT498" s="3">
        <v>46203</v>
      </c>
      <c r="AU498" t="s">
        <v>2123</v>
      </c>
      <c r="AW498" s="3">
        <v>46208.53701449134</v>
      </c>
    </row>
    <row r="499" spans="1:49" ht="16" hidden="1" x14ac:dyDescent="0.2">
      <c r="A499" t="s">
        <v>57</v>
      </c>
      <c r="B499">
        <v>10462</v>
      </c>
      <c r="C499">
        <v>4473</v>
      </c>
      <c r="D499" t="s">
        <v>173</v>
      </c>
      <c r="E499" t="s">
        <v>321</v>
      </c>
      <c r="F499">
        <v>269483</v>
      </c>
      <c r="G499" t="s">
        <v>593</v>
      </c>
      <c r="H499">
        <v>588414</v>
      </c>
      <c r="I499" t="s">
        <v>1164</v>
      </c>
      <c r="J499">
        <v>94010921</v>
      </c>
      <c r="K499" t="s">
        <v>1839</v>
      </c>
      <c r="L499" t="s">
        <v>1850</v>
      </c>
      <c r="M499" s="1">
        <v>32.5</v>
      </c>
      <c r="N499" t="s">
        <v>23</v>
      </c>
      <c r="O499">
        <v>2301149</v>
      </c>
      <c r="P499" s="1">
        <v>73559.490000000005</v>
      </c>
      <c r="S499" s="6" t="str">
        <f t="shared" si="7"/>
        <v xml:space="preserve"> </v>
      </c>
      <c r="T499" s="6" t="str">
        <f>IF(IF(COUNTIF(H$2:$H499,H499)=1,1,"")=1,SUMIF($H$2:$H$7997,H499,$S$2:$S$7997),"")</f>
        <v/>
      </c>
      <c r="W499">
        <v>2301149</v>
      </c>
      <c r="X499">
        <v>2301149</v>
      </c>
      <c r="Y499">
        <v>0</v>
      </c>
      <c r="Z499">
        <v>0</v>
      </c>
      <c r="AA499" s="2">
        <v>1</v>
      </c>
      <c r="AB499" s="2">
        <v>0</v>
      </c>
      <c r="AC499" s="2">
        <v>0</v>
      </c>
      <c r="AD499">
        <v>0</v>
      </c>
      <c r="AE499" t="s">
        <v>1862</v>
      </c>
      <c r="AF499">
        <v>36779.75</v>
      </c>
      <c r="AG499">
        <v>2263369</v>
      </c>
      <c r="AH499">
        <v>73559.490000000005</v>
      </c>
      <c r="AI499" s="1" t="s">
        <v>321</v>
      </c>
      <c r="AJ499">
        <v>94010910</v>
      </c>
      <c r="AK499" s="1" t="s">
        <v>1867</v>
      </c>
      <c r="AL499" t="s">
        <v>1950</v>
      </c>
      <c r="AN499" t="s">
        <v>2047</v>
      </c>
      <c r="AO499" t="s">
        <v>2067</v>
      </c>
      <c r="AP499" t="s">
        <v>2094</v>
      </c>
      <c r="AQ499">
        <v>128364</v>
      </c>
      <c r="AR499" s="3">
        <v>46203</v>
      </c>
      <c r="AS499" s="3">
        <v>46174</v>
      </c>
      <c r="AT499" s="3">
        <v>46203</v>
      </c>
      <c r="AU499" t="s">
        <v>2124</v>
      </c>
      <c r="AW499" s="3">
        <v>46208.53701449134</v>
      </c>
    </row>
    <row r="500" spans="1:49" ht="16" hidden="1" x14ac:dyDescent="0.2">
      <c r="A500" t="s">
        <v>57</v>
      </c>
      <c r="B500">
        <v>10462</v>
      </c>
      <c r="C500">
        <v>7225</v>
      </c>
      <c r="D500" t="s">
        <v>212</v>
      </c>
      <c r="E500" t="s">
        <v>400</v>
      </c>
      <c r="F500">
        <v>257634</v>
      </c>
      <c r="G500" t="s">
        <v>878</v>
      </c>
      <c r="H500">
        <v>583044</v>
      </c>
      <c r="I500" t="s">
        <v>1683</v>
      </c>
      <c r="J500">
        <v>583045</v>
      </c>
      <c r="K500" t="s">
        <v>1846</v>
      </c>
      <c r="L500" t="s">
        <v>1851</v>
      </c>
      <c r="M500" s="1">
        <v>0.18</v>
      </c>
      <c r="N500" t="s">
        <v>1858</v>
      </c>
      <c r="O500">
        <v>1157407500</v>
      </c>
      <c r="P500" s="1">
        <v>208333.35</v>
      </c>
      <c r="S500" s="6" t="str">
        <f t="shared" si="7"/>
        <v xml:space="preserve"> </v>
      </c>
      <c r="T500" s="6">
        <f>IF(IF(COUNTIF(H$2:$H500,H500)=1,1,"")=1,SUMIF($H$2:$H$7997,H500,$S$2:$S$7997),"")</f>
        <v>0</v>
      </c>
      <c r="W500">
        <v>0</v>
      </c>
      <c r="X500">
        <v>0</v>
      </c>
      <c r="Y500">
        <v>0</v>
      </c>
      <c r="Z500">
        <v>0</v>
      </c>
      <c r="AA500" s="2">
        <v>1</v>
      </c>
      <c r="AB500" s="2">
        <v>0</v>
      </c>
      <c r="AC500" s="2">
        <v>0</v>
      </c>
      <c r="AD500">
        <v>0</v>
      </c>
      <c r="AE500" t="s">
        <v>1864</v>
      </c>
      <c r="AF500">
        <v>208333.35</v>
      </c>
      <c r="AG500">
        <v>4629630</v>
      </c>
      <c r="AH500">
        <v>833333.4</v>
      </c>
      <c r="AI500" s="1" t="s">
        <v>400</v>
      </c>
      <c r="AJ500">
        <v>257634</v>
      </c>
      <c r="AK500" s="1" t="s">
        <v>1867</v>
      </c>
      <c r="AL500" t="s">
        <v>2009</v>
      </c>
      <c r="AN500" t="s">
        <v>2047</v>
      </c>
      <c r="AO500" t="s">
        <v>2067</v>
      </c>
      <c r="AP500" t="s">
        <v>2110</v>
      </c>
      <c r="AQ500">
        <v>128865</v>
      </c>
      <c r="AR500" s="3">
        <v>46203</v>
      </c>
      <c r="AS500" s="3">
        <v>46174</v>
      </c>
      <c r="AT500" s="3">
        <v>46222</v>
      </c>
      <c r="AU500" t="s">
        <v>2128</v>
      </c>
      <c r="AW500" s="3">
        <v>46208.53701449134</v>
      </c>
    </row>
    <row r="501" spans="1:49" ht="16" hidden="1" x14ac:dyDescent="0.2">
      <c r="A501" t="s">
        <v>57</v>
      </c>
      <c r="B501">
        <v>10462</v>
      </c>
      <c r="C501">
        <v>7225</v>
      </c>
      <c r="D501" t="s">
        <v>212</v>
      </c>
      <c r="E501" t="s">
        <v>400</v>
      </c>
      <c r="F501">
        <v>257634</v>
      </c>
      <c r="G501" t="s">
        <v>878</v>
      </c>
      <c r="H501">
        <v>583044</v>
      </c>
      <c r="I501" t="s">
        <v>1723</v>
      </c>
      <c r="J501">
        <v>583048</v>
      </c>
      <c r="K501" t="s">
        <v>1844</v>
      </c>
      <c r="L501" t="s">
        <v>1851</v>
      </c>
      <c r="M501" s="1">
        <v>0.18</v>
      </c>
      <c r="N501" t="s">
        <v>1858</v>
      </c>
      <c r="O501">
        <v>1157407278</v>
      </c>
      <c r="P501" s="1">
        <v>208333.31</v>
      </c>
      <c r="S501" s="6" t="str">
        <f t="shared" si="7"/>
        <v xml:space="preserve"> </v>
      </c>
      <c r="T501" s="6" t="str">
        <f>IF(IF(COUNTIF(H$2:$H501,H501)=1,1,"")=1,SUMIF($H$2:$H$7997,H501,$S$2:$S$7997),"")</f>
        <v/>
      </c>
      <c r="W501">
        <v>0</v>
      </c>
      <c r="X501">
        <v>0</v>
      </c>
      <c r="Y501">
        <v>0</v>
      </c>
      <c r="Z501">
        <v>0</v>
      </c>
      <c r="AA501" s="2">
        <v>1</v>
      </c>
      <c r="AB501" s="2">
        <v>0</v>
      </c>
      <c r="AC501" s="2">
        <v>0</v>
      </c>
      <c r="AD501">
        <v>0</v>
      </c>
      <c r="AE501" t="s">
        <v>1864</v>
      </c>
      <c r="AF501">
        <v>208333.31</v>
      </c>
      <c r="AG501">
        <v>4629629</v>
      </c>
      <c r="AH501">
        <v>833333.22</v>
      </c>
      <c r="AI501" s="1" t="s">
        <v>400</v>
      </c>
      <c r="AJ501">
        <v>257634</v>
      </c>
      <c r="AK501" s="1" t="s">
        <v>1867</v>
      </c>
      <c r="AL501" t="s">
        <v>2009</v>
      </c>
      <c r="AN501" t="s">
        <v>2047</v>
      </c>
      <c r="AO501" t="s">
        <v>2067</v>
      </c>
      <c r="AP501" t="s">
        <v>2107</v>
      </c>
      <c r="AQ501">
        <v>128865</v>
      </c>
      <c r="AR501" s="3">
        <v>46203</v>
      </c>
      <c r="AS501" s="3">
        <v>46174</v>
      </c>
      <c r="AT501" s="3">
        <v>46222</v>
      </c>
      <c r="AU501" t="s">
        <v>2127</v>
      </c>
      <c r="AW501" s="3">
        <v>46208.53701449134</v>
      </c>
    </row>
    <row r="502" spans="1:49" ht="16" hidden="1" x14ac:dyDescent="0.2">
      <c r="A502" t="s">
        <v>57</v>
      </c>
      <c r="B502">
        <v>10462</v>
      </c>
      <c r="C502">
        <v>7225</v>
      </c>
      <c r="D502" t="s">
        <v>212</v>
      </c>
      <c r="E502" t="s">
        <v>400</v>
      </c>
      <c r="F502">
        <v>257634</v>
      </c>
      <c r="G502" t="s">
        <v>878</v>
      </c>
      <c r="H502">
        <v>583044</v>
      </c>
      <c r="I502" t="s">
        <v>1765</v>
      </c>
      <c r="J502">
        <v>583047</v>
      </c>
      <c r="K502" t="s">
        <v>1835</v>
      </c>
      <c r="L502" t="s">
        <v>1851</v>
      </c>
      <c r="M502" s="1">
        <v>0.18</v>
      </c>
      <c r="N502" t="s">
        <v>1858</v>
      </c>
      <c r="O502">
        <v>1157407500</v>
      </c>
      <c r="P502" s="1">
        <v>208333.35</v>
      </c>
      <c r="S502" s="6" t="str">
        <f t="shared" si="7"/>
        <v xml:space="preserve"> </v>
      </c>
      <c r="T502" s="6" t="str">
        <f>IF(IF(COUNTIF(H$2:$H502,H502)=1,1,"")=1,SUMIF($H$2:$H$7997,H502,$S$2:$S$7997),"")</f>
        <v/>
      </c>
      <c r="W502">
        <v>0</v>
      </c>
      <c r="X502">
        <v>0</v>
      </c>
      <c r="Y502">
        <v>0</v>
      </c>
      <c r="Z502">
        <v>0</v>
      </c>
      <c r="AA502" s="2">
        <v>1</v>
      </c>
      <c r="AB502" s="2">
        <v>0</v>
      </c>
      <c r="AC502" s="2">
        <v>0</v>
      </c>
      <c r="AD502">
        <v>0</v>
      </c>
      <c r="AE502" t="s">
        <v>1864</v>
      </c>
      <c r="AF502">
        <v>208333.35</v>
      </c>
      <c r="AG502">
        <v>4629630</v>
      </c>
      <c r="AH502">
        <v>833333.4</v>
      </c>
      <c r="AI502" s="1" t="s">
        <v>400</v>
      </c>
      <c r="AJ502">
        <v>257634</v>
      </c>
      <c r="AK502" s="1" t="s">
        <v>1867</v>
      </c>
      <c r="AL502" t="s">
        <v>2009</v>
      </c>
      <c r="AN502" t="s">
        <v>2047</v>
      </c>
      <c r="AO502" t="s">
        <v>2067</v>
      </c>
      <c r="AP502" t="s">
        <v>2109</v>
      </c>
      <c r="AQ502">
        <v>128865</v>
      </c>
      <c r="AR502" s="3">
        <v>46203</v>
      </c>
      <c r="AS502" s="3">
        <v>46174</v>
      </c>
      <c r="AT502" s="3">
        <v>46222</v>
      </c>
      <c r="AU502" t="s">
        <v>2129</v>
      </c>
      <c r="AW502" s="3">
        <v>46208.53701449134</v>
      </c>
    </row>
    <row r="503" spans="1:49" ht="16" hidden="1" x14ac:dyDescent="0.2">
      <c r="A503" t="s">
        <v>57</v>
      </c>
      <c r="B503">
        <v>10462</v>
      </c>
      <c r="C503">
        <v>7225</v>
      </c>
      <c r="D503" t="s">
        <v>212</v>
      </c>
      <c r="E503" t="s">
        <v>400</v>
      </c>
      <c r="F503">
        <v>257634</v>
      </c>
      <c r="G503" t="s">
        <v>853</v>
      </c>
      <c r="H503">
        <v>591653</v>
      </c>
      <c r="I503" t="s">
        <v>1649</v>
      </c>
      <c r="J503">
        <v>591655</v>
      </c>
      <c r="K503" t="s">
        <v>1847</v>
      </c>
      <c r="L503" t="s">
        <v>1851</v>
      </c>
      <c r="M503" s="1">
        <v>0.03</v>
      </c>
      <c r="N503" t="s">
        <v>1858</v>
      </c>
      <c r="O503">
        <v>4166666667</v>
      </c>
      <c r="P503" s="1">
        <v>125000</v>
      </c>
      <c r="S503" s="6" t="str">
        <f t="shared" si="7"/>
        <v xml:space="preserve"> </v>
      </c>
      <c r="T503" s="6">
        <f>IF(IF(COUNTIF(H$2:$H503,H503)=1,1,"")=1,SUMIF($H$2:$H$7997,H503,$S$2:$S$7997),"")</f>
        <v>0</v>
      </c>
      <c r="W503">
        <v>0</v>
      </c>
      <c r="X503">
        <v>0</v>
      </c>
      <c r="Y503">
        <v>0</v>
      </c>
      <c r="Z503">
        <v>0</v>
      </c>
      <c r="AA503" s="2">
        <v>1</v>
      </c>
      <c r="AB503" s="2">
        <v>0</v>
      </c>
      <c r="AC503" s="2">
        <v>0</v>
      </c>
      <c r="AD503">
        <v>0</v>
      </c>
      <c r="AE503" t="s">
        <v>1864</v>
      </c>
      <c r="AF503">
        <v>125000</v>
      </c>
      <c r="AG503">
        <v>16666667</v>
      </c>
      <c r="AH503">
        <v>500000.01</v>
      </c>
      <c r="AI503" s="1" t="s">
        <v>400</v>
      </c>
      <c r="AJ503">
        <v>257634</v>
      </c>
      <c r="AK503" s="1" t="s">
        <v>1867</v>
      </c>
      <c r="AL503" t="s">
        <v>2009</v>
      </c>
      <c r="AN503" t="s">
        <v>2047</v>
      </c>
      <c r="AO503" t="s">
        <v>2067</v>
      </c>
      <c r="AP503" t="s">
        <v>2112</v>
      </c>
      <c r="AQ503">
        <v>128865</v>
      </c>
      <c r="AR503" s="3">
        <v>46203</v>
      </c>
      <c r="AS503" s="3">
        <v>46174</v>
      </c>
      <c r="AT503" s="3">
        <v>46222</v>
      </c>
      <c r="AU503" t="s">
        <v>2130</v>
      </c>
      <c r="AW503" s="3">
        <v>46208.53701449134</v>
      </c>
    </row>
    <row r="504" spans="1:49" ht="16" hidden="1" x14ac:dyDescent="0.2">
      <c r="A504" t="s">
        <v>57</v>
      </c>
      <c r="B504">
        <v>10462</v>
      </c>
      <c r="C504">
        <v>7225</v>
      </c>
      <c r="D504" t="s">
        <v>212</v>
      </c>
      <c r="E504" t="s">
        <v>400</v>
      </c>
      <c r="F504">
        <v>257634</v>
      </c>
      <c r="G504" t="s">
        <v>742</v>
      </c>
      <c r="H504">
        <v>593311</v>
      </c>
      <c r="I504" t="s">
        <v>1438</v>
      </c>
      <c r="J504">
        <v>94723813</v>
      </c>
      <c r="K504" t="s">
        <v>1839</v>
      </c>
      <c r="L504" t="s">
        <v>1851</v>
      </c>
      <c r="M504" s="1">
        <v>40</v>
      </c>
      <c r="N504" t="s">
        <v>1858</v>
      </c>
      <c r="O504">
        <v>437500</v>
      </c>
      <c r="P504" s="1">
        <v>17500</v>
      </c>
      <c r="S504" s="6" t="str">
        <f t="shared" si="7"/>
        <v xml:space="preserve"> </v>
      </c>
      <c r="T504" s="6">
        <f>IF(IF(COUNTIF(H$2:$H504,H504)=1,1,"")=1,SUMIF($H$2:$H$7997,H504,$S$2:$S$7997),"")</f>
        <v>0</v>
      </c>
      <c r="W504">
        <v>1161741</v>
      </c>
      <c r="X504">
        <v>1161741</v>
      </c>
      <c r="Y504">
        <v>0</v>
      </c>
      <c r="Z504">
        <v>0</v>
      </c>
      <c r="AA504" s="2">
        <v>1</v>
      </c>
      <c r="AB504" s="2">
        <v>0</v>
      </c>
      <c r="AC504" s="2">
        <v>0</v>
      </c>
      <c r="AD504">
        <v>0</v>
      </c>
      <c r="AE504" t="s">
        <v>1864</v>
      </c>
      <c r="AF504">
        <v>17500</v>
      </c>
      <c r="AG504">
        <v>1750000</v>
      </c>
      <c r="AH504">
        <v>70000</v>
      </c>
      <c r="AI504" s="1" t="s">
        <v>400</v>
      </c>
      <c r="AJ504">
        <v>94723810</v>
      </c>
      <c r="AK504" s="1" t="s">
        <v>1867</v>
      </c>
      <c r="AL504" t="s">
        <v>2009</v>
      </c>
      <c r="AN504" t="s">
        <v>2047</v>
      </c>
      <c r="AO504" t="s">
        <v>2067</v>
      </c>
      <c r="AP504" t="s">
        <v>2094</v>
      </c>
      <c r="AQ504">
        <v>128865</v>
      </c>
      <c r="AR504" s="3">
        <v>46203</v>
      </c>
      <c r="AS504" s="3">
        <v>46184</v>
      </c>
      <c r="AT504" s="3">
        <v>46222</v>
      </c>
      <c r="AU504" t="s">
        <v>2124</v>
      </c>
      <c r="AW504" s="3">
        <v>46208.53701449134</v>
      </c>
    </row>
    <row r="505" spans="1:49" ht="16" hidden="1" x14ac:dyDescent="0.2">
      <c r="A505" t="s">
        <v>57</v>
      </c>
      <c r="B505">
        <v>10462</v>
      </c>
      <c r="C505">
        <v>7225</v>
      </c>
      <c r="D505" t="s">
        <v>212</v>
      </c>
      <c r="E505" t="s">
        <v>400</v>
      </c>
      <c r="F505">
        <v>257634</v>
      </c>
      <c r="G505" t="s">
        <v>742</v>
      </c>
      <c r="H505">
        <v>593311</v>
      </c>
      <c r="I505" t="s">
        <v>1439</v>
      </c>
      <c r="J505">
        <v>94723816</v>
      </c>
      <c r="K505" t="s">
        <v>1835</v>
      </c>
      <c r="L505" t="s">
        <v>1851</v>
      </c>
      <c r="M505" s="1">
        <v>40</v>
      </c>
      <c r="N505" t="s">
        <v>1858</v>
      </c>
      <c r="O505">
        <v>187500</v>
      </c>
      <c r="P505" s="1">
        <v>7500</v>
      </c>
      <c r="S505" s="6" t="str">
        <f t="shared" si="7"/>
        <v xml:space="preserve"> </v>
      </c>
      <c r="T505" s="6" t="str">
        <f>IF(IF(COUNTIF(H$2:$H505,H505)=1,1,"")=1,SUMIF($H$2:$H$7997,H505,$S$2:$S$7997),"")</f>
        <v/>
      </c>
      <c r="W505">
        <v>509619</v>
      </c>
      <c r="X505">
        <v>509619</v>
      </c>
      <c r="Y505">
        <v>0</v>
      </c>
      <c r="Z505">
        <v>0</v>
      </c>
      <c r="AA505" s="2">
        <v>1</v>
      </c>
      <c r="AB505" s="2">
        <v>0</v>
      </c>
      <c r="AC505" s="2">
        <v>0</v>
      </c>
      <c r="AD505">
        <v>0</v>
      </c>
      <c r="AE505" t="s">
        <v>1864</v>
      </c>
      <c r="AF505">
        <v>7500</v>
      </c>
      <c r="AG505">
        <v>750000</v>
      </c>
      <c r="AH505">
        <v>30000</v>
      </c>
      <c r="AI505" s="1" t="s">
        <v>400</v>
      </c>
      <c r="AJ505">
        <v>94723810</v>
      </c>
      <c r="AK505" s="1" t="s">
        <v>1867</v>
      </c>
      <c r="AL505" t="s">
        <v>2009</v>
      </c>
      <c r="AN505" t="s">
        <v>2047</v>
      </c>
      <c r="AO505" t="s">
        <v>2067</v>
      </c>
      <c r="AP505" t="s">
        <v>2092</v>
      </c>
      <c r="AQ505">
        <v>128865</v>
      </c>
      <c r="AR505" s="3">
        <v>46203</v>
      </c>
      <c r="AS505" s="3">
        <v>46184</v>
      </c>
      <c r="AT505" s="3">
        <v>46222</v>
      </c>
      <c r="AU505" t="s">
        <v>2123</v>
      </c>
      <c r="AW505" s="3">
        <v>46208.53701449134</v>
      </c>
    </row>
    <row r="506" spans="1:49" ht="16" hidden="1" x14ac:dyDescent="0.2">
      <c r="A506" t="s">
        <v>91</v>
      </c>
      <c r="B506">
        <v>11248</v>
      </c>
      <c r="C506">
        <v>7228</v>
      </c>
      <c r="D506" t="s">
        <v>169</v>
      </c>
      <c r="E506" t="s">
        <v>313</v>
      </c>
      <c r="F506">
        <v>259151</v>
      </c>
      <c r="G506" t="s">
        <v>580</v>
      </c>
      <c r="H506">
        <v>582272</v>
      </c>
      <c r="I506" t="s">
        <v>1141</v>
      </c>
      <c r="J506">
        <v>93989562</v>
      </c>
      <c r="K506" t="s">
        <v>1839</v>
      </c>
      <c r="L506" t="s">
        <v>1850</v>
      </c>
      <c r="M506" s="1">
        <v>40</v>
      </c>
      <c r="N506" t="s">
        <v>23</v>
      </c>
      <c r="O506">
        <v>3024024</v>
      </c>
      <c r="P506" s="1">
        <v>120960.96000000001</v>
      </c>
      <c r="S506" s="6" t="str">
        <f t="shared" si="7"/>
        <v xml:space="preserve"> </v>
      </c>
      <c r="T506" s="6">
        <f>IF(IF(COUNTIF(H$2:$H506,H506)=1,1,"")=1,SUMIF($H$2:$H$7997,H506,$S$2:$S$7997),"")</f>
        <v>0</v>
      </c>
      <c r="W506">
        <v>3024024</v>
      </c>
      <c r="X506">
        <v>3024024</v>
      </c>
      <c r="Y506">
        <v>0</v>
      </c>
      <c r="Z506">
        <v>0</v>
      </c>
      <c r="AA506" s="2">
        <v>1</v>
      </c>
      <c r="AB506" s="2">
        <v>0</v>
      </c>
      <c r="AC506" s="2">
        <v>0</v>
      </c>
      <c r="AD506">
        <v>0</v>
      </c>
      <c r="AE506" t="s">
        <v>1862</v>
      </c>
      <c r="AF506">
        <v>60957.81</v>
      </c>
      <c r="AG506">
        <v>4567500</v>
      </c>
      <c r="AH506">
        <v>182700</v>
      </c>
      <c r="AI506" s="1" t="s">
        <v>313</v>
      </c>
      <c r="AJ506">
        <v>93989552</v>
      </c>
      <c r="AK506" s="1" t="s">
        <v>1867</v>
      </c>
      <c r="AL506" t="s">
        <v>1944</v>
      </c>
      <c r="AN506" t="s">
        <v>2054</v>
      </c>
      <c r="AO506" t="s">
        <v>2067</v>
      </c>
      <c r="AP506" t="s">
        <v>2094</v>
      </c>
      <c r="AQ506">
        <v>128169</v>
      </c>
      <c r="AR506" s="3">
        <v>46203</v>
      </c>
      <c r="AS506" s="3">
        <v>46184</v>
      </c>
      <c r="AT506" s="3">
        <v>46222</v>
      </c>
      <c r="AU506" t="s">
        <v>2124</v>
      </c>
      <c r="AW506" s="3">
        <v>46208.53701449134</v>
      </c>
    </row>
    <row r="507" spans="1:49" ht="16" hidden="1" x14ac:dyDescent="0.2">
      <c r="A507" t="s">
        <v>91</v>
      </c>
      <c r="B507">
        <v>11248</v>
      </c>
      <c r="C507">
        <v>7228</v>
      </c>
      <c r="D507" t="s">
        <v>169</v>
      </c>
      <c r="E507" t="s">
        <v>313</v>
      </c>
      <c r="F507">
        <v>259151</v>
      </c>
      <c r="G507" t="s">
        <v>580</v>
      </c>
      <c r="H507">
        <v>582272</v>
      </c>
      <c r="I507" t="s">
        <v>1139</v>
      </c>
      <c r="J507">
        <v>93989555</v>
      </c>
      <c r="K507" t="s">
        <v>1835</v>
      </c>
      <c r="L507" t="s">
        <v>1850</v>
      </c>
      <c r="M507" s="1">
        <v>40</v>
      </c>
      <c r="N507" t="s">
        <v>23</v>
      </c>
      <c r="O507">
        <v>1330105</v>
      </c>
      <c r="P507" s="1">
        <v>53204.2</v>
      </c>
      <c r="S507" s="6" t="str">
        <f t="shared" si="7"/>
        <v xml:space="preserve"> </v>
      </c>
      <c r="T507" s="6" t="str">
        <f>IF(IF(COUNTIF(H$2:$H507,H507)=1,1,"")=1,SUMIF($H$2:$H$7997,H507,$S$2:$S$7997),"")</f>
        <v/>
      </c>
      <c r="W507">
        <v>1330105</v>
      </c>
      <c r="X507">
        <v>1330105</v>
      </c>
      <c r="Y507">
        <v>0</v>
      </c>
      <c r="Z507">
        <v>0</v>
      </c>
      <c r="AA507" s="2">
        <v>1</v>
      </c>
      <c r="AB507" s="2">
        <v>0</v>
      </c>
      <c r="AC507" s="2">
        <v>0</v>
      </c>
      <c r="AD507">
        <v>0</v>
      </c>
      <c r="AE507" t="s">
        <v>1862</v>
      </c>
      <c r="AF507">
        <v>26124.77</v>
      </c>
      <c r="AG507">
        <v>1957500</v>
      </c>
      <c r="AH507">
        <v>78300</v>
      </c>
      <c r="AI507" s="1" t="s">
        <v>313</v>
      </c>
      <c r="AJ507">
        <v>93989552</v>
      </c>
      <c r="AK507" s="1" t="s">
        <v>1867</v>
      </c>
      <c r="AL507" t="s">
        <v>1944</v>
      </c>
      <c r="AN507" t="s">
        <v>2054</v>
      </c>
      <c r="AO507" t="s">
        <v>2067</v>
      </c>
      <c r="AP507" t="s">
        <v>2092</v>
      </c>
      <c r="AQ507">
        <v>128169</v>
      </c>
      <c r="AR507" s="3">
        <v>46203</v>
      </c>
      <c r="AS507" s="3">
        <v>46184</v>
      </c>
      <c r="AT507" s="3">
        <v>46222</v>
      </c>
      <c r="AU507" t="s">
        <v>2123</v>
      </c>
      <c r="AW507" s="3">
        <v>46208.53701449134</v>
      </c>
    </row>
    <row r="508" spans="1:49" ht="16" hidden="1" x14ac:dyDescent="0.2">
      <c r="A508" t="s">
        <v>91</v>
      </c>
      <c r="B508">
        <v>11248</v>
      </c>
      <c r="C508">
        <v>7228</v>
      </c>
      <c r="D508" t="s">
        <v>169</v>
      </c>
      <c r="E508" t="s">
        <v>313</v>
      </c>
      <c r="F508">
        <v>259151</v>
      </c>
      <c r="G508" t="s">
        <v>787</v>
      </c>
      <c r="H508">
        <v>582287</v>
      </c>
      <c r="I508" t="s">
        <v>1545</v>
      </c>
      <c r="J508">
        <v>7310446981</v>
      </c>
      <c r="K508" t="s">
        <v>1835</v>
      </c>
      <c r="L508" t="s">
        <v>1851</v>
      </c>
      <c r="M508" s="1">
        <v>0</v>
      </c>
      <c r="N508" t="s">
        <v>1858</v>
      </c>
      <c r="O508">
        <v>0</v>
      </c>
      <c r="P508" s="1">
        <v>0</v>
      </c>
      <c r="S508" s="6" t="str">
        <f t="shared" si="7"/>
        <v xml:space="preserve"> </v>
      </c>
      <c r="T508" s="6">
        <f>IF(IF(COUNTIF(H$2:$H508,H508)=1,1,"")=1,SUMIF($H$2:$H$7997,H508,$S$2:$S$7997),"")</f>
        <v>0</v>
      </c>
      <c r="W508">
        <v>0</v>
      </c>
      <c r="X508">
        <v>0</v>
      </c>
      <c r="Y508">
        <v>0</v>
      </c>
      <c r="Z508">
        <v>0</v>
      </c>
      <c r="AA508" s="2">
        <v>1</v>
      </c>
      <c r="AB508" s="2">
        <v>0</v>
      </c>
      <c r="AC508" s="2">
        <v>0</v>
      </c>
      <c r="AD508">
        <v>0</v>
      </c>
      <c r="AE508" t="s">
        <v>1863</v>
      </c>
      <c r="AF508">
        <v>0</v>
      </c>
      <c r="AG508">
        <v>1</v>
      </c>
      <c r="AH508">
        <v>0</v>
      </c>
      <c r="AI508" s="1" t="s">
        <v>313</v>
      </c>
      <c r="AJ508">
        <v>259151</v>
      </c>
      <c r="AK508" s="1" t="s">
        <v>1867</v>
      </c>
      <c r="AL508" t="s">
        <v>1944</v>
      </c>
      <c r="AN508" t="s">
        <v>2054</v>
      </c>
      <c r="AO508" t="s">
        <v>2067</v>
      </c>
      <c r="AP508" t="s">
        <v>2105</v>
      </c>
      <c r="AQ508">
        <v>128169</v>
      </c>
      <c r="AR508" s="3">
        <v>46203</v>
      </c>
      <c r="AS508" s="3">
        <v>46197</v>
      </c>
      <c r="AT508" s="3">
        <v>46197</v>
      </c>
      <c r="AU508" t="s">
        <v>2126</v>
      </c>
      <c r="AW508" s="3">
        <v>46208.53701449134</v>
      </c>
    </row>
    <row r="509" spans="1:49" ht="16" hidden="1" x14ac:dyDescent="0.2">
      <c r="A509" t="s">
        <v>91</v>
      </c>
      <c r="B509">
        <v>11248</v>
      </c>
      <c r="C509">
        <v>7228</v>
      </c>
      <c r="D509" t="s">
        <v>169</v>
      </c>
      <c r="E509" t="s">
        <v>313</v>
      </c>
      <c r="F509">
        <v>259151</v>
      </c>
      <c r="G509" t="s">
        <v>787</v>
      </c>
      <c r="H509">
        <v>582287</v>
      </c>
      <c r="I509" t="s">
        <v>1540</v>
      </c>
      <c r="J509">
        <v>7308659412</v>
      </c>
      <c r="K509" t="s">
        <v>1835</v>
      </c>
      <c r="L509" t="s">
        <v>1851</v>
      </c>
      <c r="M509" s="1">
        <v>51000</v>
      </c>
      <c r="N509" t="s">
        <v>1858</v>
      </c>
      <c r="O509">
        <v>500</v>
      </c>
      <c r="P509" s="1">
        <v>25500</v>
      </c>
      <c r="S509" s="6" t="str">
        <f t="shared" si="7"/>
        <v xml:space="preserve"> </v>
      </c>
      <c r="T509" s="6" t="str">
        <f>IF(IF(COUNTIF(H$2:$H509,H509)=1,1,"")=1,SUMIF($H$2:$H$7997,H509,$S$2:$S$7997),"")</f>
        <v/>
      </c>
      <c r="W509">
        <v>0</v>
      </c>
      <c r="X509">
        <v>0</v>
      </c>
      <c r="Y509">
        <v>0</v>
      </c>
      <c r="Z509">
        <v>0</v>
      </c>
      <c r="AA509" s="2">
        <v>1</v>
      </c>
      <c r="AB509" s="2">
        <v>0</v>
      </c>
      <c r="AC509" s="2">
        <v>0</v>
      </c>
      <c r="AD509">
        <v>0</v>
      </c>
      <c r="AE509" t="s">
        <v>1863</v>
      </c>
      <c r="AF509">
        <v>25500</v>
      </c>
      <c r="AG509">
        <v>1</v>
      </c>
      <c r="AH509">
        <v>51000</v>
      </c>
      <c r="AI509" s="1" t="s">
        <v>313</v>
      </c>
      <c r="AJ509">
        <v>259151</v>
      </c>
      <c r="AK509" s="1" t="s">
        <v>1867</v>
      </c>
      <c r="AL509" t="s">
        <v>1944</v>
      </c>
      <c r="AN509" t="s">
        <v>2054</v>
      </c>
      <c r="AO509" t="s">
        <v>2067</v>
      </c>
      <c r="AP509" t="s">
        <v>2104</v>
      </c>
      <c r="AQ509">
        <v>128169</v>
      </c>
      <c r="AR509" s="3">
        <v>46203</v>
      </c>
      <c r="AS509" s="3">
        <v>46197</v>
      </c>
      <c r="AT509" s="3">
        <v>46197</v>
      </c>
      <c r="AU509" t="s">
        <v>2126</v>
      </c>
      <c r="AW509" s="3">
        <v>46208.53701449134</v>
      </c>
    </row>
    <row r="510" spans="1:49" ht="16" hidden="1" x14ac:dyDescent="0.2">
      <c r="A510" t="s">
        <v>91</v>
      </c>
      <c r="B510">
        <v>11248</v>
      </c>
      <c r="C510">
        <v>7228</v>
      </c>
      <c r="D510" t="s">
        <v>169</v>
      </c>
      <c r="E510" t="s">
        <v>313</v>
      </c>
      <c r="F510">
        <v>259151</v>
      </c>
      <c r="G510" t="s">
        <v>787</v>
      </c>
      <c r="H510">
        <v>582287</v>
      </c>
      <c r="I510" t="s">
        <v>1548</v>
      </c>
      <c r="J510">
        <v>7311170818</v>
      </c>
      <c r="K510" t="s">
        <v>1835</v>
      </c>
      <c r="L510" t="s">
        <v>1851</v>
      </c>
      <c r="M510" s="1">
        <v>51000</v>
      </c>
      <c r="N510" t="s">
        <v>1858</v>
      </c>
      <c r="O510">
        <v>500</v>
      </c>
      <c r="P510" s="1">
        <v>25500</v>
      </c>
      <c r="S510" s="6" t="str">
        <f t="shared" si="7"/>
        <v xml:space="preserve"> </v>
      </c>
      <c r="T510" s="6" t="str">
        <f>IF(IF(COUNTIF(H$2:$H510,H510)=1,1,"")=1,SUMIF($H$2:$H$7997,H510,$S$2:$S$7997),"")</f>
        <v/>
      </c>
      <c r="W510">
        <v>0</v>
      </c>
      <c r="X510">
        <v>0</v>
      </c>
      <c r="Y510">
        <v>0</v>
      </c>
      <c r="Z510">
        <v>0</v>
      </c>
      <c r="AA510" s="2">
        <v>1</v>
      </c>
      <c r="AB510" s="2">
        <v>0</v>
      </c>
      <c r="AC510" s="2">
        <v>0</v>
      </c>
      <c r="AD510">
        <v>0</v>
      </c>
      <c r="AE510" t="s">
        <v>1863</v>
      </c>
      <c r="AF510">
        <v>25500</v>
      </c>
      <c r="AG510">
        <v>1</v>
      </c>
      <c r="AH510">
        <v>51000</v>
      </c>
      <c r="AI510" s="1" t="s">
        <v>313</v>
      </c>
      <c r="AJ510">
        <v>259151</v>
      </c>
      <c r="AK510" s="1" t="s">
        <v>1867</v>
      </c>
      <c r="AL510" t="s">
        <v>1944</v>
      </c>
      <c r="AN510" t="s">
        <v>2054</v>
      </c>
      <c r="AO510" t="s">
        <v>2067</v>
      </c>
      <c r="AP510" t="s">
        <v>2104</v>
      </c>
      <c r="AQ510">
        <v>128169</v>
      </c>
      <c r="AR510" s="3">
        <v>46203</v>
      </c>
      <c r="AS510" s="3">
        <v>46197</v>
      </c>
      <c r="AT510" s="3">
        <v>46197</v>
      </c>
      <c r="AU510" t="s">
        <v>2126</v>
      </c>
      <c r="AW510" s="3">
        <v>46208.53701449134</v>
      </c>
    </row>
    <row r="511" spans="1:49" ht="16" hidden="1" x14ac:dyDescent="0.2">
      <c r="A511" t="s">
        <v>91</v>
      </c>
      <c r="B511">
        <v>11248</v>
      </c>
      <c r="C511">
        <v>7228</v>
      </c>
      <c r="D511" t="s">
        <v>169</v>
      </c>
      <c r="E511" t="s">
        <v>313</v>
      </c>
      <c r="F511">
        <v>259151</v>
      </c>
      <c r="G511" t="s">
        <v>787</v>
      </c>
      <c r="H511">
        <v>582287</v>
      </c>
      <c r="I511" t="s">
        <v>1539</v>
      </c>
      <c r="J511">
        <v>7308659406</v>
      </c>
      <c r="K511" t="s">
        <v>1835</v>
      </c>
      <c r="L511" t="s">
        <v>1851</v>
      </c>
      <c r="M511" s="1">
        <v>51000</v>
      </c>
      <c r="N511" t="s">
        <v>1858</v>
      </c>
      <c r="O511">
        <v>500</v>
      </c>
      <c r="P511" s="1">
        <v>25500</v>
      </c>
      <c r="S511" s="6" t="str">
        <f t="shared" si="7"/>
        <v xml:space="preserve"> </v>
      </c>
      <c r="T511" s="6" t="str">
        <f>IF(IF(COUNTIF(H$2:$H511,H511)=1,1,"")=1,SUMIF($H$2:$H$7997,H511,$S$2:$S$7997),"")</f>
        <v/>
      </c>
      <c r="W511">
        <v>0</v>
      </c>
      <c r="X511">
        <v>0</v>
      </c>
      <c r="Y511">
        <v>0</v>
      </c>
      <c r="Z511">
        <v>0</v>
      </c>
      <c r="AA511" s="2">
        <v>1</v>
      </c>
      <c r="AB511" s="2">
        <v>0</v>
      </c>
      <c r="AC511" s="2">
        <v>0</v>
      </c>
      <c r="AD511">
        <v>0</v>
      </c>
      <c r="AE511" t="s">
        <v>1863</v>
      </c>
      <c r="AF511">
        <v>25500</v>
      </c>
      <c r="AG511">
        <v>1</v>
      </c>
      <c r="AH511">
        <v>51000</v>
      </c>
      <c r="AI511" s="1" t="s">
        <v>313</v>
      </c>
      <c r="AJ511">
        <v>259151</v>
      </c>
      <c r="AK511" s="1" t="s">
        <v>1867</v>
      </c>
      <c r="AL511" t="s">
        <v>1944</v>
      </c>
      <c r="AN511" t="s">
        <v>2054</v>
      </c>
      <c r="AO511" t="s">
        <v>2067</v>
      </c>
      <c r="AP511" t="s">
        <v>2104</v>
      </c>
      <c r="AQ511">
        <v>128169</v>
      </c>
      <c r="AR511" s="3">
        <v>46203</v>
      </c>
      <c r="AS511" s="3">
        <v>46197</v>
      </c>
      <c r="AT511" s="3">
        <v>46197</v>
      </c>
      <c r="AU511" t="s">
        <v>2126</v>
      </c>
      <c r="AW511" s="3">
        <v>46208.53701449134</v>
      </c>
    </row>
    <row r="512" spans="1:49" ht="16" hidden="1" x14ac:dyDescent="0.2">
      <c r="A512" t="s">
        <v>91</v>
      </c>
      <c r="B512">
        <v>11248</v>
      </c>
      <c r="C512">
        <v>7228</v>
      </c>
      <c r="D512" t="s">
        <v>169</v>
      </c>
      <c r="E512" t="s">
        <v>313</v>
      </c>
      <c r="F512">
        <v>259151</v>
      </c>
      <c r="G512" t="s">
        <v>787</v>
      </c>
      <c r="H512">
        <v>582287</v>
      </c>
      <c r="I512" t="s">
        <v>1541</v>
      </c>
      <c r="J512">
        <v>7308660393</v>
      </c>
      <c r="K512" t="s">
        <v>1835</v>
      </c>
      <c r="L512" t="s">
        <v>1851</v>
      </c>
      <c r="M512" s="1">
        <v>51000</v>
      </c>
      <c r="N512" t="s">
        <v>1858</v>
      </c>
      <c r="O512">
        <v>500</v>
      </c>
      <c r="P512" s="1">
        <v>25500</v>
      </c>
      <c r="S512" s="6" t="str">
        <f t="shared" si="7"/>
        <v xml:space="preserve"> </v>
      </c>
      <c r="T512" s="6" t="str">
        <f>IF(IF(COUNTIF(H$2:$H512,H512)=1,1,"")=1,SUMIF($H$2:$H$7997,H512,$S$2:$S$7997),"")</f>
        <v/>
      </c>
      <c r="W512">
        <v>0</v>
      </c>
      <c r="X512">
        <v>0</v>
      </c>
      <c r="Y512">
        <v>0</v>
      </c>
      <c r="Z512">
        <v>0</v>
      </c>
      <c r="AA512" s="2">
        <v>1</v>
      </c>
      <c r="AB512" s="2">
        <v>0</v>
      </c>
      <c r="AC512" s="2">
        <v>0</v>
      </c>
      <c r="AD512">
        <v>0</v>
      </c>
      <c r="AE512" t="s">
        <v>1863</v>
      </c>
      <c r="AF512">
        <v>25500</v>
      </c>
      <c r="AG512">
        <v>1</v>
      </c>
      <c r="AH512">
        <v>51000</v>
      </c>
      <c r="AI512" s="1" t="s">
        <v>313</v>
      </c>
      <c r="AJ512">
        <v>259151</v>
      </c>
      <c r="AK512" s="1" t="s">
        <v>1867</v>
      </c>
      <c r="AL512" t="s">
        <v>1944</v>
      </c>
      <c r="AN512" t="s">
        <v>2054</v>
      </c>
      <c r="AO512" t="s">
        <v>2067</v>
      </c>
      <c r="AP512" t="s">
        <v>2104</v>
      </c>
      <c r="AQ512">
        <v>128169</v>
      </c>
      <c r="AR512" s="3">
        <v>46203</v>
      </c>
      <c r="AS512" s="3">
        <v>46197</v>
      </c>
      <c r="AT512" s="3">
        <v>46197</v>
      </c>
      <c r="AU512" t="s">
        <v>2126</v>
      </c>
      <c r="AW512" s="3">
        <v>46208.53701449134</v>
      </c>
    </row>
    <row r="513" spans="1:49" ht="16" hidden="1" x14ac:dyDescent="0.2">
      <c r="A513" t="s">
        <v>91</v>
      </c>
      <c r="B513">
        <v>11248</v>
      </c>
      <c r="C513">
        <v>7228</v>
      </c>
      <c r="D513" t="s">
        <v>169</v>
      </c>
      <c r="E513" t="s">
        <v>313</v>
      </c>
      <c r="F513">
        <v>259151</v>
      </c>
      <c r="G513" t="s">
        <v>787</v>
      </c>
      <c r="H513">
        <v>582287</v>
      </c>
      <c r="I513" t="s">
        <v>1533</v>
      </c>
      <c r="J513">
        <v>7307911098</v>
      </c>
      <c r="K513" t="s">
        <v>1835</v>
      </c>
      <c r="L513" t="s">
        <v>1851</v>
      </c>
      <c r="M513" s="1">
        <v>51000</v>
      </c>
      <c r="N513" t="s">
        <v>1858</v>
      </c>
      <c r="O513">
        <v>500</v>
      </c>
      <c r="P513" s="1">
        <v>25500</v>
      </c>
      <c r="S513" s="6" t="str">
        <f t="shared" si="7"/>
        <v xml:space="preserve"> </v>
      </c>
      <c r="T513" s="6" t="str">
        <f>IF(IF(COUNTIF(H$2:$H513,H513)=1,1,"")=1,SUMIF($H$2:$H$7997,H513,$S$2:$S$7997),"")</f>
        <v/>
      </c>
      <c r="W513">
        <v>0</v>
      </c>
      <c r="X513">
        <v>0</v>
      </c>
      <c r="Y513">
        <v>0</v>
      </c>
      <c r="Z513">
        <v>0</v>
      </c>
      <c r="AA513" s="2">
        <v>1</v>
      </c>
      <c r="AB513" s="2">
        <v>0</v>
      </c>
      <c r="AC513" s="2">
        <v>0</v>
      </c>
      <c r="AD513">
        <v>0</v>
      </c>
      <c r="AE513" t="s">
        <v>1863</v>
      </c>
      <c r="AF513">
        <v>25500</v>
      </c>
      <c r="AG513">
        <v>1</v>
      </c>
      <c r="AH513">
        <v>51000</v>
      </c>
      <c r="AI513" s="1" t="s">
        <v>313</v>
      </c>
      <c r="AJ513">
        <v>259151</v>
      </c>
      <c r="AK513" s="1" t="s">
        <v>1867</v>
      </c>
      <c r="AL513" t="s">
        <v>1944</v>
      </c>
      <c r="AN513" t="s">
        <v>2054</v>
      </c>
      <c r="AO513" t="s">
        <v>2067</v>
      </c>
      <c r="AP513" t="s">
        <v>2106</v>
      </c>
      <c r="AQ513">
        <v>128169</v>
      </c>
      <c r="AR513" s="3">
        <v>46203</v>
      </c>
      <c r="AS513" s="3">
        <v>46197</v>
      </c>
      <c r="AT513" s="3">
        <v>46197</v>
      </c>
      <c r="AU513" t="s">
        <v>2126</v>
      </c>
      <c r="AW513" s="3">
        <v>46208.53701449134</v>
      </c>
    </row>
    <row r="514" spans="1:49" ht="16" hidden="1" x14ac:dyDescent="0.2">
      <c r="A514" t="s">
        <v>91</v>
      </c>
      <c r="B514">
        <v>11248</v>
      </c>
      <c r="C514">
        <v>7228</v>
      </c>
      <c r="D514" t="s">
        <v>169</v>
      </c>
      <c r="E514" t="s">
        <v>313</v>
      </c>
      <c r="F514">
        <v>259151</v>
      </c>
      <c r="G514" t="s">
        <v>582</v>
      </c>
      <c r="H514">
        <v>582667</v>
      </c>
      <c r="I514" t="s">
        <v>1472</v>
      </c>
      <c r="J514">
        <v>94973765</v>
      </c>
      <c r="K514" t="s">
        <v>1843</v>
      </c>
      <c r="L514" t="s">
        <v>1850</v>
      </c>
      <c r="M514" s="1">
        <v>25</v>
      </c>
      <c r="N514" t="s">
        <v>23</v>
      </c>
      <c r="O514">
        <v>421136</v>
      </c>
      <c r="P514" s="1">
        <v>10528.4</v>
      </c>
      <c r="S514" s="6" t="str">
        <f t="shared" si="7"/>
        <v xml:space="preserve"> </v>
      </c>
      <c r="T514" s="6">
        <f>IF(IF(COUNTIF(H$2:$H514,H514)=1,1,"")=1,SUMIF($H$2:$H$7997,H514,$S$2:$S$7997),"")</f>
        <v>0</v>
      </c>
      <c r="W514">
        <v>421136</v>
      </c>
      <c r="X514">
        <v>421136</v>
      </c>
      <c r="Y514">
        <v>0</v>
      </c>
      <c r="Z514">
        <v>0</v>
      </c>
      <c r="AA514" s="2">
        <v>1</v>
      </c>
      <c r="AB514" s="2">
        <v>0</v>
      </c>
      <c r="AC514" s="2">
        <v>0</v>
      </c>
      <c r="AD514">
        <v>0</v>
      </c>
      <c r="AE514" t="s">
        <v>1862</v>
      </c>
      <c r="AF514">
        <v>4878.97</v>
      </c>
      <c r="AG514">
        <v>1275147</v>
      </c>
      <c r="AH514">
        <v>31878.68</v>
      </c>
      <c r="AI514" s="1" t="s">
        <v>313</v>
      </c>
      <c r="AJ514">
        <v>93989552</v>
      </c>
      <c r="AK514" s="1" t="s">
        <v>1867</v>
      </c>
      <c r="AL514" t="s">
        <v>1944</v>
      </c>
      <c r="AN514" t="s">
        <v>2054</v>
      </c>
      <c r="AO514" t="s">
        <v>2067</v>
      </c>
      <c r="AP514" t="s">
        <v>2099</v>
      </c>
      <c r="AQ514">
        <v>128169</v>
      </c>
      <c r="AR514" s="3">
        <v>46203</v>
      </c>
      <c r="AS514" s="3">
        <v>46184</v>
      </c>
      <c r="AT514" s="3">
        <v>46222</v>
      </c>
      <c r="AU514" t="s">
        <v>2125</v>
      </c>
      <c r="AW514" s="3">
        <v>46208.53701449134</v>
      </c>
    </row>
    <row r="515" spans="1:49" ht="16" hidden="1" x14ac:dyDescent="0.2">
      <c r="A515" t="s">
        <v>91</v>
      </c>
      <c r="B515">
        <v>11248</v>
      </c>
      <c r="C515">
        <v>7228</v>
      </c>
      <c r="D515" t="s">
        <v>169</v>
      </c>
      <c r="E515" t="s">
        <v>313</v>
      </c>
      <c r="F515">
        <v>259151</v>
      </c>
      <c r="G515" t="s">
        <v>582</v>
      </c>
      <c r="H515">
        <v>582667</v>
      </c>
      <c r="I515" t="s">
        <v>1142</v>
      </c>
      <c r="J515">
        <v>93989565</v>
      </c>
      <c r="K515" t="s">
        <v>1835</v>
      </c>
      <c r="L515" t="s">
        <v>1850</v>
      </c>
      <c r="M515" s="1">
        <v>25</v>
      </c>
      <c r="N515" t="s">
        <v>1853</v>
      </c>
      <c r="O515">
        <v>1175417</v>
      </c>
      <c r="P515" s="1">
        <v>29385.42</v>
      </c>
      <c r="S515" s="6" t="str">
        <f t="shared" ref="S515:S578" si="8">IF(ISBLANK(R515)," ",ROUND(R515*(IF(ISBLANK(Q515),(M515/1000),(Q515/1000))),2))</f>
        <v xml:space="preserve"> </v>
      </c>
      <c r="T515" s="6" t="str">
        <f>IF(IF(COUNTIF(H$2:$H515,H515)=1,1,"")=1,SUMIF($H$2:$H$7997,H515,$S$2:$S$7997),"")</f>
        <v/>
      </c>
      <c r="W515">
        <v>1036963</v>
      </c>
      <c r="X515">
        <v>1036963</v>
      </c>
      <c r="Y515">
        <v>1175417</v>
      </c>
      <c r="Z515">
        <v>1175417</v>
      </c>
      <c r="AA515" s="2">
        <v>1</v>
      </c>
      <c r="AB515" s="2">
        <v>1.133519482045543</v>
      </c>
      <c r="AC515" s="2">
        <v>0</v>
      </c>
      <c r="AD515">
        <v>0</v>
      </c>
      <c r="AE515" t="s">
        <v>1862</v>
      </c>
      <c r="AF515">
        <v>9813.6299999999992</v>
      </c>
      <c r="AG515">
        <v>2564853</v>
      </c>
      <c r="AH515">
        <v>64121.33</v>
      </c>
      <c r="AI515" s="1" t="s">
        <v>313</v>
      </c>
      <c r="AJ515">
        <v>93989552</v>
      </c>
      <c r="AK515" s="1" t="s">
        <v>1867</v>
      </c>
      <c r="AL515" t="s">
        <v>1944</v>
      </c>
      <c r="AN515" t="s">
        <v>2054</v>
      </c>
      <c r="AO515" t="s">
        <v>2067</v>
      </c>
      <c r="AP515" t="s">
        <v>2091</v>
      </c>
      <c r="AQ515">
        <v>128169</v>
      </c>
      <c r="AR515" s="3">
        <v>46203</v>
      </c>
      <c r="AS515" s="3">
        <v>46184</v>
      </c>
      <c r="AT515" s="3">
        <v>46222</v>
      </c>
      <c r="AU515" t="s">
        <v>2123</v>
      </c>
      <c r="AW515" s="3">
        <v>46208.53701449134</v>
      </c>
    </row>
    <row r="516" spans="1:49" ht="16" hidden="1" x14ac:dyDescent="0.2">
      <c r="A516" t="s">
        <v>91</v>
      </c>
      <c r="B516">
        <v>11248</v>
      </c>
      <c r="C516">
        <v>7228</v>
      </c>
      <c r="D516" t="s">
        <v>169</v>
      </c>
      <c r="E516" t="s">
        <v>313</v>
      </c>
      <c r="F516">
        <v>259151</v>
      </c>
      <c r="G516" t="s">
        <v>581</v>
      </c>
      <c r="H516">
        <v>582672</v>
      </c>
      <c r="I516" t="s">
        <v>1143</v>
      </c>
      <c r="J516">
        <v>93989569</v>
      </c>
      <c r="K516" t="s">
        <v>1839</v>
      </c>
      <c r="L516" t="s">
        <v>1850</v>
      </c>
      <c r="M516" s="1">
        <v>20</v>
      </c>
      <c r="N516" t="s">
        <v>1855</v>
      </c>
      <c r="O516">
        <v>4066351</v>
      </c>
      <c r="P516" s="1">
        <v>81327.02</v>
      </c>
      <c r="S516" s="6" t="str">
        <f t="shared" si="8"/>
        <v xml:space="preserve"> </v>
      </c>
      <c r="T516" s="6">
        <f>IF(IF(COUNTIF(H$2:$H516,H516)=1,1,"")=1,SUMIF($H$2:$H$7997,H516,$S$2:$S$7997),"")</f>
        <v>0</v>
      </c>
      <c r="W516">
        <v>4066351</v>
      </c>
      <c r="X516">
        <v>4066351</v>
      </c>
      <c r="Y516">
        <v>0</v>
      </c>
      <c r="Z516">
        <v>0</v>
      </c>
      <c r="AA516" s="2">
        <v>1</v>
      </c>
      <c r="AB516" s="2">
        <v>0</v>
      </c>
      <c r="AC516" s="2">
        <v>0</v>
      </c>
      <c r="AD516">
        <v>0</v>
      </c>
      <c r="AE516" t="s">
        <v>1862</v>
      </c>
      <c r="AF516">
        <v>40526.65</v>
      </c>
      <c r="AG516">
        <v>7290000</v>
      </c>
      <c r="AH516">
        <v>145800</v>
      </c>
      <c r="AI516" s="1" t="s">
        <v>313</v>
      </c>
      <c r="AJ516">
        <v>93989552</v>
      </c>
      <c r="AK516" s="1" t="s">
        <v>1868</v>
      </c>
      <c r="AL516" t="s">
        <v>1944</v>
      </c>
      <c r="AN516" t="s">
        <v>2054</v>
      </c>
      <c r="AO516" t="s">
        <v>2067</v>
      </c>
      <c r="AP516" t="s">
        <v>2093</v>
      </c>
      <c r="AQ516">
        <v>128169</v>
      </c>
      <c r="AR516" s="3">
        <v>46203</v>
      </c>
      <c r="AS516" s="3">
        <v>46184</v>
      </c>
      <c r="AT516" s="3">
        <v>46222</v>
      </c>
      <c r="AU516" t="s">
        <v>2124</v>
      </c>
      <c r="AW516" s="3">
        <v>46208.53701449134</v>
      </c>
    </row>
    <row r="517" spans="1:49" ht="16" hidden="1" x14ac:dyDescent="0.2">
      <c r="A517" t="s">
        <v>91</v>
      </c>
      <c r="B517">
        <v>11248</v>
      </c>
      <c r="C517">
        <v>7228</v>
      </c>
      <c r="D517" t="s">
        <v>169</v>
      </c>
      <c r="E517" t="s">
        <v>313</v>
      </c>
      <c r="F517">
        <v>259151</v>
      </c>
      <c r="G517" t="s">
        <v>581</v>
      </c>
      <c r="H517">
        <v>582672</v>
      </c>
      <c r="I517" t="s">
        <v>1140</v>
      </c>
      <c r="J517">
        <v>93989558</v>
      </c>
      <c r="K517" t="s">
        <v>1840</v>
      </c>
      <c r="L517" t="s">
        <v>1850</v>
      </c>
      <c r="M517" s="1">
        <v>20</v>
      </c>
      <c r="N517" t="s">
        <v>1855</v>
      </c>
      <c r="O517">
        <v>2688090</v>
      </c>
      <c r="P517" s="1">
        <v>53761.8</v>
      </c>
      <c r="S517" s="6" t="str">
        <f t="shared" si="8"/>
        <v xml:space="preserve"> </v>
      </c>
      <c r="T517" s="6" t="str">
        <f>IF(IF(COUNTIF(H$2:$H517,H517)=1,1,"")=1,SUMIF($H$2:$H$7997,H517,$S$2:$S$7997),"")</f>
        <v/>
      </c>
      <c r="W517">
        <v>2688090</v>
      </c>
      <c r="X517">
        <v>2688090</v>
      </c>
      <c r="Y517">
        <v>0</v>
      </c>
      <c r="Z517">
        <v>0</v>
      </c>
      <c r="AA517" s="2">
        <v>1</v>
      </c>
      <c r="AB517" s="2">
        <v>0</v>
      </c>
      <c r="AC517" s="2">
        <v>0</v>
      </c>
      <c r="AD517">
        <v>0</v>
      </c>
      <c r="AE517" t="s">
        <v>1862</v>
      </c>
      <c r="AF517">
        <v>27017.759999999998</v>
      </c>
      <c r="AG517">
        <v>4860000</v>
      </c>
      <c r="AH517">
        <v>97200</v>
      </c>
      <c r="AI517" s="1" t="s">
        <v>313</v>
      </c>
      <c r="AJ517">
        <v>93989552</v>
      </c>
      <c r="AK517" s="1" t="s">
        <v>1868</v>
      </c>
      <c r="AL517" t="s">
        <v>1944</v>
      </c>
      <c r="AN517" t="s">
        <v>2054</v>
      </c>
      <c r="AO517" t="s">
        <v>2067</v>
      </c>
      <c r="AP517" t="s">
        <v>2083</v>
      </c>
      <c r="AQ517">
        <v>128169</v>
      </c>
      <c r="AR517" s="3">
        <v>46203</v>
      </c>
      <c r="AS517" s="3">
        <v>46184</v>
      </c>
      <c r="AT517" s="3">
        <v>46222</v>
      </c>
      <c r="AU517" t="s">
        <v>2123</v>
      </c>
      <c r="AW517" s="3">
        <v>46208.53701449134</v>
      </c>
    </row>
    <row r="518" spans="1:49" ht="16" hidden="1" x14ac:dyDescent="0.2">
      <c r="A518" t="s">
        <v>91</v>
      </c>
      <c r="B518">
        <v>11248</v>
      </c>
      <c r="C518">
        <v>7228</v>
      </c>
      <c r="D518" t="s">
        <v>169</v>
      </c>
      <c r="E518" t="s">
        <v>313</v>
      </c>
      <c r="F518">
        <v>259151</v>
      </c>
      <c r="G518" t="s">
        <v>837</v>
      </c>
      <c r="H518">
        <v>582675</v>
      </c>
      <c r="I518" t="s">
        <v>1775</v>
      </c>
      <c r="J518">
        <v>582676</v>
      </c>
      <c r="K518" t="s">
        <v>1846</v>
      </c>
      <c r="L518" t="s">
        <v>1851</v>
      </c>
      <c r="M518" s="1">
        <v>150000</v>
      </c>
      <c r="N518" t="s">
        <v>1858</v>
      </c>
      <c r="O518">
        <v>0</v>
      </c>
      <c r="P518" s="1">
        <v>45918.37</v>
      </c>
      <c r="S518" s="6" t="str">
        <f t="shared" si="8"/>
        <v xml:space="preserve"> </v>
      </c>
      <c r="T518" s="6">
        <f>IF(IF(COUNTIF(H$2:$H518,H518)=1,1,"")=1,SUMIF($H$2:$H$7997,H518,$S$2:$S$7997),"")</f>
        <v>0</v>
      </c>
      <c r="W518">
        <v>0</v>
      </c>
      <c r="X518">
        <v>0</v>
      </c>
      <c r="Y518">
        <v>0</v>
      </c>
      <c r="Z518">
        <v>0</v>
      </c>
      <c r="AA518" s="2">
        <v>1</v>
      </c>
      <c r="AB518" s="2">
        <v>0</v>
      </c>
      <c r="AC518" s="2">
        <v>0</v>
      </c>
      <c r="AD518">
        <v>0</v>
      </c>
      <c r="AE518" t="s">
        <v>1863</v>
      </c>
      <c r="AF518">
        <v>45918.37</v>
      </c>
      <c r="AG518">
        <v>1</v>
      </c>
      <c r="AH518">
        <v>150000</v>
      </c>
      <c r="AI518" s="1" t="s">
        <v>313</v>
      </c>
      <c r="AJ518">
        <v>259151</v>
      </c>
      <c r="AK518" s="1" t="s">
        <v>1867</v>
      </c>
      <c r="AL518" t="s">
        <v>1944</v>
      </c>
      <c r="AN518" t="s">
        <v>2054</v>
      </c>
      <c r="AO518" t="s">
        <v>2067</v>
      </c>
      <c r="AP518" t="s">
        <v>2110</v>
      </c>
      <c r="AQ518">
        <v>128169</v>
      </c>
      <c r="AR518" s="3">
        <v>46203</v>
      </c>
      <c r="AS518" s="3">
        <v>46174</v>
      </c>
      <c r="AT518" s="3">
        <v>46222</v>
      </c>
      <c r="AU518" t="s">
        <v>2128</v>
      </c>
      <c r="AW518" s="3">
        <v>46208.53701449134</v>
      </c>
    </row>
    <row r="519" spans="1:49" ht="16" hidden="1" x14ac:dyDescent="0.2">
      <c r="A519" t="s">
        <v>91</v>
      </c>
      <c r="B519">
        <v>11248</v>
      </c>
      <c r="C519">
        <v>7228</v>
      </c>
      <c r="D519" t="s">
        <v>169</v>
      </c>
      <c r="E519" t="s">
        <v>313</v>
      </c>
      <c r="F519">
        <v>259151</v>
      </c>
      <c r="G519" t="s">
        <v>837</v>
      </c>
      <c r="H519">
        <v>582675</v>
      </c>
      <c r="I519" t="s">
        <v>1632</v>
      </c>
      <c r="J519">
        <v>582679</v>
      </c>
      <c r="K519" t="s">
        <v>1844</v>
      </c>
      <c r="L519" t="s">
        <v>1851</v>
      </c>
      <c r="M519" s="1">
        <v>150000</v>
      </c>
      <c r="N519" t="s">
        <v>1858</v>
      </c>
      <c r="O519">
        <v>0</v>
      </c>
      <c r="P519" s="1">
        <v>45918.37</v>
      </c>
      <c r="S519" s="6" t="str">
        <f t="shared" si="8"/>
        <v xml:space="preserve"> </v>
      </c>
      <c r="T519" s="6" t="str">
        <f>IF(IF(COUNTIF(H$2:$H519,H519)=1,1,"")=1,SUMIF($H$2:$H$7997,H519,$S$2:$S$7997),"")</f>
        <v/>
      </c>
      <c r="W519">
        <v>0</v>
      </c>
      <c r="X519">
        <v>0</v>
      </c>
      <c r="Y519">
        <v>0</v>
      </c>
      <c r="Z519">
        <v>0</v>
      </c>
      <c r="AA519" s="2">
        <v>1</v>
      </c>
      <c r="AB519" s="2">
        <v>0</v>
      </c>
      <c r="AC519" s="2">
        <v>0</v>
      </c>
      <c r="AD519">
        <v>0</v>
      </c>
      <c r="AE519" t="s">
        <v>1863</v>
      </c>
      <c r="AF519">
        <v>45918.37</v>
      </c>
      <c r="AG519">
        <v>1</v>
      </c>
      <c r="AH519">
        <v>150000</v>
      </c>
      <c r="AI519" s="1" t="s">
        <v>313</v>
      </c>
      <c r="AJ519">
        <v>259151</v>
      </c>
      <c r="AK519" s="1" t="s">
        <v>1867</v>
      </c>
      <c r="AL519" t="s">
        <v>1944</v>
      </c>
      <c r="AN519" t="s">
        <v>2054</v>
      </c>
      <c r="AO519" t="s">
        <v>2067</v>
      </c>
      <c r="AP519" t="s">
        <v>2107</v>
      </c>
      <c r="AQ519">
        <v>128169</v>
      </c>
      <c r="AR519" s="3">
        <v>46203</v>
      </c>
      <c r="AS519" s="3">
        <v>46174</v>
      </c>
      <c r="AT519" s="3">
        <v>46222</v>
      </c>
      <c r="AU519" t="s">
        <v>2127</v>
      </c>
      <c r="AW519" s="3">
        <v>46208.53701449134</v>
      </c>
    </row>
    <row r="520" spans="1:49" ht="16" hidden="1" x14ac:dyDescent="0.2">
      <c r="A520" t="s">
        <v>91</v>
      </c>
      <c r="B520">
        <v>11248</v>
      </c>
      <c r="C520">
        <v>7228</v>
      </c>
      <c r="D520" t="s">
        <v>169</v>
      </c>
      <c r="E520" t="s">
        <v>313</v>
      </c>
      <c r="F520">
        <v>259151</v>
      </c>
      <c r="G520" t="s">
        <v>837</v>
      </c>
      <c r="H520">
        <v>582675</v>
      </c>
      <c r="I520" t="s">
        <v>1785</v>
      </c>
      <c r="J520">
        <v>582678</v>
      </c>
      <c r="K520" t="s">
        <v>1835</v>
      </c>
      <c r="L520" t="s">
        <v>1851</v>
      </c>
      <c r="M520" s="1">
        <v>150000</v>
      </c>
      <c r="N520" t="s">
        <v>1858</v>
      </c>
      <c r="O520">
        <v>0</v>
      </c>
      <c r="P520" s="1">
        <v>45918.37</v>
      </c>
      <c r="S520" s="6" t="str">
        <f t="shared" si="8"/>
        <v xml:space="preserve"> </v>
      </c>
      <c r="T520" s="6" t="str">
        <f>IF(IF(COUNTIF(H$2:$H520,H520)=1,1,"")=1,SUMIF($H$2:$H$7997,H520,$S$2:$S$7997),"")</f>
        <v/>
      </c>
      <c r="W520">
        <v>0</v>
      </c>
      <c r="X520">
        <v>0</v>
      </c>
      <c r="Y520">
        <v>0</v>
      </c>
      <c r="Z520">
        <v>0</v>
      </c>
      <c r="AA520" s="2">
        <v>1</v>
      </c>
      <c r="AB520" s="2">
        <v>0</v>
      </c>
      <c r="AC520" s="2">
        <v>0</v>
      </c>
      <c r="AD520">
        <v>0</v>
      </c>
      <c r="AE520" t="s">
        <v>1863</v>
      </c>
      <c r="AF520">
        <v>45918.37</v>
      </c>
      <c r="AG520">
        <v>1</v>
      </c>
      <c r="AH520">
        <v>150000</v>
      </c>
      <c r="AI520" s="1" t="s">
        <v>313</v>
      </c>
      <c r="AJ520">
        <v>259151</v>
      </c>
      <c r="AK520" s="1" t="s">
        <v>1867</v>
      </c>
      <c r="AL520" t="s">
        <v>1944</v>
      </c>
      <c r="AN520" t="s">
        <v>2054</v>
      </c>
      <c r="AO520" t="s">
        <v>2067</v>
      </c>
      <c r="AP520" t="s">
        <v>2109</v>
      </c>
      <c r="AQ520">
        <v>128169</v>
      </c>
      <c r="AR520" s="3">
        <v>46203</v>
      </c>
      <c r="AS520" s="3">
        <v>46174</v>
      </c>
      <c r="AT520" s="3">
        <v>46222</v>
      </c>
      <c r="AU520" t="s">
        <v>2129</v>
      </c>
      <c r="AW520" s="3">
        <v>46208.53701449134</v>
      </c>
    </row>
    <row r="521" spans="1:49" ht="16" hidden="1" x14ac:dyDescent="0.2">
      <c r="A521" t="s">
        <v>91</v>
      </c>
      <c r="B521">
        <v>11248</v>
      </c>
      <c r="C521">
        <v>7228</v>
      </c>
      <c r="D521" t="s">
        <v>169</v>
      </c>
      <c r="E521" t="s">
        <v>314</v>
      </c>
      <c r="F521">
        <v>267191</v>
      </c>
      <c r="G521" t="s">
        <v>580</v>
      </c>
      <c r="H521">
        <v>582701</v>
      </c>
      <c r="I521" t="s">
        <v>1141</v>
      </c>
      <c r="J521">
        <v>93989605</v>
      </c>
      <c r="K521" t="s">
        <v>1839</v>
      </c>
      <c r="L521" t="s">
        <v>1850</v>
      </c>
      <c r="M521" s="1">
        <v>40</v>
      </c>
      <c r="N521" t="s">
        <v>23</v>
      </c>
      <c r="O521">
        <v>1233772</v>
      </c>
      <c r="P521" s="1">
        <v>49350.879999999997</v>
      </c>
      <c r="S521" s="6" t="str">
        <f t="shared" si="8"/>
        <v xml:space="preserve"> </v>
      </c>
      <c r="T521" s="6">
        <f>IF(IF(COUNTIF(H$2:$H521,H521)=1,1,"")=1,SUMIF($H$2:$H$7997,H521,$S$2:$S$7997),"")</f>
        <v>0</v>
      </c>
      <c r="W521">
        <v>1233772</v>
      </c>
      <c r="X521">
        <v>1233772</v>
      </c>
      <c r="Y521">
        <v>0</v>
      </c>
      <c r="Z521">
        <v>0</v>
      </c>
      <c r="AA521" s="2">
        <v>1</v>
      </c>
      <c r="AB521" s="2">
        <v>0</v>
      </c>
      <c r="AC521" s="2">
        <v>0</v>
      </c>
      <c r="AD521">
        <v>0</v>
      </c>
      <c r="AE521" t="s">
        <v>1862</v>
      </c>
      <c r="AF521">
        <v>24229.200000000001</v>
      </c>
      <c r="AG521">
        <v>1706250</v>
      </c>
      <c r="AH521">
        <v>68250</v>
      </c>
      <c r="AI521" s="1" t="s">
        <v>314</v>
      </c>
      <c r="AJ521">
        <v>93989579</v>
      </c>
      <c r="AK521" s="1" t="s">
        <v>1867</v>
      </c>
      <c r="AL521" t="s">
        <v>1945</v>
      </c>
      <c r="AN521" t="s">
        <v>2054</v>
      </c>
      <c r="AO521" t="s">
        <v>2067</v>
      </c>
      <c r="AP521" t="s">
        <v>2094</v>
      </c>
      <c r="AQ521">
        <v>128231</v>
      </c>
      <c r="AR521" s="3">
        <v>46203</v>
      </c>
      <c r="AS521" s="3">
        <v>46184</v>
      </c>
      <c r="AT521" s="3">
        <v>46222</v>
      </c>
      <c r="AU521" t="s">
        <v>2124</v>
      </c>
      <c r="AW521" s="3">
        <v>46208.53701449134</v>
      </c>
    </row>
    <row r="522" spans="1:49" ht="16" hidden="1" x14ac:dyDescent="0.2">
      <c r="A522" t="s">
        <v>91</v>
      </c>
      <c r="B522">
        <v>11248</v>
      </c>
      <c r="C522">
        <v>7228</v>
      </c>
      <c r="D522" t="s">
        <v>169</v>
      </c>
      <c r="E522" t="s">
        <v>314</v>
      </c>
      <c r="F522">
        <v>267191</v>
      </c>
      <c r="G522" t="s">
        <v>580</v>
      </c>
      <c r="H522">
        <v>582701</v>
      </c>
      <c r="I522" t="s">
        <v>1139</v>
      </c>
      <c r="J522">
        <v>93989585</v>
      </c>
      <c r="K522" t="s">
        <v>1835</v>
      </c>
      <c r="L522" t="s">
        <v>1850</v>
      </c>
      <c r="M522" s="1">
        <v>40</v>
      </c>
      <c r="N522" t="s">
        <v>23</v>
      </c>
      <c r="O522">
        <v>496885</v>
      </c>
      <c r="P522" s="1">
        <v>19875.400000000001</v>
      </c>
      <c r="S522" s="6" t="str">
        <f t="shared" si="8"/>
        <v xml:space="preserve"> </v>
      </c>
      <c r="T522" s="6" t="str">
        <f>IF(IF(COUNTIF(H$2:$H522,H522)=1,1,"")=1,SUMIF($H$2:$H$7997,H522,$S$2:$S$7997),"")</f>
        <v/>
      </c>
      <c r="W522">
        <v>496885</v>
      </c>
      <c r="X522">
        <v>496885</v>
      </c>
      <c r="Y522">
        <v>0</v>
      </c>
      <c r="Z522">
        <v>0</v>
      </c>
      <c r="AA522" s="2">
        <v>1</v>
      </c>
      <c r="AB522" s="2">
        <v>0</v>
      </c>
      <c r="AC522" s="2">
        <v>0</v>
      </c>
      <c r="AD522">
        <v>0</v>
      </c>
      <c r="AE522" t="s">
        <v>1862</v>
      </c>
      <c r="AF522">
        <v>10383.94</v>
      </c>
      <c r="AG522">
        <v>731250</v>
      </c>
      <c r="AH522">
        <v>29250</v>
      </c>
      <c r="AI522" s="1" t="s">
        <v>314</v>
      </c>
      <c r="AJ522">
        <v>93989579</v>
      </c>
      <c r="AK522" s="1" t="s">
        <v>1867</v>
      </c>
      <c r="AL522" t="s">
        <v>1945</v>
      </c>
      <c r="AN522" t="s">
        <v>2054</v>
      </c>
      <c r="AO522" t="s">
        <v>2067</v>
      </c>
      <c r="AP522" t="s">
        <v>2092</v>
      </c>
      <c r="AQ522">
        <v>128231</v>
      </c>
      <c r="AR522" s="3">
        <v>46203</v>
      </c>
      <c r="AS522" s="3">
        <v>46184</v>
      </c>
      <c r="AT522" s="3">
        <v>46222</v>
      </c>
      <c r="AU522" t="s">
        <v>2123</v>
      </c>
      <c r="AW522" s="3">
        <v>46208.53701449134</v>
      </c>
    </row>
    <row r="523" spans="1:49" ht="16" hidden="1" x14ac:dyDescent="0.2">
      <c r="A523" t="s">
        <v>91</v>
      </c>
      <c r="B523">
        <v>11248</v>
      </c>
      <c r="C523">
        <v>7228</v>
      </c>
      <c r="D523" t="s">
        <v>169</v>
      </c>
      <c r="E523" t="s">
        <v>314</v>
      </c>
      <c r="F523">
        <v>267191</v>
      </c>
      <c r="G523" t="s">
        <v>582</v>
      </c>
      <c r="H523">
        <v>582711</v>
      </c>
      <c r="I523" t="s">
        <v>1142</v>
      </c>
      <c r="J523">
        <v>93989608</v>
      </c>
      <c r="K523" t="s">
        <v>1835</v>
      </c>
      <c r="L523" t="s">
        <v>1850</v>
      </c>
      <c r="M523" s="1">
        <v>25</v>
      </c>
      <c r="N523" t="s">
        <v>1853</v>
      </c>
      <c r="O523">
        <v>760828</v>
      </c>
      <c r="P523" s="1">
        <v>19020.7</v>
      </c>
      <c r="S523" s="6" t="str">
        <f t="shared" si="8"/>
        <v xml:space="preserve"> </v>
      </c>
      <c r="T523" s="6">
        <f>IF(IF(COUNTIF(H$2:$H523,H523)=1,1,"")=1,SUMIF($H$2:$H$7997,H523,$S$2:$S$7997),"")</f>
        <v>0</v>
      </c>
      <c r="W523">
        <v>643089</v>
      </c>
      <c r="X523">
        <v>643089</v>
      </c>
      <c r="Y523">
        <v>760828</v>
      </c>
      <c r="Z523">
        <v>760828</v>
      </c>
      <c r="AA523" s="2">
        <v>1</v>
      </c>
      <c r="AB523" s="2">
        <v>1.1830847038107319</v>
      </c>
      <c r="AC523" s="2">
        <v>0</v>
      </c>
      <c r="AD523">
        <v>0</v>
      </c>
      <c r="AE523" t="s">
        <v>1862</v>
      </c>
      <c r="AF523">
        <v>7931.52</v>
      </c>
      <c r="AG523">
        <v>1626296</v>
      </c>
      <c r="AH523">
        <v>40657.4</v>
      </c>
      <c r="AI523" s="1" t="s">
        <v>314</v>
      </c>
      <c r="AJ523">
        <v>93989579</v>
      </c>
      <c r="AK523" s="1" t="s">
        <v>1867</v>
      </c>
      <c r="AL523" t="s">
        <v>1945</v>
      </c>
      <c r="AN523" t="s">
        <v>2054</v>
      </c>
      <c r="AO523" t="s">
        <v>2067</v>
      </c>
      <c r="AP523" t="s">
        <v>2091</v>
      </c>
      <c r="AQ523">
        <v>128231</v>
      </c>
      <c r="AR523" s="3">
        <v>46203</v>
      </c>
      <c r="AS523" s="3">
        <v>46184</v>
      </c>
      <c r="AT523" s="3">
        <v>46222</v>
      </c>
      <c r="AU523" t="s">
        <v>2123</v>
      </c>
      <c r="AW523" s="3">
        <v>46208.53701449134</v>
      </c>
    </row>
    <row r="524" spans="1:49" ht="16" hidden="1" x14ac:dyDescent="0.2">
      <c r="A524" t="s">
        <v>91</v>
      </c>
      <c r="B524">
        <v>11248</v>
      </c>
      <c r="C524">
        <v>7228</v>
      </c>
      <c r="D524" t="s">
        <v>169</v>
      </c>
      <c r="E524" t="s">
        <v>314</v>
      </c>
      <c r="F524">
        <v>267191</v>
      </c>
      <c r="G524" t="s">
        <v>582</v>
      </c>
      <c r="H524">
        <v>582711</v>
      </c>
      <c r="I524" t="s">
        <v>1471</v>
      </c>
      <c r="J524">
        <v>94972127</v>
      </c>
      <c r="K524" t="s">
        <v>1843</v>
      </c>
      <c r="L524" t="s">
        <v>1850</v>
      </c>
      <c r="M524" s="1">
        <v>25</v>
      </c>
      <c r="N524" t="s">
        <v>23</v>
      </c>
      <c r="O524">
        <v>118166</v>
      </c>
      <c r="P524" s="1">
        <v>2954.15</v>
      </c>
      <c r="S524" s="6" t="str">
        <f t="shared" si="8"/>
        <v xml:space="preserve"> </v>
      </c>
      <c r="T524" s="6" t="str">
        <f>IF(IF(COUNTIF(H$2:$H524,H524)=1,1,"")=1,SUMIF($H$2:$H$7997,H524,$S$2:$S$7997),"")</f>
        <v/>
      </c>
      <c r="W524">
        <v>118166</v>
      </c>
      <c r="X524">
        <v>118166</v>
      </c>
      <c r="Y524">
        <v>0</v>
      </c>
      <c r="Z524">
        <v>0</v>
      </c>
      <c r="AA524" s="2">
        <v>1</v>
      </c>
      <c r="AB524" s="2">
        <v>0</v>
      </c>
      <c r="AC524" s="2">
        <v>0</v>
      </c>
      <c r="AD524">
        <v>0</v>
      </c>
      <c r="AE524" t="s">
        <v>1862</v>
      </c>
      <c r="AF524">
        <v>1578.72</v>
      </c>
      <c r="AG524">
        <v>323704</v>
      </c>
      <c r="AH524">
        <v>8092.6</v>
      </c>
      <c r="AI524" s="1" t="s">
        <v>314</v>
      </c>
      <c r="AJ524">
        <v>93989579</v>
      </c>
      <c r="AK524" s="1" t="s">
        <v>1867</v>
      </c>
      <c r="AL524" t="s">
        <v>1945</v>
      </c>
      <c r="AN524" t="s">
        <v>2054</v>
      </c>
      <c r="AO524" t="s">
        <v>2067</v>
      </c>
      <c r="AP524" t="s">
        <v>2099</v>
      </c>
      <c r="AQ524">
        <v>128231</v>
      </c>
      <c r="AR524" s="3">
        <v>46203</v>
      </c>
      <c r="AS524" s="3">
        <v>46184</v>
      </c>
      <c r="AT524" s="3">
        <v>46222</v>
      </c>
      <c r="AU524" t="s">
        <v>2125</v>
      </c>
      <c r="AW524" s="3">
        <v>46208.53701449134</v>
      </c>
    </row>
    <row r="525" spans="1:49" ht="16" hidden="1" x14ac:dyDescent="0.2">
      <c r="A525" t="s">
        <v>91</v>
      </c>
      <c r="B525">
        <v>11248</v>
      </c>
      <c r="C525">
        <v>7228</v>
      </c>
      <c r="D525" t="s">
        <v>169</v>
      </c>
      <c r="E525" t="s">
        <v>314</v>
      </c>
      <c r="F525">
        <v>267191</v>
      </c>
      <c r="G525" t="s">
        <v>583</v>
      </c>
      <c r="H525">
        <v>582713</v>
      </c>
      <c r="I525" t="s">
        <v>1144</v>
      </c>
      <c r="J525">
        <v>93989612</v>
      </c>
      <c r="K525" t="s">
        <v>1839</v>
      </c>
      <c r="L525" t="s">
        <v>1850</v>
      </c>
      <c r="M525" s="1">
        <v>20</v>
      </c>
      <c r="N525" t="s">
        <v>1855</v>
      </c>
      <c r="O525">
        <v>818120</v>
      </c>
      <c r="P525" s="1">
        <v>16362.4</v>
      </c>
      <c r="S525" s="6" t="str">
        <f t="shared" si="8"/>
        <v xml:space="preserve"> </v>
      </c>
      <c r="T525" s="6">
        <f>IF(IF(COUNTIF(H$2:$H525,H525)=1,1,"")=1,SUMIF($H$2:$H$7997,H525,$S$2:$S$7997),"")</f>
        <v>0</v>
      </c>
      <c r="W525">
        <v>818120</v>
      </c>
      <c r="X525">
        <v>818120</v>
      </c>
      <c r="Y525">
        <v>0</v>
      </c>
      <c r="Z525">
        <v>0</v>
      </c>
      <c r="AA525" s="2">
        <v>1</v>
      </c>
      <c r="AB525" s="2">
        <v>0</v>
      </c>
      <c r="AC525" s="2">
        <v>0</v>
      </c>
      <c r="AD525">
        <v>0</v>
      </c>
      <c r="AE525" t="s">
        <v>1862</v>
      </c>
      <c r="AF525">
        <v>8050.94</v>
      </c>
      <c r="AG525">
        <v>1462500</v>
      </c>
      <c r="AH525">
        <v>29250</v>
      </c>
      <c r="AI525" s="1" t="s">
        <v>314</v>
      </c>
      <c r="AJ525">
        <v>93989579</v>
      </c>
      <c r="AK525" s="1" t="s">
        <v>1868</v>
      </c>
      <c r="AL525" t="s">
        <v>1945</v>
      </c>
      <c r="AN525" t="s">
        <v>2054</v>
      </c>
      <c r="AO525" t="s">
        <v>2067</v>
      </c>
      <c r="AP525" t="s">
        <v>2093</v>
      </c>
      <c r="AQ525">
        <v>128231</v>
      </c>
      <c r="AR525" s="3">
        <v>46203</v>
      </c>
      <c r="AS525" s="3">
        <v>46184</v>
      </c>
      <c r="AT525" s="3">
        <v>46222</v>
      </c>
      <c r="AU525" t="s">
        <v>2124</v>
      </c>
      <c r="AW525" s="3">
        <v>46208.53701449134</v>
      </c>
    </row>
    <row r="526" spans="1:49" ht="16" hidden="1" x14ac:dyDescent="0.2">
      <c r="A526" t="s">
        <v>91</v>
      </c>
      <c r="B526">
        <v>11248</v>
      </c>
      <c r="C526">
        <v>7228</v>
      </c>
      <c r="D526" t="s">
        <v>169</v>
      </c>
      <c r="E526" t="s">
        <v>314</v>
      </c>
      <c r="F526">
        <v>267191</v>
      </c>
      <c r="G526" t="s">
        <v>583</v>
      </c>
      <c r="H526">
        <v>582713</v>
      </c>
      <c r="I526" t="s">
        <v>1145</v>
      </c>
      <c r="J526">
        <v>93989615</v>
      </c>
      <c r="K526" t="s">
        <v>1840</v>
      </c>
      <c r="L526" t="s">
        <v>1850</v>
      </c>
      <c r="M526" s="1">
        <v>20</v>
      </c>
      <c r="N526" t="s">
        <v>1855</v>
      </c>
      <c r="O526">
        <v>523703</v>
      </c>
      <c r="P526" s="1">
        <v>10474.06</v>
      </c>
      <c r="S526" s="6" t="str">
        <f t="shared" si="8"/>
        <v xml:space="preserve"> </v>
      </c>
      <c r="T526" s="6" t="str">
        <f>IF(IF(COUNTIF(H$2:$H526,H526)=1,1,"")=1,SUMIF($H$2:$H$7997,H526,$S$2:$S$7997),"")</f>
        <v/>
      </c>
      <c r="W526">
        <v>523703</v>
      </c>
      <c r="X526">
        <v>523703</v>
      </c>
      <c r="Y526">
        <v>0</v>
      </c>
      <c r="Z526">
        <v>0</v>
      </c>
      <c r="AA526" s="2">
        <v>1</v>
      </c>
      <c r="AB526" s="2">
        <v>0</v>
      </c>
      <c r="AC526" s="2">
        <v>0</v>
      </c>
      <c r="AD526">
        <v>0</v>
      </c>
      <c r="AE526" t="s">
        <v>1862</v>
      </c>
      <c r="AF526">
        <v>5367.29</v>
      </c>
      <c r="AG526">
        <v>975000</v>
      </c>
      <c r="AH526">
        <v>19500</v>
      </c>
      <c r="AI526" s="1" t="s">
        <v>314</v>
      </c>
      <c r="AJ526">
        <v>93989579</v>
      </c>
      <c r="AK526" s="1" t="s">
        <v>1868</v>
      </c>
      <c r="AL526" t="s">
        <v>1945</v>
      </c>
      <c r="AN526" t="s">
        <v>2054</v>
      </c>
      <c r="AO526" t="s">
        <v>2067</v>
      </c>
      <c r="AP526" t="s">
        <v>2083</v>
      </c>
      <c r="AQ526">
        <v>128231</v>
      </c>
      <c r="AR526" s="3">
        <v>46203</v>
      </c>
      <c r="AS526" s="3">
        <v>46184</v>
      </c>
      <c r="AT526" s="3">
        <v>46222</v>
      </c>
      <c r="AU526" t="s">
        <v>2123</v>
      </c>
      <c r="AW526" s="3">
        <v>46208.53701449134</v>
      </c>
    </row>
    <row r="527" spans="1:49" ht="16" hidden="1" x14ac:dyDescent="0.2">
      <c r="A527" t="s">
        <v>91</v>
      </c>
      <c r="B527">
        <v>11248</v>
      </c>
      <c r="C527">
        <v>14785</v>
      </c>
      <c r="D527" t="s">
        <v>175</v>
      </c>
      <c r="E527" t="s">
        <v>326</v>
      </c>
      <c r="F527">
        <v>257639</v>
      </c>
      <c r="G527" t="s">
        <v>601</v>
      </c>
      <c r="H527">
        <v>581853</v>
      </c>
      <c r="I527" t="s">
        <v>1199</v>
      </c>
      <c r="J527">
        <v>94123135</v>
      </c>
      <c r="K527" t="s">
        <v>1839</v>
      </c>
      <c r="L527" t="s">
        <v>1850</v>
      </c>
      <c r="M527" s="1">
        <v>40</v>
      </c>
      <c r="N527" t="s">
        <v>23</v>
      </c>
      <c r="O527">
        <v>904392</v>
      </c>
      <c r="P527" s="1">
        <v>36175.68</v>
      </c>
      <c r="S527" s="6" t="str">
        <f t="shared" si="8"/>
        <v xml:space="preserve"> </v>
      </c>
      <c r="T527" s="6">
        <f>IF(IF(COUNTIF(H$2:$H527,H527)=1,1,"")=1,SUMIF($H$2:$H$7997,H527,$S$2:$S$7997),"")</f>
        <v>0</v>
      </c>
      <c r="W527">
        <v>904392</v>
      </c>
      <c r="X527">
        <v>904392</v>
      </c>
      <c r="Y527">
        <v>0</v>
      </c>
      <c r="Z527">
        <v>0</v>
      </c>
      <c r="AA527" s="2">
        <v>1</v>
      </c>
      <c r="AB527" s="2">
        <v>0</v>
      </c>
      <c r="AC527" s="2">
        <v>0</v>
      </c>
      <c r="AD527">
        <v>0</v>
      </c>
      <c r="AE527" t="s">
        <v>1862</v>
      </c>
      <c r="AF527">
        <v>18184.150000000001</v>
      </c>
      <c r="AG527">
        <v>1592500</v>
      </c>
      <c r="AH527">
        <v>63700</v>
      </c>
      <c r="AI527" s="1" t="s">
        <v>326</v>
      </c>
      <c r="AJ527">
        <v>94123008</v>
      </c>
      <c r="AK527" s="1" t="s">
        <v>1867</v>
      </c>
      <c r="AL527" t="s">
        <v>1955</v>
      </c>
      <c r="AN527" t="s">
        <v>2054</v>
      </c>
      <c r="AO527" t="s">
        <v>2067</v>
      </c>
      <c r="AP527" t="s">
        <v>2094</v>
      </c>
      <c r="AQ527">
        <v>128642</v>
      </c>
      <c r="AR527" s="3">
        <v>46203</v>
      </c>
      <c r="AS527" s="3">
        <v>46184</v>
      </c>
      <c r="AT527" s="3">
        <v>46222</v>
      </c>
      <c r="AU527" t="s">
        <v>2124</v>
      </c>
      <c r="AW527" s="3">
        <v>46208.53701449134</v>
      </c>
    </row>
    <row r="528" spans="1:49" ht="16" hidden="1" x14ac:dyDescent="0.2">
      <c r="A528" t="s">
        <v>91</v>
      </c>
      <c r="B528">
        <v>11248</v>
      </c>
      <c r="C528">
        <v>14785</v>
      </c>
      <c r="D528" t="s">
        <v>175</v>
      </c>
      <c r="E528" t="s">
        <v>326</v>
      </c>
      <c r="F528">
        <v>257639</v>
      </c>
      <c r="G528" t="s">
        <v>601</v>
      </c>
      <c r="H528">
        <v>581853</v>
      </c>
      <c r="I528" t="s">
        <v>1177</v>
      </c>
      <c r="J528">
        <v>94123022</v>
      </c>
      <c r="K528" t="s">
        <v>1835</v>
      </c>
      <c r="L528" t="s">
        <v>1850</v>
      </c>
      <c r="M528" s="1">
        <v>40</v>
      </c>
      <c r="N528" t="s">
        <v>23</v>
      </c>
      <c r="O528">
        <v>394098</v>
      </c>
      <c r="P528" s="1">
        <v>15763.92</v>
      </c>
      <c r="S528" s="6" t="str">
        <f t="shared" si="8"/>
        <v xml:space="preserve"> </v>
      </c>
      <c r="T528" s="6" t="str">
        <f>IF(IF(COUNTIF(H$2:$H528,H528)=1,1,"")=1,SUMIF($H$2:$H$7997,H528,$S$2:$S$7997),"")</f>
        <v/>
      </c>
      <c r="W528">
        <v>394098</v>
      </c>
      <c r="X528">
        <v>394098</v>
      </c>
      <c r="Y528">
        <v>0</v>
      </c>
      <c r="Z528">
        <v>0</v>
      </c>
      <c r="AA528" s="2">
        <v>1</v>
      </c>
      <c r="AB528" s="2">
        <v>0</v>
      </c>
      <c r="AC528" s="2">
        <v>0</v>
      </c>
      <c r="AD528">
        <v>0</v>
      </c>
      <c r="AE528" t="s">
        <v>1862</v>
      </c>
      <c r="AF528">
        <v>7793.21</v>
      </c>
      <c r="AG528">
        <v>682500</v>
      </c>
      <c r="AH528">
        <v>27300</v>
      </c>
      <c r="AI528" s="1" t="s">
        <v>326</v>
      </c>
      <c r="AJ528">
        <v>94123008</v>
      </c>
      <c r="AK528" s="1" t="s">
        <v>1867</v>
      </c>
      <c r="AL528" t="s">
        <v>1955</v>
      </c>
      <c r="AN528" t="s">
        <v>2054</v>
      </c>
      <c r="AO528" t="s">
        <v>2067</v>
      </c>
      <c r="AP528" t="s">
        <v>2092</v>
      </c>
      <c r="AQ528">
        <v>128642</v>
      </c>
      <c r="AR528" s="3">
        <v>46203</v>
      </c>
      <c r="AS528" s="3">
        <v>46184</v>
      </c>
      <c r="AT528" s="3">
        <v>46222</v>
      </c>
      <c r="AU528" t="s">
        <v>2123</v>
      </c>
      <c r="AW528" s="3">
        <v>46208.53701449134</v>
      </c>
    </row>
    <row r="529" spans="1:49" ht="16" hidden="1" x14ac:dyDescent="0.2">
      <c r="A529" t="s">
        <v>91</v>
      </c>
      <c r="B529">
        <v>11248</v>
      </c>
      <c r="C529">
        <v>14785</v>
      </c>
      <c r="D529" t="s">
        <v>175</v>
      </c>
      <c r="E529" t="s">
        <v>326</v>
      </c>
      <c r="F529">
        <v>257639</v>
      </c>
      <c r="G529" t="s">
        <v>801</v>
      </c>
      <c r="H529">
        <v>581856</v>
      </c>
      <c r="I529" t="s">
        <v>1557</v>
      </c>
      <c r="J529">
        <v>7316069462</v>
      </c>
      <c r="K529" t="s">
        <v>1835</v>
      </c>
      <c r="L529" t="s">
        <v>1850</v>
      </c>
      <c r="M529" s="1">
        <v>6</v>
      </c>
      <c r="N529" t="s">
        <v>23</v>
      </c>
      <c r="O529">
        <v>0</v>
      </c>
      <c r="P529" s="1">
        <v>0</v>
      </c>
      <c r="S529" s="6" t="str">
        <f t="shared" si="8"/>
        <v xml:space="preserve"> </v>
      </c>
      <c r="T529" s="6">
        <f>IF(IF(COUNTIF(H$2:$H529,H529)=1,1,"")=1,SUMIF($H$2:$H$7997,H529,$S$2:$S$7997),"")</f>
        <v>0</v>
      </c>
      <c r="W529">
        <v>0</v>
      </c>
      <c r="X529">
        <v>0</v>
      </c>
      <c r="Y529">
        <v>0</v>
      </c>
      <c r="Z529">
        <v>0</v>
      </c>
      <c r="AA529" s="2">
        <v>1</v>
      </c>
      <c r="AB529" s="2">
        <v>0</v>
      </c>
      <c r="AC529" s="2">
        <v>0</v>
      </c>
      <c r="AD529">
        <v>0</v>
      </c>
      <c r="AE529" t="s">
        <v>1862</v>
      </c>
      <c r="AF529">
        <v>4893.0200000000004</v>
      </c>
      <c r="AG529">
        <v>2166667</v>
      </c>
      <c r="AH529">
        <v>13000</v>
      </c>
      <c r="AI529" s="1" t="s">
        <v>326</v>
      </c>
      <c r="AJ529">
        <v>257639</v>
      </c>
      <c r="AK529" s="1" t="s">
        <v>1867</v>
      </c>
      <c r="AL529" t="s">
        <v>1955</v>
      </c>
      <c r="AN529" t="s">
        <v>2054</v>
      </c>
      <c r="AO529" t="s">
        <v>2067</v>
      </c>
      <c r="AP529" t="s">
        <v>2103</v>
      </c>
      <c r="AQ529">
        <v>128642</v>
      </c>
      <c r="AR529" s="3">
        <v>46203</v>
      </c>
      <c r="AS529" s="3">
        <v>46184</v>
      </c>
      <c r="AT529" s="3">
        <v>46222</v>
      </c>
      <c r="AU529" t="s">
        <v>2126</v>
      </c>
      <c r="AW529" s="3">
        <v>46208.53701449134</v>
      </c>
    </row>
    <row r="530" spans="1:49" ht="16" hidden="1" x14ac:dyDescent="0.2">
      <c r="A530" t="s">
        <v>91</v>
      </c>
      <c r="B530">
        <v>11248</v>
      </c>
      <c r="C530">
        <v>14785</v>
      </c>
      <c r="D530" t="s">
        <v>175</v>
      </c>
      <c r="E530" t="s">
        <v>326</v>
      </c>
      <c r="F530">
        <v>257639</v>
      </c>
      <c r="G530" t="s">
        <v>607</v>
      </c>
      <c r="H530">
        <v>581858</v>
      </c>
      <c r="I530" t="s">
        <v>1184</v>
      </c>
      <c r="J530">
        <v>94123046</v>
      </c>
      <c r="K530" t="s">
        <v>1835</v>
      </c>
      <c r="L530" t="s">
        <v>1850</v>
      </c>
      <c r="M530" s="1">
        <v>25</v>
      </c>
      <c r="N530" t="s">
        <v>1853</v>
      </c>
      <c r="O530">
        <v>553925</v>
      </c>
      <c r="P530" s="1">
        <v>13848.12</v>
      </c>
      <c r="S530" s="6" t="str">
        <f t="shared" si="8"/>
        <v xml:space="preserve"> </v>
      </c>
      <c r="T530" s="6">
        <f>IF(IF(COUNTIF(H$2:$H530,H530)=1,1,"")=1,SUMIF($H$2:$H$7997,H530,$S$2:$S$7997),"")</f>
        <v>0</v>
      </c>
      <c r="W530">
        <v>484515</v>
      </c>
      <c r="X530">
        <v>484515</v>
      </c>
      <c r="Y530">
        <v>553925</v>
      </c>
      <c r="Z530">
        <v>553925</v>
      </c>
      <c r="AA530" s="2">
        <v>1</v>
      </c>
      <c r="AB530" s="2">
        <v>1.143258270609264</v>
      </c>
      <c r="AC530" s="2">
        <v>0</v>
      </c>
      <c r="AD530">
        <v>0</v>
      </c>
      <c r="AE530" t="s">
        <v>1862</v>
      </c>
      <c r="AF530">
        <v>6947.39</v>
      </c>
      <c r="AG530">
        <v>1300000</v>
      </c>
      <c r="AH530">
        <v>32500</v>
      </c>
      <c r="AI530" s="1" t="s">
        <v>326</v>
      </c>
      <c r="AJ530">
        <v>94123008</v>
      </c>
      <c r="AK530" s="1" t="s">
        <v>1867</v>
      </c>
      <c r="AL530" t="s">
        <v>1955</v>
      </c>
      <c r="AN530" t="s">
        <v>2054</v>
      </c>
      <c r="AO530" t="s">
        <v>2067</v>
      </c>
      <c r="AP530" t="s">
        <v>2091</v>
      </c>
      <c r="AQ530">
        <v>128642</v>
      </c>
      <c r="AR530" s="3">
        <v>46203</v>
      </c>
      <c r="AS530" s="3">
        <v>46184</v>
      </c>
      <c r="AT530" s="3">
        <v>46222</v>
      </c>
      <c r="AU530" t="s">
        <v>2123</v>
      </c>
      <c r="AW530" s="3">
        <v>46208.53701449134</v>
      </c>
    </row>
    <row r="531" spans="1:49" ht="16" hidden="1" x14ac:dyDescent="0.2">
      <c r="A531" t="s">
        <v>91</v>
      </c>
      <c r="B531">
        <v>11248</v>
      </c>
      <c r="C531">
        <v>14785</v>
      </c>
      <c r="D531" t="s">
        <v>175</v>
      </c>
      <c r="E531" t="s">
        <v>326</v>
      </c>
      <c r="F531">
        <v>257639</v>
      </c>
      <c r="G531" t="s">
        <v>600</v>
      </c>
      <c r="H531">
        <v>581860</v>
      </c>
      <c r="I531" t="s">
        <v>1176</v>
      </c>
      <c r="J531">
        <v>94123017</v>
      </c>
      <c r="K531" t="s">
        <v>1839</v>
      </c>
      <c r="L531" t="s">
        <v>1850</v>
      </c>
      <c r="M531" s="1">
        <v>20</v>
      </c>
      <c r="N531" t="s">
        <v>1855</v>
      </c>
      <c r="O531">
        <v>850326</v>
      </c>
      <c r="P531" s="1">
        <v>17006.52</v>
      </c>
      <c r="S531" s="6" t="str">
        <f t="shared" si="8"/>
        <v xml:space="preserve"> </v>
      </c>
      <c r="T531" s="6">
        <f>IF(IF(COUNTIF(H$2:$H531,H531)=1,1,"")=1,SUMIF($H$2:$H$7997,H531,$S$2:$S$7997),"")</f>
        <v>0</v>
      </c>
      <c r="W531">
        <v>850326</v>
      </c>
      <c r="X531">
        <v>850326</v>
      </c>
      <c r="Y531">
        <v>0</v>
      </c>
      <c r="Z531">
        <v>0</v>
      </c>
      <c r="AA531" s="2">
        <v>1</v>
      </c>
      <c r="AB531" s="2">
        <v>0</v>
      </c>
      <c r="AC531" s="2">
        <v>0</v>
      </c>
      <c r="AD531">
        <v>0</v>
      </c>
      <c r="AE531" t="s">
        <v>1862</v>
      </c>
      <c r="AF531">
        <v>8410.94</v>
      </c>
      <c r="AG531">
        <v>1521000</v>
      </c>
      <c r="AH531">
        <v>30420</v>
      </c>
      <c r="AI531" s="1" t="s">
        <v>326</v>
      </c>
      <c r="AJ531">
        <v>94123008</v>
      </c>
      <c r="AK531" s="1" t="s">
        <v>1868</v>
      </c>
      <c r="AL531" t="s">
        <v>1955</v>
      </c>
      <c r="AN531" t="s">
        <v>2054</v>
      </c>
      <c r="AO531" t="s">
        <v>2067</v>
      </c>
      <c r="AP531" t="s">
        <v>2093</v>
      </c>
      <c r="AQ531">
        <v>128642</v>
      </c>
      <c r="AR531" s="3">
        <v>46203</v>
      </c>
      <c r="AS531" s="3">
        <v>46184</v>
      </c>
      <c r="AT531" s="3">
        <v>46222</v>
      </c>
      <c r="AU531" t="s">
        <v>2124</v>
      </c>
      <c r="AW531" s="3">
        <v>46208.53701449134</v>
      </c>
    </row>
    <row r="532" spans="1:49" ht="16" hidden="1" x14ac:dyDescent="0.2">
      <c r="A532" t="s">
        <v>91</v>
      </c>
      <c r="B532">
        <v>11248</v>
      </c>
      <c r="C532">
        <v>14785</v>
      </c>
      <c r="D532" t="s">
        <v>175</v>
      </c>
      <c r="E532" t="s">
        <v>326</v>
      </c>
      <c r="F532">
        <v>257639</v>
      </c>
      <c r="G532" t="s">
        <v>600</v>
      </c>
      <c r="H532">
        <v>581860</v>
      </c>
      <c r="I532" t="s">
        <v>1197</v>
      </c>
      <c r="J532">
        <v>94123127</v>
      </c>
      <c r="K532" t="s">
        <v>1840</v>
      </c>
      <c r="L532" t="s">
        <v>1850</v>
      </c>
      <c r="M532" s="1">
        <v>20</v>
      </c>
      <c r="N532" t="s">
        <v>1855</v>
      </c>
      <c r="O532">
        <v>544865</v>
      </c>
      <c r="P532" s="1">
        <v>10897.3</v>
      </c>
      <c r="S532" s="6" t="str">
        <f t="shared" si="8"/>
        <v xml:space="preserve"> </v>
      </c>
      <c r="T532" s="6" t="str">
        <f>IF(IF(COUNTIF(H$2:$H532,H532)=1,1,"")=1,SUMIF($H$2:$H$7997,H532,$S$2:$S$7997),"")</f>
        <v/>
      </c>
      <c r="W532">
        <v>544865</v>
      </c>
      <c r="X532">
        <v>544865</v>
      </c>
      <c r="Y532">
        <v>0</v>
      </c>
      <c r="Z532">
        <v>0</v>
      </c>
      <c r="AA532" s="2">
        <v>1</v>
      </c>
      <c r="AB532" s="2">
        <v>0</v>
      </c>
      <c r="AC532" s="2">
        <v>0</v>
      </c>
      <c r="AD532">
        <v>0</v>
      </c>
      <c r="AE532" t="s">
        <v>1862</v>
      </c>
      <c r="AF532">
        <v>5607.3</v>
      </c>
      <c r="AG532">
        <v>1014000</v>
      </c>
      <c r="AH532">
        <v>20280</v>
      </c>
      <c r="AI532" s="1" t="s">
        <v>326</v>
      </c>
      <c r="AJ532">
        <v>94123008</v>
      </c>
      <c r="AK532" s="1" t="s">
        <v>1868</v>
      </c>
      <c r="AL532" t="s">
        <v>1955</v>
      </c>
      <c r="AN532" t="s">
        <v>2054</v>
      </c>
      <c r="AO532" t="s">
        <v>2067</v>
      </c>
      <c r="AP532" t="s">
        <v>2083</v>
      </c>
      <c r="AQ532">
        <v>128642</v>
      </c>
      <c r="AR532" s="3">
        <v>46203</v>
      </c>
      <c r="AS532" s="3">
        <v>46184</v>
      </c>
      <c r="AT532" s="3">
        <v>46222</v>
      </c>
      <c r="AU532" t="s">
        <v>2123</v>
      </c>
      <c r="AW532" s="3">
        <v>46208.53701449134</v>
      </c>
    </row>
    <row r="533" spans="1:49" ht="16" hidden="1" x14ac:dyDescent="0.2">
      <c r="A533" t="s">
        <v>91</v>
      </c>
      <c r="B533">
        <v>11248</v>
      </c>
      <c r="C533">
        <v>14785</v>
      </c>
      <c r="D533" t="s">
        <v>175</v>
      </c>
      <c r="E533" t="s">
        <v>326</v>
      </c>
      <c r="F533">
        <v>257639</v>
      </c>
      <c r="G533" t="s">
        <v>865</v>
      </c>
      <c r="H533">
        <v>581863</v>
      </c>
      <c r="I533" t="s">
        <v>1708</v>
      </c>
      <c r="J533">
        <v>581864</v>
      </c>
      <c r="K533" t="s">
        <v>1846</v>
      </c>
      <c r="L533" t="s">
        <v>1851</v>
      </c>
      <c r="M533" s="1">
        <v>26000</v>
      </c>
      <c r="N533" t="s">
        <v>1858</v>
      </c>
      <c r="O533">
        <v>0</v>
      </c>
      <c r="P533" s="1">
        <v>6666.67</v>
      </c>
      <c r="S533" s="6" t="str">
        <f t="shared" si="8"/>
        <v xml:space="preserve"> </v>
      </c>
      <c r="T533" s="6">
        <f>IF(IF(COUNTIF(H$2:$H533,H533)=1,1,"")=1,SUMIF($H$2:$H$7997,H533,$S$2:$S$7997),"")</f>
        <v>0</v>
      </c>
      <c r="W533">
        <v>0</v>
      </c>
      <c r="X533">
        <v>0</v>
      </c>
      <c r="Y533">
        <v>0</v>
      </c>
      <c r="Z533">
        <v>0</v>
      </c>
      <c r="AA533" s="2">
        <v>1</v>
      </c>
      <c r="AB533" s="2">
        <v>0</v>
      </c>
      <c r="AC533" s="2">
        <v>0</v>
      </c>
      <c r="AD533">
        <v>0</v>
      </c>
      <c r="AE533" t="s">
        <v>1863</v>
      </c>
      <c r="AF533">
        <v>6666.67</v>
      </c>
      <c r="AG533">
        <v>1</v>
      </c>
      <c r="AH533">
        <v>26000</v>
      </c>
      <c r="AI533" s="1" t="s">
        <v>326</v>
      </c>
      <c r="AJ533">
        <v>257639</v>
      </c>
      <c r="AK533" s="1" t="s">
        <v>1867</v>
      </c>
      <c r="AL533" t="s">
        <v>1955</v>
      </c>
      <c r="AN533" t="s">
        <v>2054</v>
      </c>
      <c r="AO533" t="s">
        <v>2067</v>
      </c>
      <c r="AP533" t="s">
        <v>2110</v>
      </c>
      <c r="AQ533">
        <v>128642</v>
      </c>
      <c r="AR533" s="3">
        <v>46203</v>
      </c>
      <c r="AS533" s="3">
        <v>46184</v>
      </c>
      <c r="AT533" s="3">
        <v>46222</v>
      </c>
      <c r="AU533" t="s">
        <v>2128</v>
      </c>
      <c r="AW533" s="3">
        <v>46208.53701449134</v>
      </c>
    </row>
    <row r="534" spans="1:49" ht="16" hidden="1" x14ac:dyDescent="0.2">
      <c r="A534" t="s">
        <v>91</v>
      </c>
      <c r="B534">
        <v>11248</v>
      </c>
      <c r="C534">
        <v>14785</v>
      </c>
      <c r="D534" t="s">
        <v>175</v>
      </c>
      <c r="E534" t="s">
        <v>326</v>
      </c>
      <c r="F534">
        <v>257639</v>
      </c>
      <c r="G534" t="s">
        <v>865</v>
      </c>
      <c r="H534">
        <v>581863</v>
      </c>
      <c r="I534" t="s">
        <v>1672</v>
      </c>
      <c r="J534">
        <v>581867</v>
      </c>
      <c r="K534" t="s">
        <v>1844</v>
      </c>
      <c r="L534" t="s">
        <v>1851</v>
      </c>
      <c r="M534" s="1">
        <v>26000</v>
      </c>
      <c r="N534" t="s">
        <v>1858</v>
      </c>
      <c r="O534">
        <v>0</v>
      </c>
      <c r="P534" s="1">
        <v>6666.67</v>
      </c>
      <c r="S534" s="6" t="str">
        <f t="shared" si="8"/>
        <v xml:space="preserve"> </v>
      </c>
      <c r="T534" s="6" t="str">
        <f>IF(IF(COUNTIF(H$2:$H534,H534)=1,1,"")=1,SUMIF($H$2:$H$7997,H534,$S$2:$S$7997),"")</f>
        <v/>
      </c>
      <c r="W534">
        <v>0</v>
      </c>
      <c r="X534">
        <v>0</v>
      </c>
      <c r="Y534">
        <v>0</v>
      </c>
      <c r="Z534">
        <v>0</v>
      </c>
      <c r="AA534" s="2">
        <v>1</v>
      </c>
      <c r="AB534" s="2">
        <v>0</v>
      </c>
      <c r="AC534" s="2">
        <v>0</v>
      </c>
      <c r="AD534">
        <v>0</v>
      </c>
      <c r="AE534" t="s">
        <v>1863</v>
      </c>
      <c r="AF534">
        <v>6666.67</v>
      </c>
      <c r="AG534">
        <v>1</v>
      </c>
      <c r="AH534">
        <v>26000</v>
      </c>
      <c r="AI534" s="1" t="s">
        <v>326</v>
      </c>
      <c r="AJ534">
        <v>257639</v>
      </c>
      <c r="AK534" s="1" t="s">
        <v>1867</v>
      </c>
      <c r="AL534" t="s">
        <v>1955</v>
      </c>
      <c r="AN534" t="s">
        <v>2054</v>
      </c>
      <c r="AO534" t="s">
        <v>2067</v>
      </c>
      <c r="AP534" t="s">
        <v>2107</v>
      </c>
      <c r="AQ534">
        <v>128642</v>
      </c>
      <c r="AR534" s="3">
        <v>46203</v>
      </c>
      <c r="AS534" s="3">
        <v>46184</v>
      </c>
      <c r="AT534" s="3">
        <v>46222</v>
      </c>
      <c r="AU534" t="s">
        <v>2127</v>
      </c>
      <c r="AW534" s="3">
        <v>46208.53701449134</v>
      </c>
    </row>
    <row r="535" spans="1:49" ht="16" hidden="1" x14ac:dyDescent="0.2">
      <c r="A535" t="s">
        <v>91</v>
      </c>
      <c r="B535">
        <v>11248</v>
      </c>
      <c r="C535">
        <v>14785</v>
      </c>
      <c r="D535" t="s">
        <v>175</v>
      </c>
      <c r="E535" t="s">
        <v>326</v>
      </c>
      <c r="F535">
        <v>257639</v>
      </c>
      <c r="G535" t="s">
        <v>865</v>
      </c>
      <c r="H535">
        <v>581863</v>
      </c>
      <c r="I535" t="s">
        <v>1662</v>
      </c>
      <c r="J535">
        <v>581866</v>
      </c>
      <c r="K535" t="s">
        <v>1835</v>
      </c>
      <c r="L535" t="s">
        <v>1851</v>
      </c>
      <c r="M535" s="1">
        <v>26000</v>
      </c>
      <c r="N535" t="s">
        <v>1858</v>
      </c>
      <c r="O535">
        <v>0</v>
      </c>
      <c r="P535" s="1">
        <v>6666.67</v>
      </c>
      <c r="S535" s="6" t="str">
        <f t="shared" si="8"/>
        <v xml:space="preserve"> </v>
      </c>
      <c r="T535" s="6" t="str">
        <f>IF(IF(COUNTIF(H$2:$H535,H535)=1,1,"")=1,SUMIF($H$2:$H$7997,H535,$S$2:$S$7997),"")</f>
        <v/>
      </c>
      <c r="W535">
        <v>0</v>
      </c>
      <c r="X535">
        <v>0</v>
      </c>
      <c r="Y535">
        <v>0</v>
      </c>
      <c r="Z535">
        <v>0</v>
      </c>
      <c r="AA535" s="2">
        <v>1</v>
      </c>
      <c r="AB535" s="2">
        <v>0</v>
      </c>
      <c r="AC535" s="2">
        <v>0</v>
      </c>
      <c r="AD535">
        <v>0</v>
      </c>
      <c r="AE535" t="s">
        <v>1863</v>
      </c>
      <c r="AF535">
        <v>6666.67</v>
      </c>
      <c r="AG535">
        <v>1</v>
      </c>
      <c r="AH535">
        <v>26000</v>
      </c>
      <c r="AI535" s="1" t="s">
        <v>326</v>
      </c>
      <c r="AJ535">
        <v>257639</v>
      </c>
      <c r="AK535" s="1" t="s">
        <v>1867</v>
      </c>
      <c r="AL535" t="s">
        <v>1955</v>
      </c>
      <c r="AN535" t="s">
        <v>2054</v>
      </c>
      <c r="AO535" t="s">
        <v>2067</v>
      </c>
      <c r="AP535" t="s">
        <v>2109</v>
      </c>
      <c r="AQ535">
        <v>128642</v>
      </c>
      <c r="AR535" s="3">
        <v>46203</v>
      </c>
      <c r="AS535" s="3">
        <v>46184</v>
      </c>
      <c r="AT535" s="3">
        <v>46222</v>
      </c>
      <c r="AU535" t="s">
        <v>2129</v>
      </c>
      <c r="AW535" s="3">
        <v>46208.53701449134</v>
      </c>
    </row>
    <row r="536" spans="1:49" ht="16" hidden="1" x14ac:dyDescent="0.2">
      <c r="A536" t="s">
        <v>91</v>
      </c>
      <c r="B536">
        <v>11248</v>
      </c>
      <c r="C536">
        <v>14785</v>
      </c>
      <c r="D536" t="s">
        <v>175</v>
      </c>
      <c r="E536" t="s">
        <v>326</v>
      </c>
      <c r="F536">
        <v>257639</v>
      </c>
      <c r="G536" t="s">
        <v>609</v>
      </c>
      <c r="H536">
        <v>589549</v>
      </c>
      <c r="I536" t="s">
        <v>1187</v>
      </c>
      <c r="J536">
        <v>94123057</v>
      </c>
      <c r="K536" t="s">
        <v>1839</v>
      </c>
      <c r="L536" t="s">
        <v>1850</v>
      </c>
      <c r="M536" s="1">
        <v>40</v>
      </c>
      <c r="N536" t="s">
        <v>23</v>
      </c>
      <c r="O536">
        <v>485006</v>
      </c>
      <c r="P536" s="1">
        <v>19400.240000000002</v>
      </c>
      <c r="S536" s="6" t="str">
        <f t="shared" si="8"/>
        <v xml:space="preserve"> </v>
      </c>
      <c r="T536" s="6">
        <f>IF(IF(COUNTIF(H$2:$H536,H536)=1,1,"")=1,SUMIF($H$2:$H$7997,H536,$S$2:$S$7997),"")</f>
        <v>0</v>
      </c>
      <c r="W536">
        <v>485006</v>
      </c>
      <c r="X536">
        <v>485006</v>
      </c>
      <c r="Y536">
        <v>0</v>
      </c>
      <c r="Z536">
        <v>0</v>
      </c>
      <c r="AA536" s="2">
        <v>1</v>
      </c>
      <c r="AB536" s="2">
        <v>0</v>
      </c>
      <c r="AC536" s="2">
        <v>0</v>
      </c>
      <c r="AD536">
        <v>0</v>
      </c>
      <c r="AE536" t="s">
        <v>1862</v>
      </c>
      <c r="AF536">
        <v>9798.4599999999991</v>
      </c>
      <c r="AG536">
        <v>857500</v>
      </c>
      <c r="AH536">
        <v>34300</v>
      </c>
      <c r="AI536" s="1" t="s">
        <v>326</v>
      </c>
      <c r="AJ536">
        <v>94123008</v>
      </c>
      <c r="AK536" s="1" t="s">
        <v>1867</v>
      </c>
      <c r="AL536" t="s">
        <v>1955</v>
      </c>
      <c r="AN536" t="s">
        <v>2054</v>
      </c>
      <c r="AO536" t="s">
        <v>2067</v>
      </c>
      <c r="AP536" t="s">
        <v>2094</v>
      </c>
      <c r="AQ536">
        <v>128642</v>
      </c>
      <c r="AR536" s="3">
        <v>46203</v>
      </c>
      <c r="AS536" s="3">
        <v>46184</v>
      </c>
      <c r="AT536" s="3">
        <v>46222</v>
      </c>
      <c r="AU536" t="s">
        <v>2124</v>
      </c>
      <c r="AW536" s="3">
        <v>46208.53701449134</v>
      </c>
    </row>
    <row r="537" spans="1:49" ht="16" hidden="1" x14ac:dyDescent="0.2">
      <c r="A537" t="s">
        <v>91</v>
      </c>
      <c r="B537">
        <v>11248</v>
      </c>
      <c r="C537">
        <v>14785</v>
      </c>
      <c r="D537" t="s">
        <v>175</v>
      </c>
      <c r="E537" t="s">
        <v>326</v>
      </c>
      <c r="F537">
        <v>257639</v>
      </c>
      <c r="G537" t="s">
        <v>609</v>
      </c>
      <c r="H537">
        <v>589549</v>
      </c>
      <c r="I537" t="s">
        <v>1186</v>
      </c>
      <c r="J537">
        <v>94123054</v>
      </c>
      <c r="K537" t="s">
        <v>1835</v>
      </c>
      <c r="L537" t="s">
        <v>1850</v>
      </c>
      <c r="M537" s="1">
        <v>40</v>
      </c>
      <c r="N537" t="s">
        <v>23</v>
      </c>
      <c r="O537">
        <v>212741</v>
      </c>
      <c r="P537" s="1">
        <v>8509.64</v>
      </c>
      <c r="S537" s="6" t="str">
        <f t="shared" si="8"/>
        <v xml:space="preserve"> </v>
      </c>
      <c r="T537" s="6" t="str">
        <f>IF(IF(COUNTIF(H$2:$H537,H537)=1,1,"")=1,SUMIF($H$2:$H$7997,H537,$S$2:$S$7997),"")</f>
        <v/>
      </c>
      <c r="W537">
        <v>212741</v>
      </c>
      <c r="X537">
        <v>212741</v>
      </c>
      <c r="Y537">
        <v>0</v>
      </c>
      <c r="Z537">
        <v>0</v>
      </c>
      <c r="AA537" s="2">
        <v>1</v>
      </c>
      <c r="AB537" s="2">
        <v>0</v>
      </c>
      <c r="AC537" s="2">
        <v>0</v>
      </c>
      <c r="AD537">
        <v>0</v>
      </c>
      <c r="AE537" t="s">
        <v>1862</v>
      </c>
      <c r="AF537">
        <v>4199.34</v>
      </c>
      <c r="AG537">
        <v>367500</v>
      </c>
      <c r="AH537">
        <v>14700</v>
      </c>
      <c r="AI537" s="1" t="s">
        <v>326</v>
      </c>
      <c r="AJ537">
        <v>94123008</v>
      </c>
      <c r="AK537" s="1" t="s">
        <v>1867</v>
      </c>
      <c r="AL537" t="s">
        <v>1955</v>
      </c>
      <c r="AN537" t="s">
        <v>2054</v>
      </c>
      <c r="AO537" t="s">
        <v>2067</v>
      </c>
      <c r="AP537" t="s">
        <v>2092</v>
      </c>
      <c r="AQ537">
        <v>128642</v>
      </c>
      <c r="AR537" s="3">
        <v>46203</v>
      </c>
      <c r="AS537" s="3">
        <v>46184</v>
      </c>
      <c r="AT537" s="3">
        <v>46222</v>
      </c>
      <c r="AU537" t="s">
        <v>2123</v>
      </c>
      <c r="AW537" s="3">
        <v>46208.53701449134</v>
      </c>
    </row>
    <row r="538" spans="1:49" ht="16" hidden="1" x14ac:dyDescent="0.2">
      <c r="A538" t="s">
        <v>91</v>
      </c>
      <c r="B538">
        <v>11248</v>
      </c>
      <c r="C538">
        <v>14785</v>
      </c>
      <c r="D538" t="s">
        <v>175</v>
      </c>
      <c r="E538" t="s">
        <v>326</v>
      </c>
      <c r="F538">
        <v>257639</v>
      </c>
      <c r="G538" t="s">
        <v>603</v>
      </c>
      <c r="H538">
        <v>589552</v>
      </c>
      <c r="I538" t="s">
        <v>1179</v>
      </c>
      <c r="J538">
        <v>94123028</v>
      </c>
      <c r="K538" t="s">
        <v>1839</v>
      </c>
      <c r="L538" t="s">
        <v>1850</v>
      </c>
      <c r="M538" s="1">
        <v>40</v>
      </c>
      <c r="N538" t="s">
        <v>23</v>
      </c>
      <c r="O538">
        <v>659599</v>
      </c>
      <c r="P538" s="1">
        <v>26383.96</v>
      </c>
      <c r="S538" s="6" t="str">
        <f t="shared" si="8"/>
        <v xml:space="preserve"> </v>
      </c>
      <c r="T538" s="6">
        <f>IF(IF(COUNTIF(H$2:$H538,H538)=1,1,"")=1,SUMIF($H$2:$H$7997,H538,$S$2:$S$7997),"")</f>
        <v>0</v>
      </c>
      <c r="W538">
        <v>659599</v>
      </c>
      <c r="X538">
        <v>659599</v>
      </c>
      <c r="Y538">
        <v>0</v>
      </c>
      <c r="Z538">
        <v>0</v>
      </c>
      <c r="AA538" s="2">
        <v>1</v>
      </c>
      <c r="AB538" s="2">
        <v>0</v>
      </c>
      <c r="AC538" s="2">
        <v>0</v>
      </c>
      <c r="AD538">
        <v>0</v>
      </c>
      <c r="AE538" t="s">
        <v>1862</v>
      </c>
      <c r="AF538">
        <v>13290.44</v>
      </c>
      <c r="AG538">
        <v>1163750</v>
      </c>
      <c r="AH538">
        <v>46550</v>
      </c>
      <c r="AI538" s="1" t="s">
        <v>326</v>
      </c>
      <c r="AJ538">
        <v>94123008</v>
      </c>
      <c r="AK538" s="1" t="s">
        <v>1867</v>
      </c>
      <c r="AL538" t="s">
        <v>1955</v>
      </c>
      <c r="AN538" t="s">
        <v>2054</v>
      </c>
      <c r="AO538" t="s">
        <v>2067</v>
      </c>
      <c r="AP538" t="s">
        <v>2094</v>
      </c>
      <c r="AQ538">
        <v>128642</v>
      </c>
      <c r="AR538" s="3">
        <v>46203</v>
      </c>
      <c r="AS538" s="3">
        <v>46184</v>
      </c>
      <c r="AT538" s="3">
        <v>46222</v>
      </c>
      <c r="AU538" t="s">
        <v>2124</v>
      </c>
      <c r="AW538" s="3">
        <v>46208.53701449134</v>
      </c>
    </row>
    <row r="539" spans="1:49" ht="16" hidden="1" x14ac:dyDescent="0.2">
      <c r="A539" t="s">
        <v>91</v>
      </c>
      <c r="B539">
        <v>11248</v>
      </c>
      <c r="C539">
        <v>14785</v>
      </c>
      <c r="D539" t="s">
        <v>175</v>
      </c>
      <c r="E539" t="s">
        <v>326</v>
      </c>
      <c r="F539">
        <v>257639</v>
      </c>
      <c r="G539" t="s">
        <v>603</v>
      </c>
      <c r="H539">
        <v>589552</v>
      </c>
      <c r="I539" t="s">
        <v>1195</v>
      </c>
      <c r="J539">
        <v>94123116</v>
      </c>
      <c r="K539" t="s">
        <v>1835</v>
      </c>
      <c r="L539" t="s">
        <v>1850</v>
      </c>
      <c r="M539" s="1">
        <v>40</v>
      </c>
      <c r="N539" t="s">
        <v>23</v>
      </c>
      <c r="O539">
        <v>288240</v>
      </c>
      <c r="P539" s="1">
        <v>11529.6</v>
      </c>
      <c r="S539" s="6" t="str">
        <f t="shared" si="8"/>
        <v xml:space="preserve"> </v>
      </c>
      <c r="T539" s="6" t="str">
        <f>IF(IF(COUNTIF(H$2:$H539,H539)=1,1,"")=1,SUMIF($H$2:$H$7997,H539,$S$2:$S$7997),"")</f>
        <v/>
      </c>
      <c r="W539">
        <v>288240</v>
      </c>
      <c r="X539">
        <v>288240</v>
      </c>
      <c r="Y539">
        <v>0</v>
      </c>
      <c r="Z539">
        <v>0</v>
      </c>
      <c r="AA539" s="2">
        <v>1</v>
      </c>
      <c r="AB539" s="2">
        <v>0</v>
      </c>
      <c r="AC539" s="2">
        <v>0</v>
      </c>
      <c r="AD539">
        <v>0</v>
      </c>
      <c r="AE539" t="s">
        <v>1862</v>
      </c>
      <c r="AF539">
        <v>5695.9</v>
      </c>
      <c r="AG539">
        <v>498750</v>
      </c>
      <c r="AH539">
        <v>19950</v>
      </c>
      <c r="AI539" s="1" t="s">
        <v>326</v>
      </c>
      <c r="AJ539">
        <v>94123008</v>
      </c>
      <c r="AK539" s="1" t="s">
        <v>1867</v>
      </c>
      <c r="AL539" t="s">
        <v>1955</v>
      </c>
      <c r="AN539" t="s">
        <v>2054</v>
      </c>
      <c r="AO539" t="s">
        <v>2067</v>
      </c>
      <c r="AP539" t="s">
        <v>2092</v>
      </c>
      <c r="AQ539">
        <v>128642</v>
      </c>
      <c r="AR539" s="3">
        <v>46203</v>
      </c>
      <c r="AS539" s="3">
        <v>46184</v>
      </c>
      <c r="AT539" s="3">
        <v>46222</v>
      </c>
      <c r="AU539" t="s">
        <v>2123</v>
      </c>
      <c r="AW539" s="3">
        <v>46208.53701449134</v>
      </c>
    </row>
    <row r="540" spans="1:49" ht="16" hidden="1" x14ac:dyDescent="0.2">
      <c r="A540" t="s">
        <v>91</v>
      </c>
      <c r="B540">
        <v>11248</v>
      </c>
      <c r="C540">
        <v>14785</v>
      </c>
      <c r="D540" t="s">
        <v>175</v>
      </c>
      <c r="E540" t="s">
        <v>326</v>
      </c>
      <c r="F540">
        <v>257639</v>
      </c>
      <c r="G540" t="s">
        <v>602</v>
      </c>
      <c r="H540">
        <v>589555</v>
      </c>
      <c r="I540" t="s">
        <v>1178</v>
      </c>
      <c r="J540">
        <v>94123025</v>
      </c>
      <c r="K540" t="s">
        <v>1839</v>
      </c>
      <c r="L540" t="s">
        <v>1850</v>
      </c>
      <c r="M540" s="1">
        <v>40</v>
      </c>
      <c r="N540" t="s">
        <v>23</v>
      </c>
      <c r="O540">
        <v>1079118</v>
      </c>
      <c r="P540" s="1">
        <v>43164.72</v>
      </c>
      <c r="S540" s="6" t="str">
        <f t="shared" si="8"/>
        <v xml:space="preserve"> </v>
      </c>
      <c r="T540" s="6">
        <f>IF(IF(COUNTIF(H$2:$H540,H540)=1,1,"")=1,SUMIF($H$2:$H$7997,H540,$S$2:$S$7997),"")</f>
        <v>0</v>
      </c>
      <c r="W540">
        <v>1079118</v>
      </c>
      <c r="X540">
        <v>1079118</v>
      </c>
      <c r="Y540">
        <v>0</v>
      </c>
      <c r="Z540">
        <v>0</v>
      </c>
      <c r="AA540" s="2">
        <v>1</v>
      </c>
      <c r="AB540" s="2">
        <v>0</v>
      </c>
      <c r="AC540" s="2">
        <v>0</v>
      </c>
      <c r="AD540">
        <v>0</v>
      </c>
      <c r="AE540" t="s">
        <v>1862</v>
      </c>
      <c r="AF540">
        <v>21677.56</v>
      </c>
      <c r="AG540">
        <v>1898750</v>
      </c>
      <c r="AH540">
        <v>75950</v>
      </c>
      <c r="AI540" s="1" t="s">
        <v>326</v>
      </c>
      <c r="AJ540">
        <v>94123008</v>
      </c>
      <c r="AK540" s="1" t="s">
        <v>1867</v>
      </c>
      <c r="AL540" t="s">
        <v>1955</v>
      </c>
      <c r="AN540" t="s">
        <v>2054</v>
      </c>
      <c r="AO540" t="s">
        <v>2067</v>
      </c>
      <c r="AP540" t="s">
        <v>2094</v>
      </c>
      <c r="AQ540">
        <v>128642</v>
      </c>
      <c r="AR540" s="3">
        <v>46203</v>
      </c>
      <c r="AS540" s="3">
        <v>46184</v>
      </c>
      <c r="AT540" s="3">
        <v>46222</v>
      </c>
      <c r="AU540" t="s">
        <v>2124</v>
      </c>
      <c r="AW540" s="3">
        <v>46208.53701449134</v>
      </c>
    </row>
    <row r="541" spans="1:49" ht="16" hidden="1" x14ac:dyDescent="0.2">
      <c r="A541" t="s">
        <v>91</v>
      </c>
      <c r="B541">
        <v>11248</v>
      </c>
      <c r="C541">
        <v>14785</v>
      </c>
      <c r="D541" t="s">
        <v>175</v>
      </c>
      <c r="E541" t="s">
        <v>326</v>
      </c>
      <c r="F541">
        <v>257639</v>
      </c>
      <c r="G541" t="s">
        <v>602</v>
      </c>
      <c r="H541">
        <v>589555</v>
      </c>
      <c r="I541" t="s">
        <v>1194</v>
      </c>
      <c r="J541">
        <v>94123111</v>
      </c>
      <c r="K541" t="s">
        <v>1835</v>
      </c>
      <c r="L541" t="s">
        <v>1850</v>
      </c>
      <c r="M541" s="1">
        <v>40</v>
      </c>
      <c r="N541" t="s">
        <v>23</v>
      </c>
      <c r="O541">
        <v>469536</v>
      </c>
      <c r="P541" s="1">
        <v>18781.439999999999</v>
      </c>
      <c r="S541" s="6" t="str">
        <f t="shared" si="8"/>
        <v xml:space="preserve"> </v>
      </c>
      <c r="T541" s="6" t="str">
        <f>IF(IF(COUNTIF(H$2:$H541,H541)=1,1,"")=1,SUMIF($H$2:$H$7997,H541,$S$2:$S$7997),"")</f>
        <v/>
      </c>
      <c r="W541">
        <v>469536</v>
      </c>
      <c r="X541">
        <v>469536</v>
      </c>
      <c r="Y541">
        <v>0</v>
      </c>
      <c r="Z541">
        <v>0</v>
      </c>
      <c r="AA541" s="2">
        <v>1</v>
      </c>
      <c r="AB541" s="2">
        <v>0</v>
      </c>
      <c r="AC541" s="2">
        <v>0</v>
      </c>
      <c r="AD541">
        <v>0</v>
      </c>
      <c r="AE541" t="s">
        <v>1862</v>
      </c>
      <c r="AF541">
        <v>9290.3799999999992</v>
      </c>
      <c r="AG541">
        <v>813750</v>
      </c>
      <c r="AH541">
        <v>32550</v>
      </c>
      <c r="AI541" s="1" t="s">
        <v>326</v>
      </c>
      <c r="AJ541">
        <v>94123008</v>
      </c>
      <c r="AK541" s="1" t="s">
        <v>1867</v>
      </c>
      <c r="AL541" t="s">
        <v>1955</v>
      </c>
      <c r="AN541" t="s">
        <v>2054</v>
      </c>
      <c r="AO541" t="s">
        <v>2067</v>
      </c>
      <c r="AP541" t="s">
        <v>2092</v>
      </c>
      <c r="AQ541">
        <v>128642</v>
      </c>
      <c r="AR541" s="3">
        <v>46203</v>
      </c>
      <c r="AS541" s="3">
        <v>46184</v>
      </c>
      <c r="AT541" s="3">
        <v>46222</v>
      </c>
      <c r="AU541" t="s">
        <v>2123</v>
      </c>
      <c r="AW541" s="3">
        <v>46208.53701449134</v>
      </c>
    </row>
    <row r="542" spans="1:49" ht="16" hidden="1" x14ac:dyDescent="0.2">
      <c r="A542" t="s">
        <v>91</v>
      </c>
      <c r="B542">
        <v>11248</v>
      </c>
      <c r="C542">
        <v>14785</v>
      </c>
      <c r="D542" t="s">
        <v>175</v>
      </c>
      <c r="E542" t="s">
        <v>326</v>
      </c>
      <c r="F542">
        <v>257639</v>
      </c>
      <c r="G542" t="s">
        <v>610</v>
      </c>
      <c r="H542">
        <v>589558</v>
      </c>
      <c r="I542" t="s">
        <v>1188</v>
      </c>
      <c r="J542">
        <v>94123060</v>
      </c>
      <c r="K542" t="s">
        <v>1839</v>
      </c>
      <c r="L542" t="s">
        <v>1850</v>
      </c>
      <c r="M542" s="1">
        <v>40</v>
      </c>
      <c r="N542" t="s">
        <v>23</v>
      </c>
      <c r="O542">
        <v>345245</v>
      </c>
      <c r="P542" s="1">
        <v>13809.8</v>
      </c>
      <c r="S542" s="6" t="str">
        <f t="shared" si="8"/>
        <v xml:space="preserve"> </v>
      </c>
      <c r="T542" s="6">
        <f>IF(IF(COUNTIF(H$2:$H542,H542)=1,1,"")=1,SUMIF($H$2:$H$7997,H542,$S$2:$S$7997),"")</f>
        <v>0</v>
      </c>
      <c r="W542">
        <v>345245</v>
      </c>
      <c r="X542">
        <v>345245</v>
      </c>
      <c r="Y542">
        <v>0</v>
      </c>
      <c r="Z542">
        <v>0</v>
      </c>
      <c r="AA542" s="2">
        <v>1</v>
      </c>
      <c r="AB542" s="2">
        <v>0</v>
      </c>
      <c r="AC542" s="2">
        <v>0</v>
      </c>
      <c r="AD542">
        <v>0</v>
      </c>
      <c r="AE542" t="s">
        <v>1862</v>
      </c>
      <c r="AF542">
        <v>7002.23</v>
      </c>
      <c r="AG542">
        <v>612500</v>
      </c>
      <c r="AH542">
        <v>24500</v>
      </c>
      <c r="AI542" s="1" t="s">
        <v>326</v>
      </c>
      <c r="AJ542">
        <v>94123008</v>
      </c>
      <c r="AK542" s="1" t="s">
        <v>1867</v>
      </c>
      <c r="AL542" t="s">
        <v>1955</v>
      </c>
      <c r="AN542" t="s">
        <v>2054</v>
      </c>
      <c r="AO542" t="s">
        <v>2067</v>
      </c>
      <c r="AP542" t="s">
        <v>2094</v>
      </c>
      <c r="AQ542">
        <v>128642</v>
      </c>
      <c r="AR542" s="3">
        <v>46203</v>
      </c>
      <c r="AS542" s="3">
        <v>46184</v>
      </c>
      <c r="AT542" s="3">
        <v>46222</v>
      </c>
      <c r="AU542" t="s">
        <v>2124</v>
      </c>
      <c r="AW542" s="3">
        <v>46208.53701449134</v>
      </c>
    </row>
    <row r="543" spans="1:49" ht="16" hidden="1" x14ac:dyDescent="0.2">
      <c r="A543" t="s">
        <v>91</v>
      </c>
      <c r="B543">
        <v>11248</v>
      </c>
      <c r="C543">
        <v>14785</v>
      </c>
      <c r="D543" t="s">
        <v>175</v>
      </c>
      <c r="E543" t="s">
        <v>326</v>
      </c>
      <c r="F543">
        <v>257639</v>
      </c>
      <c r="G543" t="s">
        <v>610</v>
      </c>
      <c r="H543">
        <v>589558</v>
      </c>
      <c r="I543" t="s">
        <v>1193</v>
      </c>
      <c r="J543">
        <v>94123108</v>
      </c>
      <c r="K543" t="s">
        <v>1835</v>
      </c>
      <c r="L543" t="s">
        <v>1850</v>
      </c>
      <c r="M543" s="1">
        <v>40</v>
      </c>
      <c r="N543" t="s">
        <v>23</v>
      </c>
      <c r="O543">
        <v>152252</v>
      </c>
      <c r="P543" s="1">
        <v>6090.08</v>
      </c>
      <c r="S543" s="6" t="str">
        <f t="shared" si="8"/>
        <v xml:space="preserve"> </v>
      </c>
      <c r="T543" s="6" t="str">
        <f>IF(IF(COUNTIF(H$2:$H543,H543)=1,1,"")=1,SUMIF($H$2:$H$7997,H543,$S$2:$S$7997),"")</f>
        <v/>
      </c>
      <c r="W543">
        <v>152252</v>
      </c>
      <c r="X543">
        <v>152252</v>
      </c>
      <c r="Y543">
        <v>0</v>
      </c>
      <c r="Z543">
        <v>0</v>
      </c>
      <c r="AA543" s="2">
        <v>1</v>
      </c>
      <c r="AB543" s="2">
        <v>0</v>
      </c>
      <c r="AC543" s="2">
        <v>0</v>
      </c>
      <c r="AD543">
        <v>0</v>
      </c>
      <c r="AE543" t="s">
        <v>1862</v>
      </c>
      <c r="AF543">
        <v>3000.95</v>
      </c>
      <c r="AG543">
        <v>262500</v>
      </c>
      <c r="AH543">
        <v>10500</v>
      </c>
      <c r="AI543" s="1" t="s">
        <v>326</v>
      </c>
      <c r="AJ543">
        <v>94123008</v>
      </c>
      <c r="AK543" s="1" t="s">
        <v>1867</v>
      </c>
      <c r="AL543" t="s">
        <v>1955</v>
      </c>
      <c r="AN543" t="s">
        <v>2054</v>
      </c>
      <c r="AO543" t="s">
        <v>2067</v>
      </c>
      <c r="AP543" t="s">
        <v>2092</v>
      </c>
      <c r="AQ543">
        <v>128642</v>
      </c>
      <c r="AR543" s="3">
        <v>46203</v>
      </c>
      <c r="AS543" s="3">
        <v>46184</v>
      </c>
      <c r="AT543" s="3">
        <v>46222</v>
      </c>
      <c r="AU543" t="s">
        <v>2123</v>
      </c>
      <c r="AW543" s="3">
        <v>46208.53701449134</v>
      </c>
    </row>
    <row r="544" spans="1:49" ht="16" hidden="1" x14ac:dyDescent="0.2">
      <c r="A544" t="s">
        <v>91</v>
      </c>
      <c r="B544">
        <v>11248</v>
      </c>
      <c r="C544">
        <v>14785</v>
      </c>
      <c r="D544" t="s">
        <v>175</v>
      </c>
      <c r="E544" t="s">
        <v>326</v>
      </c>
      <c r="F544">
        <v>257639</v>
      </c>
      <c r="G544" t="s">
        <v>803</v>
      </c>
      <c r="H544">
        <v>589562</v>
      </c>
      <c r="I544" t="s">
        <v>1559</v>
      </c>
      <c r="J544">
        <v>7316069996</v>
      </c>
      <c r="K544" t="s">
        <v>1835</v>
      </c>
      <c r="L544" t="s">
        <v>1850</v>
      </c>
      <c r="M544" s="1">
        <v>6</v>
      </c>
      <c r="N544" t="s">
        <v>23</v>
      </c>
      <c r="O544">
        <v>0</v>
      </c>
      <c r="P544" s="1">
        <v>0</v>
      </c>
      <c r="S544" s="6" t="str">
        <f t="shared" si="8"/>
        <v xml:space="preserve"> </v>
      </c>
      <c r="T544" s="6">
        <f>IF(IF(COUNTIF(H$2:$H544,H544)=1,1,"")=1,SUMIF($H$2:$H$7997,H544,$S$2:$S$7997),"")</f>
        <v>0</v>
      </c>
      <c r="W544">
        <v>0</v>
      </c>
      <c r="X544">
        <v>0</v>
      </c>
      <c r="Y544">
        <v>0</v>
      </c>
      <c r="Z544">
        <v>0</v>
      </c>
      <c r="AA544" s="2">
        <v>1</v>
      </c>
      <c r="AB544" s="2">
        <v>0</v>
      </c>
      <c r="AC544" s="2">
        <v>0</v>
      </c>
      <c r="AD544">
        <v>0</v>
      </c>
      <c r="AE544" t="s">
        <v>1862</v>
      </c>
      <c r="AF544">
        <v>2729.66</v>
      </c>
      <c r="AG544">
        <v>1166667</v>
      </c>
      <c r="AH544">
        <v>7000</v>
      </c>
      <c r="AI544" s="1" t="s">
        <v>326</v>
      </c>
      <c r="AJ544">
        <v>257639</v>
      </c>
      <c r="AK544" s="1" t="s">
        <v>1867</v>
      </c>
      <c r="AL544" t="s">
        <v>1955</v>
      </c>
      <c r="AN544" t="s">
        <v>2054</v>
      </c>
      <c r="AO544" t="s">
        <v>2067</v>
      </c>
      <c r="AP544" t="s">
        <v>2103</v>
      </c>
      <c r="AQ544">
        <v>128642</v>
      </c>
      <c r="AR544" s="3">
        <v>46203</v>
      </c>
      <c r="AS544" s="3">
        <v>46184</v>
      </c>
      <c r="AT544" s="3">
        <v>46222</v>
      </c>
      <c r="AU544" t="s">
        <v>2126</v>
      </c>
      <c r="AW544" s="3">
        <v>46208.53701449134</v>
      </c>
    </row>
    <row r="545" spans="1:49" ht="16" hidden="1" x14ac:dyDescent="0.2">
      <c r="A545" t="s">
        <v>91</v>
      </c>
      <c r="B545">
        <v>11248</v>
      </c>
      <c r="C545">
        <v>14785</v>
      </c>
      <c r="D545" t="s">
        <v>175</v>
      </c>
      <c r="E545" t="s">
        <v>326</v>
      </c>
      <c r="F545">
        <v>257639</v>
      </c>
      <c r="G545" t="s">
        <v>800</v>
      </c>
      <c r="H545">
        <v>589564</v>
      </c>
      <c r="I545" t="s">
        <v>1556</v>
      </c>
      <c r="J545">
        <v>7316068457</v>
      </c>
      <c r="K545" t="s">
        <v>1835</v>
      </c>
      <c r="L545" t="s">
        <v>1850</v>
      </c>
      <c r="M545" s="1">
        <v>6</v>
      </c>
      <c r="N545" t="s">
        <v>23</v>
      </c>
      <c r="O545">
        <v>0</v>
      </c>
      <c r="P545" s="1">
        <v>0</v>
      </c>
      <c r="S545" s="6" t="str">
        <f t="shared" si="8"/>
        <v xml:space="preserve"> </v>
      </c>
      <c r="T545" s="6">
        <f>IF(IF(COUNTIF(H$2:$H545,H545)=1,1,"")=1,SUMIF($H$2:$H$7997,H545,$S$2:$S$7997),"")</f>
        <v>0</v>
      </c>
      <c r="W545">
        <v>0</v>
      </c>
      <c r="X545">
        <v>0</v>
      </c>
      <c r="Y545">
        <v>0</v>
      </c>
      <c r="Z545">
        <v>0</v>
      </c>
      <c r="AA545" s="2">
        <v>1</v>
      </c>
      <c r="AB545" s="2">
        <v>0</v>
      </c>
      <c r="AC545" s="2">
        <v>0</v>
      </c>
      <c r="AD545">
        <v>0</v>
      </c>
      <c r="AE545" t="s">
        <v>1862</v>
      </c>
      <c r="AF545">
        <v>3638.67</v>
      </c>
      <c r="AG545">
        <v>1583334</v>
      </c>
      <c r="AH545">
        <v>9500</v>
      </c>
      <c r="AI545" s="1" t="s">
        <v>326</v>
      </c>
      <c r="AJ545">
        <v>257639</v>
      </c>
      <c r="AK545" s="1" t="s">
        <v>1867</v>
      </c>
      <c r="AL545" t="s">
        <v>1955</v>
      </c>
      <c r="AN545" t="s">
        <v>2054</v>
      </c>
      <c r="AO545" t="s">
        <v>2067</v>
      </c>
      <c r="AP545" t="s">
        <v>2103</v>
      </c>
      <c r="AQ545">
        <v>128642</v>
      </c>
      <c r="AR545" s="3">
        <v>46203</v>
      </c>
      <c r="AS545" s="3">
        <v>46184</v>
      </c>
      <c r="AT545" s="3">
        <v>46222</v>
      </c>
      <c r="AU545" t="s">
        <v>2126</v>
      </c>
      <c r="AW545" s="3">
        <v>46208.53701449134</v>
      </c>
    </row>
    <row r="546" spans="1:49" ht="16" hidden="1" x14ac:dyDescent="0.2">
      <c r="A546" t="s">
        <v>91</v>
      </c>
      <c r="B546">
        <v>11248</v>
      </c>
      <c r="C546">
        <v>14785</v>
      </c>
      <c r="D546" t="s">
        <v>175</v>
      </c>
      <c r="E546" t="s">
        <v>326</v>
      </c>
      <c r="F546">
        <v>257639</v>
      </c>
      <c r="G546" t="s">
        <v>802</v>
      </c>
      <c r="H546">
        <v>589568</v>
      </c>
      <c r="I546" t="s">
        <v>1558</v>
      </c>
      <c r="J546">
        <v>7316069468</v>
      </c>
      <c r="K546" t="s">
        <v>1835</v>
      </c>
      <c r="L546" t="s">
        <v>1850</v>
      </c>
      <c r="M546" s="1">
        <v>6</v>
      </c>
      <c r="N546" t="s">
        <v>23</v>
      </c>
      <c r="O546">
        <v>0</v>
      </c>
      <c r="P546" s="1">
        <v>0</v>
      </c>
      <c r="S546" s="6" t="str">
        <f t="shared" si="8"/>
        <v xml:space="preserve"> </v>
      </c>
      <c r="T546" s="6">
        <f>IF(IF(COUNTIF(H$2:$H546,H546)=1,1,"")=1,SUMIF($H$2:$H$7997,H546,$S$2:$S$7997),"")</f>
        <v>0</v>
      </c>
      <c r="W546">
        <v>0</v>
      </c>
      <c r="X546">
        <v>0</v>
      </c>
      <c r="Y546">
        <v>0</v>
      </c>
      <c r="Z546">
        <v>0</v>
      </c>
      <c r="AA546" s="2">
        <v>1</v>
      </c>
      <c r="AB546" s="2">
        <v>0</v>
      </c>
      <c r="AC546" s="2">
        <v>0</v>
      </c>
      <c r="AD546">
        <v>0</v>
      </c>
      <c r="AE546" t="s">
        <v>1862</v>
      </c>
      <c r="AF546">
        <v>4926.71</v>
      </c>
      <c r="AG546">
        <v>2583334</v>
      </c>
      <c r="AH546">
        <v>15500</v>
      </c>
      <c r="AI546" s="1" t="s">
        <v>326</v>
      </c>
      <c r="AJ546">
        <v>257639</v>
      </c>
      <c r="AK546" s="1" t="s">
        <v>1867</v>
      </c>
      <c r="AL546" t="s">
        <v>1955</v>
      </c>
      <c r="AN546" t="s">
        <v>2054</v>
      </c>
      <c r="AO546" t="s">
        <v>2067</v>
      </c>
      <c r="AP546" t="s">
        <v>2103</v>
      </c>
      <c r="AQ546">
        <v>128642</v>
      </c>
      <c r="AR546" s="3">
        <v>46203</v>
      </c>
      <c r="AS546" s="3">
        <v>46184</v>
      </c>
      <c r="AT546" s="3">
        <v>46222</v>
      </c>
      <c r="AU546" t="s">
        <v>2126</v>
      </c>
      <c r="AW546" s="3">
        <v>46208.53701449134</v>
      </c>
    </row>
    <row r="547" spans="1:49" ht="16" hidden="1" x14ac:dyDescent="0.2">
      <c r="A547" t="s">
        <v>91</v>
      </c>
      <c r="B547">
        <v>11248</v>
      </c>
      <c r="C547">
        <v>14785</v>
      </c>
      <c r="D547" t="s">
        <v>175</v>
      </c>
      <c r="E547" t="s">
        <v>326</v>
      </c>
      <c r="F547">
        <v>257639</v>
      </c>
      <c r="G547" t="s">
        <v>794</v>
      </c>
      <c r="H547">
        <v>589571</v>
      </c>
      <c r="I547" t="s">
        <v>1550</v>
      </c>
      <c r="J547">
        <v>7312112055</v>
      </c>
      <c r="K547" t="s">
        <v>1835</v>
      </c>
      <c r="L547" t="s">
        <v>1850</v>
      </c>
      <c r="M547" s="1">
        <v>6</v>
      </c>
      <c r="N547" t="s">
        <v>23</v>
      </c>
      <c r="O547">
        <v>0</v>
      </c>
      <c r="P547" s="1">
        <v>0</v>
      </c>
      <c r="S547" s="6" t="str">
        <f t="shared" si="8"/>
        <v xml:space="preserve"> </v>
      </c>
      <c r="T547" s="6">
        <f>IF(IF(COUNTIF(H$2:$H547,H547)=1,1,"")=1,SUMIF($H$2:$H$7997,H547,$S$2:$S$7997),"")</f>
        <v>0</v>
      </c>
      <c r="W547">
        <v>0</v>
      </c>
      <c r="X547">
        <v>0</v>
      </c>
      <c r="Y547">
        <v>0</v>
      </c>
      <c r="Z547">
        <v>0</v>
      </c>
      <c r="AA547" s="2">
        <v>1</v>
      </c>
      <c r="AB547" s="2">
        <v>0</v>
      </c>
      <c r="AC547" s="2">
        <v>0</v>
      </c>
      <c r="AD547">
        <v>0</v>
      </c>
      <c r="AE547" t="s">
        <v>1862</v>
      </c>
      <c r="AF547">
        <v>1981.77</v>
      </c>
      <c r="AG547">
        <v>833334</v>
      </c>
      <c r="AH547">
        <v>5000</v>
      </c>
      <c r="AI547" s="1" t="s">
        <v>326</v>
      </c>
      <c r="AJ547">
        <v>257639</v>
      </c>
      <c r="AK547" s="1" t="s">
        <v>1867</v>
      </c>
      <c r="AL547" t="s">
        <v>1955</v>
      </c>
      <c r="AN547" t="s">
        <v>2054</v>
      </c>
      <c r="AO547" t="s">
        <v>2067</v>
      </c>
      <c r="AP547" t="s">
        <v>2103</v>
      </c>
      <c r="AQ547">
        <v>128642</v>
      </c>
      <c r="AR547" s="3">
        <v>46203</v>
      </c>
      <c r="AS547" s="3">
        <v>46184</v>
      </c>
      <c r="AT547" s="3">
        <v>46222</v>
      </c>
      <c r="AU547" t="s">
        <v>2126</v>
      </c>
      <c r="AW547" s="3">
        <v>46208.53701449134</v>
      </c>
    </row>
    <row r="548" spans="1:49" ht="16" hidden="1" x14ac:dyDescent="0.2">
      <c r="A548" t="s">
        <v>91</v>
      </c>
      <c r="B548">
        <v>11248</v>
      </c>
      <c r="C548">
        <v>14785</v>
      </c>
      <c r="D548" t="s">
        <v>175</v>
      </c>
      <c r="E548" t="s">
        <v>326</v>
      </c>
      <c r="F548">
        <v>257639</v>
      </c>
      <c r="G548" t="s">
        <v>606</v>
      </c>
      <c r="H548">
        <v>589573</v>
      </c>
      <c r="I548" t="s">
        <v>1183</v>
      </c>
      <c r="J548">
        <v>94123042</v>
      </c>
      <c r="K548" t="s">
        <v>1835</v>
      </c>
      <c r="L548" t="s">
        <v>1850</v>
      </c>
      <c r="M548" s="1">
        <v>25</v>
      </c>
      <c r="N548" t="s">
        <v>1853</v>
      </c>
      <c r="O548">
        <v>301558</v>
      </c>
      <c r="P548" s="1">
        <v>7538.95</v>
      </c>
      <c r="S548" s="6" t="str">
        <f t="shared" si="8"/>
        <v xml:space="preserve"> </v>
      </c>
      <c r="T548" s="6">
        <f>IF(IF(COUNTIF(H$2:$H548,H548)=1,1,"")=1,SUMIF($H$2:$H$7997,H548,$S$2:$S$7997),"")</f>
        <v>0</v>
      </c>
      <c r="W548">
        <v>262822</v>
      </c>
      <c r="X548">
        <v>262822</v>
      </c>
      <c r="Y548">
        <v>301558</v>
      </c>
      <c r="Z548">
        <v>301558</v>
      </c>
      <c r="AA548" s="2">
        <v>1</v>
      </c>
      <c r="AB548" s="2">
        <v>1.147388619739717</v>
      </c>
      <c r="AC548" s="2">
        <v>0</v>
      </c>
      <c r="AD548">
        <v>0</v>
      </c>
      <c r="AE548" t="s">
        <v>1862</v>
      </c>
      <c r="AF548">
        <v>3789.06</v>
      </c>
      <c r="AG548">
        <v>700000</v>
      </c>
      <c r="AH548">
        <v>17500</v>
      </c>
      <c r="AI548" s="1" t="s">
        <v>326</v>
      </c>
      <c r="AJ548">
        <v>94123008</v>
      </c>
      <c r="AK548" s="1" t="s">
        <v>1867</v>
      </c>
      <c r="AL548" t="s">
        <v>1955</v>
      </c>
      <c r="AN548" t="s">
        <v>2054</v>
      </c>
      <c r="AO548" t="s">
        <v>2067</v>
      </c>
      <c r="AP548" t="s">
        <v>2091</v>
      </c>
      <c r="AQ548">
        <v>128642</v>
      </c>
      <c r="AR548" s="3">
        <v>46203</v>
      </c>
      <c r="AS548" s="3">
        <v>46184</v>
      </c>
      <c r="AT548" s="3">
        <v>46222</v>
      </c>
      <c r="AU548" t="s">
        <v>2123</v>
      </c>
      <c r="AW548" s="3">
        <v>46208.53701449134</v>
      </c>
    </row>
    <row r="549" spans="1:49" ht="16" hidden="1" x14ac:dyDescent="0.2">
      <c r="A549" t="s">
        <v>91</v>
      </c>
      <c r="B549">
        <v>11248</v>
      </c>
      <c r="C549">
        <v>14785</v>
      </c>
      <c r="D549" t="s">
        <v>175</v>
      </c>
      <c r="E549" t="s">
        <v>326</v>
      </c>
      <c r="F549">
        <v>257639</v>
      </c>
      <c r="G549" t="s">
        <v>605</v>
      </c>
      <c r="H549">
        <v>589575</v>
      </c>
      <c r="I549" t="s">
        <v>1182</v>
      </c>
      <c r="J549">
        <v>94123038</v>
      </c>
      <c r="K549" t="s">
        <v>1835</v>
      </c>
      <c r="L549" t="s">
        <v>1850</v>
      </c>
      <c r="M549" s="1">
        <v>25</v>
      </c>
      <c r="N549" t="s">
        <v>1853</v>
      </c>
      <c r="O549">
        <v>406349</v>
      </c>
      <c r="P549" s="1">
        <v>10158.73</v>
      </c>
      <c r="S549" s="6" t="str">
        <f t="shared" si="8"/>
        <v xml:space="preserve"> </v>
      </c>
      <c r="T549" s="6">
        <f>IF(IF(COUNTIF(H$2:$H549,H549)=1,1,"")=1,SUMIF($H$2:$H$7997,H549,$S$2:$S$7997),"")</f>
        <v>0</v>
      </c>
      <c r="W549">
        <v>354255</v>
      </c>
      <c r="X549">
        <v>354255</v>
      </c>
      <c r="Y549">
        <v>406349</v>
      </c>
      <c r="Z549">
        <v>406349</v>
      </c>
      <c r="AA549" s="2">
        <v>1</v>
      </c>
      <c r="AB549" s="2">
        <v>1.1470527701733071</v>
      </c>
      <c r="AC549" s="2">
        <v>0</v>
      </c>
      <c r="AD549">
        <v>0</v>
      </c>
      <c r="AE549" t="s">
        <v>1862</v>
      </c>
      <c r="AF549">
        <v>5106.5200000000004</v>
      </c>
      <c r="AG549">
        <v>950000</v>
      </c>
      <c r="AH549">
        <v>23750</v>
      </c>
      <c r="AI549" s="1" t="s">
        <v>326</v>
      </c>
      <c r="AJ549">
        <v>94123008</v>
      </c>
      <c r="AK549" s="1" t="s">
        <v>1867</v>
      </c>
      <c r="AL549" t="s">
        <v>1955</v>
      </c>
      <c r="AN549" t="s">
        <v>2054</v>
      </c>
      <c r="AO549" t="s">
        <v>2067</v>
      </c>
      <c r="AP549" t="s">
        <v>2091</v>
      </c>
      <c r="AQ549">
        <v>128642</v>
      </c>
      <c r="AR549" s="3">
        <v>46203</v>
      </c>
      <c r="AS549" s="3">
        <v>46184</v>
      </c>
      <c r="AT549" s="3">
        <v>46222</v>
      </c>
      <c r="AU549" t="s">
        <v>2123</v>
      </c>
      <c r="AW549" s="3">
        <v>46208.53701449134</v>
      </c>
    </row>
    <row r="550" spans="1:49" ht="16" hidden="1" x14ac:dyDescent="0.2">
      <c r="A550" t="s">
        <v>91</v>
      </c>
      <c r="B550">
        <v>11248</v>
      </c>
      <c r="C550">
        <v>14785</v>
      </c>
      <c r="D550" t="s">
        <v>175</v>
      </c>
      <c r="E550" t="s">
        <v>326</v>
      </c>
      <c r="F550">
        <v>257639</v>
      </c>
      <c r="G550" t="s">
        <v>608</v>
      </c>
      <c r="H550">
        <v>589577</v>
      </c>
      <c r="I550" t="s">
        <v>1185</v>
      </c>
      <c r="J550">
        <v>94123050</v>
      </c>
      <c r="K550" t="s">
        <v>1835</v>
      </c>
      <c r="L550" t="s">
        <v>1850</v>
      </c>
      <c r="M550" s="1">
        <v>25</v>
      </c>
      <c r="N550" t="s">
        <v>1853</v>
      </c>
      <c r="O550">
        <v>664050</v>
      </c>
      <c r="P550" s="1">
        <v>16601.25</v>
      </c>
      <c r="S550" s="6" t="str">
        <f t="shared" si="8"/>
        <v xml:space="preserve"> </v>
      </c>
      <c r="T550" s="6">
        <f>IF(IF(COUNTIF(H$2:$H550,H550)=1,1,"")=1,SUMIF($H$2:$H$7997,H550,$S$2:$S$7997),"")</f>
        <v>0</v>
      </c>
      <c r="W550">
        <v>582989</v>
      </c>
      <c r="X550">
        <v>582989</v>
      </c>
      <c r="Y550">
        <v>664050</v>
      </c>
      <c r="Z550">
        <v>664050</v>
      </c>
      <c r="AA550" s="2">
        <v>1</v>
      </c>
      <c r="AB550" s="2">
        <v>1.1390442580965681</v>
      </c>
      <c r="AC550" s="2">
        <v>0</v>
      </c>
      <c r="AD550">
        <v>0</v>
      </c>
      <c r="AE550" t="s">
        <v>1862</v>
      </c>
      <c r="AF550">
        <v>8330.08</v>
      </c>
      <c r="AG550">
        <v>1550000</v>
      </c>
      <c r="AH550">
        <v>38750</v>
      </c>
      <c r="AI550" s="1" t="s">
        <v>326</v>
      </c>
      <c r="AJ550">
        <v>94123008</v>
      </c>
      <c r="AK550" s="1" t="s">
        <v>1867</v>
      </c>
      <c r="AL550" t="s">
        <v>1955</v>
      </c>
      <c r="AN550" t="s">
        <v>2054</v>
      </c>
      <c r="AO550" t="s">
        <v>2067</v>
      </c>
      <c r="AP550" t="s">
        <v>2091</v>
      </c>
      <c r="AQ550">
        <v>128642</v>
      </c>
      <c r="AR550" s="3">
        <v>46203</v>
      </c>
      <c r="AS550" s="3">
        <v>46184</v>
      </c>
      <c r="AT550" s="3">
        <v>46222</v>
      </c>
      <c r="AU550" t="s">
        <v>2123</v>
      </c>
      <c r="AW550" s="3">
        <v>46208.53701449134</v>
      </c>
    </row>
    <row r="551" spans="1:49" ht="16" hidden="1" x14ac:dyDescent="0.2">
      <c r="A551" t="s">
        <v>91</v>
      </c>
      <c r="B551">
        <v>11248</v>
      </c>
      <c r="C551">
        <v>14785</v>
      </c>
      <c r="D551" t="s">
        <v>175</v>
      </c>
      <c r="E551" t="s">
        <v>326</v>
      </c>
      <c r="F551">
        <v>257639</v>
      </c>
      <c r="G551" t="s">
        <v>613</v>
      </c>
      <c r="H551">
        <v>589579</v>
      </c>
      <c r="I551" t="s">
        <v>1192</v>
      </c>
      <c r="J551">
        <v>94123098</v>
      </c>
      <c r="K551" t="s">
        <v>1835</v>
      </c>
      <c r="L551" t="s">
        <v>1850</v>
      </c>
      <c r="M551" s="1">
        <v>25</v>
      </c>
      <c r="N551" t="s">
        <v>1853</v>
      </c>
      <c r="O551">
        <v>217542</v>
      </c>
      <c r="P551" s="1">
        <v>5438.55</v>
      </c>
      <c r="S551" s="6" t="str">
        <f t="shared" si="8"/>
        <v xml:space="preserve"> </v>
      </c>
      <c r="T551" s="6">
        <f>IF(IF(COUNTIF(H$2:$H551,H551)=1,1,"")=1,SUMIF($H$2:$H$7997,H551,$S$2:$S$7997),"")</f>
        <v>0</v>
      </c>
      <c r="W551">
        <v>188462</v>
      </c>
      <c r="X551">
        <v>188462</v>
      </c>
      <c r="Y551">
        <v>217542</v>
      </c>
      <c r="Z551">
        <v>217542</v>
      </c>
      <c r="AA551" s="2">
        <v>1</v>
      </c>
      <c r="AB551" s="2">
        <v>1.1543018529999309</v>
      </c>
      <c r="AC551" s="2">
        <v>0</v>
      </c>
      <c r="AD551">
        <v>0</v>
      </c>
      <c r="AE551" t="s">
        <v>1862</v>
      </c>
      <c r="AF551">
        <v>2727.94</v>
      </c>
      <c r="AG551">
        <v>500000</v>
      </c>
      <c r="AH551">
        <v>12500</v>
      </c>
      <c r="AI551" s="1" t="s">
        <v>326</v>
      </c>
      <c r="AJ551">
        <v>94123008</v>
      </c>
      <c r="AK551" s="1" t="s">
        <v>1867</v>
      </c>
      <c r="AL551" t="s">
        <v>1955</v>
      </c>
      <c r="AN551" t="s">
        <v>2054</v>
      </c>
      <c r="AO551" t="s">
        <v>2067</v>
      </c>
      <c r="AP551" t="s">
        <v>2091</v>
      </c>
      <c r="AQ551">
        <v>128642</v>
      </c>
      <c r="AR551" s="3">
        <v>46203</v>
      </c>
      <c r="AS551" s="3">
        <v>46184</v>
      </c>
      <c r="AT551" s="3">
        <v>46222</v>
      </c>
      <c r="AU551" t="s">
        <v>2123</v>
      </c>
      <c r="AW551" s="3">
        <v>46208.53701449134</v>
      </c>
    </row>
    <row r="552" spans="1:49" ht="16" hidden="1" x14ac:dyDescent="0.2">
      <c r="A552" t="s">
        <v>91</v>
      </c>
      <c r="B552">
        <v>11248</v>
      </c>
      <c r="C552">
        <v>14785</v>
      </c>
      <c r="D552" t="s">
        <v>175</v>
      </c>
      <c r="E552" t="s">
        <v>326</v>
      </c>
      <c r="F552">
        <v>257639</v>
      </c>
      <c r="G552" t="s">
        <v>599</v>
      </c>
      <c r="H552">
        <v>589581</v>
      </c>
      <c r="I552" t="s">
        <v>1175</v>
      </c>
      <c r="J552">
        <v>94123011</v>
      </c>
      <c r="K552" t="s">
        <v>1839</v>
      </c>
      <c r="L552" t="s">
        <v>1850</v>
      </c>
      <c r="M552" s="1">
        <v>20</v>
      </c>
      <c r="N552" t="s">
        <v>1855</v>
      </c>
      <c r="O552">
        <v>456203</v>
      </c>
      <c r="P552" s="1">
        <v>9124.06</v>
      </c>
      <c r="S552" s="6" t="str">
        <f t="shared" si="8"/>
        <v xml:space="preserve"> </v>
      </c>
      <c r="T552" s="6">
        <f>IF(IF(COUNTIF(H$2:$H552,H552)=1,1,"")=1,SUMIF($H$2:$H$7997,H552,$S$2:$S$7997),"")</f>
        <v>0</v>
      </c>
      <c r="W552">
        <v>456203</v>
      </c>
      <c r="X552">
        <v>456203</v>
      </c>
      <c r="Y552">
        <v>0</v>
      </c>
      <c r="Z552">
        <v>0</v>
      </c>
      <c r="AA552" s="2">
        <v>1</v>
      </c>
      <c r="AB552" s="2">
        <v>0</v>
      </c>
      <c r="AC552" s="2">
        <v>0</v>
      </c>
      <c r="AD552">
        <v>0</v>
      </c>
      <c r="AE552" t="s">
        <v>1862</v>
      </c>
      <c r="AF552">
        <v>4519.43</v>
      </c>
      <c r="AG552">
        <v>819000</v>
      </c>
      <c r="AH552">
        <v>16380</v>
      </c>
      <c r="AI552" s="1" t="s">
        <v>326</v>
      </c>
      <c r="AJ552">
        <v>94123008</v>
      </c>
      <c r="AK552" s="1" t="s">
        <v>1868</v>
      </c>
      <c r="AL552" t="s">
        <v>1955</v>
      </c>
      <c r="AN552" t="s">
        <v>2054</v>
      </c>
      <c r="AO552" t="s">
        <v>2067</v>
      </c>
      <c r="AP552" t="s">
        <v>2093</v>
      </c>
      <c r="AQ552">
        <v>128642</v>
      </c>
      <c r="AR552" s="3">
        <v>46203</v>
      </c>
      <c r="AS552" s="3">
        <v>46184</v>
      </c>
      <c r="AT552" s="3">
        <v>46222</v>
      </c>
      <c r="AU552" t="s">
        <v>2124</v>
      </c>
      <c r="AW552" s="3">
        <v>46208.53701449134</v>
      </c>
    </row>
    <row r="553" spans="1:49" ht="16" hidden="1" x14ac:dyDescent="0.2">
      <c r="A553" t="s">
        <v>91</v>
      </c>
      <c r="B553">
        <v>11248</v>
      </c>
      <c r="C553">
        <v>14785</v>
      </c>
      <c r="D553" t="s">
        <v>175</v>
      </c>
      <c r="E553" t="s">
        <v>326</v>
      </c>
      <c r="F553">
        <v>257639</v>
      </c>
      <c r="G553" t="s">
        <v>599</v>
      </c>
      <c r="H553">
        <v>589581</v>
      </c>
      <c r="I553" t="s">
        <v>1180</v>
      </c>
      <c r="J553">
        <v>94123031</v>
      </c>
      <c r="K553" t="s">
        <v>1840</v>
      </c>
      <c r="L553" t="s">
        <v>1850</v>
      </c>
      <c r="M553" s="1">
        <v>20</v>
      </c>
      <c r="N553" t="s">
        <v>1855</v>
      </c>
      <c r="O553">
        <v>284262</v>
      </c>
      <c r="P553" s="1">
        <v>5685.24</v>
      </c>
      <c r="S553" s="6" t="str">
        <f t="shared" si="8"/>
        <v xml:space="preserve"> </v>
      </c>
      <c r="T553" s="6" t="str">
        <f>IF(IF(COUNTIF(H$2:$H553,H553)=1,1,"")=1,SUMIF($H$2:$H$7997,H553,$S$2:$S$7997),"")</f>
        <v/>
      </c>
      <c r="W553">
        <v>284262</v>
      </c>
      <c r="X553">
        <v>284262</v>
      </c>
      <c r="Y553">
        <v>0</v>
      </c>
      <c r="Z553">
        <v>0</v>
      </c>
      <c r="AA553" s="2">
        <v>1</v>
      </c>
      <c r="AB553" s="2">
        <v>0</v>
      </c>
      <c r="AC553" s="2">
        <v>0</v>
      </c>
      <c r="AD553">
        <v>0</v>
      </c>
      <c r="AE553" t="s">
        <v>1862</v>
      </c>
      <c r="AF553">
        <v>3012.95</v>
      </c>
      <c r="AG553">
        <v>546000</v>
      </c>
      <c r="AH553">
        <v>10920</v>
      </c>
      <c r="AI553" s="1" t="s">
        <v>326</v>
      </c>
      <c r="AJ553">
        <v>94123008</v>
      </c>
      <c r="AK553" s="1" t="s">
        <v>1868</v>
      </c>
      <c r="AL553" t="s">
        <v>1955</v>
      </c>
      <c r="AN553" t="s">
        <v>2054</v>
      </c>
      <c r="AO553" t="s">
        <v>2067</v>
      </c>
      <c r="AP553" t="s">
        <v>2083</v>
      </c>
      <c r="AQ553">
        <v>128642</v>
      </c>
      <c r="AR553" s="3">
        <v>46203</v>
      </c>
      <c r="AS553" s="3">
        <v>46184</v>
      </c>
      <c r="AT553" s="3">
        <v>46222</v>
      </c>
      <c r="AU553" t="s">
        <v>2123</v>
      </c>
      <c r="AW553" s="3">
        <v>46208.53701449134</v>
      </c>
    </row>
    <row r="554" spans="1:49" ht="16" hidden="1" x14ac:dyDescent="0.2">
      <c r="A554" t="s">
        <v>91</v>
      </c>
      <c r="B554">
        <v>11248</v>
      </c>
      <c r="C554">
        <v>14785</v>
      </c>
      <c r="D554" t="s">
        <v>175</v>
      </c>
      <c r="E554" t="s">
        <v>326</v>
      </c>
      <c r="F554">
        <v>257639</v>
      </c>
      <c r="G554" t="s">
        <v>604</v>
      </c>
      <c r="H554">
        <v>589584</v>
      </c>
      <c r="I554" t="s">
        <v>1181</v>
      </c>
      <c r="J554">
        <v>94123035</v>
      </c>
      <c r="K554" t="s">
        <v>1839</v>
      </c>
      <c r="L554" t="s">
        <v>1850</v>
      </c>
      <c r="M554" s="1">
        <v>20</v>
      </c>
      <c r="N554" t="s">
        <v>1855</v>
      </c>
      <c r="O554">
        <v>621605</v>
      </c>
      <c r="P554" s="1">
        <v>12432.1</v>
      </c>
      <c r="S554" s="6" t="str">
        <f t="shared" si="8"/>
        <v xml:space="preserve"> </v>
      </c>
      <c r="T554" s="6">
        <f>IF(IF(COUNTIF(H$2:$H554,H554)=1,1,"")=1,SUMIF($H$2:$H$7997,H554,$S$2:$S$7997),"")</f>
        <v>0</v>
      </c>
      <c r="W554">
        <v>621605</v>
      </c>
      <c r="X554">
        <v>621605</v>
      </c>
      <c r="Y554">
        <v>0</v>
      </c>
      <c r="Z554">
        <v>0</v>
      </c>
      <c r="AA554" s="2">
        <v>1</v>
      </c>
      <c r="AB554" s="2">
        <v>0</v>
      </c>
      <c r="AC554" s="2">
        <v>0</v>
      </c>
      <c r="AD554">
        <v>0</v>
      </c>
      <c r="AE554" t="s">
        <v>1862</v>
      </c>
      <c r="AF554">
        <v>6148.93</v>
      </c>
      <c r="AG554">
        <v>1111500</v>
      </c>
      <c r="AH554">
        <v>22230</v>
      </c>
      <c r="AI554" s="1" t="s">
        <v>326</v>
      </c>
      <c r="AJ554">
        <v>94123008</v>
      </c>
      <c r="AK554" s="1" t="s">
        <v>1868</v>
      </c>
      <c r="AL554" t="s">
        <v>1955</v>
      </c>
      <c r="AN554" t="s">
        <v>2054</v>
      </c>
      <c r="AO554" t="s">
        <v>2067</v>
      </c>
      <c r="AP554" t="s">
        <v>2093</v>
      </c>
      <c r="AQ554">
        <v>128642</v>
      </c>
      <c r="AR554" s="3">
        <v>46203</v>
      </c>
      <c r="AS554" s="3">
        <v>46184</v>
      </c>
      <c r="AT554" s="3">
        <v>46222</v>
      </c>
      <c r="AU554" t="s">
        <v>2124</v>
      </c>
      <c r="AW554" s="3">
        <v>46208.53701449134</v>
      </c>
    </row>
    <row r="555" spans="1:49" ht="16" hidden="1" x14ac:dyDescent="0.2">
      <c r="A555" t="s">
        <v>91</v>
      </c>
      <c r="B555">
        <v>11248</v>
      </c>
      <c r="C555">
        <v>14785</v>
      </c>
      <c r="D555" t="s">
        <v>175</v>
      </c>
      <c r="E555" t="s">
        <v>326</v>
      </c>
      <c r="F555">
        <v>257639</v>
      </c>
      <c r="G555" t="s">
        <v>604</v>
      </c>
      <c r="H555">
        <v>589584</v>
      </c>
      <c r="I555" t="s">
        <v>1198</v>
      </c>
      <c r="J555">
        <v>94123131</v>
      </c>
      <c r="K555" t="s">
        <v>1840</v>
      </c>
      <c r="L555" t="s">
        <v>1850</v>
      </c>
      <c r="M555" s="1">
        <v>20</v>
      </c>
      <c r="N555" t="s">
        <v>1855</v>
      </c>
      <c r="O555">
        <v>393563</v>
      </c>
      <c r="P555" s="1">
        <v>7871.26</v>
      </c>
      <c r="S555" s="6" t="str">
        <f t="shared" si="8"/>
        <v xml:space="preserve"> </v>
      </c>
      <c r="T555" s="6" t="str">
        <f>IF(IF(COUNTIF(H$2:$H555,H555)=1,1,"")=1,SUMIF($H$2:$H$7997,H555,$S$2:$S$7997),"")</f>
        <v/>
      </c>
      <c r="W555">
        <v>393563</v>
      </c>
      <c r="X555">
        <v>393563</v>
      </c>
      <c r="Y555">
        <v>0</v>
      </c>
      <c r="Z555">
        <v>0</v>
      </c>
      <c r="AA555" s="2">
        <v>1</v>
      </c>
      <c r="AB555" s="2">
        <v>0</v>
      </c>
      <c r="AC555" s="2">
        <v>0</v>
      </c>
      <c r="AD555">
        <v>0</v>
      </c>
      <c r="AE555" t="s">
        <v>1862</v>
      </c>
      <c r="AF555">
        <v>4099.28</v>
      </c>
      <c r="AG555">
        <v>741000</v>
      </c>
      <c r="AH555">
        <v>14820</v>
      </c>
      <c r="AI555" s="1" t="s">
        <v>326</v>
      </c>
      <c r="AJ555">
        <v>94123008</v>
      </c>
      <c r="AK555" s="1" t="s">
        <v>1868</v>
      </c>
      <c r="AL555" t="s">
        <v>1955</v>
      </c>
      <c r="AN555" t="s">
        <v>2054</v>
      </c>
      <c r="AO555" t="s">
        <v>2067</v>
      </c>
      <c r="AP555" t="s">
        <v>2083</v>
      </c>
      <c r="AQ555">
        <v>128642</v>
      </c>
      <c r="AR555" s="3">
        <v>46203</v>
      </c>
      <c r="AS555" s="3">
        <v>46184</v>
      </c>
      <c r="AT555" s="3">
        <v>46222</v>
      </c>
      <c r="AU555" t="s">
        <v>2123</v>
      </c>
      <c r="AW555" s="3">
        <v>46208.53701449134</v>
      </c>
    </row>
    <row r="556" spans="1:49" ht="16" hidden="1" x14ac:dyDescent="0.2">
      <c r="A556" t="s">
        <v>91</v>
      </c>
      <c r="B556">
        <v>11248</v>
      </c>
      <c r="C556">
        <v>14785</v>
      </c>
      <c r="D556" t="s">
        <v>175</v>
      </c>
      <c r="E556" t="s">
        <v>326</v>
      </c>
      <c r="F556">
        <v>257639</v>
      </c>
      <c r="G556" t="s">
        <v>612</v>
      </c>
      <c r="H556">
        <v>589587</v>
      </c>
      <c r="I556" t="s">
        <v>1190</v>
      </c>
      <c r="J556">
        <v>94123067</v>
      </c>
      <c r="K556" t="s">
        <v>1839</v>
      </c>
      <c r="L556" t="s">
        <v>1850</v>
      </c>
      <c r="M556" s="1">
        <v>20</v>
      </c>
      <c r="N556" t="s">
        <v>1855</v>
      </c>
      <c r="O556">
        <v>1012190</v>
      </c>
      <c r="P556" s="1">
        <v>20243.8</v>
      </c>
      <c r="S556" s="6" t="str">
        <f t="shared" si="8"/>
        <v xml:space="preserve"> </v>
      </c>
      <c r="T556" s="6">
        <f>IF(IF(COUNTIF(H$2:$H556,H556)=1,1,"")=1,SUMIF($H$2:$H$7997,H556,$S$2:$S$7997),"")</f>
        <v>0</v>
      </c>
      <c r="W556">
        <v>1012190</v>
      </c>
      <c r="X556">
        <v>1012190</v>
      </c>
      <c r="Y556">
        <v>0</v>
      </c>
      <c r="Z556">
        <v>0</v>
      </c>
      <c r="AA556" s="2">
        <v>1</v>
      </c>
      <c r="AB556" s="2">
        <v>0</v>
      </c>
      <c r="AC556" s="2">
        <v>0</v>
      </c>
      <c r="AD556">
        <v>0</v>
      </c>
      <c r="AE556" t="s">
        <v>1862</v>
      </c>
      <c r="AF556">
        <v>10018.64</v>
      </c>
      <c r="AG556">
        <v>1813500</v>
      </c>
      <c r="AH556">
        <v>36270</v>
      </c>
      <c r="AI556" s="1" t="s">
        <v>326</v>
      </c>
      <c r="AJ556">
        <v>94123008</v>
      </c>
      <c r="AK556" s="1" t="s">
        <v>1868</v>
      </c>
      <c r="AL556" t="s">
        <v>1955</v>
      </c>
      <c r="AN556" t="s">
        <v>2054</v>
      </c>
      <c r="AO556" t="s">
        <v>2067</v>
      </c>
      <c r="AP556" t="s">
        <v>2093</v>
      </c>
      <c r="AQ556">
        <v>128642</v>
      </c>
      <c r="AR556" s="3">
        <v>46203</v>
      </c>
      <c r="AS556" s="3">
        <v>46184</v>
      </c>
      <c r="AT556" s="3">
        <v>46222</v>
      </c>
      <c r="AU556" t="s">
        <v>2124</v>
      </c>
      <c r="AW556" s="3">
        <v>46208.53701449134</v>
      </c>
    </row>
    <row r="557" spans="1:49" ht="16" hidden="1" x14ac:dyDescent="0.2">
      <c r="A557" t="s">
        <v>91</v>
      </c>
      <c r="B557">
        <v>11248</v>
      </c>
      <c r="C557">
        <v>14785</v>
      </c>
      <c r="D557" t="s">
        <v>175</v>
      </c>
      <c r="E557" t="s">
        <v>326</v>
      </c>
      <c r="F557">
        <v>257639</v>
      </c>
      <c r="G557" t="s">
        <v>612</v>
      </c>
      <c r="H557">
        <v>589587</v>
      </c>
      <c r="I557" t="s">
        <v>1191</v>
      </c>
      <c r="J557">
        <v>94123076</v>
      </c>
      <c r="K557" t="s">
        <v>1840</v>
      </c>
      <c r="L557" t="s">
        <v>1850</v>
      </c>
      <c r="M557" s="1">
        <v>20</v>
      </c>
      <c r="N557" t="s">
        <v>1855</v>
      </c>
      <c r="O557">
        <v>653669</v>
      </c>
      <c r="P557" s="1">
        <v>13073.38</v>
      </c>
      <c r="S557" s="6" t="str">
        <f t="shared" si="8"/>
        <v xml:space="preserve"> </v>
      </c>
      <c r="T557" s="6" t="str">
        <f>IF(IF(COUNTIF(H$2:$H557,H557)=1,1,"")=1,SUMIF($H$2:$H$7997,H557,$S$2:$S$7997),"")</f>
        <v/>
      </c>
      <c r="W557">
        <v>653669</v>
      </c>
      <c r="X557">
        <v>653669</v>
      </c>
      <c r="Y557">
        <v>0</v>
      </c>
      <c r="Z557">
        <v>0</v>
      </c>
      <c r="AA557" s="2">
        <v>1</v>
      </c>
      <c r="AB557" s="2">
        <v>0</v>
      </c>
      <c r="AC557" s="2">
        <v>0</v>
      </c>
      <c r="AD557">
        <v>0</v>
      </c>
      <c r="AE557" t="s">
        <v>1862</v>
      </c>
      <c r="AF557">
        <v>6679.09</v>
      </c>
      <c r="AG557">
        <v>1209000</v>
      </c>
      <c r="AH557">
        <v>24180</v>
      </c>
      <c r="AI557" s="1" t="s">
        <v>326</v>
      </c>
      <c r="AJ557">
        <v>94123008</v>
      </c>
      <c r="AK557" s="1" t="s">
        <v>1868</v>
      </c>
      <c r="AL557" t="s">
        <v>1955</v>
      </c>
      <c r="AN557" t="s">
        <v>2054</v>
      </c>
      <c r="AO557" t="s">
        <v>2067</v>
      </c>
      <c r="AP557" t="s">
        <v>2083</v>
      </c>
      <c r="AQ557">
        <v>128642</v>
      </c>
      <c r="AR557" s="3">
        <v>46203</v>
      </c>
      <c r="AS557" s="3">
        <v>46184</v>
      </c>
      <c r="AT557" s="3">
        <v>46222</v>
      </c>
      <c r="AU557" t="s">
        <v>2123</v>
      </c>
      <c r="AW557" s="3">
        <v>46208.53701449134</v>
      </c>
    </row>
    <row r="558" spans="1:49" ht="16" hidden="1" x14ac:dyDescent="0.2">
      <c r="A558" t="s">
        <v>91</v>
      </c>
      <c r="B558">
        <v>11248</v>
      </c>
      <c r="C558">
        <v>14785</v>
      </c>
      <c r="D558" t="s">
        <v>175</v>
      </c>
      <c r="E558" t="s">
        <v>326</v>
      </c>
      <c r="F558">
        <v>257639</v>
      </c>
      <c r="G558" t="s">
        <v>611</v>
      </c>
      <c r="H558">
        <v>589590</v>
      </c>
      <c r="I558" t="s">
        <v>1196</v>
      </c>
      <c r="J558">
        <v>94123122</v>
      </c>
      <c r="K558" t="s">
        <v>1839</v>
      </c>
      <c r="L558" t="s">
        <v>1850</v>
      </c>
      <c r="M558" s="1">
        <v>20</v>
      </c>
      <c r="N558" t="s">
        <v>1855</v>
      </c>
      <c r="O558">
        <v>327117</v>
      </c>
      <c r="P558" s="1">
        <v>6542.34</v>
      </c>
      <c r="S558" s="6" t="str">
        <f t="shared" si="8"/>
        <v xml:space="preserve"> </v>
      </c>
      <c r="T558" s="6">
        <f>IF(IF(COUNTIF(H$2:$H558,H558)=1,1,"")=1,SUMIF($H$2:$H$7997,H558,$S$2:$S$7997),"")</f>
        <v>0</v>
      </c>
      <c r="W558">
        <v>327117</v>
      </c>
      <c r="X558">
        <v>327117</v>
      </c>
      <c r="Y558">
        <v>0</v>
      </c>
      <c r="Z558">
        <v>0</v>
      </c>
      <c r="AA558" s="2">
        <v>1</v>
      </c>
      <c r="AB558" s="2">
        <v>0</v>
      </c>
      <c r="AC558" s="2">
        <v>0</v>
      </c>
      <c r="AD558">
        <v>0</v>
      </c>
      <c r="AE558" t="s">
        <v>1862</v>
      </c>
      <c r="AF558">
        <v>3237.99</v>
      </c>
      <c r="AG558">
        <v>585000</v>
      </c>
      <c r="AH558">
        <v>11700</v>
      </c>
      <c r="AI558" s="1" t="s">
        <v>326</v>
      </c>
      <c r="AJ558">
        <v>94123008</v>
      </c>
      <c r="AK558" s="1" t="s">
        <v>1868</v>
      </c>
      <c r="AL558" t="s">
        <v>1955</v>
      </c>
      <c r="AN558" t="s">
        <v>2054</v>
      </c>
      <c r="AO558" t="s">
        <v>2067</v>
      </c>
      <c r="AP558" t="s">
        <v>2093</v>
      </c>
      <c r="AQ558">
        <v>128642</v>
      </c>
      <c r="AR558" s="3">
        <v>46203</v>
      </c>
      <c r="AS558" s="3">
        <v>46184</v>
      </c>
      <c r="AT558" s="3">
        <v>46222</v>
      </c>
      <c r="AU558" t="s">
        <v>2124</v>
      </c>
      <c r="AW558" s="3">
        <v>46208.53701449134</v>
      </c>
    </row>
    <row r="559" spans="1:49" ht="16" hidden="1" x14ac:dyDescent="0.2">
      <c r="A559" t="s">
        <v>91</v>
      </c>
      <c r="B559">
        <v>11248</v>
      </c>
      <c r="C559">
        <v>14785</v>
      </c>
      <c r="D559" t="s">
        <v>175</v>
      </c>
      <c r="E559" t="s">
        <v>326</v>
      </c>
      <c r="F559">
        <v>257639</v>
      </c>
      <c r="G559" t="s">
        <v>611</v>
      </c>
      <c r="H559">
        <v>589590</v>
      </c>
      <c r="I559" t="s">
        <v>1189</v>
      </c>
      <c r="J559">
        <v>94123063</v>
      </c>
      <c r="K559" t="s">
        <v>1840</v>
      </c>
      <c r="L559" t="s">
        <v>1850</v>
      </c>
      <c r="M559" s="1">
        <v>20</v>
      </c>
      <c r="N559" t="s">
        <v>1855</v>
      </c>
      <c r="O559">
        <v>198091</v>
      </c>
      <c r="P559" s="1">
        <v>3961.82</v>
      </c>
      <c r="S559" s="6" t="str">
        <f t="shared" si="8"/>
        <v xml:space="preserve"> </v>
      </c>
      <c r="T559" s="6" t="str">
        <f>IF(IF(COUNTIF(H$2:$H559,H559)=1,1,"")=1,SUMIF($H$2:$H$7997,H559,$S$2:$S$7997),"")</f>
        <v/>
      </c>
      <c r="W559">
        <v>198091</v>
      </c>
      <c r="X559">
        <v>198091</v>
      </c>
      <c r="Y559">
        <v>0</v>
      </c>
      <c r="Z559">
        <v>0</v>
      </c>
      <c r="AA559" s="2">
        <v>1</v>
      </c>
      <c r="AB559" s="2">
        <v>0</v>
      </c>
      <c r="AC559" s="2">
        <v>0</v>
      </c>
      <c r="AD559">
        <v>0</v>
      </c>
      <c r="AE559" t="s">
        <v>1862</v>
      </c>
      <c r="AF559">
        <v>2158.66</v>
      </c>
      <c r="AG559">
        <v>390000</v>
      </c>
      <c r="AH559">
        <v>7800</v>
      </c>
      <c r="AI559" s="1" t="s">
        <v>326</v>
      </c>
      <c r="AJ559">
        <v>94123008</v>
      </c>
      <c r="AK559" s="1" t="s">
        <v>1868</v>
      </c>
      <c r="AL559" t="s">
        <v>1955</v>
      </c>
      <c r="AN559" t="s">
        <v>2054</v>
      </c>
      <c r="AO559" t="s">
        <v>2067</v>
      </c>
      <c r="AP559" t="s">
        <v>2083</v>
      </c>
      <c r="AQ559">
        <v>128642</v>
      </c>
      <c r="AR559" s="3">
        <v>46203</v>
      </c>
      <c r="AS559" s="3">
        <v>46184</v>
      </c>
      <c r="AT559" s="3">
        <v>46222</v>
      </c>
      <c r="AU559" t="s">
        <v>2123</v>
      </c>
      <c r="AW559" s="3">
        <v>46208.53701449134</v>
      </c>
    </row>
    <row r="560" spans="1:49" ht="16" hidden="1" x14ac:dyDescent="0.2">
      <c r="A560" t="s">
        <v>91</v>
      </c>
      <c r="B560">
        <v>11248</v>
      </c>
      <c r="C560">
        <v>14785</v>
      </c>
      <c r="D560" t="s">
        <v>175</v>
      </c>
      <c r="E560" t="s">
        <v>326</v>
      </c>
      <c r="F560">
        <v>257639</v>
      </c>
      <c r="G560" t="s">
        <v>843</v>
      </c>
      <c r="H560">
        <v>589593</v>
      </c>
      <c r="I560" t="s">
        <v>1825</v>
      </c>
      <c r="J560">
        <v>589594</v>
      </c>
      <c r="K560" t="s">
        <v>1846</v>
      </c>
      <c r="L560" t="s">
        <v>1851</v>
      </c>
      <c r="M560" s="1">
        <v>14000</v>
      </c>
      <c r="N560" t="s">
        <v>1858</v>
      </c>
      <c r="O560">
        <v>0</v>
      </c>
      <c r="P560" s="1">
        <v>3589.74</v>
      </c>
      <c r="S560" s="6" t="str">
        <f t="shared" si="8"/>
        <v xml:space="preserve"> </v>
      </c>
      <c r="T560" s="6">
        <f>IF(IF(COUNTIF(H$2:$H560,H560)=1,1,"")=1,SUMIF($H$2:$H$7997,H560,$S$2:$S$7997),"")</f>
        <v>0</v>
      </c>
      <c r="W560">
        <v>0</v>
      </c>
      <c r="X560">
        <v>0</v>
      </c>
      <c r="Y560">
        <v>0</v>
      </c>
      <c r="Z560">
        <v>0</v>
      </c>
      <c r="AA560" s="2">
        <v>1</v>
      </c>
      <c r="AB560" s="2">
        <v>0</v>
      </c>
      <c r="AC560" s="2">
        <v>0</v>
      </c>
      <c r="AD560">
        <v>0</v>
      </c>
      <c r="AE560" t="s">
        <v>1863</v>
      </c>
      <c r="AF560">
        <v>3589.74</v>
      </c>
      <c r="AG560">
        <v>1</v>
      </c>
      <c r="AH560">
        <v>14000</v>
      </c>
      <c r="AI560" s="1" t="s">
        <v>326</v>
      </c>
      <c r="AJ560">
        <v>257639</v>
      </c>
      <c r="AK560" s="1" t="s">
        <v>1867</v>
      </c>
      <c r="AL560" t="s">
        <v>1955</v>
      </c>
      <c r="AN560" t="s">
        <v>2054</v>
      </c>
      <c r="AO560" t="s">
        <v>2067</v>
      </c>
      <c r="AP560" t="s">
        <v>2110</v>
      </c>
      <c r="AQ560">
        <v>128642</v>
      </c>
      <c r="AR560" s="3">
        <v>46203</v>
      </c>
      <c r="AS560" s="3">
        <v>46184</v>
      </c>
      <c r="AT560" s="3">
        <v>46222</v>
      </c>
      <c r="AU560" t="s">
        <v>2128</v>
      </c>
      <c r="AW560" s="3">
        <v>46208.53701449134</v>
      </c>
    </row>
    <row r="561" spans="1:49" ht="16" hidden="1" x14ac:dyDescent="0.2">
      <c r="A561" t="s">
        <v>91</v>
      </c>
      <c r="B561">
        <v>11248</v>
      </c>
      <c r="C561">
        <v>14785</v>
      </c>
      <c r="D561" t="s">
        <v>175</v>
      </c>
      <c r="E561" t="s">
        <v>326</v>
      </c>
      <c r="F561">
        <v>257639</v>
      </c>
      <c r="G561" t="s">
        <v>843</v>
      </c>
      <c r="H561">
        <v>589593</v>
      </c>
      <c r="I561" t="s">
        <v>1684</v>
      </c>
      <c r="J561">
        <v>589596</v>
      </c>
      <c r="K561" t="s">
        <v>1844</v>
      </c>
      <c r="L561" t="s">
        <v>1851</v>
      </c>
      <c r="M561" s="1">
        <v>14000</v>
      </c>
      <c r="N561" t="s">
        <v>1858</v>
      </c>
      <c r="O561">
        <v>0</v>
      </c>
      <c r="P561" s="1">
        <v>3589.74</v>
      </c>
      <c r="S561" s="6" t="str">
        <f t="shared" si="8"/>
        <v xml:space="preserve"> </v>
      </c>
      <c r="T561" s="6" t="str">
        <f>IF(IF(COUNTIF(H$2:$H561,H561)=1,1,"")=1,SUMIF($H$2:$H$7997,H561,$S$2:$S$7997),"")</f>
        <v/>
      </c>
      <c r="W561">
        <v>0</v>
      </c>
      <c r="X561">
        <v>0</v>
      </c>
      <c r="Y561">
        <v>0</v>
      </c>
      <c r="Z561">
        <v>0</v>
      </c>
      <c r="AA561" s="2">
        <v>1</v>
      </c>
      <c r="AB561" s="2">
        <v>0</v>
      </c>
      <c r="AC561" s="2">
        <v>0</v>
      </c>
      <c r="AD561">
        <v>0</v>
      </c>
      <c r="AE561" t="s">
        <v>1863</v>
      </c>
      <c r="AF561">
        <v>3589.74</v>
      </c>
      <c r="AG561">
        <v>1</v>
      </c>
      <c r="AH561">
        <v>14000</v>
      </c>
      <c r="AI561" s="1" t="s">
        <v>326</v>
      </c>
      <c r="AJ561">
        <v>257639</v>
      </c>
      <c r="AK561" s="1" t="s">
        <v>1867</v>
      </c>
      <c r="AL561" t="s">
        <v>1955</v>
      </c>
      <c r="AN561" t="s">
        <v>2054</v>
      </c>
      <c r="AO561" t="s">
        <v>2067</v>
      </c>
      <c r="AP561" t="s">
        <v>2107</v>
      </c>
      <c r="AQ561">
        <v>128642</v>
      </c>
      <c r="AR561" s="3">
        <v>46203</v>
      </c>
      <c r="AS561" s="3">
        <v>46184</v>
      </c>
      <c r="AT561" s="3">
        <v>46222</v>
      </c>
      <c r="AU561" t="s">
        <v>2127</v>
      </c>
      <c r="AW561" s="3">
        <v>46208.53701449134</v>
      </c>
    </row>
    <row r="562" spans="1:49" ht="16" hidden="1" x14ac:dyDescent="0.2">
      <c r="A562" t="s">
        <v>91</v>
      </c>
      <c r="B562">
        <v>11248</v>
      </c>
      <c r="C562">
        <v>14785</v>
      </c>
      <c r="D562" t="s">
        <v>175</v>
      </c>
      <c r="E562" t="s">
        <v>326</v>
      </c>
      <c r="F562">
        <v>257639</v>
      </c>
      <c r="G562" t="s">
        <v>843</v>
      </c>
      <c r="H562">
        <v>589593</v>
      </c>
      <c r="I562" t="s">
        <v>1638</v>
      </c>
      <c r="J562">
        <v>589595</v>
      </c>
      <c r="K562" t="s">
        <v>1835</v>
      </c>
      <c r="L562" t="s">
        <v>1851</v>
      </c>
      <c r="M562" s="1">
        <v>14000</v>
      </c>
      <c r="N562" t="s">
        <v>1858</v>
      </c>
      <c r="O562">
        <v>0</v>
      </c>
      <c r="P562" s="1">
        <v>3589.74</v>
      </c>
      <c r="S562" s="6" t="str">
        <f t="shared" si="8"/>
        <v xml:space="preserve"> </v>
      </c>
      <c r="T562" s="6" t="str">
        <f>IF(IF(COUNTIF(H$2:$H562,H562)=1,1,"")=1,SUMIF($H$2:$H$7997,H562,$S$2:$S$7997),"")</f>
        <v/>
      </c>
      <c r="W562">
        <v>0</v>
      </c>
      <c r="X562">
        <v>0</v>
      </c>
      <c r="Y562">
        <v>0</v>
      </c>
      <c r="Z562">
        <v>0</v>
      </c>
      <c r="AA562" s="2">
        <v>1</v>
      </c>
      <c r="AB562" s="2">
        <v>0</v>
      </c>
      <c r="AC562" s="2">
        <v>0</v>
      </c>
      <c r="AD562">
        <v>0</v>
      </c>
      <c r="AE562" t="s">
        <v>1863</v>
      </c>
      <c r="AF562">
        <v>3589.74</v>
      </c>
      <c r="AG562">
        <v>1</v>
      </c>
      <c r="AH562">
        <v>14000</v>
      </c>
      <c r="AI562" s="1" t="s">
        <v>326</v>
      </c>
      <c r="AJ562">
        <v>257639</v>
      </c>
      <c r="AK562" s="1" t="s">
        <v>1867</v>
      </c>
      <c r="AL562" t="s">
        <v>1955</v>
      </c>
      <c r="AN562" t="s">
        <v>2054</v>
      </c>
      <c r="AO562" t="s">
        <v>2067</v>
      </c>
      <c r="AP562" t="s">
        <v>2109</v>
      </c>
      <c r="AQ562">
        <v>128642</v>
      </c>
      <c r="AR562" s="3">
        <v>46203</v>
      </c>
      <c r="AS562" s="3">
        <v>46184</v>
      </c>
      <c r="AT562" s="3">
        <v>46222</v>
      </c>
      <c r="AU562" t="s">
        <v>2129</v>
      </c>
      <c r="AW562" s="3">
        <v>46208.53701449134</v>
      </c>
    </row>
    <row r="563" spans="1:49" ht="16" hidden="1" x14ac:dyDescent="0.2">
      <c r="A563" t="s">
        <v>91</v>
      </c>
      <c r="B563">
        <v>11248</v>
      </c>
      <c r="C563">
        <v>14785</v>
      </c>
      <c r="D563" t="s">
        <v>175</v>
      </c>
      <c r="E563" t="s">
        <v>326</v>
      </c>
      <c r="F563">
        <v>257639</v>
      </c>
      <c r="G563" t="s">
        <v>842</v>
      </c>
      <c r="H563">
        <v>589597</v>
      </c>
      <c r="I563" t="s">
        <v>1730</v>
      </c>
      <c r="J563">
        <v>589598</v>
      </c>
      <c r="K563" t="s">
        <v>1846</v>
      </c>
      <c r="L563" t="s">
        <v>1851</v>
      </c>
      <c r="M563" s="1">
        <v>19000</v>
      </c>
      <c r="N563" t="s">
        <v>1858</v>
      </c>
      <c r="O563">
        <v>0</v>
      </c>
      <c r="P563" s="1">
        <v>4871.79</v>
      </c>
      <c r="S563" s="6" t="str">
        <f t="shared" si="8"/>
        <v xml:space="preserve"> </v>
      </c>
      <c r="T563" s="6">
        <f>IF(IF(COUNTIF(H$2:$H563,H563)=1,1,"")=1,SUMIF($H$2:$H$7997,H563,$S$2:$S$7997),"")</f>
        <v>0</v>
      </c>
      <c r="W563">
        <v>0</v>
      </c>
      <c r="X563">
        <v>0</v>
      </c>
      <c r="Y563">
        <v>0</v>
      </c>
      <c r="Z563">
        <v>0</v>
      </c>
      <c r="AA563" s="2">
        <v>1</v>
      </c>
      <c r="AB563" s="2">
        <v>0</v>
      </c>
      <c r="AC563" s="2">
        <v>0</v>
      </c>
      <c r="AD563">
        <v>0</v>
      </c>
      <c r="AE563" t="s">
        <v>1863</v>
      </c>
      <c r="AF563">
        <v>4871.79</v>
      </c>
      <c r="AG563">
        <v>1</v>
      </c>
      <c r="AH563">
        <v>19000</v>
      </c>
      <c r="AI563" s="1" t="s">
        <v>326</v>
      </c>
      <c r="AJ563">
        <v>257639</v>
      </c>
      <c r="AK563" s="1" t="s">
        <v>1867</v>
      </c>
      <c r="AL563" t="s">
        <v>1955</v>
      </c>
      <c r="AN563" t="s">
        <v>2054</v>
      </c>
      <c r="AO563" t="s">
        <v>2067</v>
      </c>
      <c r="AP563" t="s">
        <v>2110</v>
      </c>
      <c r="AQ563">
        <v>128642</v>
      </c>
      <c r="AR563" s="3">
        <v>46203</v>
      </c>
      <c r="AS563" s="3">
        <v>46184</v>
      </c>
      <c r="AT563" s="3">
        <v>46222</v>
      </c>
      <c r="AU563" t="s">
        <v>2128</v>
      </c>
      <c r="AW563" s="3">
        <v>46208.53701449134</v>
      </c>
    </row>
    <row r="564" spans="1:49" ht="16" hidden="1" x14ac:dyDescent="0.2">
      <c r="A564" t="s">
        <v>91</v>
      </c>
      <c r="B564">
        <v>11248</v>
      </c>
      <c r="C564">
        <v>14785</v>
      </c>
      <c r="D564" t="s">
        <v>175</v>
      </c>
      <c r="E564" t="s">
        <v>326</v>
      </c>
      <c r="F564">
        <v>257639</v>
      </c>
      <c r="G564" t="s">
        <v>842</v>
      </c>
      <c r="H564">
        <v>589597</v>
      </c>
      <c r="I564" t="s">
        <v>1637</v>
      </c>
      <c r="J564">
        <v>589600</v>
      </c>
      <c r="K564" t="s">
        <v>1844</v>
      </c>
      <c r="L564" t="s">
        <v>1851</v>
      </c>
      <c r="M564" s="1">
        <v>19000</v>
      </c>
      <c r="N564" t="s">
        <v>1858</v>
      </c>
      <c r="O564">
        <v>0</v>
      </c>
      <c r="P564" s="1">
        <v>4871.79</v>
      </c>
      <c r="S564" s="6" t="str">
        <f t="shared" si="8"/>
        <v xml:space="preserve"> </v>
      </c>
      <c r="T564" s="6" t="str">
        <f>IF(IF(COUNTIF(H$2:$H564,H564)=1,1,"")=1,SUMIF($H$2:$H$7997,H564,$S$2:$S$7997),"")</f>
        <v/>
      </c>
      <c r="W564">
        <v>0</v>
      </c>
      <c r="X564">
        <v>0</v>
      </c>
      <c r="Y564">
        <v>0</v>
      </c>
      <c r="Z564">
        <v>0</v>
      </c>
      <c r="AA564" s="2">
        <v>1</v>
      </c>
      <c r="AB564" s="2">
        <v>0</v>
      </c>
      <c r="AC564" s="2">
        <v>0</v>
      </c>
      <c r="AD564">
        <v>0</v>
      </c>
      <c r="AE564" t="s">
        <v>1863</v>
      </c>
      <c r="AF564">
        <v>4871.79</v>
      </c>
      <c r="AG564">
        <v>1</v>
      </c>
      <c r="AH564">
        <v>19000</v>
      </c>
      <c r="AI564" s="1" t="s">
        <v>326</v>
      </c>
      <c r="AJ564">
        <v>257639</v>
      </c>
      <c r="AK564" s="1" t="s">
        <v>1867</v>
      </c>
      <c r="AL564" t="s">
        <v>1955</v>
      </c>
      <c r="AN564" t="s">
        <v>2054</v>
      </c>
      <c r="AO564" t="s">
        <v>2067</v>
      </c>
      <c r="AP564" t="s">
        <v>2107</v>
      </c>
      <c r="AQ564">
        <v>128642</v>
      </c>
      <c r="AR564" s="3">
        <v>46203</v>
      </c>
      <c r="AS564" s="3">
        <v>46184</v>
      </c>
      <c r="AT564" s="3">
        <v>46222</v>
      </c>
      <c r="AU564" t="s">
        <v>2127</v>
      </c>
      <c r="AW564" s="3">
        <v>46208.53701449134</v>
      </c>
    </row>
    <row r="565" spans="1:49" ht="16" hidden="1" x14ac:dyDescent="0.2">
      <c r="A565" t="s">
        <v>91</v>
      </c>
      <c r="B565">
        <v>11248</v>
      </c>
      <c r="C565">
        <v>14785</v>
      </c>
      <c r="D565" t="s">
        <v>175</v>
      </c>
      <c r="E565" t="s">
        <v>326</v>
      </c>
      <c r="F565">
        <v>257639</v>
      </c>
      <c r="G565" t="s">
        <v>842</v>
      </c>
      <c r="H565">
        <v>589597</v>
      </c>
      <c r="I565" t="s">
        <v>1747</v>
      </c>
      <c r="J565">
        <v>589599</v>
      </c>
      <c r="K565" t="s">
        <v>1835</v>
      </c>
      <c r="L565" t="s">
        <v>1851</v>
      </c>
      <c r="M565" s="1">
        <v>19000</v>
      </c>
      <c r="N565" t="s">
        <v>1858</v>
      </c>
      <c r="O565">
        <v>0</v>
      </c>
      <c r="P565" s="1">
        <v>4871.79</v>
      </c>
      <c r="S565" s="6" t="str">
        <f t="shared" si="8"/>
        <v xml:space="preserve"> </v>
      </c>
      <c r="T565" s="6" t="str">
        <f>IF(IF(COUNTIF(H$2:$H565,H565)=1,1,"")=1,SUMIF($H$2:$H$7997,H565,$S$2:$S$7997),"")</f>
        <v/>
      </c>
      <c r="W565">
        <v>0</v>
      </c>
      <c r="X565">
        <v>0</v>
      </c>
      <c r="Y565">
        <v>0</v>
      </c>
      <c r="Z565">
        <v>0</v>
      </c>
      <c r="AA565" s="2">
        <v>1</v>
      </c>
      <c r="AB565" s="2">
        <v>0</v>
      </c>
      <c r="AC565" s="2">
        <v>0</v>
      </c>
      <c r="AD565">
        <v>0</v>
      </c>
      <c r="AE565" t="s">
        <v>1863</v>
      </c>
      <c r="AF565">
        <v>4871.79</v>
      </c>
      <c r="AG565">
        <v>1</v>
      </c>
      <c r="AH565">
        <v>19000</v>
      </c>
      <c r="AI565" s="1" t="s">
        <v>326</v>
      </c>
      <c r="AJ565">
        <v>257639</v>
      </c>
      <c r="AK565" s="1" t="s">
        <v>1867</v>
      </c>
      <c r="AL565" t="s">
        <v>1955</v>
      </c>
      <c r="AN565" t="s">
        <v>2054</v>
      </c>
      <c r="AO565" t="s">
        <v>2067</v>
      </c>
      <c r="AP565" t="s">
        <v>2109</v>
      </c>
      <c r="AQ565">
        <v>128642</v>
      </c>
      <c r="AR565" s="3">
        <v>46203</v>
      </c>
      <c r="AS565" s="3">
        <v>46184</v>
      </c>
      <c r="AT565" s="3">
        <v>46222</v>
      </c>
      <c r="AU565" t="s">
        <v>2129</v>
      </c>
      <c r="AW565" s="3">
        <v>46208.53701449134</v>
      </c>
    </row>
    <row r="566" spans="1:49" ht="16" hidden="1" x14ac:dyDescent="0.2">
      <c r="A566" t="s">
        <v>91</v>
      </c>
      <c r="B566">
        <v>11248</v>
      </c>
      <c r="C566">
        <v>14785</v>
      </c>
      <c r="D566" t="s">
        <v>175</v>
      </c>
      <c r="E566" t="s">
        <v>326</v>
      </c>
      <c r="F566">
        <v>257639</v>
      </c>
      <c r="G566" t="s">
        <v>905</v>
      </c>
      <c r="H566">
        <v>589601</v>
      </c>
      <c r="I566" t="s">
        <v>1763</v>
      </c>
      <c r="J566">
        <v>589602</v>
      </c>
      <c r="K566" t="s">
        <v>1846</v>
      </c>
      <c r="L566" t="s">
        <v>1851</v>
      </c>
      <c r="M566" s="1">
        <v>31000</v>
      </c>
      <c r="N566" t="s">
        <v>1858</v>
      </c>
      <c r="O566">
        <v>0</v>
      </c>
      <c r="P566" s="1">
        <v>7948.72</v>
      </c>
      <c r="S566" s="6" t="str">
        <f t="shared" si="8"/>
        <v xml:space="preserve"> </v>
      </c>
      <c r="T566" s="6">
        <f>IF(IF(COUNTIF(H$2:$H566,H566)=1,1,"")=1,SUMIF($H$2:$H$7997,H566,$S$2:$S$7997),"")</f>
        <v>0</v>
      </c>
      <c r="W566">
        <v>0</v>
      </c>
      <c r="X566">
        <v>0</v>
      </c>
      <c r="Y566">
        <v>0</v>
      </c>
      <c r="Z566">
        <v>0</v>
      </c>
      <c r="AA566" s="2">
        <v>1</v>
      </c>
      <c r="AB566" s="2">
        <v>0</v>
      </c>
      <c r="AC566" s="2">
        <v>0</v>
      </c>
      <c r="AD566">
        <v>0</v>
      </c>
      <c r="AE566" t="s">
        <v>1863</v>
      </c>
      <c r="AF566">
        <v>7948.72</v>
      </c>
      <c r="AG566">
        <v>1</v>
      </c>
      <c r="AH566">
        <v>31000</v>
      </c>
      <c r="AI566" s="1" t="s">
        <v>326</v>
      </c>
      <c r="AJ566">
        <v>257639</v>
      </c>
      <c r="AK566" s="1" t="s">
        <v>1867</v>
      </c>
      <c r="AL566" t="s">
        <v>1955</v>
      </c>
      <c r="AN566" t="s">
        <v>2054</v>
      </c>
      <c r="AO566" t="s">
        <v>2067</v>
      </c>
      <c r="AP566" t="s">
        <v>2110</v>
      </c>
      <c r="AQ566">
        <v>128642</v>
      </c>
      <c r="AR566" s="3">
        <v>46203</v>
      </c>
      <c r="AS566" s="3">
        <v>46184</v>
      </c>
      <c r="AT566" s="3">
        <v>46222</v>
      </c>
      <c r="AU566" t="s">
        <v>2128</v>
      </c>
      <c r="AW566" s="3">
        <v>46208.53701449134</v>
      </c>
    </row>
    <row r="567" spans="1:49" ht="16" hidden="1" x14ac:dyDescent="0.2">
      <c r="A567" t="s">
        <v>91</v>
      </c>
      <c r="B567">
        <v>11248</v>
      </c>
      <c r="C567">
        <v>14785</v>
      </c>
      <c r="D567" t="s">
        <v>175</v>
      </c>
      <c r="E567" t="s">
        <v>326</v>
      </c>
      <c r="F567">
        <v>257639</v>
      </c>
      <c r="G567" t="s">
        <v>905</v>
      </c>
      <c r="H567">
        <v>589601</v>
      </c>
      <c r="I567" t="s">
        <v>1832</v>
      </c>
      <c r="J567">
        <v>589604</v>
      </c>
      <c r="K567" t="s">
        <v>1844</v>
      </c>
      <c r="L567" t="s">
        <v>1851</v>
      </c>
      <c r="M567" s="1">
        <v>31000</v>
      </c>
      <c r="N567" t="s">
        <v>1858</v>
      </c>
      <c r="O567">
        <v>0</v>
      </c>
      <c r="P567" s="1">
        <v>7948.72</v>
      </c>
      <c r="S567" s="6" t="str">
        <f t="shared" si="8"/>
        <v xml:space="preserve"> </v>
      </c>
      <c r="T567" s="6" t="str">
        <f>IF(IF(COUNTIF(H$2:$H567,H567)=1,1,"")=1,SUMIF($H$2:$H$7997,H567,$S$2:$S$7997),"")</f>
        <v/>
      </c>
      <c r="W567">
        <v>0</v>
      </c>
      <c r="X567">
        <v>0</v>
      </c>
      <c r="Y567">
        <v>0</v>
      </c>
      <c r="Z567">
        <v>0</v>
      </c>
      <c r="AA567" s="2">
        <v>1</v>
      </c>
      <c r="AB567" s="2">
        <v>0</v>
      </c>
      <c r="AC567" s="2">
        <v>0</v>
      </c>
      <c r="AD567">
        <v>0</v>
      </c>
      <c r="AE567" t="s">
        <v>1863</v>
      </c>
      <c r="AF567">
        <v>7948.72</v>
      </c>
      <c r="AG567">
        <v>1</v>
      </c>
      <c r="AH567">
        <v>31000</v>
      </c>
      <c r="AI567" s="1" t="s">
        <v>326</v>
      </c>
      <c r="AJ567">
        <v>257639</v>
      </c>
      <c r="AK567" s="1" t="s">
        <v>1867</v>
      </c>
      <c r="AL567" t="s">
        <v>1955</v>
      </c>
      <c r="AN567" t="s">
        <v>2054</v>
      </c>
      <c r="AO567" t="s">
        <v>2067</v>
      </c>
      <c r="AP567" t="s">
        <v>2107</v>
      </c>
      <c r="AQ567">
        <v>128642</v>
      </c>
      <c r="AR567" s="3">
        <v>46203</v>
      </c>
      <c r="AS567" s="3">
        <v>46184</v>
      </c>
      <c r="AT567" s="3">
        <v>46222</v>
      </c>
      <c r="AU567" t="s">
        <v>2127</v>
      </c>
      <c r="AW567" s="3">
        <v>46208.53701449134</v>
      </c>
    </row>
    <row r="568" spans="1:49" ht="16" hidden="1" x14ac:dyDescent="0.2">
      <c r="A568" t="s">
        <v>91</v>
      </c>
      <c r="B568">
        <v>11248</v>
      </c>
      <c r="C568">
        <v>14785</v>
      </c>
      <c r="D568" t="s">
        <v>175</v>
      </c>
      <c r="E568" t="s">
        <v>326</v>
      </c>
      <c r="F568">
        <v>257639</v>
      </c>
      <c r="G568" t="s">
        <v>905</v>
      </c>
      <c r="H568">
        <v>589601</v>
      </c>
      <c r="I568" t="s">
        <v>1833</v>
      </c>
      <c r="J568">
        <v>589603</v>
      </c>
      <c r="K568" t="s">
        <v>1835</v>
      </c>
      <c r="L568" t="s">
        <v>1851</v>
      </c>
      <c r="M568" s="1">
        <v>31000</v>
      </c>
      <c r="N568" t="s">
        <v>1858</v>
      </c>
      <c r="O568">
        <v>0</v>
      </c>
      <c r="P568" s="1">
        <v>7948.72</v>
      </c>
      <c r="S568" s="6" t="str">
        <f t="shared" si="8"/>
        <v xml:space="preserve"> </v>
      </c>
      <c r="T568" s="6" t="str">
        <f>IF(IF(COUNTIF(H$2:$H568,H568)=1,1,"")=1,SUMIF($H$2:$H$7997,H568,$S$2:$S$7997),"")</f>
        <v/>
      </c>
      <c r="W568">
        <v>0</v>
      </c>
      <c r="X568">
        <v>0</v>
      </c>
      <c r="Y568">
        <v>0</v>
      </c>
      <c r="Z568">
        <v>0</v>
      </c>
      <c r="AA568" s="2">
        <v>1</v>
      </c>
      <c r="AB568" s="2">
        <v>0</v>
      </c>
      <c r="AC568" s="2">
        <v>0</v>
      </c>
      <c r="AD568">
        <v>0</v>
      </c>
      <c r="AE568" t="s">
        <v>1863</v>
      </c>
      <c r="AF568">
        <v>7948.72</v>
      </c>
      <c r="AG568">
        <v>1</v>
      </c>
      <c r="AH568">
        <v>31000</v>
      </c>
      <c r="AI568" s="1" t="s">
        <v>326</v>
      </c>
      <c r="AJ568">
        <v>257639</v>
      </c>
      <c r="AK568" s="1" t="s">
        <v>1867</v>
      </c>
      <c r="AL568" t="s">
        <v>1955</v>
      </c>
      <c r="AN568" t="s">
        <v>2054</v>
      </c>
      <c r="AO568" t="s">
        <v>2067</v>
      </c>
      <c r="AP568" t="s">
        <v>2109</v>
      </c>
      <c r="AQ568">
        <v>128642</v>
      </c>
      <c r="AR568" s="3">
        <v>46203</v>
      </c>
      <c r="AS568" s="3">
        <v>46184</v>
      </c>
      <c r="AT568" s="3">
        <v>46222</v>
      </c>
      <c r="AU568" t="s">
        <v>2129</v>
      </c>
      <c r="AW568" s="3">
        <v>46208.53701449134</v>
      </c>
    </row>
    <row r="569" spans="1:49" ht="16" hidden="1" x14ac:dyDescent="0.2">
      <c r="A569" t="s">
        <v>91</v>
      </c>
      <c r="B569">
        <v>11248</v>
      </c>
      <c r="C569">
        <v>14785</v>
      </c>
      <c r="D569" t="s">
        <v>175</v>
      </c>
      <c r="E569" t="s">
        <v>326</v>
      </c>
      <c r="F569">
        <v>257639</v>
      </c>
      <c r="G569" t="s">
        <v>834</v>
      </c>
      <c r="H569">
        <v>589605</v>
      </c>
      <c r="I569" t="s">
        <v>1628</v>
      </c>
      <c r="J569">
        <v>589606</v>
      </c>
      <c r="K569" t="s">
        <v>1846</v>
      </c>
      <c r="L569" t="s">
        <v>1851</v>
      </c>
      <c r="M569" s="1">
        <v>10000</v>
      </c>
      <c r="N569" t="s">
        <v>1858</v>
      </c>
      <c r="O569">
        <v>0</v>
      </c>
      <c r="P569" s="1">
        <v>2564.1</v>
      </c>
      <c r="S569" s="6" t="str">
        <f t="shared" si="8"/>
        <v xml:space="preserve"> </v>
      </c>
      <c r="T569" s="6">
        <f>IF(IF(COUNTIF(H$2:$H569,H569)=1,1,"")=1,SUMIF($H$2:$H$7997,H569,$S$2:$S$7997),"")</f>
        <v>0</v>
      </c>
      <c r="W569">
        <v>0</v>
      </c>
      <c r="X569">
        <v>0</v>
      </c>
      <c r="Y569">
        <v>0</v>
      </c>
      <c r="Z569">
        <v>0</v>
      </c>
      <c r="AA569" s="2">
        <v>1</v>
      </c>
      <c r="AB569" s="2">
        <v>0</v>
      </c>
      <c r="AC569" s="2">
        <v>0</v>
      </c>
      <c r="AD569">
        <v>0</v>
      </c>
      <c r="AE569" t="s">
        <v>1863</v>
      </c>
      <c r="AF569">
        <v>2564.1</v>
      </c>
      <c r="AG569">
        <v>1</v>
      </c>
      <c r="AH569">
        <v>10000</v>
      </c>
      <c r="AI569" s="1" t="s">
        <v>326</v>
      </c>
      <c r="AJ569">
        <v>257639</v>
      </c>
      <c r="AK569" s="1" t="s">
        <v>1867</v>
      </c>
      <c r="AL569" t="s">
        <v>1955</v>
      </c>
      <c r="AN569" t="s">
        <v>2054</v>
      </c>
      <c r="AO569" t="s">
        <v>2067</v>
      </c>
      <c r="AP569" t="s">
        <v>2110</v>
      </c>
      <c r="AQ569">
        <v>128642</v>
      </c>
      <c r="AR569" s="3">
        <v>46203</v>
      </c>
      <c r="AS569" s="3">
        <v>46184</v>
      </c>
      <c r="AT569" s="3">
        <v>46222</v>
      </c>
      <c r="AU569" t="s">
        <v>2128</v>
      </c>
      <c r="AW569" s="3">
        <v>46208.53701449134</v>
      </c>
    </row>
    <row r="570" spans="1:49" ht="16" hidden="1" x14ac:dyDescent="0.2">
      <c r="A570" t="s">
        <v>91</v>
      </c>
      <c r="B570">
        <v>11248</v>
      </c>
      <c r="C570">
        <v>14785</v>
      </c>
      <c r="D570" t="s">
        <v>175</v>
      </c>
      <c r="E570" t="s">
        <v>326</v>
      </c>
      <c r="F570">
        <v>257639</v>
      </c>
      <c r="G570" t="s">
        <v>834</v>
      </c>
      <c r="H570">
        <v>589605</v>
      </c>
      <c r="I570" t="s">
        <v>1792</v>
      </c>
      <c r="J570">
        <v>589608</v>
      </c>
      <c r="K570" t="s">
        <v>1844</v>
      </c>
      <c r="L570" t="s">
        <v>1851</v>
      </c>
      <c r="M570" s="1">
        <v>10000</v>
      </c>
      <c r="N570" t="s">
        <v>1858</v>
      </c>
      <c r="O570">
        <v>0</v>
      </c>
      <c r="P570" s="1">
        <v>2564.1</v>
      </c>
      <c r="S570" s="6" t="str">
        <f t="shared" si="8"/>
        <v xml:space="preserve"> </v>
      </c>
      <c r="T570" s="6" t="str">
        <f>IF(IF(COUNTIF(H$2:$H570,H570)=1,1,"")=1,SUMIF($H$2:$H$7997,H570,$S$2:$S$7997),"")</f>
        <v/>
      </c>
      <c r="W570">
        <v>0</v>
      </c>
      <c r="X570">
        <v>0</v>
      </c>
      <c r="Y570">
        <v>0</v>
      </c>
      <c r="Z570">
        <v>0</v>
      </c>
      <c r="AA570" s="2">
        <v>1</v>
      </c>
      <c r="AB570" s="2">
        <v>0</v>
      </c>
      <c r="AC570" s="2">
        <v>0</v>
      </c>
      <c r="AD570">
        <v>0</v>
      </c>
      <c r="AE570" t="s">
        <v>1863</v>
      </c>
      <c r="AF570">
        <v>2564.1</v>
      </c>
      <c r="AG570">
        <v>1</v>
      </c>
      <c r="AH570">
        <v>10000</v>
      </c>
      <c r="AI570" s="1" t="s">
        <v>326</v>
      </c>
      <c r="AJ570">
        <v>257639</v>
      </c>
      <c r="AK570" s="1" t="s">
        <v>1867</v>
      </c>
      <c r="AL570" t="s">
        <v>1955</v>
      </c>
      <c r="AN570" t="s">
        <v>2054</v>
      </c>
      <c r="AO570" t="s">
        <v>2067</v>
      </c>
      <c r="AP570" t="s">
        <v>2107</v>
      </c>
      <c r="AQ570">
        <v>128642</v>
      </c>
      <c r="AR570" s="3">
        <v>46203</v>
      </c>
      <c r="AS570" s="3">
        <v>46184</v>
      </c>
      <c r="AT570" s="3">
        <v>46222</v>
      </c>
      <c r="AU570" t="s">
        <v>2127</v>
      </c>
      <c r="AW570" s="3">
        <v>46208.53701449134</v>
      </c>
    </row>
    <row r="571" spans="1:49" ht="16" hidden="1" x14ac:dyDescent="0.2">
      <c r="A571" t="s">
        <v>91</v>
      </c>
      <c r="B571">
        <v>11248</v>
      </c>
      <c r="C571">
        <v>14785</v>
      </c>
      <c r="D571" t="s">
        <v>175</v>
      </c>
      <c r="E571" t="s">
        <v>326</v>
      </c>
      <c r="F571">
        <v>257639</v>
      </c>
      <c r="G571" t="s">
        <v>834</v>
      </c>
      <c r="H571">
        <v>589605</v>
      </c>
      <c r="I571" t="s">
        <v>1670</v>
      </c>
      <c r="J571">
        <v>589607</v>
      </c>
      <c r="K571" t="s">
        <v>1835</v>
      </c>
      <c r="L571" t="s">
        <v>1851</v>
      </c>
      <c r="M571" s="1">
        <v>10000</v>
      </c>
      <c r="N571" t="s">
        <v>1858</v>
      </c>
      <c r="O571">
        <v>0</v>
      </c>
      <c r="P571" s="1">
        <v>2564.1</v>
      </c>
      <c r="S571" s="6" t="str">
        <f t="shared" si="8"/>
        <v xml:space="preserve"> </v>
      </c>
      <c r="T571" s="6" t="str">
        <f>IF(IF(COUNTIF(H$2:$H571,H571)=1,1,"")=1,SUMIF($H$2:$H$7997,H571,$S$2:$S$7997),"")</f>
        <v/>
      </c>
      <c r="W571">
        <v>0</v>
      </c>
      <c r="X571">
        <v>0</v>
      </c>
      <c r="Y571">
        <v>0</v>
      </c>
      <c r="Z571">
        <v>0</v>
      </c>
      <c r="AA571" s="2">
        <v>1</v>
      </c>
      <c r="AB571" s="2">
        <v>0</v>
      </c>
      <c r="AC571" s="2">
        <v>0</v>
      </c>
      <c r="AD571">
        <v>0</v>
      </c>
      <c r="AE571" t="s">
        <v>1863</v>
      </c>
      <c r="AF571">
        <v>2564.1</v>
      </c>
      <c r="AG571">
        <v>1</v>
      </c>
      <c r="AH571">
        <v>10000</v>
      </c>
      <c r="AI571" s="1" t="s">
        <v>326</v>
      </c>
      <c r="AJ571">
        <v>257639</v>
      </c>
      <c r="AK571" s="1" t="s">
        <v>1867</v>
      </c>
      <c r="AL571" t="s">
        <v>1955</v>
      </c>
      <c r="AN571" t="s">
        <v>2054</v>
      </c>
      <c r="AO571" t="s">
        <v>2067</v>
      </c>
      <c r="AP571" t="s">
        <v>2109</v>
      </c>
      <c r="AQ571">
        <v>128642</v>
      </c>
      <c r="AR571" s="3">
        <v>46203</v>
      </c>
      <c r="AS571" s="3">
        <v>46184</v>
      </c>
      <c r="AT571" s="3">
        <v>46222</v>
      </c>
      <c r="AU571" t="s">
        <v>2129</v>
      </c>
      <c r="AW571" s="3">
        <v>46208.53701449134</v>
      </c>
    </row>
    <row r="572" spans="1:49" ht="16" hidden="1" x14ac:dyDescent="0.2">
      <c r="A572" t="s">
        <v>105</v>
      </c>
      <c r="B572">
        <v>12373</v>
      </c>
      <c r="C572">
        <v>9244</v>
      </c>
      <c r="D572" t="s">
        <v>209</v>
      </c>
      <c r="E572" t="s">
        <v>394</v>
      </c>
      <c r="F572">
        <v>266094</v>
      </c>
      <c r="G572" t="s">
        <v>730</v>
      </c>
      <c r="H572">
        <v>582278</v>
      </c>
      <c r="I572" t="s">
        <v>1413</v>
      </c>
      <c r="J572">
        <v>94648804</v>
      </c>
      <c r="K572" t="s">
        <v>1839</v>
      </c>
      <c r="L572" t="s">
        <v>1850</v>
      </c>
      <c r="M572" s="1">
        <v>44</v>
      </c>
      <c r="N572" t="s">
        <v>23</v>
      </c>
      <c r="O572">
        <v>592939</v>
      </c>
      <c r="P572" s="1">
        <v>26089.18</v>
      </c>
      <c r="S572" s="6" t="str">
        <f t="shared" si="8"/>
        <v xml:space="preserve"> </v>
      </c>
      <c r="T572" s="6">
        <f>IF(IF(COUNTIF(H$2:$H572,H572)=1,1,"")=1,SUMIF($H$2:$H$7997,H572,$S$2:$S$7997),"")</f>
        <v>0</v>
      </c>
      <c r="W572">
        <v>592939</v>
      </c>
      <c r="X572">
        <v>592939</v>
      </c>
      <c r="Y572">
        <v>0</v>
      </c>
      <c r="Z572">
        <v>0</v>
      </c>
      <c r="AA572" s="2">
        <v>1</v>
      </c>
      <c r="AB572" s="2">
        <v>0</v>
      </c>
      <c r="AC572" s="2">
        <v>0</v>
      </c>
      <c r="AD572">
        <v>0</v>
      </c>
      <c r="AE572" t="s">
        <v>1862</v>
      </c>
      <c r="AF572">
        <v>4975.62</v>
      </c>
      <c r="AG572">
        <v>592936</v>
      </c>
      <c r="AH572">
        <v>26089.18</v>
      </c>
      <c r="AI572" s="1" t="s">
        <v>394</v>
      </c>
      <c r="AJ572">
        <v>94648798</v>
      </c>
      <c r="AK572" s="1" t="s">
        <v>1867</v>
      </c>
      <c r="AL572" t="s">
        <v>1900</v>
      </c>
      <c r="AN572" t="s">
        <v>2042</v>
      </c>
      <c r="AO572" t="s">
        <v>2067</v>
      </c>
      <c r="AP572" t="s">
        <v>2094</v>
      </c>
      <c r="AQ572">
        <v>130913</v>
      </c>
      <c r="AR572" s="3">
        <v>46203</v>
      </c>
      <c r="AS572" s="3">
        <v>46183</v>
      </c>
      <c r="AT572" s="3">
        <v>46222</v>
      </c>
      <c r="AU572" t="s">
        <v>2124</v>
      </c>
      <c r="AW572" s="3">
        <v>46208.53701449134</v>
      </c>
    </row>
    <row r="573" spans="1:49" ht="16" hidden="1" x14ac:dyDescent="0.2">
      <c r="A573" t="s">
        <v>105</v>
      </c>
      <c r="B573">
        <v>12373</v>
      </c>
      <c r="C573">
        <v>9244</v>
      </c>
      <c r="D573" t="s">
        <v>209</v>
      </c>
      <c r="E573" t="s">
        <v>394</v>
      </c>
      <c r="F573">
        <v>266094</v>
      </c>
      <c r="G573" t="s">
        <v>730</v>
      </c>
      <c r="H573">
        <v>582278</v>
      </c>
      <c r="I573" t="s">
        <v>1490</v>
      </c>
      <c r="J573">
        <v>95019196</v>
      </c>
      <c r="K573" t="s">
        <v>1839</v>
      </c>
      <c r="L573" t="s">
        <v>1850</v>
      </c>
      <c r="M573" s="1">
        <v>44</v>
      </c>
      <c r="N573" t="s">
        <v>23</v>
      </c>
      <c r="O573">
        <v>398527</v>
      </c>
      <c r="P573" s="1">
        <v>17535.189999999999</v>
      </c>
      <c r="S573" s="6" t="str">
        <f t="shared" si="8"/>
        <v xml:space="preserve"> </v>
      </c>
      <c r="T573" s="6" t="str">
        <f>IF(IF(COUNTIF(H$2:$H573,H573)=1,1,"")=1,SUMIF($H$2:$H$7997,H573,$S$2:$S$7997),"")</f>
        <v/>
      </c>
      <c r="W573">
        <v>398527</v>
      </c>
      <c r="X573">
        <v>398527</v>
      </c>
      <c r="Y573">
        <v>0</v>
      </c>
      <c r="Z573">
        <v>0</v>
      </c>
      <c r="AA573" s="2">
        <v>1</v>
      </c>
      <c r="AB573" s="2">
        <v>0</v>
      </c>
      <c r="AC573" s="2">
        <v>0</v>
      </c>
      <c r="AD573">
        <v>0</v>
      </c>
      <c r="AE573" t="s">
        <v>1862</v>
      </c>
      <c r="AF573">
        <v>5036.96</v>
      </c>
      <c r="AG573">
        <v>600246</v>
      </c>
      <c r="AH573">
        <v>26410.82</v>
      </c>
      <c r="AI573" s="1" t="s">
        <v>394</v>
      </c>
      <c r="AJ573">
        <v>94648798</v>
      </c>
      <c r="AK573" s="1" t="s">
        <v>1867</v>
      </c>
      <c r="AL573" t="s">
        <v>1900</v>
      </c>
      <c r="AN573" t="s">
        <v>2042</v>
      </c>
      <c r="AO573" t="s">
        <v>2067</v>
      </c>
      <c r="AP573" t="s">
        <v>2094</v>
      </c>
      <c r="AQ573">
        <v>130913</v>
      </c>
      <c r="AR573" s="3">
        <v>46203</v>
      </c>
      <c r="AS573" s="3">
        <v>46183</v>
      </c>
      <c r="AT573" s="3">
        <v>46222</v>
      </c>
      <c r="AU573" t="s">
        <v>2124</v>
      </c>
      <c r="AW573" s="3">
        <v>46208.53701449134</v>
      </c>
    </row>
    <row r="574" spans="1:49" ht="16" hidden="1" x14ac:dyDescent="0.2">
      <c r="A574" t="s">
        <v>105</v>
      </c>
      <c r="B574">
        <v>12373</v>
      </c>
      <c r="C574">
        <v>9244</v>
      </c>
      <c r="D574" t="s">
        <v>209</v>
      </c>
      <c r="E574" t="s">
        <v>394</v>
      </c>
      <c r="F574">
        <v>266094</v>
      </c>
      <c r="G574" t="s">
        <v>730</v>
      </c>
      <c r="H574">
        <v>582278</v>
      </c>
      <c r="I574" t="s">
        <v>1414</v>
      </c>
      <c r="J574">
        <v>94648811</v>
      </c>
      <c r="K574" t="s">
        <v>1835</v>
      </c>
      <c r="L574" t="s">
        <v>1850</v>
      </c>
      <c r="M574" s="1">
        <v>44</v>
      </c>
      <c r="N574" t="s">
        <v>23</v>
      </c>
      <c r="O574">
        <v>348051</v>
      </c>
      <c r="P574" s="1">
        <v>15314.24</v>
      </c>
      <c r="S574" s="6" t="str">
        <f t="shared" si="8"/>
        <v xml:space="preserve"> </v>
      </c>
      <c r="T574" s="6" t="str">
        <f>IF(IF(COUNTIF(H$2:$H574,H574)=1,1,"")=1,SUMIF($H$2:$H$7997,H574,$S$2:$S$7997),"")</f>
        <v/>
      </c>
      <c r="W574">
        <v>348051</v>
      </c>
      <c r="X574">
        <v>348051</v>
      </c>
      <c r="Y574">
        <v>0</v>
      </c>
      <c r="Z574">
        <v>0</v>
      </c>
      <c r="AA574" s="2">
        <v>1</v>
      </c>
      <c r="AB574" s="2">
        <v>0</v>
      </c>
      <c r="AC574" s="2">
        <v>0</v>
      </c>
      <c r="AD574">
        <v>0</v>
      </c>
      <c r="AE574" t="s">
        <v>1862</v>
      </c>
      <c r="AF574">
        <v>4291.1099999999997</v>
      </c>
      <c r="AG574">
        <v>511364</v>
      </c>
      <c r="AH574">
        <v>22500.02</v>
      </c>
      <c r="AI574" s="1" t="s">
        <v>394</v>
      </c>
      <c r="AJ574">
        <v>94648798</v>
      </c>
      <c r="AK574" s="1" t="s">
        <v>1867</v>
      </c>
      <c r="AL574" t="s">
        <v>1900</v>
      </c>
      <c r="AN574" t="s">
        <v>2042</v>
      </c>
      <c r="AO574" t="s">
        <v>2067</v>
      </c>
      <c r="AP574" t="s">
        <v>2092</v>
      </c>
      <c r="AQ574">
        <v>130913</v>
      </c>
      <c r="AR574" s="3">
        <v>46203</v>
      </c>
      <c r="AS574" s="3">
        <v>46183</v>
      </c>
      <c r="AT574" s="3">
        <v>46222</v>
      </c>
      <c r="AU574" t="s">
        <v>2123</v>
      </c>
      <c r="AW574" s="3">
        <v>46208.53701449134</v>
      </c>
    </row>
    <row r="575" spans="1:49" ht="16" hidden="1" x14ac:dyDescent="0.2">
      <c r="A575" t="s">
        <v>105</v>
      </c>
      <c r="B575">
        <v>12373</v>
      </c>
      <c r="C575">
        <v>9244</v>
      </c>
      <c r="D575" t="s">
        <v>209</v>
      </c>
      <c r="E575" t="s">
        <v>394</v>
      </c>
      <c r="F575">
        <v>266094</v>
      </c>
      <c r="G575" t="s">
        <v>761</v>
      </c>
      <c r="H575">
        <v>595783</v>
      </c>
      <c r="I575" t="s">
        <v>1489</v>
      </c>
      <c r="J575">
        <v>95012339</v>
      </c>
      <c r="K575" t="s">
        <v>1835</v>
      </c>
      <c r="L575" t="s">
        <v>1850</v>
      </c>
      <c r="M575" s="1">
        <v>25</v>
      </c>
      <c r="N575" t="s">
        <v>1853</v>
      </c>
      <c r="O575">
        <v>13353</v>
      </c>
      <c r="P575" s="1">
        <v>333.82</v>
      </c>
      <c r="S575" s="6" t="str">
        <f t="shared" si="8"/>
        <v xml:space="preserve"> </v>
      </c>
      <c r="T575" s="6">
        <f>IF(IF(COUNTIF(H$2:$H575,H575)=1,1,"")=1,SUMIF($H$2:$H$7997,H575,$S$2:$S$7997),"")</f>
        <v>0</v>
      </c>
      <c r="W575">
        <v>10341</v>
      </c>
      <c r="X575">
        <v>10341</v>
      </c>
      <c r="Y575">
        <v>13353</v>
      </c>
      <c r="Z575">
        <v>13353</v>
      </c>
      <c r="AA575" s="2">
        <v>1</v>
      </c>
      <c r="AB575" s="2">
        <v>1.291328698339127</v>
      </c>
      <c r="AC575" s="2">
        <v>0</v>
      </c>
      <c r="AD575">
        <v>0</v>
      </c>
      <c r="AE575" t="s">
        <v>1862</v>
      </c>
      <c r="AF575">
        <v>114.9</v>
      </c>
      <c r="AG575">
        <v>3000000</v>
      </c>
      <c r="AH575">
        <v>75000</v>
      </c>
      <c r="AI575" s="1" t="s">
        <v>394</v>
      </c>
      <c r="AJ575">
        <v>94648798</v>
      </c>
      <c r="AK575" s="1" t="s">
        <v>1867</v>
      </c>
      <c r="AL575" t="s">
        <v>1900</v>
      </c>
      <c r="AN575" t="s">
        <v>2042</v>
      </c>
      <c r="AO575" t="s">
        <v>2067</v>
      </c>
      <c r="AP575" t="s">
        <v>2091</v>
      </c>
      <c r="AQ575">
        <v>130913</v>
      </c>
      <c r="AR575" s="3">
        <v>46203</v>
      </c>
      <c r="AS575" s="3">
        <v>46197</v>
      </c>
      <c r="AT575" s="3">
        <v>46295</v>
      </c>
      <c r="AU575" t="s">
        <v>2123</v>
      </c>
      <c r="AW575" s="3">
        <v>46208.53701449134</v>
      </c>
    </row>
    <row r="576" spans="1:49" ht="16" hidden="1" x14ac:dyDescent="0.2">
      <c r="A576" t="s">
        <v>95</v>
      </c>
      <c r="B576">
        <v>21304</v>
      </c>
      <c r="C576">
        <v>4540</v>
      </c>
      <c r="D576" t="s">
        <v>191</v>
      </c>
      <c r="E576" t="s">
        <v>355</v>
      </c>
      <c r="F576">
        <v>268132</v>
      </c>
      <c r="G576" t="s">
        <v>658</v>
      </c>
      <c r="H576">
        <v>587699</v>
      </c>
      <c r="I576" t="s">
        <v>1280</v>
      </c>
      <c r="J576">
        <v>94289177</v>
      </c>
      <c r="K576" t="s">
        <v>1839</v>
      </c>
      <c r="L576" t="s">
        <v>1850</v>
      </c>
      <c r="M576" s="1">
        <v>44</v>
      </c>
      <c r="N576" t="s">
        <v>23</v>
      </c>
      <c r="O576">
        <v>155815</v>
      </c>
      <c r="P576" s="1">
        <v>6855.86</v>
      </c>
      <c r="S576" s="6" t="str">
        <f t="shared" si="8"/>
        <v xml:space="preserve"> </v>
      </c>
      <c r="T576" s="6">
        <f>IF(IF(COUNTIF(H$2:$H576,H576)=1,1,"")=1,SUMIF($H$2:$H$7997,H576,$S$2:$S$7997),"")</f>
        <v>0</v>
      </c>
      <c r="W576">
        <v>557989</v>
      </c>
      <c r="X576">
        <v>155815</v>
      </c>
      <c r="Y576">
        <v>0</v>
      </c>
      <c r="Z576">
        <v>0</v>
      </c>
      <c r="AA576" s="2">
        <v>1</v>
      </c>
      <c r="AB576" s="2">
        <v>0</v>
      </c>
      <c r="AC576" s="2">
        <v>0</v>
      </c>
      <c r="AD576">
        <v>0</v>
      </c>
      <c r="AE576" t="s">
        <v>1862</v>
      </c>
      <c r="AF576">
        <v>13060.37</v>
      </c>
      <c r="AG576">
        <v>1193182</v>
      </c>
      <c r="AH576">
        <v>52500.01</v>
      </c>
      <c r="AI576" s="1" t="s">
        <v>355</v>
      </c>
      <c r="AJ576">
        <v>94289174</v>
      </c>
      <c r="AK576" s="1" t="s">
        <v>1867</v>
      </c>
      <c r="AL576" t="s">
        <v>1900</v>
      </c>
      <c r="AN576" t="s">
        <v>2042</v>
      </c>
      <c r="AO576" t="s">
        <v>2067</v>
      </c>
      <c r="AP576" t="s">
        <v>2094</v>
      </c>
      <c r="AQ576">
        <v>129435</v>
      </c>
      <c r="AR576" s="3">
        <v>46203</v>
      </c>
      <c r="AS576" s="3">
        <v>46168</v>
      </c>
      <c r="AT576" s="3">
        <v>46222</v>
      </c>
      <c r="AU576" t="s">
        <v>2124</v>
      </c>
      <c r="AW576" s="3">
        <v>46208.53701449134</v>
      </c>
    </row>
    <row r="577" spans="1:49" ht="16" hidden="1" x14ac:dyDescent="0.2">
      <c r="A577" t="s">
        <v>95</v>
      </c>
      <c r="B577">
        <v>21304</v>
      </c>
      <c r="C577">
        <v>4540</v>
      </c>
      <c r="D577" t="s">
        <v>191</v>
      </c>
      <c r="E577" t="s">
        <v>355</v>
      </c>
      <c r="F577">
        <v>268132</v>
      </c>
      <c r="G577" t="s">
        <v>658</v>
      </c>
      <c r="H577">
        <v>587699</v>
      </c>
      <c r="I577" t="s">
        <v>1283</v>
      </c>
      <c r="J577">
        <v>94289187</v>
      </c>
      <c r="K577" t="s">
        <v>1835</v>
      </c>
      <c r="L577" t="s">
        <v>1850</v>
      </c>
      <c r="M577" s="1">
        <v>44</v>
      </c>
      <c r="N577" t="s">
        <v>23</v>
      </c>
      <c r="O577">
        <v>360999</v>
      </c>
      <c r="P577" s="1">
        <v>15883.96</v>
      </c>
      <c r="S577" s="6" t="str">
        <f t="shared" si="8"/>
        <v xml:space="preserve"> </v>
      </c>
      <c r="T577" s="6" t="str">
        <f>IF(IF(COUNTIF(H$2:$H577,H577)=1,1,"")=1,SUMIF($H$2:$H$7997,H577,$S$2:$S$7997),"")</f>
        <v/>
      </c>
      <c r="W577">
        <v>360999</v>
      </c>
      <c r="X577">
        <v>360999</v>
      </c>
      <c r="Y577">
        <v>0</v>
      </c>
      <c r="Z577">
        <v>0</v>
      </c>
      <c r="AA577" s="2">
        <v>1</v>
      </c>
      <c r="AB577" s="2">
        <v>0</v>
      </c>
      <c r="AC577" s="2">
        <v>0</v>
      </c>
      <c r="AD577">
        <v>0</v>
      </c>
      <c r="AE577" t="s">
        <v>1862</v>
      </c>
      <c r="AF577">
        <v>5597.3</v>
      </c>
      <c r="AG577">
        <v>511364</v>
      </c>
      <c r="AH577">
        <v>22500.02</v>
      </c>
      <c r="AI577" s="1" t="s">
        <v>355</v>
      </c>
      <c r="AJ577">
        <v>94289174</v>
      </c>
      <c r="AK577" s="1" t="s">
        <v>1867</v>
      </c>
      <c r="AL577" t="s">
        <v>1900</v>
      </c>
      <c r="AN577" t="s">
        <v>2042</v>
      </c>
      <c r="AO577" t="s">
        <v>2067</v>
      </c>
      <c r="AP577" t="s">
        <v>2092</v>
      </c>
      <c r="AQ577">
        <v>129435</v>
      </c>
      <c r="AR577" s="3">
        <v>46203</v>
      </c>
      <c r="AS577" s="3">
        <v>46168</v>
      </c>
      <c r="AT577" s="3">
        <v>46222</v>
      </c>
      <c r="AU577" t="s">
        <v>2123</v>
      </c>
      <c r="AW577" s="3">
        <v>46208.53701449134</v>
      </c>
    </row>
    <row r="578" spans="1:49" ht="16" hidden="1" x14ac:dyDescent="0.2">
      <c r="A578" t="s">
        <v>95</v>
      </c>
      <c r="B578">
        <v>21304</v>
      </c>
      <c r="C578">
        <v>4540</v>
      </c>
      <c r="D578" t="s">
        <v>191</v>
      </c>
      <c r="E578" t="s">
        <v>355</v>
      </c>
      <c r="F578">
        <v>268132</v>
      </c>
      <c r="G578" t="s">
        <v>659</v>
      </c>
      <c r="H578">
        <v>587708</v>
      </c>
      <c r="I578" t="s">
        <v>1282</v>
      </c>
      <c r="J578">
        <v>94289184</v>
      </c>
      <c r="K578" t="s">
        <v>1839</v>
      </c>
      <c r="L578" t="s">
        <v>1850</v>
      </c>
      <c r="M578" s="1">
        <v>20</v>
      </c>
      <c r="N578" t="s">
        <v>1855</v>
      </c>
      <c r="O578">
        <v>401075</v>
      </c>
      <c r="P578" s="1">
        <v>8021.5</v>
      </c>
      <c r="S578" s="6" t="str">
        <f t="shared" si="8"/>
        <v xml:space="preserve"> </v>
      </c>
      <c r="T578" s="6">
        <f>IF(IF(COUNTIF(H$2:$H578,H578)=1,1,"")=1,SUMIF($H$2:$H$7997,H578,$S$2:$S$7997),"")</f>
        <v>0</v>
      </c>
      <c r="W578">
        <v>1262871</v>
      </c>
      <c r="X578">
        <v>401075</v>
      </c>
      <c r="Y578">
        <v>0</v>
      </c>
      <c r="Z578">
        <v>0</v>
      </c>
      <c r="AA578" s="2">
        <v>1</v>
      </c>
      <c r="AB578" s="2">
        <v>0</v>
      </c>
      <c r="AC578" s="2">
        <v>0</v>
      </c>
      <c r="AD578">
        <v>0</v>
      </c>
      <c r="AE578" t="s">
        <v>1862</v>
      </c>
      <c r="AF578">
        <v>12639.31</v>
      </c>
      <c r="AG578">
        <v>2250000</v>
      </c>
      <c r="AH578">
        <v>45000</v>
      </c>
      <c r="AI578" s="1" t="s">
        <v>355</v>
      </c>
      <c r="AJ578">
        <v>94289174</v>
      </c>
      <c r="AK578" s="1" t="s">
        <v>1868</v>
      </c>
      <c r="AL578" t="s">
        <v>1900</v>
      </c>
      <c r="AN578" t="s">
        <v>2042</v>
      </c>
      <c r="AO578" t="s">
        <v>2067</v>
      </c>
      <c r="AP578" t="s">
        <v>2093</v>
      </c>
      <c r="AQ578">
        <v>129435</v>
      </c>
      <c r="AR578" s="3">
        <v>46203</v>
      </c>
      <c r="AS578" s="3">
        <v>46168</v>
      </c>
      <c r="AT578" s="3">
        <v>46222</v>
      </c>
      <c r="AU578" t="s">
        <v>2124</v>
      </c>
      <c r="AW578" s="3">
        <v>46208.53701449134</v>
      </c>
    </row>
    <row r="579" spans="1:49" ht="16" hidden="1" x14ac:dyDescent="0.2">
      <c r="A579" t="s">
        <v>95</v>
      </c>
      <c r="B579">
        <v>21304</v>
      </c>
      <c r="C579">
        <v>4540</v>
      </c>
      <c r="D579" t="s">
        <v>191</v>
      </c>
      <c r="E579" t="s">
        <v>355</v>
      </c>
      <c r="F579">
        <v>268132</v>
      </c>
      <c r="G579" t="s">
        <v>659</v>
      </c>
      <c r="H579">
        <v>587708</v>
      </c>
      <c r="I579" t="s">
        <v>1281</v>
      </c>
      <c r="J579">
        <v>94289180</v>
      </c>
      <c r="K579" t="s">
        <v>1840</v>
      </c>
      <c r="L579" t="s">
        <v>1850</v>
      </c>
      <c r="M579" s="1">
        <v>20</v>
      </c>
      <c r="N579" t="s">
        <v>1855</v>
      </c>
      <c r="O579">
        <v>261677</v>
      </c>
      <c r="P579" s="1">
        <v>5233.54</v>
      </c>
      <c r="S579" s="6" t="str">
        <f t="shared" ref="S579:S642" si="9">IF(ISBLANK(R579)," ",ROUND(R579*(IF(ISBLANK(Q579),(M579/1000),(Q579/1000))),2))</f>
        <v xml:space="preserve"> </v>
      </c>
      <c r="T579" s="6" t="str">
        <f>IF(IF(COUNTIF(H$2:$H579,H579)=1,1,"")=1,SUMIF($H$2:$H$7997,H579,$S$2:$S$7997),"")</f>
        <v/>
      </c>
      <c r="W579">
        <v>828511</v>
      </c>
      <c r="X579">
        <v>261677</v>
      </c>
      <c r="Y579">
        <v>0</v>
      </c>
      <c r="Z579">
        <v>0</v>
      </c>
      <c r="AA579" s="2">
        <v>1</v>
      </c>
      <c r="AB579" s="2">
        <v>0</v>
      </c>
      <c r="AC579" s="2">
        <v>0</v>
      </c>
      <c r="AD579">
        <v>0</v>
      </c>
      <c r="AE579" t="s">
        <v>1862</v>
      </c>
      <c r="AF579">
        <v>8426.2099999999991</v>
      </c>
      <c r="AG579">
        <v>1500000</v>
      </c>
      <c r="AH579">
        <v>30000</v>
      </c>
      <c r="AI579" s="1" t="s">
        <v>355</v>
      </c>
      <c r="AJ579">
        <v>94289174</v>
      </c>
      <c r="AK579" s="1" t="s">
        <v>1868</v>
      </c>
      <c r="AL579" t="s">
        <v>1900</v>
      </c>
      <c r="AN579" t="s">
        <v>2042</v>
      </c>
      <c r="AO579" t="s">
        <v>2067</v>
      </c>
      <c r="AP579" t="s">
        <v>2083</v>
      </c>
      <c r="AQ579">
        <v>129435</v>
      </c>
      <c r="AR579" s="3">
        <v>46203</v>
      </c>
      <c r="AS579" s="3">
        <v>46168</v>
      </c>
      <c r="AT579" s="3">
        <v>46222</v>
      </c>
      <c r="AU579" t="s">
        <v>2123</v>
      </c>
      <c r="AW579" s="3">
        <v>46208.53701449134</v>
      </c>
    </row>
    <row r="580" spans="1:49" ht="16" hidden="1" x14ac:dyDescent="0.2">
      <c r="A580" t="s">
        <v>78</v>
      </c>
      <c r="B580">
        <v>10635</v>
      </c>
      <c r="C580">
        <v>1787</v>
      </c>
      <c r="D580" t="s">
        <v>78</v>
      </c>
      <c r="E580" t="s">
        <v>274</v>
      </c>
      <c r="F580">
        <v>257531</v>
      </c>
      <c r="G580" t="s">
        <v>506</v>
      </c>
      <c r="H580">
        <v>581216</v>
      </c>
      <c r="I580" t="s">
        <v>1022</v>
      </c>
      <c r="J580">
        <v>93660889</v>
      </c>
      <c r="K580" t="s">
        <v>1839</v>
      </c>
      <c r="L580" t="s">
        <v>1851</v>
      </c>
      <c r="M580" s="1">
        <v>40</v>
      </c>
      <c r="N580" t="s">
        <v>1858</v>
      </c>
      <c r="O580">
        <v>1570513</v>
      </c>
      <c r="P580" s="1">
        <v>62820.51</v>
      </c>
      <c r="S580" s="6" t="str">
        <f t="shared" si="9"/>
        <v xml:space="preserve"> </v>
      </c>
      <c r="T580" s="6">
        <f>IF(IF(COUNTIF(H$2:$H580,H580)=1,1,"")=1,SUMIF($H$2:$H$7997,H580,$S$2:$S$7997),"")</f>
        <v>0</v>
      </c>
      <c r="W580">
        <v>4034853</v>
      </c>
      <c r="X580">
        <v>4034853</v>
      </c>
      <c r="Y580">
        <v>0</v>
      </c>
      <c r="Z580">
        <v>0</v>
      </c>
      <c r="AA580" s="2">
        <v>1</v>
      </c>
      <c r="AB580" s="2">
        <v>0</v>
      </c>
      <c r="AC580" s="2">
        <v>0</v>
      </c>
      <c r="AD580">
        <v>0</v>
      </c>
      <c r="AE580" t="s">
        <v>1863</v>
      </c>
      <c r="AF580">
        <v>62820.51</v>
      </c>
      <c r="AG580">
        <v>6125000</v>
      </c>
      <c r="AH580">
        <v>245000</v>
      </c>
      <c r="AI580" s="1" t="s">
        <v>274</v>
      </c>
      <c r="AJ580">
        <v>93649988</v>
      </c>
      <c r="AK580" s="1" t="s">
        <v>1867</v>
      </c>
      <c r="AL580" t="s">
        <v>1912</v>
      </c>
      <c r="AN580" t="s">
        <v>2058</v>
      </c>
      <c r="AO580" t="s">
        <v>2067</v>
      </c>
      <c r="AP580" t="s">
        <v>2094</v>
      </c>
      <c r="AQ580">
        <v>126558</v>
      </c>
      <c r="AR580" s="3">
        <v>46203</v>
      </c>
      <c r="AS580" s="3">
        <v>46184</v>
      </c>
      <c r="AT580" s="3">
        <v>46222</v>
      </c>
      <c r="AU580" t="s">
        <v>2124</v>
      </c>
      <c r="AW580" s="3">
        <v>46208.53701449134</v>
      </c>
    </row>
    <row r="581" spans="1:49" ht="16" hidden="1" x14ac:dyDescent="0.2">
      <c r="A581" t="s">
        <v>78</v>
      </c>
      <c r="B581">
        <v>10635</v>
      </c>
      <c r="C581">
        <v>1787</v>
      </c>
      <c r="D581" t="s">
        <v>78</v>
      </c>
      <c r="E581" t="s">
        <v>274</v>
      </c>
      <c r="F581">
        <v>257531</v>
      </c>
      <c r="G581" t="s">
        <v>506</v>
      </c>
      <c r="H581">
        <v>581216</v>
      </c>
      <c r="I581" t="s">
        <v>1007</v>
      </c>
      <c r="J581">
        <v>93649991</v>
      </c>
      <c r="K581" t="s">
        <v>1835</v>
      </c>
      <c r="L581" t="s">
        <v>1851</v>
      </c>
      <c r="M581" s="1">
        <v>40</v>
      </c>
      <c r="N581" t="s">
        <v>1858</v>
      </c>
      <c r="O581">
        <v>1346154</v>
      </c>
      <c r="P581" s="1">
        <v>53846.15</v>
      </c>
      <c r="S581" s="6" t="str">
        <f t="shared" si="9"/>
        <v xml:space="preserve"> </v>
      </c>
      <c r="T581" s="6" t="str">
        <f>IF(IF(COUNTIF(H$2:$H581,H581)=1,1,"")=1,SUMIF($H$2:$H$7997,H581,$S$2:$S$7997),"")</f>
        <v/>
      </c>
      <c r="W581">
        <v>3538582</v>
      </c>
      <c r="X581">
        <v>3538582</v>
      </c>
      <c r="Y581">
        <v>0</v>
      </c>
      <c r="Z581">
        <v>0</v>
      </c>
      <c r="AA581" s="2">
        <v>1</v>
      </c>
      <c r="AB581" s="2">
        <v>0</v>
      </c>
      <c r="AC581" s="2">
        <v>0</v>
      </c>
      <c r="AD581">
        <v>0</v>
      </c>
      <c r="AE581" t="s">
        <v>1863</v>
      </c>
      <c r="AF581">
        <v>53846.15</v>
      </c>
      <c r="AG581">
        <v>5250000</v>
      </c>
      <c r="AH581">
        <v>210000</v>
      </c>
      <c r="AI581" s="1" t="s">
        <v>274</v>
      </c>
      <c r="AJ581">
        <v>93649988</v>
      </c>
      <c r="AK581" s="1" t="s">
        <v>1867</v>
      </c>
      <c r="AL581" t="s">
        <v>1912</v>
      </c>
      <c r="AN581" t="s">
        <v>2058</v>
      </c>
      <c r="AO581" t="s">
        <v>2067</v>
      </c>
      <c r="AP581" t="s">
        <v>2092</v>
      </c>
      <c r="AQ581">
        <v>126558</v>
      </c>
      <c r="AR581" s="3">
        <v>46203</v>
      </c>
      <c r="AS581" s="3">
        <v>46184</v>
      </c>
      <c r="AT581" s="3">
        <v>46222</v>
      </c>
      <c r="AU581" t="s">
        <v>2123</v>
      </c>
      <c r="AW581" s="3">
        <v>46208.53701449134</v>
      </c>
    </row>
    <row r="582" spans="1:49" ht="16" hidden="1" x14ac:dyDescent="0.2">
      <c r="A582" t="s">
        <v>78</v>
      </c>
      <c r="B582">
        <v>10635</v>
      </c>
      <c r="C582">
        <v>1787</v>
      </c>
      <c r="D582" t="s">
        <v>78</v>
      </c>
      <c r="E582" t="s">
        <v>274</v>
      </c>
      <c r="F582">
        <v>257531</v>
      </c>
      <c r="G582" t="s">
        <v>775</v>
      </c>
      <c r="H582">
        <v>581219</v>
      </c>
      <c r="I582" t="s">
        <v>1511</v>
      </c>
      <c r="J582">
        <v>7288703016</v>
      </c>
      <c r="K582" t="s">
        <v>1835</v>
      </c>
      <c r="L582" t="s">
        <v>1851</v>
      </c>
      <c r="M582" s="1">
        <v>6</v>
      </c>
      <c r="N582" t="s">
        <v>1858</v>
      </c>
      <c r="O582">
        <v>4487180</v>
      </c>
      <c r="P582" s="1">
        <v>26923.08</v>
      </c>
      <c r="S582" s="6" t="str">
        <f t="shared" si="9"/>
        <v xml:space="preserve"> </v>
      </c>
      <c r="T582" s="6">
        <f>IF(IF(COUNTIF(H$2:$H582,H582)=1,1,"")=1,SUMIF($H$2:$H$7997,H582,$S$2:$S$7997),"")</f>
        <v>0</v>
      </c>
      <c r="W582">
        <v>0</v>
      </c>
      <c r="X582">
        <v>0</v>
      </c>
      <c r="Y582">
        <v>0</v>
      </c>
      <c r="Z582">
        <v>0</v>
      </c>
      <c r="AA582" s="2">
        <v>1</v>
      </c>
      <c r="AB582" s="2">
        <v>0</v>
      </c>
      <c r="AC582" s="2">
        <v>0</v>
      </c>
      <c r="AD582">
        <v>0</v>
      </c>
      <c r="AE582" t="s">
        <v>1863</v>
      </c>
      <c r="AF582">
        <v>26923.08</v>
      </c>
      <c r="AG582">
        <v>17500000</v>
      </c>
      <c r="AH582">
        <v>105000</v>
      </c>
      <c r="AI582" s="1" t="s">
        <v>274</v>
      </c>
      <c r="AJ582">
        <v>257531</v>
      </c>
      <c r="AK582" s="1" t="s">
        <v>1867</v>
      </c>
      <c r="AL582" t="s">
        <v>1912</v>
      </c>
      <c r="AN582" t="s">
        <v>2058</v>
      </c>
      <c r="AO582" t="s">
        <v>2067</v>
      </c>
      <c r="AP582" t="s">
        <v>2103</v>
      </c>
      <c r="AQ582">
        <v>126558</v>
      </c>
      <c r="AR582" s="3">
        <v>46203</v>
      </c>
      <c r="AS582" s="3">
        <v>46184</v>
      </c>
      <c r="AT582" s="3">
        <v>46222</v>
      </c>
      <c r="AU582" t="s">
        <v>2126</v>
      </c>
      <c r="AW582" s="3">
        <v>46208.53701449134</v>
      </c>
    </row>
    <row r="583" spans="1:49" ht="16" hidden="1" x14ac:dyDescent="0.2">
      <c r="A583" t="s">
        <v>78</v>
      </c>
      <c r="B583">
        <v>10635</v>
      </c>
      <c r="C583">
        <v>1787</v>
      </c>
      <c r="D583" t="s">
        <v>78</v>
      </c>
      <c r="E583" t="s">
        <v>274</v>
      </c>
      <c r="F583">
        <v>257531</v>
      </c>
      <c r="G583" t="s">
        <v>776</v>
      </c>
      <c r="H583">
        <v>581221</v>
      </c>
      <c r="I583" t="s">
        <v>1513</v>
      </c>
      <c r="J583">
        <v>7288703244</v>
      </c>
      <c r="K583" t="s">
        <v>1835</v>
      </c>
      <c r="L583" t="s">
        <v>1851</v>
      </c>
      <c r="M583" s="1">
        <v>0</v>
      </c>
      <c r="N583" t="s">
        <v>1858</v>
      </c>
      <c r="O583">
        <v>0</v>
      </c>
      <c r="P583" s="1">
        <v>0</v>
      </c>
      <c r="S583" s="6" t="str">
        <f t="shared" si="9"/>
        <v xml:space="preserve"> </v>
      </c>
      <c r="T583" s="6">
        <f>IF(IF(COUNTIF(H$2:$H583,H583)=1,1,"")=1,SUMIF($H$2:$H$7997,H583,$S$2:$S$7997),"")</f>
        <v>0</v>
      </c>
      <c r="W583">
        <v>0</v>
      </c>
      <c r="X583">
        <v>0</v>
      </c>
      <c r="Y583">
        <v>0</v>
      </c>
      <c r="Z583">
        <v>0</v>
      </c>
      <c r="AA583" s="2">
        <v>1</v>
      </c>
      <c r="AB583" s="2">
        <v>0</v>
      </c>
      <c r="AC583" s="2">
        <v>0</v>
      </c>
      <c r="AD583">
        <v>0</v>
      </c>
      <c r="AE583" t="s">
        <v>1863</v>
      </c>
      <c r="AF583">
        <v>0</v>
      </c>
      <c r="AG583">
        <v>1</v>
      </c>
      <c r="AH583">
        <v>0</v>
      </c>
      <c r="AI583" s="1" t="s">
        <v>274</v>
      </c>
      <c r="AJ583">
        <v>257531</v>
      </c>
      <c r="AK583" s="1" t="s">
        <v>1867</v>
      </c>
      <c r="AL583" t="s">
        <v>1912</v>
      </c>
      <c r="AN583" t="s">
        <v>2058</v>
      </c>
      <c r="AO583" t="s">
        <v>2067</v>
      </c>
      <c r="AP583" t="s">
        <v>2105</v>
      </c>
      <c r="AQ583">
        <v>126558</v>
      </c>
      <c r="AR583" s="3">
        <v>46203</v>
      </c>
      <c r="AS583" s="3">
        <v>46199</v>
      </c>
      <c r="AT583" s="3">
        <v>46199</v>
      </c>
      <c r="AU583" t="s">
        <v>2126</v>
      </c>
      <c r="AW583" s="3">
        <v>46208.53701449134</v>
      </c>
    </row>
    <row r="584" spans="1:49" ht="16" hidden="1" x14ac:dyDescent="0.2">
      <c r="A584" t="s">
        <v>78</v>
      </c>
      <c r="B584">
        <v>10635</v>
      </c>
      <c r="C584">
        <v>1787</v>
      </c>
      <c r="D584" t="s">
        <v>78</v>
      </c>
      <c r="E584" t="s">
        <v>274</v>
      </c>
      <c r="F584">
        <v>257531</v>
      </c>
      <c r="G584" t="s">
        <v>776</v>
      </c>
      <c r="H584">
        <v>581221</v>
      </c>
      <c r="I584" t="s">
        <v>1514</v>
      </c>
      <c r="J584">
        <v>7290971686</v>
      </c>
      <c r="K584" t="s">
        <v>1835</v>
      </c>
      <c r="L584" t="s">
        <v>1851</v>
      </c>
      <c r="M584" s="1">
        <v>51000</v>
      </c>
      <c r="N584" t="s">
        <v>1858</v>
      </c>
      <c r="O584">
        <v>500</v>
      </c>
      <c r="P584" s="1">
        <v>25500</v>
      </c>
      <c r="S584" s="6" t="str">
        <f t="shared" si="9"/>
        <v xml:space="preserve"> </v>
      </c>
      <c r="T584" s="6" t="str">
        <f>IF(IF(COUNTIF(H$2:$H584,H584)=1,1,"")=1,SUMIF($H$2:$H$7997,H584,$S$2:$S$7997),"")</f>
        <v/>
      </c>
      <c r="W584">
        <v>0</v>
      </c>
      <c r="X584">
        <v>0</v>
      </c>
      <c r="Y584">
        <v>0</v>
      </c>
      <c r="Z584">
        <v>0</v>
      </c>
      <c r="AA584" s="2">
        <v>1</v>
      </c>
      <c r="AB584" s="2">
        <v>0</v>
      </c>
      <c r="AC584" s="2">
        <v>0</v>
      </c>
      <c r="AD584">
        <v>0</v>
      </c>
      <c r="AE584" t="s">
        <v>1863</v>
      </c>
      <c r="AF584">
        <v>25500</v>
      </c>
      <c r="AG584">
        <v>1</v>
      </c>
      <c r="AH584">
        <v>51000</v>
      </c>
      <c r="AI584" s="1" t="s">
        <v>274</v>
      </c>
      <c r="AJ584">
        <v>257531</v>
      </c>
      <c r="AK584" s="1" t="s">
        <v>1867</v>
      </c>
      <c r="AL584" t="s">
        <v>1912</v>
      </c>
      <c r="AN584" t="s">
        <v>2058</v>
      </c>
      <c r="AO584" t="s">
        <v>2067</v>
      </c>
      <c r="AP584" t="s">
        <v>2104</v>
      </c>
      <c r="AQ584">
        <v>126558</v>
      </c>
      <c r="AR584" s="3">
        <v>46203</v>
      </c>
      <c r="AS584" s="3">
        <v>46199</v>
      </c>
      <c r="AT584" s="3">
        <v>46199</v>
      </c>
      <c r="AU584" t="s">
        <v>2126</v>
      </c>
      <c r="AW584" s="3">
        <v>46208.53701449134</v>
      </c>
    </row>
    <row r="585" spans="1:49" ht="16" hidden="1" x14ac:dyDescent="0.2">
      <c r="A585" t="s">
        <v>78</v>
      </c>
      <c r="B585">
        <v>10635</v>
      </c>
      <c r="C585">
        <v>1787</v>
      </c>
      <c r="D585" t="s">
        <v>78</v>
      </c>
      <c r="E585" t="s">
        <v>274</v>
      </c>
      <c r="F585">
        <v>257531</v>
      </c>
      <c r="G585" t="s">
        <v>776</v>
      </c>
      <c r="H585">
        <v>581221</v>
      </c>
      <c r="I585" t="s">
        <v>1512</v>
      </c>
      <c r="J585">
        <v>7288703172</v>
      </c>
      <c r="K585" t="s">
        <v>1835</v>
      </c>
      <c r="L585" t="s">
        <v>1851</v>
      </c>
      <c r="M585" s="1">
        <v>51000</v>
      </c>
      <c r="N585" t="s">
        <v>1858</v>
      </c>
      <c r="O585">
        <v>500</v>
      </c>
      <c r="P585" s="1">
        <v>25500</v>
      </c>
      <c r="S585" s="6" t="str">
        <f t="shared" si="9"/>
        <v xml:space="preserve"> </v>
      </c>
      <c r="T585" s="6" t="str">
        <f>IF(IF(COUNTIF(H$2:$H585,H585)=1,1,"")=1,SUMIF($H$2:$H$7997,H585,$S$2:$S$7997),"")</f>
        <v/>
      </c>
      <c r="W585">
        <v>0</v>
      </c>
      <c r="X585">
        <v>0</v>
      </c>
      <c r="Y585">
        <v>0</v>
      </c>
      <c r="Z585">
        <v>0</v>
      </c>
      <c r="AA585" s="2">
        <v>1</v>
      </c>
      <c r="AB585" s="2">
        <v>0</v>
      </c>
      <c r="AC585" s="2">
        <v>0</v>
      </c>
      <c r="AD585">
        <v>0</v>
      </c>
      <c r="AE585" t="s">
        <v>1863</v>
      </c>
      <c r="AF585">
        <v>25500</v>
      </c>
      <c r="AG585">
        <v>1</v>
      </c>
      <c r="AH585">
        <v>51000</v>
      </c>
      <c r="AI585" s="1" t="s">
        <v>274</v>
      </c>
      <c r="AJ585">
        <v>257531</v>
      </c>
      <c r="AK585" s="1" t="s">
        <v>1867</v>
      </c>
      <c r="AL585" t="s">
        <v>1912</v>
      </c>
      <c r="AN585" t="s">
        <v>2058</v>
      </c>
      <c r="AO585" t="s">
        <v>2067</v>
      </c>
      <c r="AP585" t="s">
        <v>2104</v>
      </c>
      <c r="AQ585">
        <v>126558</v>
      </c>
      <c r="AR585" s="3">
        <v>46203</v>
      </c>
      <c r="AS585" s="3">
        <v>46199</v>
      </c>
      <c r="AT585" s="3">
        <v>46199</v>
      </c>
      <c r="AU585" t="s">
        <v>2126</v>
      </c>
      <c r="AW585" s="3">
        <v>46208.53701449134</v>
      </c>
    </row>
    <row r="586" spans="1:49" ht="16" hidden="1" x14ac:dyDescent="0.2">
      <c r="A586" t="s">
        <v>78</v>
      </c>
      <c r="B586">
        <v>10635</v>
      </c>
      <c r="C586">
        <v>1787</v>
      </c>
      <c r="D586" t="s">
        <v>78</v>
      </c>
      <c r="E586" t="s">
        <v>274</v>
      </c>
      <c r="F586">
        <v>257531</v>
      </c>
      <c r="G586" t="s">
        <v>776</v>
      </c>
      <c r="H586">
        <v>581221</v>
      </c>
      <c r="I586" t="s">
        <v>1517</v>
      </c>
      <c r="J586">
        <v>7292677568</v>
      </c>
      <c r="K586" t="s">
        <v>1835</v>
      </c>
      <c r="L586" t="s">
        <v>1851</v>
      </c>
      <c r="M586" s="1">
        <v>51000</v>
      </c>
      <c r="N586" t="s">
        <v>1858</v>
      </c>
      <c r="O586">
        <v>500</v>
      </c>
      <c r="P586" s="1">
        <v>25500</v>
      </c>
      <c r="S586" s="6" t="str">
        <f t="shared" si="9"/>
        <v xml:space="preserve"> </v>
      </c>
      <c r="T586" s="6" t="str">
        <f>IF(IF(COUNTIF(H$2:$H586,H586)=1,1,"")=1,SUMIF($H$2:$H$7997,H586,$S$2:$S$7997),"")</f>
        <v/>
      </c>
      <c r="W586">
        <v>0</v>
      </c>
      <c r="X586">
        <v>0</v>
      </c>
      <c r="Y586">
        <v>0</v>
      </c>
      <c r="Z586">
        <v>0</v>
      </c>
      <c r="AA586" s="2">
        <v>1</v>
      </c>
      <c r="AB586" s="2">
        <v>0</v>
      </c>
      <c r="AC586" s="2">
        <v>0</v>
      </c>
      <c r="AD586">
        <v>0</v>
      </c>
      <c r="AE586" t="s">
        <v>1863</v>
      </c>
      <c r="AF586">
        <v>25500</v>
      </c>
      <c r="AG586">
        <v>1</v>
      </c>
      <c r="AH586">
        <v>51000</v>
      </c>
      <c r="AI586" s="1" t="s">
        <v>274</v>
      </c>
      <c r="AJ586">
        <v>257531</v>
      </c>
      <c r="AK586" s="1" t="s">
        <v>1867</v>
      </c>
      <c r="AL586" t="s">
        <v>1912</v>
      </c>
      <c r="AN586" t="s">
        <v>2058</v>
      </c>
      <c r="AO586" t="s">
        <v>2067</v>
      </c>
      <c r="AP586" t="s">
        <v>2104</v>
      </c>
      <c r="AQ586">
        <v>126558</v>
      </c>
      <c r="AR586" s="3">
        <v>46203</v>
      </c>
      <c r="AS586" s="3">
        <v>46199</v>
      </c>
      <c r="AT586" s="3">
        <v>46199</v>
      </c>
      <c r="AU586" t="s">
        <v>2126</v>
      </c>
      <c r="AW586" s="3">
        <v>46208.53701449134</v>
      </c>
    </row>
    <row r="587" spans="1:49" ht="16" hidden="1" x14ac:dyDescent="0.2">
      <c r="A587" t="s">
        <v>78</v>
      </c>
      <c r="B587">
        <v>10635</v>
      </c>
      <c r="C587">
        <v>1787</v>
      </c>
      <c r="D587" t="s">
        <v>78</v>
      </c>
      <c r="E587" t="s">
        <v>274</v>
      </c>
      <c r="F587">
        <v>257531</v>
      </c>
      <c r="G587" t="s">
        <v>776</v>
      </c>
      <c r="H587">
        <v>581221</v>
      </c>
      <c r="I587" t="s">
        <v>1516</v>
      </c>
      <c r="J587">
        <v>7292677403</v>
      </c>
      <c r="K587" t="s">
        <v>1835</v>
      </c>
      <c r="L587" t="s">
        <v>1851</v>
      </c>
      <c r="M587" s="1">
        <v>51000</v>
      </c>
      <c r="N587" t="s">
        <v>1858</v>
      </c>
      <c r="O587">
        <v>500</v>
      </c>
      <c r="P587" s="1">
        <v>25500</v>
      </c>
      <c r="S587" s="6" t="str">
        <f t="shared" si="9"/>
        <v xml:space="preserve"> </v>
      </c>
      <c r="T587" s="6" t="str">
        <f>IF(IF(COUNTIF(H$2:$H587,H587)=1,1,"")=1,SUMIF($H$2:$H$7997,H587,$S$2:$S$7997),"")</f>
        <v/>
      </c>
      <c r="W587">
        <v>0</v>
      </c>
      <c r="X587">
        <v>0</v>
      </c>
      <c r="Y587">
        <v>0</v>
      </c>
      <c r="Z587">
        <v>0</v>
      </c>
      <c r="AA587" s="2">
        <v>1</v>
      </c>
      <c r="AB587" s="2">
        <v>0</v>
      </c>
      <c r="AC587" s="2">
        <v>0</v>
      </c>
      <c r="AD587">
        <v>0</v>
      </c>
      <c r="AE587" t="s">
        <v>1863</v>
      </c>
      <c r="AF587">
        <v>25500</v>
      </c>
      <c r="AG587">
        <v>1</v>
      </c>
      <c r="AH587">
        <v>51000</v>
      </c>
      <c r="AI587" s="1" t="s">
        <v>274</v>
      </c>
      <c r="AJ587">
        <v>257531</v>
      </c>
      <c r="AK587" s="1" t="s">
        <v>1867</v>
      </c>
      <c r="AL587" t="s">
        <v>1912</v>
      </c>
      <c r="AN587" t="s">
        <v>2058</v>
      </c>
      <c r="AO587" t="s">
        <v>2067</v>
      </c>
      <c r="AP587" t="s">
        <v>2104</v>
      </c>
      <c r="AQ587">
        <v>126558</v>
      </c>
      <c r="AR587" s="3">
        <v>46203</v>
      </c>
      <c r="AS587" s="3">
        <v>46199</v>
      </c>
      <c r="AT587" s="3">
        <v>46199</v>
      </c>
      <c r="AU587" t="s">
        <v>2126</v>
      </c>
      <c r="AW587" s="3">
        <v>46208.53701449134</v>
      </c>
    </row>
    <row r="588" spans="1:49" ht="16" hidden="1" x14ac:dyDescent="0.2">
      <c r="A588" t="s">
        <v>78</v>
      </c>
      <c r="B588">
        <v>10635</v>
      </c>
      <c r="C588">
        <v>1787</v>
      </c>
      <c r="D588" t="s">
        <v>78</v>
      </c>
      <c r="E588" t="s">
        <v>274</v>
      </c>
      <c r="F588">
        <v>257531</v>
      </c>
      <c r="G588" t="s">
        <v>776</v>
      </c>
      <c r="H588">
        <v>581221</v>
      </c>
      <c r="I588" t="s">
        <v>1518</v>
      </c>
      <c r="J588">
        <v>7292677592</v>
      </c>
      <c r="K588" t="s">
        <v>1835</v>
      </c>
      <c r="L588" t="s">
        <v>1851</v>
      </c>
      <c r="M588" s="1">
        <v>51000</v>
      </c>
      <c r="N588" t="s">
        <v>1858</v>
      </c>
      <c r="O588">
        <v>500</v>
      </c>
      <c r="P588" s="1">
        <v>25500</v>
      </c>
      <c r="S588" s="6" t="str">
        <f t="shared" si="9"/>
        <v xml:space="preserve"> </v>
      </c>
      <c r="T588" s="6" t="str">
        <f>IF(IF(COUNTIF(H$2:$H588,H588)=1,1,"")=1,SUMIF($H$2:$H$7997,H588,$S$2:$S$7997),"")</f>
        <v/>
      </c>
      <c r="W588">
        <v>0</v>
      </c>
      <c r="X588">
        <v>0</v>
      </c>
      <c r="Y588">
        <v>0</v>
      </c>
      <c r="Z588">
        <v>0</v>
      </c>
      <c r="AA588" s="2">
        <v>1</v>
      </c>
      <c r="AB588" s="2">
        <v>0</v>
      </c>
      <c r="AC588" s="2">
        <v>0</v>
      </c>
      <c r="AD588">
        <v>0</v>
      </c>
      <c r="AE588" t="s">
        <v>1863</v>
      </c>
      <c r="AF588">
        <v>25500</v>
      </c>
      <c r="AG588">
        <v>1</v>
      </c>
      <c r="AH588">
        <v>51000</v>
      </c>
      <c r="AI588" s="1" t="s">
        <v>274</v>
      </c>
      <c r="AJ588">
        <v>257531</v>
      </c>
      <c r="AK588" s="1" t="s">
        <v>1867</v>
      </c>
      <c r="AL588" t="s">
        <v>1912</v>
      </c>
      <c r="AN588" t="s">
        <v>2058</v>
      </c>
      <c r="AO588" t="s">
        <v>2067</v>
      </c>
      <c r="AP588" t="s">
        <v>2106</v>
      </c>
      <c r="AQ588">
        <v>126558</v>
      </c>
      <c r="AR588" s="3">
        <v>46203</v>
      </c>
      <c r="AS588" s="3">
        <v>46199</v>
      </c>
      <c r="AT588" s="3">
        <v>46199</v>
      </c>
      <c r="AU588" t="s">
        <v>2126</v>
      </c>
      <c r="AW588" s="3">
        <v>46208.53701449134</v>
      </c>
    </row>
    <row r="589" spans="1:49" ht="16" hidden="1" x14ac:dyDescent="0.2">
      <c r="A589" t="s">
        <v>78</v>
      </c>
      <c r="B589">
        <v>10635</v>
      </c>
      <c r="C589">
        <v>1787</v>
      </c>
      <c r="D589" t="s">
        <v>78</v>
      </c>
      <c r="E589" t="s">
        <v>274</v>
      </c>
      <c r="F589">
        <v>257531</v>
      </c>
      <c r="G589" t="s">
        <v>508</v>
      </c>
      <c r="H589">
        <v>581225</v>
      </c>
      <c r="I589" t="s">
        <v>1009</v>
      </c>
      <c r="J589">
        <v>93649998</v>
      </c>
      <c r="K589" t="s">
        <v>1835</v>
      </c>
      <c r="L589" t="s">
        <v>1850</v>
      </c>
      <c r="M589" s="1">
        <v>25</v>
      </c>
      <c r="N589" t="s">
        <v>1854</v>
      </c>
      <c r="O589">
        <v>444654</v>
      </c>
      <c r="P589" s="1">
        <v>5536.13</v>
      </c>
      <c r="S589" s="6" t="str">
        <f t="shared" si="9"/>
        <v xml:space="preserve"> </v>
      </c>
      <c r="T589" s="6">
        <f>IF(IF(COUNTIF(H$2:$H589,H589)=1,1,"")=1,SUMIF($H$2:$H$7997,H589,$S$2:$S$7997),"")</f>
        <v>0</v>
      </c>
      <c r="W589">
        <v>359730</v>
      </c>
      <c r="X589">
        <v>359730</v>
      </c>
      <c r="Y589">
        <v>444654</v>
      </c>
      <c r="Z589">
        <v>444654</v>
      </c>
      <c r="AA589" s="2">
        <v>1</v>
      </c>
      <c r="AB589" s="2">
        <v>1.236079646410803</v>
      </c>
      <c r="AC589" s="2">
        <v>0</v>
      </c>
      <c r="AD589">
        <v>0</v>
      </c>
      <c r="AE589" t="s">
        <v>1863</v>
      </c>
      <c r="AF589">
        <v>5536.13</v>
      </c>
      <c r="AG589">
        <v>760000</v>
      </c>
      <c r="AH589">
        <v>19000</v>
      </c>
      <c r="AI589" s="1" t="s">
        <v>274</v>
      </c>
      <c r="AJ589">
        <v>93649988</v>
      </c>
      <c r="AK589" s="1" t="s">
        <v>1867</v>
      </c>
      <c r="AL589" t="s">
        <v>1912</v>
      </c>
      <c r="AN589" t="s">
        <v>2058</v>
      </c>
      <c r="AO589" t="s">
        <v>2067</v>
      </c>
      <c r="AP589" t="s">
        <v>2091</v>
      </c>
      <c r="AQ589">
        <v>126558</v>
      </c>
      <c r="AR589" s="3">
        <v>46203</v>
      </c>
      <c r="AS589" s="3">
        <v>46184</v>
      </c>
      <c r="AT589" s="3">
        <v>46222</v>
      </c>
      <c r="AU589" t="s">
        <v>2123</v>
      </c>
      <c r="AW589" s="3">
        <v>46208.53701449134</v>
      </c>
    </row>
    <row r="590" spans="1:49" ht="16" hidden="1" x14ac:dyDescent="0.2">
      <c r="A590" t="s">
        <v>78</v>
      </c>
      <c r="B590">
        <v>10635</v>
      </c>
      <c r="C590">
        <v>1787</v>
      </c>
      <c r="D590" t="s">
        <v>78</v>
      </c>
      <c r="E590" t="s">
        <v>274</v>
      </c>
      <c r="F590">
        <v>257531</v>
      </c>
      <c r="G590" t="s">
        <v>507</v>
      </c>
      <c r="H590">
        <v>581227</v>
      </c>
      <c r="I590" t="s">
        <v>1010</v>
      </c>
      <c r="J590">
        <v>93650002</v>
      </c>
      <c r="K590" t="s">
        <v>1840</v>
      </c>
      <c r="L590" t="s">
        <v>1850</v>
      </c>
      <c r="M590" s="1">
        <v>22</v>
      </c>
      <c r="N590" t="s">
        <v>1859</v>
      </c>
      <c r="O590">
        <v>2177969</v>
      </c>
      <c r="P590" s="1">
        <v>21538.46</v>
      </c>
      <c r="S590" s="6" t="str">
        <f t="shared" si="9"/>
        <v xml:space="preserve"> </v>
      </c>
      <c r="T590" s="6">
        <f>IF(IF(COUNTIF(H$2:$H590,H590)=1,1,"")=1,SUMIF($H$2:$H$7997,H590,$S$2:$S$7997),"")</f>
        <v>0</v>
      </c>
      <c r="W590">
        <v>2177969</v>
      </c>
      <c r="X590">
        <v>2177969</v>
      </c>
      <c r="Y590">
        <v>0</v>
      </c>
      <c r="Z590">
        <v>0</v>
      </c>
      <c r="AA590" s="2">
        <v>1</v>
      </c>
      <c r="AB590" s="2">
        <v>0</v>
      </c>
      <c r="AC590" s="2">
        <v>0</v>
      </c>
      <c r="AD590">
        <v>0</v>
      </c>
      <c r="AE590" t="s">
        <v>1863</v>
      </c>
      <c r="AF590">
        <v>21538.46</v>
      </c>
      <c r="AG590">
        <v>3818182</v>
      </c>
      <c r="AH590">
        <v>84000</v>
      </c>
      <c r="AI590" s="1" t="s">
        <v>274</v>
      </c>
      <c r="AJ590">
        <v>93649988</v>
      </c>
      <c r="AK590" s="1" t="s">
        <v>1868</v>
      </c>
      <c r="AL590" t="s">
        <v>1912</v>
      </c>
      <c r="AN590" t="s">
        <v>2058</v>
      </c>
      <c r="AO590" t="s">
        <v>2067</v>
      </c>
      <c r="AP590" t="s">
        <v>2093</v>
      </c>
      <c r="AQ590">
        <v>126558</v>
      </c>
      <c r="AR590" s="3">
        <v>46203</v>
      </c>
      <c r="AS590" s="3">
        <v>46184</v>
      </c>
      <c r="AT590" s="3">
        <v>46222</v>
      </c>
      <c r="AU590" t="s">
        <v>2124</v>
      </c>
      <c r="AW590" s="3">
        <v>46208.53701449134</v>
      </c>
    </row>
    <row r="591" spans="1:49" ht="16" hidden="1" x14ac:dyDescent="0.2">
      <c r="A591" t="s">
        <v>78</v>
      </c>
      <c r="B591">
        <v>10635</v>
      </c>
      <c r="C591">
        <v>1787</v>
      </c>
      <c r="D591" t="s">
        <v>78</v>
      </c>
      <c r="E591" t="s">
        <v>274</v>
      </c>
      <c r="F591">
        <v>257531</v>
      </c>
      <c r="G591" t="s">
        <v>507</v>
      </c>
      <c r="H591">
        <v>581227</v>
      </c>
      <c r="I591" t="s">
        <v>1008</v>
      </c>
      <c r="J591">
        <v>93649994</v>
      </c>
      <c r="K591" t="s">
        <v>1840</v>
      </c>
      <c r="L591" t="s">
        <v>1850</v>
      </c>
      <c r="M591" s="1">
        <v>22</v>
      </c>
      <c r="N591" t="s">
        <v>1859</v>
      </c>
      <c r="O591">
        <v>1362817</v>
      </c>
      <c r="P591" s="1">
        <v>14358.98</v>
      </c>
      <c r="S591" s="6" t="str">
        <f t="shared" si="9"/>
        <v xml:space="preserve"> </v>
      </c>
      <c r="T591" s="6" t="str">
        <f>IF(IF(COUNTIF(H$2:$H591,H591)=1,1,"")=1,SUMIF($H$2:$H$7997,H591,$S$2:$S$7997),"")</f>
        <v/>
      </c>
      <c r="W591">
        <v>1362817</v>
      </c>
      <c r="X591">
        <v>1362817</v>
      </c>
      <c r="Y591">
        <v>0</v>
      </c>
      <c r="Z591">
        <v>0</v>
      </c>
      <c r="AA591" s="2">
        <v>1</v>
      </c>
      <c r="AB591" s="2">
        <v>0</v>
      </c>
      <c r="AC591" s="2">
        <v>0</v>
      </c>
      <c r="AD591">
        <v>0</v>
      </c>
      <c r="AE591" t="s">
        <v>1863</v>
      </c>
      <c r="AF591">
        <v>14358.98</v>
      </c>
      <c r="AG591">
        <v>2545455</v>
      </c>
      <c r="AH591">
        <v>56000.01</v>
      </c>
      <c r="AI591" s="1" t="s">
        <v>274</v>
      </c>
      <c r="AJ591">
        <v>93649988</v>
      </c>
      <c r="AK591" s="1" t="s">
        <v>1868</v>
      </c>
      <c r="AL591" t="s">
        <v>1912</v>
      </c>
      <c r="AN591" t="s">
        <v>2058</v>
      </c>
      <c r="AO591" t="s">
        <v>2067</v>
      </c>
      <c r="AP591" t="s">
        <v>2083</v>
      </c>
      <c r="AQ591">
        <v>126558</v>
      </c>
      <c r="AR591" s="3">
        <v>46203</v>
      </c>
      <c r="AS591" s="3">
        <v>46184</v>
      </c>
      <c r="AT591" s="3">
        <v>46222</v>
      </c>
      <c r="AU591" t="s">
        <v>2123</v>
      </c>
      <c r="AW591" s="3">
        <v>46208.53701449134</v>
      </c>
    </row>
    <row r="592" spans="1:49" ht="16" hidden="1" x14ac:dyDescent="0.2">
      <c r="A592" t="s">
        <v>78</v>
      </c>
      <c r="B592">
        <v>10635</v>
      </c>
      <c r="C592">
        <v>1787</v>
      </c>
      <c r="D592" t="s">
        <v>78</v>
      </c>
      <c r="E592" t="s">
        <v>274</v>
      </c>
      <c r="F592">
        <v>257531</v>
      </c>
      <c r="G592" t="s">
        <v>855</v>
      </c>
      <c r="H592">
        <v>581230</v>
      </c>
      <c r="I592" t="s">
        <v>1651</v>
      </c>
      <c r="J592">
        <v>581231</v>
      </c>
      <c r="K592" t="s">
        <v>1846</v>
      </c>
      <c r="L592" t="s">
        <v>1851</v>
      </c>
      <c r="M592" s="1">
        <v>0.15</v>
      </c>
      <c r="N592" t="s">
        <v>1858</v>
      </c>
      <c r="O592">
        <v>239316133</v>
      </c>
      <c r="P592" s="1">
        <v>35897.42</v>
      </c>
      <c r="S592" s="6" t="str">
        <f t="shared" si="9"/>
        <v xml:space="preserve"> </v>
      </c>
      <c r="T592" s="6">
        <f>IF(IF(COUNTIF(H$2:$H592,H592)=1,1,"")=1,SUMIF($H$2:$H$7997,H592,$S$2:$S$7997),"")</f>
        <v>0</v>
      </c>
      <c r="W592">
        <v>0</v>
      </c>
      <c r="X592">
        <v>0</v>
      </c>
      <c r="Y592">
        <v>0</v>
      </c>
      <c r="Z592">
        <v>0</v>
      </c>
      <c r="AA592" s="2">
        <v>1</v>
      </c>
      <c r="AB592" s="2">
        <v>0</v>
      </c>
      <c r="AC592" s="2">
        <v>0</v>
      </c>
      <c r="AD592">
        <v>0</v>
      </c>
      <c r="AE592" t="s">
        <v>1863</v>
      </c>
      <c r="AF592">
        <v>35897.42</v>
      </c>
      <c r="AG592">
        <v>933333</v>
      </c>
      <c r="AH592">
        <v>139999.95000000001</v>
      </c>
      <c r="AI592" s="1" t="s">
        <v>274</v>
      </c>
      <c r="AJ592">
        <v>257531</v>
      </c>
      <c r="AK592" s="1" t="s">
        <v>1867</v>
      </c>
      <c r="AL592" t="s">
        <v>1912</v>
      </c>
      <c r="AN592" t="s">
        <v>2058</v>
      </c>
      <c r="AO592" t="s">
        <v>2067</v>
      </c>
      <c r="AP592" t="s">
        <v>2110</v>
      </c>
      <c r="AQ592">
        <v>126558</v>
      </c>
      <c r="AR592" s="3">
        <v>46203</v>
      </c>
      <c r="AS592" s="3">
        <v>46184</v>
      </c>
      <c r="AT592" s="3">
        <v>46222</v>
      </c>
      <c r="AU592" t="s">
        <v>2128</v>
      </c>
      <c r="AW592" s="3">
        <v>46208.53701449134</v>
      </c>
    </row>
    <row r="593" spans="1:49" ht="16" hidden="1" x14ac:dyDescent="0.2">
      <c r="A593" t="s">
        <v>78</v>
      </c>
      <c r="B593">
        <v>10635</v>
      </c>
      <c r="C593">
        <v>1787</v>
      </c>
      <c r="D593" t="s">
        <v>78</v>
      </c>
      <c r="E593" t="s">
        <v>274</v>
      </c>
      <c r="F593">
        <v>257531</v>
      </c>
      <c r="G593" t="s">
        <v>855</v>
      </c>
      <c r="H593">
        <v>581230</v>
      </c>
      <c r="I593" t="s">
        <v>1780</v>
      </c>
      <c r="J593">
        <v>581234</v>
      </c>
      <c r="K593" t="s">
        <v>1844</v>
      </c>
      <c r="L593" t="s">
        <v>1851</v>
      </c>
      <c r="M593" s="1">
        <v>0.15</v>
      </c>
      <c r="N593" t="s">
        <v>1858</v>
      </c>
      <c r="O593">
        <v>239316400</v>
      </c>
      <c r="P593" s="1">
        <v>35897.46</v>
      </c>
      <c r="S593" s="6" t="str">
        <f t="shared" si="9"/>
        <v xml:space="preserve"> </v>
      </c>
      <c r="T593" s="6" t="str">
        <f>IF(IF(COUNTIF(H$2:$H593,H593)=1,1,"")=1,SUMIF($H$2:$H$7997,H593,$S$2:$S$7997),"")</f>
        <v/>
      </c>
      <c r="W593">
        <v>0</v>
      </c>
      <c r="X593">
        <v>0</v>
      </c>
      <c r="Y593">
        <v>0</v>
      </c>
      <c r="Z593">
        <v>0</v>
      </c>
      <c r="AA593" s="2">
        <v>1</v>
      </c>
      <c r="AB593" s="2">
        <v>0</v>
      </c>
      <c r="AC593" s="2">
        <v>0</v>
      </c>
      <c r="AD593">
        <v>0</v>
      </c>
      <c r="AE593" t="s">
        <v>1863</v>
      </c>
      <c r="AF593">
        <v>35897.46</v>
      </c>
      <c r="AG593">
        <v>933334</v>
      </c>
      <c r="AH593">
        <v>140000.1</v>
      </c>
      <c r="AI593" s="1" t="s">
        <v>274</v>
      </c>
      <c r="AJ593">
        <v>257531</v>
      </c>
      <c r="AK593" s="1" t="s">
        <v>1867</v>
      </c>
      <c r="AL593" t="s">
        <v>1912</v>
      </c>
      <c r="AN593" t="s">
        <v>2058</v>
      </c>
      <c r="AO593" t="s">
        <v>2067</v>
      </c>
      <c r="AP593" t="s">
        <v>2107</v>
      </c>
      <c r="AQ593">
        <v>126558</v>
      </c>
      <c r="AR593" s="3">
        <v>46203</v>
      </c>
      <c r="AS593" s="3">
        <v>46184</v>
      </c>
      <c r="AT593" s="3">
        <v>46222</v>
      </c>
      <c r="AU593" t="s">
        <v>2127</v>
      </c>
      <c r="AW593" s="3">
        <v>46208.53701449134</v>
      </c>
    </row>
    <row r="594" spans="1:49" ht="16" hidden="1" x14ac:dyDescent="0.2">
      <c r="A594" t="s">
        <v>78</v>
      </c>
      <c r="B594">
        <v>10635</v>
      </c>
      <c r="C594">
        <v>1787</v>
      </c>
      <c r="D594" t="s">
        <v>78</v>
      </c>
      <c r="E594" t="s">
        <v>274</v>
      </c>
      <c r="F594">
        <v>257531</v>
      </c>
      <c r="G594" t="s">
        <v>855</v>
      </c>
      <c r="H594">
        <v>581230</v>
      </c>
      <c r="I594" t="s">
        <v>1690</v>
      </c>
      <c r="J594">
        <v>581233</v>
      </c>
      <c r="K594" t="s">
        <v>1835</v>
      </c>
      <c r="L594" t="s">
        <v>1851</v>
      </c>
      <c r="M594" s="1">
        <v>0.15</v>
      </c>
      <c r="N594" t="s">
        <v>1858</v>
      </c>
      <c r="O594">
        <v>239316133</v>
      </c>
      <c r="P594" s="1">
        <v>35897.42</v>
      </c>
      <c r="S594" s="6" t="str">
        <f t="shared" si="9"/>
        <v xml:space="preserve"> </v>
      </c>
      <c r="T594" s="6" t="str">
        <f>IF(IF(COUNTIF(H$2:$H594,H594)=1,1,"")=1,SUMIF($H$2:$H$7997,H594,$S$2:$S$7997),"")</f>
        <v/>
      </c>
      <c r="W594">
        <v>0</v>
      </c>
      <c r="X594">
        <v>0</v>
      </c>
      <c r="Y594">
        <v>0</v>
      </c>
      <c r="Z594">
        <v>0</v>
      </c>
      <c r="AA594" s="2">
        <v>1</v>
      </c>
      <c r="AB594" s="2">
        <v>0</v>
      </c>
      <c r="AC594" s="2">
        <v>0</v>
      </c>
      <c r="AD594">
        <v>0</v>
      </c>
      <c r="AE594" t="s">
        <v>1863</v>
      </c>
      <c r="AF594">
        <v>35897.42</v>
      </c>
      <c r="AG594">
        <v>933333</v>
      </c>
      <c r="AH594">
        <v>139999.95000000001</v>
      </c>
      <c r="AI594" s="1" t="s">
        <v>274</v>
      </c>
      <c r="AJ594">
        <v>257531</v>
      </c>
      <c r="AK594" s="1" t="s">
        <v>1867</v>
      </c>
      <c r="AL594" t="s">
        <v>1912</v>
      </c>
      <c r="AN594" t="s">
        <v>2058</v>
      </c>
      <c r="AO594" t="s">
        <v>2067</v>
      </c>
      <c r="AP594" t="s">
        <v>2109</v>
      </c>
      <c r="AQ594">
        <v>126558</v>
      </c>
      <c r="AR594" s="3">
        <v>46203</v>
      </c>
      <c r="AS594" s="3">
        <v>46184</v>
      </c>
      <c r="AT594" s="3">
        <v>46222</v>
      </c>
      <c r="AU594" t="s">
        <v>2129</v>
      </c>
      <c r="AW594" s="3">
        <v>46208.53701449134</v>
      </c>
    </row>
    <row r="595" spans="1:49" ht="16" hidden="1" x14ac:dyDescent="0.2">
      <c r="A595" t="s">
        <v>94</v>
      </c>
      <c r="B595">
        <v>14056</v>
      </c>
      <c r="C595">
        <v>1654</v>
      </c>
      <c r="D595" t="s">
        <v>188</v>
      </c>
      <c r="E595" t="s">
        <v>422</v>
      </c>
      <c r="F595">
        <v>262910</v>
      </c>
      <c r="G595" t="s">
        <v>841</v>
      </c>
      <c r="H595">
        <v>570181</v>
      </c>
      <c r="I595" t="s">
        <v>1799</v>
      </c>
      <c r="J595">
        <v>570182</v>
      </c>
      <c r="K595" t="s">
        <v>1846</v>
      </c>
      <c r="L595" t="s">
        <v>1851</v>
      </c>
      <c r="M595" s="1">
        <v>67000</v>
      </c>
      <c r="N595" t="s">
        <v>1858</v>
      </c>
      <c r="O595">
        <v>0</v>
      </c>
      <c r="P595" s="1">
        <v>3045.46</v>
      </c>
      <c r="S595" s="6" t="str">
        <f t="shared" si="9"/>
        <v xml:space="preserve"> </v>
      </c>
      <c r="T595" s="6">
        <f>IF(IF(COUNTIF(H$2:$H595,H595)=1,1,"")=1,SUMIF($H$2:$H$7997,H595,$S$2:$S$7997),"")</f>
        <v>0</v>
      </c>
      <c r="W595">
        <v>0</v>
      </c>
      <c r="X595">
        <v>0</v>
      </c>
      <c r="Y595">
        <v>0</v>
      </c>
      <c r="Z595">
        <v>0</v>
      </c>
      <c r="AA595" s="2">
        <v>1</v>
      </c>
      <c r="AB595" s="2">
        <v>0</v>
      </c>
      <c r="AC595" s="2">
        <v>0</v>
      </c>
      <c r="AD595">
        <v>0</v>
      </c>
      <c r="AE595" t="s">
        <v>1863</v>
      </c>
      <c r="AF595">
        <v>3045.46</v>
      </c>
      <c r="AG595">
        <v>0</v>
      </c>
      <c r="AH595">
        <v>67000</v>
      </c>
      <c r="AI595" s="1" t="s">
        <v>422</v>
      </c>
      <c r="AJ595">
        <v>262910</v>
      </c>
      <c r="AK595" s="1" t="s">
        <v>1867</v>
      </c>
      <c r="AL595" t="s">
        <v>2028</v>
      </c>
      <c r="AN595" t="s">
        <v>2039</v>
      </c>
      <c r="AO595" t="s">
        <v>2067</v>
      </c>
      <c r="AP595" t="s">
        <v>2120</v>
      </c>
      <c r="AQ595">
        <v>118413</v>
      </c>
      <c r="AR595" s="3">
        <v>46203</v>
      </c>
      <c r="AS595" s="3">
        <v>46074</v>
      </c>
      <c r="AT595" s="3">
        <v>46383</v>
      </c>
      <c r="AU595" t="s">
        <v>2128</v>
      </c>
      <c r="AW595" s="3">
        <v>46208.53701449134</v>
      </c>
    </row>
    <row r="596" spans="1:49" ht="16" hidden="1" x14ac:dyDescent="0.2">
      <c r="A596" t="s">
        <v>94</v>
      </c>
      <c r="B596">
        <v>14056</v>
      </c>
      <c r="C596">
        <v>1654</v>
      </c>
      <c r="D596" t="s">
        <v>188</v>
      </c>
      <c r="E596" t="s">
        <v>422</v>
      </c>
      <c r="F596">
        <v>262910</v>
      </c>
      <c r="G596" t="s">
        <v>841</v>
      </c>
      <c r="H596">
        <v>570181</v>
      </c>
      <c r="I596" t="s">
        <v>1636</v>
      </c>
      <c r="J596">
        <v>570183</v>
      </c>
      <c r="K596" t="s">
        <v>1844</v>
      </c>
      <c r="L596" t="s">
        <v>1851</v>
      </c>
      <c r="M596" s="1">
        <v>33000</v>
      </c>
      <c r="N596" t="s">
        <v>1858</v>
      </c>
      <c r="O596">
        <v>0</v>
      </c>
      <c r="P596" s="1">
        <v>1500</v>
      </c>
      <c r="S596" s="6" t="str">
        <f t="shared" si="9"/>
        <v xml:space="preserve"> </v>
      </c>
      <c r="T596" s="6" t="str">
        <f>IF(IF(COUNTIF(H$2:$H596,H596)=1,1,"")=1,SUMIF($H$2:$H$7997,H596,$S$2:$S$7997),"")</f>
        <v/>
      </c>
      <c r="W596">
        <v>0</v>
      </c>
      <c r="X596">
        <v>0</v>
      </c>
      <c r="Y596">
        <v>0</v>
      </c>
      <c r="Z596">
        <v>0</v>
      </c>
      <c r="AA596" s="2">
        <v>1</v>
      </c>
      <c r="AB596" s="2">
        <v>0</v>
      </c>
      <c r="AC596" s="2">
        <v>0</v>
      </c>
      <c r="AD596">
        <v>0</v>
      </c>
      <c r="AE596" t="s">
        <v>1863</v>
      </c>
      <c r="AF596">
        <v>1500</v>
      </c>
      <c r="AG596">
        <v>0</v>
      </c>
      <c r="AH596">
        <v>33000</v>
      </c>
      <c r="AI596" s="1" t="s">
        <v>422</v>
      </c>
      <c r="AJ596">
        <v>262910</v>
      </c>
      <c r="AK596" s="1" t="s">
        <v>1867</v>
      </c>
      <c r="AL596" t="s">
        <v>2028</v>
      </c>
      <c r="AN596" t="s">
        <v>2039</v>
      </c>
      <c r="AO596" t="s">
        <v>2067</v>
      </c>
      <c r="AP596" t="s">
        <v>2111</v>
      </c>
      <c r="AQ596">
        <v>118413</v>
      </c>
      <c r="AR596" s="3">
        <v>46203</v>
      </c>
      <c r="AS596" s="3">
        <v>46074</v>
      </c>
      <c r="AT596" s="3">
        <v>46383</v>
      </c>
      <c r="AU596" t="s">
        <v>2127</v>
      </c>
      <c r="AW596" s="3">
        <v>46208.53701449134</v>
      </c>
    </row>
    <row r="597" spans="1:49" ht="16" hidden="1" x14ac:dyDescent="0.2">
      <c r="A597" t="s">
        <v>94</v>
      </c>
      <c r="B597">
        <v>14056</v>
      </c>
      <c r="C597">
        <v>1654</v>
      </c>
      <c r="D597" t="s">
        <v>188</v>
      </c>
      <c r="E597" t="s">
        <v>353</v>
      </c>
      <c r="F597">
        <v>261931</v>
      </c>
      <c r="G597" t="s">
        <v>654</v>
      </c>
      <c r="H597">
        <v>582202</v>
      </c>
      <c r="I597" t="s">
        <v>1273</v>
      </c>
      <c r="J597">
        <v>94270507</v>
      </c>
      <c r="K597" t="s">
        <v>1835</v>
      </c>
      <c r="L597" t="s">
        <v>1850</v>
      </c>
      <c r="M597" s="1">
        <v>40</v>
      </c>
      <c r="N597" t="s">
        <v>23</v>
      </c>
      <c r="O597">
        <v>2714023</v>
      </c>
      <c r="P597" s="1">
        <v>108560.92</v>
      </c>
      <c r="S597" s="6" t="str">
        <f t="shared" si="9"/>
        <v xml:space="preserve"> </v>
      </c>
      <c r="T597" s="6">
        <f>IF(IF(COUNTIF(H$2:$H597,H597)=1,1,"")=1,SUMIF($H$2:$H$7997,H597,$S$2:$S$7997),"")</f>
        <v>0</v>
      </c>
      <c r="W597">
        <v>2714023</v>
      </c>
      <c r="X597">
        <v>2714023</v>
      </c>
      <c r="Y597">
        <v>0</v>
      </c>
      <c r="Z597">
        <v>0</v>
      </c>
      <c r="AA597" s="2">
        <v>1</v>
      </c>
      <c r="AB597" s="2">
        <v>0</v>
      </c>
      <c r="AC597" s="2">
        <v>0</v>
      </c>
      <c r="AD597">
        <v>0</v>
      </c>
      <c r="AE597" t="s">
        <v>1862</v>
      </c>
      <c r="AF597">
        <v>52049.01</v>
      </c>
      <c r="AG597">
        <v>4015500</v>
      </c>
      <c r="AH597">
        <v>160620</v>
      </c>
      <c r="AI597" s="1" t="s">
        <v>353</v>
      </c>
      <c r="AJ597">
        <v>94270504</v>
      </c>
      <c r="AK597" s="1" t="s">
        <v>1867</v>
      </c>
      <c r="AL597" t="s">
        <v>1975</v>
      </c>
      <c r="AN597" t="s">
        <v>2039</v>
      </c>
      <c r="AO597" t="s">
        <v>2067</v>
      </c>
      <c r="AP597" t="s">
        <v>2092</v>
      </c>
      <c r="AQ597">
        <v>128503</v>
      </c>
      <c r="AR597" s="3">
        <v>46203</v>
      </c>
      <c r="AS597" s="3">
        <v>46174</v>
      </c>
      <c r="AT597" s="3">
        <v>46222</v>
      </c>
      <c r="AU597" t="s">
        <v>2123</v>
      </c>
      <c r="AW597" s="3">
        <v>46208.53701449134</v>
      </c>
    </row>
    <row r="598" spans="1:49" ht="16" hidden="1" x14ac:dyDescent="0.2">
      <c r="A598" t="s">
        <v>94</v>
      </c>
      <c r="B598">
        <v>14056</v>
      </c>
      <c r="C598">
        <v>1654</v>
      </c>
      <c r="D598" t="s">
        <v>188</v>
      </c>
      <c r="E598" t="s">
        <v>353</v>
      </c>
      <c r="F598">
        <v>261931</v>
      </c>
      <c r="G598" t="s">
        <v>654</v>
      </c>
      <c r="H598">
        <v>582202</v>
      </c>
      <c r="I598" t="s">
        <v>1274</v>
      </c>
      <c r="J598">
        <v>94270511</v>
      </c>
      <c r="K598" t="s">
        <v>1839</v>
      </c>
      <c r="L598" t="s">
        <v>1850</v>
      </c>
      <c r="M598" s="1">
        <v>40</v>
      </c>
      <c r="N598" t="s">
        <v>23</v>
      </c>
      <c r="O598">
        <v>6181311</v>
      </c>
      <c r="P598" s="1">
        <v>247252.44</v>
      </c>
      <c r="S598" s="6" t="str">
        <f t="shared" si="9"/>
        <v xml:space="preserve"> </v>
      </c>
      <c r="T598" s="6" t="str">
        <f>IF(IF(COUNTIF(H$2:$H598,H598)=1,1,"")=1,SUMIF($H$2:$H$7997,H598,$S$2:$S$7997),"")</f>
        <v/>
      </c>
      <c r="W598">
        <v>6181311</v>
      </c>
      <c r="X598">
        <v>6181311</v>
      </c>
      <c r="Y598">
        <v>0</v>
      </c>
      <c r="Z598">
        <v>0</v>
      </c>
      <c r="AA598" s="2">
        <v>1</v>
      </c>
      <c r="AB598" s="2">
        <v>0</v>
      </c>
      <c r="AC598" s="2">
        <v>0</v>
      </c>
      <c r="AD598">
        <v>0</v>
      </c>
      <c r="AE598" t="s">
        <v>1862</v>
      </c>
      <c r="AF598">
        <v>121447.69</v>
      </c>
      <c r="AG598">
        <v>9369500</v>
      </c>
      <c r="AH598">
        <v>374780</v>
      </c>
      <c r="AI598" s="1" t="s">
        <v>353</v>
      </c>
      <c r="AJ598">
        <v>94270504</v>
      </c>
      <c r="AK598" s="1" t="s">
        <v>1867</v>
      </c>
      <c r="AL598" t="s">
        <v>1975</v>
      </c>
      <c r="AN598" t="s">
        <v>2039</v>
      </c>
      <c r="AO598" t="s">
        <v>2067</v>
      </c>
      <c r="AP598" t="s">
        <v>2094</v>
      </c>
      <c r="AQ598">
        <v>128503</v>
      </c>
      <c r="AR598" s="3">
        <v>46203</v>
      </c>
      <c r="AS598" s="3">
        <v>46174</v>
      </c>
      <c r="AT598" s="3">
        <v>46222</v>
      </c>
      <c r="AU598" t="s">
        <v>2124</v>
      </c>
      <c r="AW598" s="3">
        <v>46208.53701449134</v>
      </c>
    </row>
    <row r="599" spans="1:49" ht="16" hidden="1" x14ac:dyDescent="0.2">
      <c r="A599" t="s">
        <v>94</v>
      </c>
      <c r="B599">
        <v>14056</v>
      </c>
      <c r="C599">
        <v>1654</v>
      </c>
      <c r="D599" t="s">
        <v>188</v>
      </c>
      <c r="E599" t="s">
        <v>353</v>
      </c>
      <c r="F599">
        <v>261931</v>
      </c>
      <c r="G599" t="s">
        <v>857</v>
      </c>
      <c r="H599">
        <v>582204</v>
      </c>
      <c r="I599" t="s">
        <v>1822</v>
      </c>
      <c r="J599">
        <v>582211</v>
      </c>
      <c r="K599" t="s">
        <v>1846</v>
      </c>
      <c r="L599" t="s">
        <v>1851</v>
      </c>
      <c r="M599" s="1">
        <v>631667</v>
      </c>
      <c r="N599" t="s">
        <v>1858</v>
      </c>
      <c r="O599">
        <v>0</v>
      </c>
      <c r="P599" s="1">
        <v>193367.45</v>
      </c>
      <c r="S599" s="6" t="str">
        <f t="shared" si="9"/>
        <v xml:space="preserve"> </v>
      </c>
      <c r="T599" s="6">
        <f>IF(IF(COUNTIF(H$2:$H599,H599)=1,1,"")=1,SUMIF($H$2:$H$7997,H599,$S$2:$S$7997),"")</f>
        <v>0</v>
      </c>
      <c r="W599">
        <v>0</v>
      </c>
      <c r="X599">
        <v>0</v>
      </c>
      <c r="Y599">
        <v>0</v>
      </c>
      <c r="Z599">
        <v>0</v>
      </c>
      <c r="AA599" s="2">
        <v>1</v>
      </c>
      <c r="AB599" s="2">
        <v>0</v>
      </c>
      <c r="AC599" s="2">
        <v>0</v>
      </c>
      <c r="AD599">
        <v>0</v>
      </c>
      <c r="AE599" t="s">
        <v>1863</v>
      </c>
      <c r="AF599">
        <v>193367.45</v>
      </c>
      <c r="AG599">
        <v>1</v>
      </c>
      <c r="AH599">
        <v>631667</v>
      </c>
      <c r="AI599" s="1" t="s">
        <v>353</v>
      </c>
      <c r="AJ599">
        <v>261931</v>
      </c>
      <c r="AK599" s="1" t="s">
        <v>1867</v>
      </c>
      <c r="AL599" t="s">
        <v>1975</v>
      </c>
      <c r="AN599" t="s">
        <v>2039</v>
      </c>
      <c r="AO599" t="s">
        <v>2067</v>
      </c>
      <c r="AP599" t="s">
        <v>2110</v>
      </c>
      <c r="AQ599">
        <v>128503</v>
      </c>
      <c r="AR599" s="3">
        <v>46203</v>
      </c>
      <c r="AS599" s="3">
        <v>46174</v>
      </c>
      <c r="AT599" s="3">
        <v>46222</v>
      </c>
      <c r="AU599" t="s">
        <v>2128</v>
      </c>
      <c r="AW599" s="3">
        <v>46208.53701449134</v>
      </c>
    </row>
    <row r="600" spans="1:49" ht="16" hidden="1" x14ac:dyDescent="0.2">
      <c r="A600" t="s">
        <v>94</v>
      </c>
      <c r="B600">
        <v>14056</v>
      </c>
      <c r="C600">
        <v>1654</v>
      </c>
      <c r="D600" t="s">
        <v>188</v>
      </c>
      <c r="E600" t="s">
        <v>353</v>
      </c>
      <c r="F600">
        <v>261931</v>
      </c>
      <c r="G600" t="s">
        <v>857</v>
      </c>
      <c r="H600">
        <v>582204</v>
      </c>
      <c r="I600" t="s">
        <v>1671</v>
      </c>
      <c r="J600">
        <v>582214</v>
      </c>
      <c r="K600" t="s">
        <v>1844</v>
      </c>
      <c r="L600" t="s">
        <v>1851</v>
      </c>
      <c r="M600" s="1">
        <v>631667</v>
      </c>
      <c r="N600" t="s">
        <v>1858</v>
      </c>
      <c r="O600">
        <v>0</v>
      </c>
      <c r="P600" s="1">
        <v>193367.45</v>
      </c>
      <c r="S600" s="6" t="str">
        <f t="shared" si="9"/>
        <v xml:space="preserve"> </v>
      </c>
      <c r="T600" s="6" t="str">
        <f>IF(IF(COUNTIF(H$2:$H600,H600)=1,1,"")=1,SUMIF($H$2:$H$7997,H600,$S$2:$S$7997),"")</f>
        <v/>
      </c>
      <c r="W600">
        <v>0</v>
      </c>
      <c r="X600">
        <v>0</v>
      </c>
      <c r="Y600">
        <v>0</v>
      </c>
      <c r="Z600">
        <v>0</v>
      </c>
      <c r="AA600" s="2">
        <v>1</v>
      </c>
      <c r="AB600" s="2">
        <v>0</v>
      </c>
      <c r="AC600" s="2">
        <v>0</v>
      </c>
      <c r="AD600">
        <v>0</v>
      </c>
      <c r="AE600" t="s">
        <v>1863</v>
      </c>
      <c r="AF600">
        <v>193367.45</v>
      </c>
      <c r="AG600">
        <v>1</v>
      </c>
      <c r="AH600">
        <v>631667</v>
      </c>
      <c r="AI600" s="1" t="s">
        <v>353</v>
      </c>
      <c r="AJ600">
        <v>261931</v>
      </c>
      <c r="AK600" s="1" t="s">
        <v>1867</v>
      </c>
      <c r="AL600" t="s">
        <v>1975</v>
      </c>
      <c r="AN600" t="s">
        <v>2039</v>
      </c>
      <c r="AO600" t="s">
        <v>2067</v>
      </c>
      <c r="AP600" t="s">
        <v>2107</v>
      </c>
      <c r="AQ600">
        <v>128503</v>
      </c>
      <c r="AR600" s="3">
        <v>46203</v>
      </c>
      <c r="AS600" s="3">
        <v>46174</v>
      </c>
      <c r="AT600" s="3">
        <v>46222</v>
      </c>
      <c r="AU600" t="s">
        <v>2127</v>
      </c>
      <c r="AW600" s="3">
        <v>46208.53701449134</v>
      </c>
    </row>
    <row r="601" spans="1:49" ht="16" hidden="1" x14ac:dyDescent="0.2">
      <c r="A601" t="s">
        <v>94</v>
      </c>
      <c r="B601">
        <v>14056</v>
      </c>
      <c r="C601">
        <v>1654</v>
      </c>
      <c r="D601" t="s">
        <v>188</v>
      </c>
      <c r="E601" t="s">
        <v>353</v>
      </c>
      <c r="F601">
        <v>261931</v>
      </c>
      <c r="G601" t="s">
        <v>857</v>
      </c>
      <c r="H601">
        <v>582204</v>
      </c>
      <c r="I601" t="s">
        <v>1653</v>
      </c>
      <c r="J601">
        <v>582213</v>
      </c>
      <c r="K601" t="s">
        <v>1835</v>
      </c>
      <c r="L601" t="s">
        <v>1851</v>
      </c>
      <c r="M601" s="1">
        <v>631666</v>
      </c>
      <c r="N601" t="s">
        <v>1858</v>
      </c>
      <c r="O601">
        <v>0</v>
      </c>
      <c r="P601" s="1">
        <v>193367.14</v>
      </c>
      <c r="S601" s="6" t="str">
        <f t="shared" si="9"/>
        <v xml:space="preserve"> </v>
      </c>
      <c r="T601" s="6" t="str">
        <f>IF(IF(COUNTIF(H$2:$H601,H601)=1,1,"")=1,SUMIF($H$2:$H$7997,H601,$S$2:$S$7997),"")</f>
        <v/>
      </c>
      <c r="W601">
        <v>0</v>
      </c>
      <c r="X601">
        <v>0</v>
      </c>
      <c r="Y601">
        <v>0</v>
      </c>
      <c r="Z601">
        <v>0</v>
      </c>
      <c r="AA601" s="2">
        <v>1</v>
      </c>
      <c r="AB601" s="2">
        <v>0</v>
      </c>
      <c r="AC601" s="2">
        <v>0</v>
      </c>
      <c r="AD601">
        <v>0</v>
      </c>
      <c r="AE601" t="s">
        <v>1863</v>
      </c>
      <c r="AF601">
        <v>193367.14</v>
      </c>
      <c r="AG601">
        <v>1</v>
      </c>
      <c r="AH601">
        <v>631666</v>
      </c>
      <c r="AI601" s="1" t="s">
        <v>353</v>
      </c>
      <c r="AJ601">
        <v>261931</v>
      </c>
      <c r="AK601" s="1" t="s">
        <v>1867</v>
      </c>
      <c r="AL601" t="s">
        <v>1975</v>
      </c>
      <c r="AN601" t="s">
        <v>2039</v>
      </c>
      <c r="AO601" t="s">
        <v>2067</v>
      </c>
      <c r="AP601" t="s">
        <v>2109</v>
      </c>
      <c r="AQ601">
        <v>128503</v>
      </c>
      <c r="AR601" s="3">
        <v>46203</v>
      </c>
      <c r="AS601" s="3">
        <v>46174</v>
      </c>
      <c r="AT601" s="3">
        <v>46222</v>
      </c>
      <c r="AU601" t="s">
        <v>2129</v>
      </c>
      <c r="AW601" s="3">
        <v>46208.53701449134</v>
      </c>
    </row>
    <row r="602" spans="1:49" ht="16" hidden="1" x14ac:dyDescent="0.2">
      <c r="A602" t="s">
        <v>94</v>
      </c>
      <c r="B602">
        <v>14056</v>
      </c>
      <c r="C602">
        <v>1654</v>
      </c>
      <c r="D602" t="s">
        <v>188</v>
      </c>
      <c r="E602" t="s">
        <v>359</v>
      </c>
      <c r="F602">
        <v>262034</v>
      </c>
      <c r="G602" t="s">
        <v>662</v>
      </c>
      <c r="H602">
        <v>582096</v>
      </c>
      <c r="I602" t="s">
        <v>1288</v>
      </c>
      <c r="J602">
        <v>94296797</v>
      </c>
      <c r="K602" t="s">
        <v>1839</v>
      </c>
      <c r="L602" t="s">
        <v>1850</v>
      </c>
      <c r="M602" s="1">
        <v>40</v>
      </c>
      <c r="N602" t="s">
        <v>23</v>
      </c>
      <c r="O602">
        <v>1429179</v>
      </c>
      <c r="P602" s="1">
        <v>57167.16</v>
      </c>
      <c r="S602" s="6" t="str">
        <f t="shared" si="9"/>
        <v xml:space="preserve"> </v>
      </c>
      <c r="T602" s="6">
        <f>IF(IF(COUNTIF(H$2:$H602,H602)=1,1,"")=1,SUMIF($H$2:$H$7997,H602,$S$2:$S$7997),"")</f>
        <v>0</v>
      </c>
      <c r="W602">
        <v>1429179</v>
      </c>
      <c r="X602">
        <v>1429179</v>
      </c>
      <c r="Y602">
        <v>0</v>
      </c>
      <c r="Z602">
        <v>0</v>
      </c>
      <c r="AA602" s="2">
        <v>1</v>
      </c>
      <c r="AB602" s="2">
        <v>0</v>
      </c>
      <c r="AC602" s="2">
        <v>0</v>
      </c>
      <c r="AD602">
        <v>0</v>
      </c>
      <c r="AE602" t="s">
        <v>1862</v>
      </c>
      <c r="AF602">
        <v>27004.880000000001</v>
      </c>
      <c r="AG602">
        <v>1977500</v>
      </c>
      <c r="AH602">
        <v>79100</v>
      </c>
      <c r="AI602" s="1" t="s">
        <v>359</v>
      </c>
      <c r="AJ602">
        <v>94296794</v>
      </c>
      <c r="AK602" s="1" t="s">
        <v>1867</v>
      </c>
      <c r="AL602" t="s">
        <v>1979</v>
      </c>
      <c r="AN602" t="s">
        <v>2039</v>
      </c>
      <c r="AO602" t="s">
        <v>2067</v>
      </c>
      <c r="AP602" t="s">
        <v>2094</v>
      </c>
      <c r="AQ602">
        <v>128500</v>
      </c>
      <c r="AR602" s="3">
        <v>46203</v>
      </c>
      <c r="AS602" s="3">
        <v>46174</v>
      </c>
      <c r="AT602" s="3">
        <v>46222</v>
      </c>
      <c r="AU602" t="s">
        <v>2124</v>
      </c>
      <c r="AW602" s="3">
        <v>46208.53701449134</v>
      </c>
    </row>
    <row r="603" spans="1:49" ht="16" hidden="1" x14ac:dyDescent="0.2">
      <c r="A603" t="s">
        <v>94</v>
      </c>
      <c r="B603">
        <v>14056</v>
      </c>
      <c r="C603">
        <v>1654</v>
      </c>
      <c r="D603" t="s">
        <v>188</v>
      </c>
      <c r="E603" t="s">
        <v>359</v>
      </c>
      <c r="F603">
        <v>262034</v>
      </c>
      <c r="G603" t="s">
        <v>662</v>
      </c>
      <c r="H603">
        <v>582096</v>
      </c>
      <c r="I603" t="s">
        <v>1289</v>
      </c>
      <c r="J603">
        <v>94296800</v>
      </c>
      <c r="K603" t="s">
        <v>1835</v>
      </c>
      <c r="L603" t="s">
        <v>1850</v>
      </c>
      <c r="M603" s="1">
        <v>40</v>
      </c>
      <c r="N603" t="s">
        <v>23</v>
      </c>
      <c r="O603">
        <v>576048</v>
      </c>
      <c r="P603" s="1">
        <v>23041.919999999998</v>
      </c>
      <c r="S603" s="6" t="str">
        <f t="shared" si="9"/>
        <v xml:space="preserve"> </v>
      </c>
      <c r="T603" s="6" t="str">
        <f>IF(IF(COUNTIF(H$2:$H603,H603)=1,1,"")=1,SUMIF($H$2:$H$7997,H603,$S$2:$S$7997),"")</f>
        <v/>
      </c>
      <c r="W603">
        <v>576048</v>
      </c>
      <c r="X603">
        <v>576048</v>
      </c>
      <c r="Y603">
        <v>0</v>
      </c>
      <c r="Z603">
        <v>0</v>
      </c>
      <c r="AA603" s="2">
        <v>1</v>
      </c>
      <c r="AB603" s="2">
        <v>0</v>
      </c>
      <c r="AC603" s="2">
        <v>0</v>
      </c>
      <c r="AD603">
        <v>0</v>
      </c>
      <c r="AE603" t="s">
        <v>1862</v>
      </c>
      <c r="AF603">
        <v>11573.52</v>
      </c>
      <c r="AG603">
        <v>847500</v>
      </c>
      <c r="AH603">
        <v>33900</v>
      </c>
      <c r="AI603" s="1" t="s">
        <v>359</v>
      </c>
      <c r="AJ603">
        <v>94296794</v>
      </c>
      <c r="AK603" s="1" t="s">
        <v>1867</v>
      </c>
      <c r="AL603" t="s">
        <v>1979</v>
      </c>
      <c r="AN603" t="s">
        <v>2039</v>
      </c>
      <c r="AO603" t="s">
        <v>2067</v>
      </c>
      <c r="AP603" t="s">
        <v>2092</v>
      </c>
      <c r="AQ603">
        <v>128500</v>
      </c>
      <c r="AR603" s="3">
        <v>46203</v>
      </c>
      <c r="AS603" s="3">
        <v>46174</v>
      </c>
      <c r="AT603" s="3">
        <v>46222</v>
      </c>
      <c r="AU603" t="s">
        <v>2123</v>
      </c>
      <c r="AW603" s="3">
        <v>46208.53701449134</v>
      </c>
    </row>
    <row r="604" spans="1:49" ht="16" hidden="1" x14ac:dyDescent="0.2">
      <c r="A604" t="s">
        <v>94</v>
      </c>
      <c r="B604">
        <v>14056</v>
      </c>
      <c r="C604">
        <v>1654</v>
      </c>
      <c r="D604" t="s">
        <v>188</v>
      </c>
      <c r="E604" t="s">
        <v>359</v>
      </c>
      <c r="F604">
        <v>262034</v>
      </c>
      <c r="G604" t="s">
        <v>890</v>
      </c>
      <c r="H604">
        <v>582113</v>
      </c>
      <c r="I604" t="s">
        <v>1749</v>
      </c>
      <c r="J604">
        <v>582117</v>
      </c>
      <c r="K604" t="s">
        <v>1844</v>
      </c>
      <c r="L604" t="s">
        <v>1851</v>
      </c>
      <c r="M604" s="1">
        <v>19666</v>
      </c>
      <c r="N604" t="s">
        <v>1858</v>
      </c>
      <c r="O604">
        <v>0</v>
      </c>
      <c r="P604" s="1">
        <v>6020.2</v>
      </c>
      <c r="S604" s="6" t="str">
        <f t="shared" si="9"/>
        <v xml:space="preserve"> </v>
      </c>
      <c r="T604" s="6">
        <f>IF(IF(COUNTIF(H$2:$H604,H604)=1,1,"")=1,SUMIF($H$2:$H$7997,H604,$S$2:$S$7997),"")</f>
        <v>0</v>
      </c>
      <c r="W604">
        <v>0</v>
      </c>
      <c r="X604">
        <v>0</v>
      </c>
      <c r="Y604">
        <v>0</v>
      </c>
      <c r="Z604">
        <v>0</v>
      </c>
      <c r="AA604" s="2">
        <v>1</v>
      </c>
      <c r="AB604" s="2">
        <v>0</v>
      </c>
      <c r="AC604" s="2">
        <v>0</v>
      </c>
      <c r="AD604">
        <v>0</v>
      </c>
      <c r="AE604" t="s">
        <v>1863</v>
      </c>
      <c r="AF604">
        <v>6020.2</v>
      </c>
      <c r="AG604">
        <v>1</v>
      </c>
      <c r="AH604">
        <v>19666</v>
      </c>
      <c r="AI604" s="1" t="s">
        <v>359</v>
      </c>
      <c r="AJ604">
        <v>262034</v>
      </c>
      <c r="AK604" s="1" t="s">
        <v>1867</v>
      </c>
      <c r="AL604" t="s">
        <v>1979</v>
      </c>
      <c r="AN604" t="s">
        <v>2039</v>
      </c>
      <c r="AO604" t="s">
        <v>2067</v>
      </c>
      <c r="AP604" t="s">
        <v>2107</v>
      </c>
      <c r="AQ604">
        <v>128500</v>
      </c>
      <c r="AR604" s="3">
        <v>46203</v>
      </c>
      <c r="AS604" s="3">
        <v>46174</v>
      </c>
      <c r="AT604" s="3">
        <v>46222</v>
      </c>
      <c r="AU604" t="s">
        <v>2127</v>
      </c>
      <c r="AW604" s="3">
        <v>46208.53701449134</v>
      </c>
    </row>
    <row r="605" spans="1:49" ht="16" hidden="1" x14ac:dyDescent="0.2">
      <c r="A605" t="s">
        <v>94</v>
      </c>
      <c r="B605">
        <v>14056</v>
      </c>
      <c r="C605">
        <v>1654</v>
      </c>
      <c r="D605" t="s">
        <v>188</v>
      </c>
      <c r="E605" t="s">
        <v>359</v>
      </c>
      <c r="F605">
        <v>262034</v>
      </c>
      <c r="G605" t="s">
        <v>890</v>
      </c>
      <c r="H605">
        <v>582113</v>
      </c>
      <c r="I605" t="s">
        <v>1716</v>
      </c>
      <c r="J605">
        <v>582114</v>
      </c>
      <c r="K605" t="s">
        <v>1846</v>
      </c>
      <c r="L605" t="s">
        <v>1851</v>
      </c>
      <c r="M605" s="1">
        <v>19667</v>
      </c>
      <c r="N605" t="s">
        <v>1858</v>
      </c>
      <c r="O605">
        <v>0</v>
      </c>
      <c r="P605" s="1">
        <v>6020.51</v>
      </c>
      <c r="S605" s="6" t="str">
        <f t="shared" si="9"/>
        <v xml:space="preserve"> </v>
      </c>
      <c r="T605" s="6" t="str">
        <f>IF(IF(COUNTIF(H$2:$H605,H605)=1,1,"")=1,SUMIF($H$2:$H$7997,H605,$S$2:$S$7997),"")</f>
        <v/>
      </c>
      <c r="W605">
        <v>0</v>
      </c>
      <c r="X605">
        <v>0</v>
      </c>
      <c r="Y605">
        <v>0</v>
      </c>
      <c r="Z605">
        <v>0</v>
      </c>
      <c r="AA605" s="2">
        <v>1</v>
      </c>
      <c r="AB605" s="2">
        <v>0</v>
      </c>
      <c r="AC605" s="2">
        <v>0</v>
      </c>
      <c r="AD605">
        <v>0</v>
      </c>
      <c r="AE605" t="s">
        <v>1863</v>
      </c>
      <c r="AF605">
        <v>6020.51</v>
      </c>
      <c r="AG605">
        <v>1</v>
      </c>
      <c r="AH605">
        <v>19667</v>
      </c>
      <c r="AI605" s="1" t="s">
        <v>359</v>
      </c>
      <c r="AJ605">
        <v>262034</v>
      </c>
      <c r="AK605" s="1" t="s">
        <v>1867</v>
      </c>
      <c r="AL605" t="s">
        <v>1979</v>
      </c>
      <c r="AN605" t="s">
        <v>2039</v>
      </c>
      <c r="AO605" t="s">
        <v>2067</v>
      </c>
      <c r="AP605" t="s">
        <v>2110</v>
      </c>
      <c r="AQ605">
        <v>128500</v>
      </c>
      <c r="AR605" s="3">
        <v>46203</v>
      </c>
      <c r="AS605" s="3">
        <v>46174</v>
      </c>
      <c r="AT605" s="3">
        <v>46222</v>
      </c>
      <c r="AU605" t="s">
        <v>2128</v>
      </c>
      <c r="AW605" s="3">
        <v>46208.53701449134</v>
      </c>
    </row>
    <row r="606" spans="1:49" ht="16" hidden="1" x14ac:dyDescent="0.2">
      <c r="A606" t="s">
        <v>94</v>
      </c>
      <c r="B606">
        <v>14056</v>
      </c>
      <c r="C606">
        <v>1654</v>
      </c>
      <c r="D606" t="s">
        <v>188</v>
      </c>
      <c r="E606" t="s">
        <v>359</v>
      </c>
      <c r="F606">
        <v>262034</v>
      </c>
      <c r="G606" t="s">
        <v>890</v>
      </c>
      <c r="H606">
        <v>582113</v>
      </c>
      <c r="I606" t="s">
        <v>1707</v>
      </c>
      <c r="J606">
        <v>582116</v>
      </c>
      <c r="K606" t="s">
        <v>1835</v>
      </c>
      <c r="L606" t="s">
        <v>1851</v>
      </c>
      <c r="M606" s="1">
        <v>19667</v>
      </c>
      <c r="N606" t="s">
        <v>1858</v>
      </c>
      <c r="O606">
        <v>0</v>
      </c>
      <c r="P606" s="1">
        <v>6020.51</v>
      </c>
      <c r="S606" s="6" t="str">
        <f t="shared" si="9"/>
        <v xml:space="preserve"> </v>
      </c>
      <c r="T606" s="6" t="str">
        <f>IF(IF(COUNTIF(H$2:$H606,H606)=1,1,"")=1,SUMIF($H$2:$H$7997,H606,$S$2:$S$7997),"")</f>
        <v/>
      </c>
      <c r="W606">
        <v>0</v>
      </c>
      <c r="X606">
        <v>0</v>
      </c>
      <c r="Y606">
        <v>0</v>
      </c>
      <c r="Z606">
        <v>0</v>
      </c>
      <c r="AA606" s="2">
        <v>1</v>
      </c>
      <c r="AB606" s="2">
        <v>0</v>
      </c>
      <c r="AC606" s="2">
        <v>0</v>
      </c>
      <c r="AD606">
        <v>0</v>
      </c>
      <c r="AE606" t="s">
        <v>1863</v>
      </c>
      <c r="AF606">
        <v>6020.51</v>
      </c>
      <c r="AG606">
        <v>1</v>
      </c>
      <c r="AH606">
        <v>19667</v>
      </c>
      <c r="AI606" s="1" t="s">
        <v>359</v>
      </c>
      <c r="AJ606">
        <v>262034</v>
      </c>
      <c r="AK606" s="1" t="s">
        <v>1867</v>
      </c>
      <c r="AL606" t="s">
        <v>1979</v>
      </c>
      <c r="AN606" t="s">
        <v>2039</v>
      </c>
      <c r="AO606" t="s">
        <v>2067</v>
      </c>
      <c r="AP606" t="s">
        <v>2109</v>
      </c>
      <c r="AQ606">
        <v>128500</v>
      </c>
      <c r="AR606" s="3">
        <v>46203</v>
      </c>
      <c r="AS606" s="3">
        <v>46174</v>
      </c>
      <c r="AT606" s="3">
        <v>46222</v>
      </c>
      <c r="AU606" t="s">
        <v>2129</v>
      </c>
      <c r="AW606" s="3">
        <v>46208.53701449134</v>
      </c>
    </row>
    <row r="607" spans="1:49" ht="16" hidden="1" x14ac:dyDescent="0.2">
      <c r="A607" t="s">
        <v>94</v>
      </c>
      <c r="B607">
        <v>14056</v>
      </c>
      <c r="C607">
        <v>1654</v>
      </c>
      <c r="D607" t="s">
        <v>188</v>
      </c>
      <c r="E607" t="s">
        <v>351</v>
      </c>
      <c r="F607">
        <v>262032</v>
      </c>
      <c r="G607" t="s">
        <v>829</v>
      </c>
      <c r="H607">
        <v>582127</v>
      </c>
      <c r="I607" t="s">
        <v>1665</v>
      </c>
      <c r="J607">
        <v>582128</v>
      </c>
      <c r="K607" t="s">
        <v>1846</v>
      </c>
      <c r="L607" t="s">
        <v>1851</v>
      </c>
      <c r="M607" s="1">
        <v>66334</v>
      </c>
      <c r="N607" t="s">
        <v>1858</v>
      </c>
      <c r="O607">
        <v>0</v>
      </c>
      <c r="P607" s="1">
        <v>20306.330000000002</v>
      </c>
      <c r="S607" s="6" t="str">
        <f t="shared" si="9"/>
        <v xml:space="preserve"> </v>
      </c>
      <c r="T607" s="6">
        <f>IF(IF(COUNTIF(H$2:$H607,H607)=1,1,"")=1,SUMIF($H$2:$H$7997,H607,$S$2:$S$7997),"")</f>
        <v>0</v>
      </c>
      <c r="W607">
        <v>0</v>
      </c>
      <c r="X607">
        <v>0</v>
      </c>
      <c r="Y607">
        <v>0</v>
      </c>
      <c r="Z607">
        <v>0</v>
      </c>
      <c r="AA607" s="2">
        <v>1</v>
      </c>
      <c r="AB607" s="2">
        <v>0</v>
      </c>
      <c r="AC607" s="2">
        <v>0</v>
      </c>
      <c r="AD607">
        <v>0</v>
      </c>
      <c r="AE607" t="s">
        <v>1863</v>
      </c>
      <c r="AF607">
        <v>20306.330000000002</v>
      </c>
      <c r="AG607">
        <v>1</v>
      </c>
      <c r="AH607">
        <v>66334</v>
      </c>
      <c r="AI607" s="1" t="s">
        <v>351</v>
      </c>
      <c r="AJ607">
        <v>262032</v>
      </c>
      <c r="AK607" s="1" t="s">
        <v>1867</v>
      </c>
      <c r="AL607" t="s">
        <v>1973</v>
      </c>
      <c r="AN607" t="s">
        <v>2039</v>
      </c>
      <c r="AO607" t="s">
        <v>2067</v>
      </c>
      <c r="AP607" t="s">
        <v>2110</v>
      </c>
      <c r="AQ607">
        <v>128489</v>
      </c>
      <c r="AR607" s="3">
        <v>46203</v>
      </c>
      <c r="AS607" s="3">
        <v>46174</v>
      </c>
      <c r="AT607" s="3">
        <v>46222</v>
      </c>
      <c r="AU607" t="s">
        <v>2128</v>
      </c>
      <c r="AW607" s="3">
        <v>46208.53701449134</v>
      </c>
    </row>
    <row r="608" spans="1:49" ht="16" hidden="1" x14ac:dyDescent="0.2">
      <c r="A608" t="s">
        <v>94</v>
      </c>
      <c r="B608">
        <v>14056</v>
      </c>
      <c r="C608">
        <v>1654</v>
      </c>
      <c r="D608" t="s">
        <v>188</v>
      </c>
      <c r="E608" t="s">
        <v>351</v>
      </c>
      <c r="F608">
        <v>262032</v>
      </c>
      <c r="G608" t="s">
        <v>829</v>
      </c>
      <c r="H608">
        <v>582127</v>
      </c>
      <c r="I608" t="s">
        <v>1713</v>
      </c>
      <c r="J608">
        <v>582131</v>
      </c>
      <c r="K608" t="s">
        <v>1844</v>
      </c>
      <c r="L608" t="s">
        <v>1851</v>
      </c>
      <c r="M608" s="1">
        <v>66333</v>
      </c>
      <c r="N608" t="s">
        <v>1858</v>
      </c>
      <c r="O608">
        <v>0</v>
      </c>
      <c r="P608" s="1">
        <v>20306.02</v>
      </c>
      <c r="S608" s="6" t="str">
        <f t="shared" si="9"/>
        <v xml:space="preserve"> </v>
      </c>
      <c r="T608" s="6" t="str">
        <f>IF(IF(COUNTIF(H$2:$H608,H608)=1,1,"")=1,SUMIF($H$2:$H$7997,H608,$S$2:$S$7997),"")</f>
        <v/>
      </c>
      <c r="W608">
        <v>0</v>
      </c>
      <c r="X608">
        <v>0</v>
      </c>
      <c r="Y608">
        <v>0</v>
      </c>
      <c r="Z608">
        <v>0</v>
      </c>
      <c r="AA608" s="2">
        <v>1</v>
      </c>
      <c r="AB608" s="2">
        <v>0</v>
      </c>
      <c r="AC608" s="2">
        <v>0</v>
      </c>
      <c r="AD608">
        <v>0</v>
      </c>
      <c r="AE608" t="s">
        <v>1863</v>
      </c>
      <c r="AF608">
        <v>20306.02</v>
      </c>
      <c r="AG608">
        <v>1</v>
      </c>
      <c r="AH608">
        <v>66333</v>
      </c>
      <c r="AI608" s="1" t="s">
        <v>351</v>
      </c>
      <c r="AJ608">
        <v>262032</v>
      </c>
      <c r="AK608" s="1" t="s">
        <v>1867</v>
      </c>
      <c r="AL608" t="s">
        <v>1973</v>
      </c>
      <c r="AN608" t="s">
        <v>2039</v>
      </c>
      <c r="AO608" t="s">
        <v>2067</v>
      </c>
      <c r="AP608" t="s">
        <v>2107</v>
      </c>
      <c r="AQ608">
        <v>128489</v>
      </c>
      <c r="AR608" s="3">
        <v>46203</v>
      </c>
      <c r="AS608" s="3">
        <v>46174</v>
      </c>
      <c r="AT608" s="3">
        <v>46222</v>
      </c>
      <c r="AU608" t="s">
        <v>2127</v>
      </c>
      <c r="AW608" s="3">
        <v>46208.53701449134</v>
      </c>
    </row>
    <row r="609" spans="1:49" ht="16" hidden="1" x14ac:dyDescent="0.2">
      <c r="A609" t="s">
        <v>94</v>
      </c>
      <c r="B609">
        <v>14056</v>
      </c>
      <c r="C609">
        <v>1654</v>
      </c>
      <c r="D609" t="s">
        <v>188</v>
      </c>
      <c r="E609" t="s">
        <v>351</v>
      </c>
      <c r="F609">
        <v>262032</v>
      </c>
      <c r="G609" t="s">
        <v>829</v>
      </c>
      <c r="H609">
        <v>582127</v>
      </c>
      <c r="I609" t="s">
        <v>1623</v>
      </c>
      <c r="J609">
        <v>582130</v>
      </c>
      <c r="K609" t="s">
        <v>1835</v>
      </c>
      <c r="L609" t="s">
        <v>1851</v>
      </c>
      <c r="M609" s="1">
        <v>66333</v>
      </c>
      <c r="N609" t="s">
        <v>1858</v>
      </c>
      <c r="O609">
        <v>0</v>
      </c>
      <c r="P609" s="1">
        <v>20306.02</v>
      </c>
      <c r="S609" s="6" t="str">
        <f t="shared" si="9"/>
        <v xml:space="preserve"> </v>
      </c>
      <c r="T609" s="6" t="str">
        <f>IF(IF(COUNTIF(H$2:$H609,H609)=1,1,"")=1,SUMIF($H$2:$H$7997,H609,$S$2:$S$7997),"")</f>
        <v/>
      </c>
      <c r="W609">
        <v>0</v>
      </c>
      <c r="X609">
        <v>0</v>
      </c>
      <c r="Y609">
        <v>0</v>
      </c>
      <c r="Z609">
        <v>0</v>
      </c>
      <c r="AA609" s="2">
        <v>1</v>
      </c>
      <c r="AB609" s="2">
        <v>0</v>
      </c>
      <c r="AC609" s="2">
        <v>0</v>
      </c>
      <c r="AD609">
        <v>0</v>
      </c>
      <c r="AE609" t="s">
        <v>1863</v>
      </c>
      <c r="AF609">
        <v>20306.02</v>
      </c>
      <c r="AG609">
        <v>1</v>
      </c>
      <c r="AH609">
        <v>66333</v>
      </c>
      <c r="AI609" s="1" t="s">
        <v>351</v>
      </c>
      <c r="AJ609">
        <v>262032</v>
      </c>
      <c r="AK609" s="1" t="s">
        <v>1867</v>
      </c>
      <c r="AL609" t="s">
        <v>1973</v>
      </c>
      <c r="AN609" t="s">
        <v>2039</v>
      </c>
      <c r="AO609" t="s">
        <v>2067</v>
      </c>
      <c r="AP609" t="s">
        <v>2109</v>
      </c>
      <c r="AQ609">
        <v>128489</v>
      </c>
      <c r="AR609" s="3">
        <v>46203</v>
      </c>
      <c r="AS609" s="3">
        <v>46174</v>
      </c>
      <c r="AT609" s="3">
        <v>46222</v>
      </c>
      <c r="AU609" t="s">
        <v>2129</v>
      </c>
      <c r="AW609" s="3">
        <v>46208.53701449134</v>
      </c>
    </row>
    <row r="610" spans="1:49" ht="16" hidden="1" x14ac:dyDescent="0.2">
      <c r="A610" t="s">
        <v>94</v>
      </c>
      <c r="B610">
        <v>14056</v>
      </c>
      <c r="C610">
        <v>1654</v>
      </c>
      <c r="D610" t="s">
        <v>188</v>
      </c>
      <c r="E610" t="s">
        <v>351</v>
      </c>
      <c r="F610">
        <v>262032</v>
      </c>
      <c r="G610" t="s">
        <v>793</v>
      </c>
      <c r="H610">
        <v>582145</v>
      </c>
      <c r="I610" t="s">
        <v>1547</v>
      </c>
      <c r="J610">
        <v>7311117723</v>
      </c>
      <c r="K610" t="s">
        <v>1835</v>
      </c>
      <c r="L610" t="s">
        <v>1850</v>
      </c>
      <c r="M610" s="1">
        <v>6</v>
      </c>
      <c r="N610" t="s">
        <v>23</v>
      </c>
      <c r="O610">
        <v>0</v>
      </c>
      <c r="P610" s="1">
        <v>0</v>
      </c>
      <c r="S610" s="6" t="str">
        <f t="shared" si="9"/>
        <v xml:space="preserve"> </v>
      </c>
      <c r="T610" s="6">
        <f>IF(IF(COUNTIF(H$2:$H610,H610)=1,1,"")=1,SUMIF($H$2:$H$7997,H610,$S$2:$S$7997),"")</f>
        <v>0</v>
      </c>
      <c r="W610">
        <v>0</v>
      </c>
      <c r="X610">
        <v>0</v>
      </c>
      <c r="Y610">
        <v>0</v>
      </c>
      <c r="Z610">
        <v>0</v>
      </c>
      <c r="AA610" s="2">
        <v>1</v>
      </c>
      <c r="AB610" s="2">
        <v>0</v>
      </c>
      <c r="AC610" s="2">
        <v>0</v>
      </c>
      <c r="AD610">
        <v>0</v>
      </c>
      <c r="AE610" t="s">
        <v>1862</v>
      </c>
      <c r="AF610">
        <v>12280.3</v>
      </c>
      <c r="AG610">
        <v>5583333</v>
      </c>
      <c r="AH610">
        <v>33500</v>
      </c>
      <c r="AI610" s="1" t="s">
        <v>351</v>
      </c>
      <c r="AJ610">
        <v>262032</v>
      </c>
      <c r="AK610" s="1" t="s">
        <v>1867</v>
      </c>
      <c r="AL610" t="s">
        <v>1973</v>
      </c>
      <c r="AN610" t="s">
        <v>2039</v>
      </c>
      <c r="AO610" t="s">
        <v>2067</v>
      </c>
      <c r="AP610" t="s">
        <v>2103</v>
      </c>
      <c r="AQ610">
        <v>128489</v>
      </c>
      <c r="AR610" s="3">
        <v>46203</v>
      </c>
      <c r="AS610" s="3">
        <v>46174</v>
      </c>
      <c r="AT610" s="3">
        <v>46222</v>
      </c>
      <c r="AU610" t="s">
        <v>2126</v>
      </c>
      <c r="AW610" s="3">
        <v>46208.53701449134</v>
      </c>
    </row>
    <row r="611" spans="1:49" ht="16" hidden="1" x14ac:dyDescent="0.2">
      <c r="A611" t="s">
        <v>94</v>
      </c>
      <c r="B611">
        <v>14056</v>
      </c>
      <c r="C611">
        <v>1654</v>
      </c>
      <c r="D611" t="s">
        <v>188</v>
      </c>
      <c r="E611" t="s">
        <v>351</v>
      </c>
      <c r="F611">
        <v>262032</v>
      </c>
      <c r="G611" t="s">
        <v>651</v>
      </c>
      <c r="H611">
        <v>582166</v>
      </c>
      <c r="I611" t="s">
        <v>1268</v>
      </c>
      <c r="J611">
        <v>94270208</v>
      </c>
      <c r="K611" t="s">
        <v>1839</v>
      </c>
      <c r="L611" t="s">
        <v>1850</v>
      </c>
      <c r="M611" s="1">
        <v>40</v>
      </c>
      <c r="N611" t="s">
        <v>23</v>
      </c>
      <c r="O611">
        <v>1920276</v>
      </c>
      <c r="P611" s="1">
        <v>76811.039999999994</v>
      </c>
      <c r="S611" s="6" t="str">
        <f t="shared" si="9"/>
        <v xml:space="preserve"> </v>
      </c>
      <c r="T611" s="6">
        <f>IF(IF(COUNTIF(H$2:$H611,H611)=1,1,"")=1,SUMIF($H$2:$H$7997,H611,$S$2:$S$7997),"")</f>
        <v>0</v>
      </c>
      <c r="W611">
        <v>1920276</v>
      </c>
      <c r="X611">
        <v>1920276</v>
      </c>
      <c r="Y611">
        <v>0</v>
      </c>
      <c r="Z611">
        <v>0</v>
      </c>
      <c r="AA611" s="2">
        <v>1</v>
      </c>
      <c r="AB611" s="2">
        <v>0</v>
      </c>
      <c r="AC611" s="2">
        <v>0</v>
      </c>
      <c r="AD611">
        <v>0</v>
      </c>
      <c r="AE611" t="s">
        <v>1862</v>
      </c>
      <c r="AF611">
        <v>37023.67</v>
      </c>
      <c r="AG611">
        <v>2889250</v>
      </c>
      <c r="AH611">
        <v>115570</v>
      </c>
      <c r="AI611" s="1" t="s">
        <v>351</v>
      </c>
      <c r="AJ611">
        <v>94270205</v>
      </c>
      <c r="AK611" s="1" t="s">
        <v>1867</v>
      </c>
      <c r="AL611" t="s">
        <v>1973</v>
      </c>
      <c r="AN611" t="s">
        <v>2039</v>
      </c>
      <c r="AO611" t="s">
        <v>2067</v>
      </c>
      <c r="AP611" t="s">
        <v>2094</v>
      </c>
      <c r="AQ611">
        <v>128489</v>
      </c>
      <c r="AR611" s="3">
        <v>46203</v>
      </c>
      <c r="AS611" s="3">
        <v>46174</v>
      </c>
      <c r="AT611" s="3">
        <v>46222</v>
      </c>
      <c r="AU611" t="s">
        <v>2124</v>
      </c>
      <c r="AW611" s="3">
        <v>46208.53701449134</v>
      </c>
    </row>
    <row r="612" spans="1:49" ht="16" hidden="1" x14ac:dyDescent="0.2">
      <c r="A612" t="s">
        <v>94</v>
      </c>
      <c r="B612">
        <v>14056</v>
      </c>
      <c r="C612">
        <v>1654</v>
      </c>
      <c r="D612" t="s">
        <v>188</v>
      </c>
      <c r="E612" t="s">
        <v>351</v>
      </c>
      <c r="F612">
        <v>262032</v>
      </c>
      <c r="G612" t="s">
        <v>651</v>
      </c>
      <c r="H612">
        <v>582166</v>
      </c>
      <c r="I612" t="s">
        <v>1269</v>
      </c>
      <c r="J612">
        <v>94270211</v>
      </c>
      <c r="K612" t="s">
        <v>1835</v>
      </c>
      <c r="L612" t="s">
        <v>1850</v>
      </c>
      <c r="M612" s="1">
        <v>40</v>
      </c>
      <c r="N612" t="s">
        <v>23</v>
      </c>
      <c r="O612">
        <v>842293</v>
      </c>
      <c r="P612" s="1">
        <v>33691.72</v>
      </c>
      <c r="S612" s="6" t="str">
        <f t="shared" si="9"/>
        <v xml:space="preserve"> </v>
      </c>
      <c r="T612" s="6" t="str">
        <f>IF(IF(COUNTIF(H$2:$H612,H612)=1,1,"")=1,SUMIF($H$2:$H$7997,H612,$S$2:$S$7997),"")</f>
        <v/>
      </c>
      <c r="W612">
        <v>842293</v>
      </c>
      <c r="X612">
        <v>842293</v>
      </c>
      <c r="Y612">
        <v>0</v>
      </c>
      <c r="Z612">
        <v>0</v>
      </c>
      <c r="AA612" s="2">
        <v>1</v>
      </c>
      <c r="AB612" s="2">
        <v>0</v>
      </c>
      <c r="AC612" s="2">
        <v>0</v>
      </c>
      <c r="AD612">
        <v>0</v>
      </c>
      <c r="AE612" t="s">
        <v>1862</v>
      </c>
      <c r="AF612">
        <v>15867.29</v>
      </c>
      <c r="AG612">
        <v>1238250</v>
      </c>
      <c r="AH612">
        <v>49530</v>
      </c>
      <c r="AI612" s="1" t="s">
        <v>351</v>
      </c>
      <c r="AJ612">
        <v>94270205</v>
      </c>
      <c r="AK612" s="1" t="s">
        <v>1867</v>
      </c>
      <c r="AL612" t="s">
        <v>1973</v>
      </c>
      <c r="AN612" t="s">
        <v>2039</v>
      </c>
      <c r="AO612" t="s">
        <v>2067</v>
      </c>
      <c r="AP612" t="s">
        <v>2092</v>
      </c>
      <c r="AQ612">
        <v>128489</v>
      </c>
      <c r="AR612" s="3">
        <v>46203</v>
      </c>
      <c r="AS612" s="3">
        <v>46174</v>
      </c>
      <c r="AT612" s="3">
        <v>46222</v>
      </c>
      <c r="AU612" t="s">
        <v>2123</v>
      </c>
      <c r="AW612" s="3">
        <v>46208.53701449134</v>
      </c>
    </row>
    <row r="613" spans="1:49" ht="16" hidden="1" x14ac:dyDescent="0.2">
      <c r="A613" t="s">
        <v>60</v>
      </c>
      <c r="B613">
        <v>10393</v>
      </c>
      <c r="C613">
        <v>14880</v>
      </c>
      <c r="D613" t="s">
        <v>123</v>
      </c>
      <c r="E613" t="s">
        <v>242</v>
      </c>
      <c r="F613">
        <v>264255</v>
      </c>
      <c r="G613" t="s">
        <v>455</v>
      </c>
      <c r="H613">
        <v>571990</v>
      </c>
      <c r="I613" t="s">
        <v>944</v>
      </c>
      <c r="J613">
        <v>92755703</v>
      </c>
      <c r="K613" t="s">
        <v>1836</v>
      </c>
      <c r="L613" t="s">
        <v>1850</v>
      </c>
      <c r="M613" s="1">
        <v>17.989999999999998</v>
      </c>
      <c r="N613" t="s">
        <v>1855</v>
      </c>
      <c r="O613">
        <v>1007313</v>
      </c>
      <c r="P613" s="1">
        <v>18121.560000000001</v>
      </c>
      <c r="S613" s="6" t="str">
        <f t="shared" si="9"/>
        <v xml:space="preserve"> </v>
      </c>
      <c r="T613" s="6">
        <f>IF(IF(COUNTIF(H$2:$H613,H613)=1,1,"")=1,SUMIF($H$2:$H$7997,H613,$S$2:$S$7997),"")</f>
        <v>0</v>
      </c>
      <c r="V613" t="s">
        <v>1860</v>
      </c>
      <c r="W613">
        <v>593281</v>
      </c>
      <c r="X613">
        <v>1007313</v>
      </c>
      <c r="Y613">
        <v>0</v>
      </c>
      <c r="Z613">
        <v>0</v>
      </c>
      <c r="AA613" s="2">
        <v>1</v>
      </c>
      <c r="AB613" s="2">
        <v>0</v>
      </c>
      <c r="AC613" s="2">
        <v>0</v>
      </c>
      <c r="AD613">
        <v>0</v>
      </c>
      <c r="AE613" t="s">
        <v>1862</v>
      </c>
      <c r="AF613">
        <v>9580.77</v>
      </c>
      <c r="AG613">
        <v>2390217</v>
      </c>
      <c r="AH613">
        <v>43000</v>
      </c>
      <c r="AI613" s="1" t="s">
        <v>242</v>
      </c>
      <c r="AJ613">
        <v>92755700</v>
      </c>
      <c r="AK613" s="1" t="s">
        <v>1868</v>
      </c>
      <c r="AL613" t="s">
        <v>1884</v>
      </c>
      <c r="AN613" t="s">
        <v>2050</v>
      </c>
      <c r="AO613" t="s">
        <v>2067</v>
      </c>
      <c r="AP613" t="s">
        <v>2074</v>
      </c>
      <c r="AQ613">
        <v>121331</v>
      </c>
      <c r="AR613" s="3">
        <v>46203</v>
      </c>
      <c r="AS613" s="3">
        <v>46111</v>
      </c>
      <c r="AT613" s="3">
        <v>46194</v>
      </c>
      <c r="AU613" t="s">
        <v>2124</v>
      </c>
      <c r="AW613" s="3">
        <v>46208.53701449134</v>
      </c>
    </row>
    <row r="614" spans="1:49" ht="16" hidden="1" x14ac:dyDescent="0.2">
      <c r="A614" t="s">
        <v>98</v>
      </c>
      <c r="B614">
        <v>21809</v>
      </c>
      <c r="C614">
        <v>1474</v>
      </c>
      <c r="D614" t="s">
        <v>197</v>
      </c>
      <c r="E614" t="s">
        <v>368</v>
      </c>
      <c r="F614">
        <v>270419</v>
      </c>
      <c r="G614" t="s">
        <v>687</v>
      </c>
      <c r="H614">
        <v>591512</v>
      </c>
      <c r="I614" t="s">
        <v>1333</v>
      </c>
      <c r="J614">
        <v>94332902</v>
      </c>
      <c r="K614" t="s">
        <v>1839</v>
      </c>
      <c r="L614" t="s">
        <v>1850</v>
      </c>
      <c r="M614" s="1">
        <v>44</v>
      </c>
      <c r="N614" t="s">
        <v>22</v>
      </c>
      <c r="O614">
        <v>2871860</v>
      </c>
      <c r="P614" s="1">
        <v>126361.84</v>
      </c>
      <c r="S614" s="6" t="str">
        <f t="shared" si="9"/>
        <v xml:space="preserve"> </v>
      </c>
      <c r="T614" s="6">
        <f>IF(IF(COUNTIF(H$2:$H614,H614)=1,1,"")=1,SUMIF($H$2:$H$7997,H614,$S$2:$S$7997),"")</f>
        <v>0</v>
      </c>
      <c r="W614">
        <v>2871860</v>
      </c>
      <c r="X614">
        <v>2871860</v>
      </c>
      <c r="Y614">
        <v>0</v>
      </c>
      <c r="Z614">
        <v>0</v>
      </c>
      <c r="AA614" s="2">
        <v>1</v>
      </c>
      <c r="AB614" s="2">
        <v>0</v>
      </c>
      <c r="AC614" s="2">
        <v>0</v>
      </c>
      <c r="AD614">
        <v>0</v>
      </c>
      <c r="AE614" t="s">
        <v>1865</v>
      </c>
      <c r="AF614">
        <v>62088.3</v>
      </c>
      <c r="AG614">
        <v>3977273</v>
      </c>
      <c r="AH614">
        <v>175000.01</v>
      </c>
      <c r="AI614" s="1" t="s">
        <v>368</v>
      </c>
      <c r="AJ614">
        <v>94332892</v>
      </c>
      <c r="AK614" s="1" t="s">
        <v>1867</v>
      </c>
      <c r="AL614" t="s">
        <v>1986</v>
      </c>
      <c r="AN614" t="s">
        <v>2042</v>
      </c>
      <c r="AO614" t="s">
        <v>2067</v>
      </c>
      <c r="AP614" t="s">
        <v>2094</v>
      </c>
      <c r="AQ614">
        <v>129814</v>
      </c>
      <c r="AR614" s="3">
        <v>46203</v>
      </c>
      <c r="AS614" s="3">
        <v>46174</v>
      </c>
      <c r="AT614" s="3">
        <v>46222</v>
      </c>
      <c r="AU614" t="s">
        <v>2124</v>
      </c>
      <c r="AW614" s="3">
        <v>46208.53701449134</v>
      </c>
    </row>
    <row r="615" spans="1:49" ht="16" hidden="1" x14ac:dyDescent="0.2">
      <c r="A615" t="s">
        <v>98</v>
      </c>
      <c r="B615">
        <v>21809</v>
      </c>
      <c r="C615">
        <v>1474</v>
      </c>
      <c r="D615" t="s">
        <v>197</v>
      </c>
      <c r="E615" t="s">
        <v>368</v>
      </c>
      <c r="F615">
        <v>270419</v>
      </c>
      <c r="G615" t="s">
        <v>687</v>
      </c>
      <c r="H615">
        <v>591512</v>
      </c>
      <c r="I615" t="s">
        <v>1334</v>
      </c>
      <c r="J615">
        <v>94332905</v>
      </c>
      <c r="K615" t="s">
        <v>1835</v>
      </c>
      <c r="L615" t="s">
        <v>1850</v>
      </c>
      <c r="M615" s="1">
        <v>44</v>
      </c>
      <c r="N615" t="s">
        <v>22</v>
      </c>
      <c r="O615">
        <v>1159848</v>
      </c>
      <c r="P615" s="1">
        <v>51033.31</v>
      </c>
      <c r="S615" s="6" t="str">
        <f t="shared" si="9"/>
        <v xml:space="preserve"> </v>
      </c>
      <c r="T615" s="6" t="str">
        <f>IF(IF(COUNTIF(H$2:$H615,H615)=1,1,"")=1,SUMIF($H$2:$H$7997,H615,$S$2:$S$7997),"")</f>
        <v/>
      </c>
      <c r="W615">
        <v>1159848</v>
      </c>
      <c r="X615">
        <v>1159848</v>
      </c>
      <c r="Y615">
        <v>0</v>
      </c>
      <c r="Z615">
        <v>0</v>
      </c>
      <c r="AA615" s="2">
        <v>1</v>
      </c>
      <c r="AB615" s="2">
        <v>0</v>
      </c>
      <c r="AC615" s="2">
        <v>0</v>
      </c>
      <c r="AD615">
        <v>0</v>
      </c>
      <c r="AE615" t="s">
        <v>1865</v>
      </c>
      <c r="AF615">
        <v>26609.279999999999</v>
      </c>
      <c r="AG615">
        <v>1704546</v>
      </c>
      <c r="AH615">
        <v>75000.02</v>
      </c>
      <c r="AI615" s="1" t="s">
        <v>368</v>
      </c>
      <c r="AJ615">
        <v>94332892</v>
      </c>
      <c r="AK615" s="1" t="s">
        <v>1867</v>
      </c>
      <c r="AL615" t="s">
        <v>1986</v>
      </c>
      <c r="AN615" t="s">
        <v>2042</v>
      </c>
      <c r="AO615" t="s">
        <v>2067</v>
      </c>
      <c r="AP615" t="s">
        <v>2092</v>
      </c>
      <c r="AQ615">
        <v>129814</v>
      </c>
      <c r="AR615" s="3">
        <v>46203</v>
      </c>
      <c r="AS615" s="3">
        <v>46174</v>
      </c>
      <c r="AT615" s="3">
        <v>46222</v>
      </c>
      <c r="AU615" t="s">
        <v>2123</v>
      </c>
      <c r="AW615" s="3">
        <v>46208.53701449134</v>
      </c>
    </row>
    <row r="616" spans="1:49" ht="16" hidden="1" x14ac:dyDescent="0.2">
      <c r="A616" t="s">
        <v>98</v>
      </c>
      <c r="B616">
        <v>21809</v>
      </c>
      <c r="C616">
        <v>1474</v>
      </c>
      <c r="D616" t="s">
        <v>197</v>
      </c>
      <c r="E616" t="s">
        <v>368</v>
      </c>
      <c r="F616">
        <v>270419</v>
      </c>
      <c r="G616" t="s">
        <v>686</v>
      </c>
      <c r="H616">
        <v>591523</v>
      </c>
      <c r="I616" t="s">
        <v>1332</v>
      </c>
      <c r="J616">
        <v>94332899</v>
      </c>
      <c r="K616" t="s">
        <v>1839</v>
      </c>
      <c r="L616" t="s">
        <v>1850</v>
      </c>
      <c r="M616" s="1">
        <v>23</v>
      </c>
      <c r="N616" t="s">
        <v>1859</v>
      </c>
      <c r="O616">
        <v>451277</v>
      </c>
      <c r="P616" s="1">
        <v>10379.370000000001</v>
      </c>
      <c r="S616" s="6" t="str">
        <f t="shared" si="9"/>
        <v xml:space="preserve"> </v>
      </c>
      <c r="T616" s="6">
        <f>IF(IF(COUNTIF(H$2:$H616,H616)=1,1,"")=1,SUMIF($H$2:$H$7997,H616,$S$2:$S$7997),"")</f>
        <v>0</v>
      </c>
      <c r="W616">
        <v>451277</v>
      </c>
      <c r="X616">
        <v>451277</v>
      </c>
      <c r="Y616">
        <v>0</v>
      </c>
      <c r="Z616">
        <v>0</v>
      </c>
      <c r="AA616" s="2">
        <v>1</v>
      </c>
      <c r="AB616" s="2">
        <v>0</v>
      </c>
      <c r="AC616" s="2">
        <v>0</v>
      </c>
      <c r="AD616">
        <v>0</v>
      </c>
      <c r="AE616" t="s">
        <v>1865</v>
      </c>
      <c r="AF616">
        <v>5146.37</v>
      </c>
      <c r="AG616">
        <v>652174</v>
      </c>
      <c r="AH616">
        <v>15000</v>
      </c>
      <c r="AI616" s="1" t="s">
        <v>368</v>
      </c>
      <c r="AJ616">
        <v>94332892</v>
      </c>
      <c r="AK616" s="1" t="s">
        <v>1868</v>
      </c>
      <c r="AL616" t="s">
        <v>1986</v>
      </c>
      <c r="AN616" t="s">
        <v>2042</v>
      </c>
      <c r="AO616" t="s">
        <v>2067</v>
      </c>
      <c r="AP616" t="s">
        <v>2093</v>
      </c>
      <c r="AQ616">
        <v>129814</v>
      </c>
      <c r="AR616" s="3">
        <v>46203</v>
      </c>
      <c r="AS616" s="3">
        <v>46174</v>
      </c>
      <c r="AT616" s="3">
        <v>46222</v>
      </c>
      <c r="AU616" t="s">
        <v>2124</v>
      </c>
      <c r="AW616" s="3">
        <v>46208.53701449134</v>
      </c>
    </row>
    <row r="617" spans="1:49" ht="16" hidden="1" x14ac:dyDescent="0.2">
      <c r="A617" t="s">
        <v>98</v>
      </c>
      <c r="B617">
        <v>21809</v>
      </c>
      <c r="C617">
        <v>1474</v>
      </c>
      <c r="D617" t="s">
        <v>197</v>
      </c>
      <c r="E617" t="s">
        <v>368</v>
      </c>
      <c r="F617">
        <v>270419</v>
      </c>
      <c r="G617" t="s">
        <v>686</v>
      </c>
      <c r="H617">
        <v>591523</v>
      </c>
      <c r="I617" t="s">
        <v>1331</v>
      </c>
      <c r="J617">
        <v>94332895</v>
      </c>
      <c r="K617" t="s">
        <v>1840</v>
      </c>
      <c r="L617" t="s">
        <v>1850</v>
      </c>
      <c r="M617" s="1">
        <v>23</v>
      </c>
      <c r="N617" t="s">
        <v>1859</v>
      </c>
      <c r="O617">
        <v>294574</v>
      </c>
      <c r="P617" s="1">
        <v>6775.2</v>
      </c>
      <c r="S617" s="6" t="str">
        <f t="shared" si="9"/>
        <v xml:space="preserve"> </v>
      </c>
      <c r="T617" s="6" t="str">
        <f>IF(IF(COUNTIF(H$2:$H617,H617)=1,1,"")=1,SUMIF($H$2:$H$7997,H617,$S$2:$S$7997),"")</f>
        <v/>
      </c>
      <c r="W617">
        <v>294574</v>
      </c>
      <c r="X617">
        <v>294574</v>
      </c>
      <c r="Y617">
        <v>0</v>
      </c>
      <c r="Z617">
        <v>0</v>
      </c>
      <c r="AA617" s="2">
        <v>1</v>
      </c>
      <c r="AB617" s="2">
        <v>0</v>
      </c>
      <c r="AC617" s="2">
        <v>0</v>
      </c>
      <c r="AD617">
        <v>0</v>
      </c>
      <c r="AE617" t="s">
        <v>1865</v>
      </c>
      <c r="AF617">
        <v>3430.92</v>
      </c>
      <c r="AG617">
        <v>434783</v>
      </c>
      <c r="AH617">
        <v>10000.01</v>
      </c>
      <c r="AI617" s="1" t="s">
        <v>368</v>
      </c>
      <c r="AJ617">
        <v>94332892</v>
      </c>
      <c r="AK617" s="1" t="s">
        <v>1868</v>
      </c>
      <c r="AL617" t="s">
        <v>1986</v>
      </c>
      <c r="AN617" t="s">
        <v>2042</v>
      </c>
      <c r="AO617" t="s">
        <v>2067</v>
      </c>
      <c r="AP617" t="s">
        <v>2083</v>
      </c>
      <c r="AQ617">
        <v>129814</v>
      </c>
      <c r="AR617" s="3">
        <v>46203</v>
      </c>
      <c r="AS617" s="3">
        <v>46174</v>
      </c>
      <c r="AT617" s="3">
        <v>46222</v>
      </c>
      <c r="AU617" t="s">
        <v>2123</v>
      </c>
      <c r="AW617" s="3">
        <v>46208.53701449134</v>
      </c>
    </row>
    <row r="618" spans="1:49" ht="16" hidden="1" x14ac:dyDescent="0.2">
      <c r="A618" t="s">
        <v>98</v>
      </c>
      <c r="B618">
        <v>21809</v>
      </c>
      <c r="C618">
        <v>1474</v>
      </c>
      <c r="D618" t="s">
        <v>197</v>
      </c>
      <c r="E618" t="s">
        <v>368</v>
      </c>
      <c r="F618">
        <v>270419</v>
      </c>
      <c r="G618" t="s">
        <v>915</v>
      </c>
      <c r="H618">
        <v>591534</v>
      </c>
      <c r="I618" t="s">
        <v>915</v>
      </c>
      <c r="J618">
        <v>591534</v>
      </c>
      <c r="K618" t="s">
        <v>1849</v>
      </c>
      <c r="L618" t="s">
        <v>1851</v>
      </c>
      <c r="M618" s="1">
        <v>2000000</v>
      </c>
      <c r="N618" t="s">
        <v>1858</v>
      </c>
      <c r="O618">
        <v>0</v>
      </c>
      <c r="P618" s="1">
        <v>1224489.8</v>
      </c>
      <c r="S618" s="6" t="str">
        <f t="shared" si="9"/>
        <v xml:space="preserve"> </v>
      </c>
      <c r="T618" s="6">
        <f>IF(IF(COUNTIF(H$2:$H618,H618)=1,1,"")=1,SUMIF($H$2:$H$7997,H618,$S$2:$S$7997),"")</f>
        <v>0</v>
      </c>
      <c r="W618">
        <v>0</v>
      </c>
      <c r="X618">
        <v>0</v>
      </c>
      <c r="Y618">
        <v>0</v>
      </c>
      <c r="Z618">
        <v>0</v>
      </c>
      <c r="AA618" s="2">
        <v>1</v>
      </c>
      <c r="AB618" s="2">
        <v>0</v>
      </c>
      <c r="AC618" s="2">
        <v>0</v>
      </c>
      <c r="AD618">
        <v>0</v>
      </c>
      <c r="AE618" t="s">
        <v>1863</v>
      </c>
      <c r="AF618">
        <v>1224489.8</v>
      </c>
      <c r="AG618">
        <v>0</v>
      </c>
      <c r="AH618">
        <v>2000000</v>
      </c>
      <c r="AI618" s="1" t="s">
        <v>368</v>
      </c>
      <c r="AJ618">
        <v>270419</v>
      </c>
      <c r="AK618" s="1" t="s">
        <v>1867</v>
      </c>
      <c r="AL618" t="s">
        <v>1986</v>
      </c>
      <c r="AN618" t="s">
        <v>2042</v>
      </c>
      <c r="AO618" t="s">
        <v>2067</v>
      </c>
      <c r="AP618" t="s">
        <v>2121</v>
      </c>
      <c r="AQ618">
        <v>129814</v>
      </c>
      <c r="AR618" s="3">
        <v>46203</v>
      </c>
      <c r="AS618" s="3">
        <v>46174</v>
      </c>
      <c r="AT618" s="3">
        <v>46222</v>
      </c>
      <c r="AU618" t="s">
        <v>2132</v>
      </c>
      <c r="AW618" s="3">
        <v>46208.53701449134</v>
      </c>
    </row>
    <row r="619" spans="1:49" ht="16" hidden="1" x14ac:dyDescent="0.2">
      <c r="A619" t="s">
        <v>72</v>
      </c>
      <c r="B619">
        <v>22519</v>
      </c>
      <c r="C619">
        <v>6769</v>
      </c>
      <c r="D619" t="s">
        <v>72</v>
      </c>
      <c r="E619" t="s">
        <v>262</v>
      </c>
      <c r="F619">
        <v>257663</v>
      </c>
      <c r="G619" t="s">
        <v>486</v>
      </c>
      <c r="H619">
        <v>549806</v>
      </c>
      <c r="I619" t="s">
        <v>486</v>
      </c>
      <c r="J619">
        <v>93250847</v>
      </c>
      <c r="K619" t="s">
        <v>1842</v>
      </c>
      <c r="L619" t="s">
        <v>1850</v>
      </c>
      <c r="M619" s="1">
        <v>20.9</v>
      </c>
      <c r="N619" t="s">
        <v>1853</v>
      </c>
      <c r="O619">
        <v>6874444</v>
      </c>
      <c r="P619" s="1">
        <v>143675.88</v>
      </c>
      <c r="S619" s="6" t="str">
        <f t="shared" si="9"/>
        <v xml:space="preserve"> </v>
      </c>
      <c r="T619" s="6">
        <f>IF(IF(COUNTIF(H$2:$H619,H619)=1,1,"")=1,SUMIF($H$2:$H$7997,H619,$S$2:$S$7997),"")</f>
        <v>0</v>
      </c>
      <c r="V619" t="s">
        <v>1860</v>
      </c>
      <c r="W619">
        <v>2527199</v>
      </c>
      <c r="X619">
        <v>5719195</v>
      </c>
      <c r="Y619">
        <v>3037680</v>
      </c>
      <c r="Z619">
        <v>6874444</v>
      </c>
      <c r="AA619" s="2">
        <v>1</v>
      </c>
      <c r="AB619" s="2">
        <v>1.201995111734296</v>
      </c>
      <c r="AC619" s="2">
        <v>0</v>
      </c>
      <c r="AD619">
        <v>0</v>
      </c>
      <c r="AE619" t="s">
        <v>1862</v>
      </c>
      <c r="AF619">
        <v>65375.14</v>
      </c>
      <c r="AG619">
        <v>17000000</v>
      </c>
      <c r="AH619">
        <v>355300</v>
      </c>
      <c r="AI619" s="1" t="s">
        <v>262</v>
      </c>
      <c r="AJ619">
        <v>93250844</v>
      </c>
      <c r="AK619" s="1" t="s">
        <v>1867</v>
      </c>
      <c r="AL619" t="s">
        <v>1900</v>
      </c>
      <c r="AN619" t="s">
        <v>2053</v>
      </c>
      <c r="AO619" t="s">
        <v>2067</v>
      </c>
      <c r="AP619" t="s">
        <v>2095</v>
      </c>
      <c r="AQ619">
        <v>125024</v>
      </c>
      <c r="AR619" s="3">
        <v>46203</v>
      </c>
      <c r="AS619" s="3">
        <v>46113</v>
      </c>
      <c r="AT619" s="3">
        <v>46207</v>
      </c>
      <c r="AU619" t="s">
        <v>2124</v>
      </c>
      <c r="AW619" s="3">
        <v>46208.53701449134</v>
      </c>
    </row>
    <row r="620" spans="1:49" ht="16" hidden="1" x14ac:dyDescent="0.2">
      <c r="A620" t="s">
        <v>72</v>
      </c>
      <c r="B620">
        <v>22519</v>
      </c>
      <c r="C620">
        <v>6769</v>
      </c>
      <c r="D620" t="s">
        <v>72</v>
      </c>
      <c r="E620" t="s">
        <v>262</v>
      </c>
      <c r="F620">
        <v>257663</v>
      </c>
      <c r="G620" t="s">
        <v>487</v>
      </c>
      <c r="H620">
        <v>582762</v>
      </c>
      <c r="I620" t="s">
        <v>487</v>
      </c>
      <c r="J620">
        <v>93250867</v>
      </c>
      <c r="K620" t="s">
        <v>1836</v>
      </c>
      <c r="L620" t="s">
        <v>1850</v>
      </c>
      <c r="M620" s="1">
        <v>38</v>
      </c>
      <c r="N620" t="s">
        <v>1856</v>
      </c>
      <c r="O620">
        <v>1770027</v>
      </c>
      <c r="P620" s="1">
        <v>67261.05</v>
      </c>
      <c r="S620" s="6" t="str">
        <f t="shared" si="9"/>
        <v xml:space="preserve"> </v>
      </c>
      <c r="T620" s="6">
        <f>IF(IF(COUNTIF(H$2:$H620,H620)=1,1,"")=1,SUMIF($H$2:$H$7997,H620,$S$2:$S$7997),"")</f>
        <v>0</v>
      </c>
      <c r="W620">
        <v>1475023</v>
      </c>
      <c r="X620">
        <v>1475023</v>
      </c>
      <c r="Y620">
        <v>1770027</v>
      </c>
      <c r="Z620">
        <v>1770027</v>
      </c>
      <c r="AA620" s="2">
        <v>1</v>
      </c>
      <c r="AB620" s="2">
        <v>1.2</v>
      </c>
      <c r="AC620" s="2">
        <v>0</v>
      </c>
      <c r="AD620">
        <v>0</v>
      </c>
      <c r="AE620" t="s">
        <v>1862</v>
      </c>
      <c r="AF620">
        <v>71259.199999999997</v>
      </c>
      <c r="AG620">
        <v>2689474</v>
      </c>
      <c r="AH620">
        <v>102200.01</v>
      </c>
      <c r="AI620" s="1" t="s">
        <v>262</v>
      </c>
      <c r="AJ620">
        <v>93250844</v>
      </c>
      <c r="AK620" s="1" t="s">
        <v>1867</v>
      </c>
      <c r="AL620" t="s">
        <v>1900</v>
      </c>
      <c r="AN620" t="s">
        <v>2053</v>
      </c>
      <c r="AO620" t="s">
        <v>2067</v>
      </c>
      <c r="AP620" t="s">
        <v>2096</v>
      </c>
      <c r="AQ620">
        <v>125024</v>
      </c>
      <c r="AR620" s="3">
        <v>46203</v>
      </c>
      <c r="AS620" s="3">
        <v>46180</v>
      </c>
      <c r="AT620" s="3">
        <v>46218</v>
      </c>
      <c r="AU620" t="s">
        <v>2124</v>
      </c>
      <c r="AW620" s="3">
        <v>46208.53701449134</v>
      </c>
    </row>
    <row r="621" spans="1:49" ht="16" hidden="1" x14ac:dyDescent="0.2">
      <c r="A621" t="s">
        <v>96</v>
      </c>
      <c r="B621">
        <v>20214</v>
      </c>
      <c r="C621">
        <v>7615</v>
      </c>
      <c r="D621" t="s">
        <v>193</v>
      </c>
      <c r="E621" t="s">
        <v>361</v>
      </c>
      <c r="F621">
        <v>264071</v>
      </c>
      <c r="G621" t="s">
        <v>665</v>
      </c>
      <c r="H621">
        <v>587304</v>
      </c>
      <c r="I621" t="s">
        <v>665</v>
      </c>
      <c r="J621">
        <v>94301372</v>
      </c>
      <c r="K621" t="s">
        <v>1836</v>
      </c>
      <c r="L621" t="s">
        <v>1850</v>
      </c>
      <c r="M621" s="1">
        <v>30</v>
      </c>
      <c r="N621" t="s">
        <v>1856</v>
      </c>
      <c r="O621">
        <v>9251914</v>
      </c>
      <c r="P621" s="1">
        <v>277557.44</v>
      </c>
      <c r="S621" s="6" t="str">
        <f t="shared" si="9"/>
        <v xml:space="preserve"> </v>
      </c>
      <c r="T621" s="6">
        <f>IF(IF(COUNTIF(H$2:$H621,H621)=1,1,"")=1,SUMIF($H$2:$H$7997,H621,$S$2:$S$7997),"")</f>
        <v>0</v>
      </c>
      <c r="V621" t="s">
        <v>1860</v>
      </c>
      <c r="W621">
        <v>7709929</v>
      </c>
      <c r="X621">
        <v>7709929</v>
      </c>
      <c r="Y621">
        <v>9251914</v>
      </c>
      <c r="Z621">
        <v>9251914</v>
      </c>
      <c r="AA621" s="2">
        <v>1</v>
      </c>
      <c r="AB621" s="2">
        <v>1.2</v>
      </c>
      <c r="AC621" s="2">
        <v>0</v>
      </c>
      <c r="AD621">
        <v>0</v>
      </c>
      <c r="AE621" t="s">
        <v>1862</v>
      </c>
      <c r="AF621">
        <v>296214.69</v>
      </c>
      <c r="AG621">
        <v>10000000</v>
      </c>
      <c r="AH621">
        <v>300000</v>
      </c>
      <c r="AI621" s="1" t="s">
        <v>361</v>
      </c>
      <c r="AJ621">
        <v>94301358</v>
      </c>
      <c r="AK621" s="1" t="s">
        <v>1867</v>
      </c>
      <c r="AL621">
        <v>33819</v>
      </c>
      <c r="AN621" t="s">
        <v>2062</v>
      </c>
      <c r="AO621" t="s">
        <v>2067</v>
      </c>
      <c r="AP621" t="s">
        <v>2096</v>
      </c>
      <c r="AQ621">
        <v>129536</v>
      </c>
      <c r="AR621" s="3">
        <v>46203</v>
      </c>
      <c r="AS621" s="3">
        <v>46176</v>
      </c>
      <c r="AT621" s="3">
        <v>46208</v>
      </c>
      <c r="AU621" t="s">
        <v>2124</v>
      </c>
      <c r="AW621" s="3">
        <v>46208.53701449134</v>
      </c>
    </row>
    <row r="622" spans="1:49" ht="16" hidden="1" x14ac:dyDescent="0.2">
      <c r="A622" t="s">
        <v>96</v>
      </c>
      <c r="B622">
        <v>20214</v>
      </c>
      <c r="C622">
        <v>7615</v>
      </c>
      <c r="D622" t="s">
        <v>193</v>
      </c>
      <c r="E622" t="s">
        <v>361</v>
      </c>
      <c r="F622">
        <v>264071</v>
      </c>
      <c r="G622" t="s">
        <v>664</v>
      </c>
      <c r="H622">
        <v>587311</v>
      </c>
      <c r="I622" t="s">
        <v>1292</v>
      </c>
      <c r="J622">
        <v>94301361</v>
      </c>
      <c r="K622" t="s">
        <v>1836</v>
      </c>
      <c r="L622" t="s">
        <v>1850</v>
      </c>
      <c r="M622" s="1">
        <v>18</v>
      </c>
      <c r="N622" t="s">
        <v>1853</v>
      </c>
      <c r="O622">
        <v>2400711</v>
      </c>
      <c r="P622" s="1">
        <v>43212.800000000003</v>
      </c>
      <c r="S622" s="6" t="str">
        <f t="shared" si="9"/>
        <v xml:space="preserve"> </v>
      </c>
      <c r="T622" s="6">
        <f>IF(IF(COUNTIF(H$2:$H622,H622)=1,1,"")=1,SUMIF($H$2:$H$7997,H622,$S$2:$S$7997),"")</f>
        <v>0</v>
      </c>
      <c r="W622">
        <v>1956897</v>
      </c>
      <c r="X622">
        <v>1956897</v>
      </c>
      <c r="Y622">
        <v>2400711</v>
      </c>
      <c r="Z622">
        <v>2400711</v>
      </c>
      <c r="AA622" s="2">
        <v>1</v>
      </c>
      <c r="AB622" s="2">
        <v>1.2267948913953961</v>
      </c>
      <c r="AC622" s="2">
        <v>0</v>
      </c>
      <c r="AD622">
        <v>0</v>
      </c>
      <c r="AE622" t="s">
        <v>1862</v>
      </c>
      <c r="AF622">
        <v>37932.879999999997</v>
      </c>
      <c r="AG622">
        <v>2777778</v>
      </c>
      <c r="AH622">
        <v>50000</v>
      </c>
      <c r="AI622" s="1" t="s">
        <v>361</v>
      </c>
      <c r="AJ622">
        <v>94301358</v>
      </c>
      <c r="AK622" s="1" t="s">
        <v>1867</v>
      </c>
      <c r="AL622">
        <v>33819</v>
      </c>
      <c r="AN622" t="s">
        <v>2062</v>
      </c>
      <c r="AO622" t="s">
        <v>2067</v>
      </c>
      <c r="AP622" t="s">
        <v>2074</v>
      </c>
      <c r="AQ622">
        <v>129536</v>
      </c>
      <c r="AR622" s="3">
        <v>46203</v>
      </c>
      <c r="AS622" s="3">
        <v>46176</v>
      </c>
      <c r="AT622" s="3">
        <v>46208</v>
      </c>
      <c r="AU622" t="s">
        <v>2124</v>
      </c>
      <c r="AW622" s="3">
        <v>46208.53701449134</v>
      </c>
    </row>
    <row r="623" spans="1:49" ht="16" hidden="1" x14ac:dyDescent="0.2">
      <c r="A623" t="s">
        <v>73</v>
      </c>
      <c r="B623">
        <v>17758</v>
      </c>
      <c r="C623">
        <v>23408</v>
      </c>
      <c r="D623" t="s">
        <v>137</v>
      </c>
      <c r="E623" t="s">
        <v>265</v>
      </c>
      <c r="F623">
        <v>267453</v>
      </c>
      <c r="G623" t="s">
        <v>494</v>
      </c>
      <c r="H623">
        <v>583709</v>
      </c>
      <c r="I623" t="s">
        <v>991</v>
      </c>
      <c r="J623">
        <v>93464086</v>
      </c>
      <c r="K623" t="s">
        <v>1835</v>
      </c>
      <c r="L623" t="s">
        <v>1850</v>
      </c>
      <c r="M623" s="1">
        <v>25</v>
      </c>
      <c r="N623" t="s">
        <v>1853</v>
      </c>
      <c r="O623">
        <v>1130179</v>
      </c>
      <c r="P623" s="1">
        <v>28254.47</v>
      </c>
      <c r="S623" s="6" t="str">
        <f t="shared" si="9"/>
        <v xml:space="preserve"> </v>
      </c>
      <c r="T623" s="6">
        <f>IF(IF(COUNTIF(H$2:$H623,H623)=1,1,"")=1,SUMIF($H$2:$H$7997,H623,$S$2:$S$7997),"")</f>
        <v>0</v>
      </c>
      <c r="W623">
        <v>820491</v>
      </c>
      <c r="X623">
        <v>961455</v>
      </c>
      <c r="Y623">
        <v>964478</v>
      </c>
      <c r="Z623">
        <v>1130179</v>
      </c>
      <c r="AA623" s="2">
        <v>1</v>
      </c>
      <c r="AB623" s="2">
        <v>1.1754889886945159</v>
      </c>
      <c r="AC623" s="2">
        <v>0</v>
      </c>
      <c r="AD623">
        <v>0</v>
      </c>
      <c r="AE623" t="s">
        <v>1862</v>
      </c>
      <c r="AF623">
        <v>12507.86</v>
      </c>
      <c r="AG623">
        <v>7200000</v>
      </c>
      <c r="AH623">
        <v>180000</v>
      </c>
      <c r="AI623" s="1" t="s">
        <v>265</v>
      </c>
      <c r="AJ623">
        <v>93464083</v>
      </c>
      <c r="AK623" s="1" t="s">
        <v>1867</v>
      </c>
      <c r="AL623" t="s">
        <v>1903</v>
      </c>
      <c r="AN623" t="s">
        <v>2056</v>
      </c>
      <c r="AO623" t="s">
        <v>2067</v>
      </c>
      <c r="AP623" t="s">
        <v>2091</v>
      </c>
      <c r="AQ623">
        <v>126124</v>
      </c>
      <c r="AR623" s="3">
        <v>46203</v>
      </c>
      <c r="AS623" s="3">
        <v>46132</v>
      </c>
      <c r="AT623" s="3">
        <v>46265</v>
      </c>
      <c r="AU623" t="s">
        <v>2123</v>
      </c>
      <c r="AW623" s="3">
        <v>46208.53701449134</v>
      </c>
    </row>
    <row r="624" spans="1:49" ht="16" hidden="1" x14ac:dyDescent="0.2">
      <c r="A624" t="s">
        <v>73</v>
      </c>
      <c r="B624">
        <v>17758</v>
      </c>
      <c r="C624">
        <v>23408</v>
      </c>
      <c r="D624" t="s">
        <v>137</v>
      </c>
      <c r="E624" t="s">
        <v>265</v>
      </c>
      <c r="F624">
        <v>267453</v>
      </c>
      <c r="G624" t="s">
        <v>774</v>
      </c>
      <c r="H624">
        <v>583729</v>
      </c>
      <c r="I624" t="s">
        <v>1510</v>
      </c>
      <c r="J624">
        <v>7285327085</v>
      </c>
      <c r="K624" t="s">
        <v>1835</v>
      </c>
      <c r="L624" t="s">
        <v>1850</v>
      </c>
      <c r="M624" s="1">
        <v>4</v>
      </c>
      <c r="N624" t="s">
        <v>23</v>
      </c>
      <c r="O624">
        <v>0</v>
      </c>
      <c r="P624" s="1">
        <v>0</v>
      </c>
      <c r="S624" s="6" t="str">
        <f t="shared" si="9"/>
        <v xml:space="preserve"> </v>
      </c>
      <c r="T624" s="6">
        <f>IF(IF(COUNTIF(H$2:$H624,H624)=1,1,"")=1,SUMIF($H$2:$H$7997,H624,$S$2:$S$7997),"")</f>
        <v>0</v>
      </c>
      <c r="W624">
        <v>0</v>
      </c>
      <c r="X624">
        <v>0</v>
      </c>
      <c r="Y624">
        <v>0</v>
      </c>
      <c r="Z624">
        <v>0</v>
      </c>
      <c r="AA624" s="2">
        <v>1</v>
      </c>
      <c r="AB624" s="2">
        <v>0</v>
      </c>
      <c r="AC624" s="2">
        <v>0</v>
      </c>
      <c r="AD624">
        <v>0</v>
      </c>
      <c r="AE624" t="s">
        <v>1862</v>
      </c>
      <c r="AF624">
        <v>12383.63</v>
      </c>
      <c r="AG624">
        <v>26250000</v>
      </c>
      <c r="AH624">
        <v>105000</v>
      </c>
      <c r="AI624" s="1" t="s">
        <v>265</v>
      </c>
      <c r="AJ624">
        <v>267453</v>
      </c>
      <c r="AK624" s="1" t="s">
        <v>1867</v>
      </c>
      <c r="AL624" t="s">
        <v>1903</v>
      </c>
      <c r="AN624" t="s">
        <v>2056</v>
      </c>
      <c r="AO624" t="s">
        <v>2067</v>
      </c>
      <c r="AP624" t="s">
        <v>2102</v>
      </c>
      <c r="AQ624">
        <v>126124</v>
      </c>
      <c r="AR624" s="3">
        <v>46203</v>
      </c>
      <c r="AS624" s="3">
        <v>46132</v>
      </c>
      <c r="AT624" s="3">
        <v>46265</v>
      </c>
      <c r="AU624" t="s">
        <v>2126</v>
      </c>
      <c r="AW624" s="3">
        <v>46208.53701449134</v>
      </c>
    </row>
    <row r="625" spans="1:49" ht="16" hidden="1" x14ac:dyDescent="0.2">
      <c r="A625" t="s">
        <v>51</v>
      </c>
      <c r="B625">
        <v>10764</v>
      </c>
      <c r="C625">
        <v>8880</v>
      </c>
      <c r="D625" t="s">
        <v>114</v>
      </c>
      <c r="E625" t="s">
        <v>227</v>
      </c>
      <c r="F625">
        <v>252733</v>
      </c>
      <c r="G625" t="s">
        <v>438</v>
      </c>
      <c r="H625">
        <v>539627</v>
      </c>
      <c r="I625" t="s">
        <v>922</v>
      </c>
      <c r="J625">
        <v>88355206</v>
      </c>
      <c r="K625" t="s">
        <v>1836</v>
      </c>
      <c r="L625" t="s">
        <v>1850</v>
      </c>
      <c r="M625" s="1">
        <v>17</v>
      </c>
      <c r="N625" t="s">
        <v>1853</v>
      </c>
      <c r="O625">
        <v>2004508</v>
      </c>
      <c r="P625" s="1">
        <v>34076.639999999999</v>
      </c>
      <c r="S625" s="6" t="str">
        <f t="shared" si="9"/>
        <v xml:space="preserve"> </v>
      </c>
      <c r="T625" s="6">
        <f>IF(IF(COUNTIF(H$2:$H625,H625)=1,1,"")=1,SUMIF($H$2:$H$7997,H625,$S$2:$S$7997),"")</f>
        <v>0</v>
      </c>
      <c r="W625">
        <v>1200250</v>
      </c>
      <c r="X625">
        <v>1505460</v>
      </c>
      <c r="Y625">
        <v>1598123</v>
      </c>
      <c r="Z625">
        <v>2004508</v>
      </c>
      <c r="AA625" s="2">
        <v>1</v>
      </c>
      <c r="AB625" s="2">
        <v>1.3314922919258849</v>
      </c>
      <c r="AC625" s="2">
        <v>0</v>
      </c>
      <c r="AD625">
        <v>0</v>
      </c>
      <c r="AE625" t="s">
        <v>1862</v>
      </c>
      <c r="AF625">
        <v>27926.83</v>
      </c>
      <c r="AG625">
        <v>6900000</v>
      </c>
      <c r="AH625">
        <v>117300</v>
      </c>
      <c r="AI625" s="1" t="s">
        <v>227</v>
      </c>
      <c r="AJ625">
        <v>88354740</v>
      </c>
      <c r="AK625" s="1" t="s">
        <v>1867</v>
      </c>
      <c r="AL625" t="s">
        <v>1876</v>
      </c>
      <c r="AN625" t="s">
        <v>2042</v>
      </c>
      <c r="AO625" t="s">
        <v>2067</v>
      </c>
      <c r="AP625" t="s">
        <v>2072</v>
      </c>
      <c r="AQ625">
        <v>93047</v>
      </c>
      <c r="AR625" s="3">
        <v>46203</v>
      </c>
      <c r="AS625" s="3">
        <v>46113</v>
      </c>
      <c r="AT625" s="3">
        <v>46203</v>
      </c>
      <c r="AU625" t="s">
        <v>2124</v>
      </c>
      <c r="AW625" s="3">
        <v>46208.53701449134</v>
      </c>
    </row>
    <row r="626" spans="1:49" ht="16" hidden="1" x14ac:dyDescent="0.2">
      <c r="A626" t="s">
        <v>51</v>
      </c>
      <c r="B626">
        <v>10764</v>
      </c>
      <c r="C626">
        <v>8880</v>
      </c>
      <c r="D626" t="s">
        <v>114</v>
      </c>
      <c r="E626" t="s">
        <v>227</v>
      </c>
      <c r="F626">
        <v>252733</v>
      </c>
      <c r="G626" t="s">
        <v>438</v>
      </c>
      <c r="H626">
        <v>539627</v>
      </c>
      <c r="I626" t="s">
        <v>921</v>
      </c>
      <c r="J626">
        <v>88355087</v>
      </c>
      <c r="K626" t="s">
        <v>1836</v>
      </c>
      <c r="L626" t="s">
        <v>1850</v>
      </c>
      <c r="M626" s="1">
        <v>17</v>
      </c>
      <c r="N626" t="s">
        <v>23</v>
      </c>
      <c r="O626">
        <v>176708</v>
      </c>
      <c r="P626" s="1">
        <v>3004.04</v>
      </c>
      <c r="S626" s="6" t="str">
        <f t="shared" si="9"/>
        <v xml:space="preserve"> </v>
      </c>
      <c r="T626" s="6" t="str">
        <f>IF(IF(COUNTIF(H$2:$H626,H626)=1,1,"")=1,SUMIF($H$2:$H$7997,H626,$S$2:$S$7997),"")</f>
        <v/>
      </c>
      <c r="W626">
        <v>147217</v>
      </c>
      <c r="X626">
        <v>176708</v>
      </c>
      <c r="Y626">
        <v>0</v>
      </c>
      <c r="Z626">
        <v>0</v>
      </c>
      <c r="AA626" s="2">
        <v>1</v>
      </c>
      <c r="AB626" s="2">
        <v>0</v>
      </c>
      <c r="AC626" s="2">
        <v>0</v>
      </c>
      <c r="AD626">
        <v>0</v>
      </c>
      <c r="AE626" t="s">
        <v>1862</v>
      </c>
      <c r="AF626">
        <v>2428.42</v>
      </c>
      <c r="AG626">
        <v>600000</v>
      </c>
      <c r="AH626">
        <v>10200</v>
      </c>
      <c r="AI626" s="1" t="s">
        <v>227</v>
      </c>
      <c r="AJ626">
        <v>88354740</v>
      </c>
      <c r="AK626" s="1" t="s">
        <v>1867</v>
      </c>
      <c r="AL626" t="s">
        <v>1876</v>
      </c>
      <c r="AN626" t="s">
        <v>2042</v>
      </c>
      <c r="AO626" t="s">
        <v>2067</v>
      </c>
      <c r="AP626" t="s">
        <v>2072</v>
      </c>
      <c r="AQ626">
        <v>93047</v>
      </c>
      <c r="AR626" s="3">
        <v>46203</v>
      </c>
      <c r="AS626" s="3">
        <v>46113</v>
      </c>
      <c r="AT626" s="3">
        <v>46203</v>
      </c>
      <c r="AU626" t="s">
        <v>2124</v>
      </c>
      <c r="AW626" s="3">
        <v>46208.53701449134</v>
      </c>
    </row>
    <row r="627" spans="1:49" ht="16" hidden="1" x14ac:dyDescent="0.2">
      <c r="A627" t="s">
        <v>51</v>
      </c>
      <c r="B627">
        <v>10764</v>
      </c>
      <c r="C627">
        <v>8880</v>
      </c>
      <c r="D627" t="s">
        <v>114</v>
      </c>
      <c r="E627" t="s">
        <v>228</v>
      </c>
      <c r="F627">
        <v>252732</v>
      </c>
      <c r="G627" t="s">
        <v>439</v>
      </c>
      <c r="H627">
        <v>539615</v>
      </c>
      <c r="I627" t="s">
        <v>924</v>
      </c>
      <c r="J627">
        <v>88374421</v>
      </c>
      <c r="K627" t="s">
        <v>1836</v>
      </c>
      <c r="L627" t="s">
        <v>1850</v>
      </c>
      <c r="M627" s="1">
        <v>17</v>
      </c>
      <c r="N627" t="s">
        <v>1853</v>
      </c>
      <c r="O627">
        <v>3303160</v>
      </c>
      <c r="P627" s="1">
        <v>56153.72</v>
      </c>
      <c r="S627" s="6" t="str">
        <f t="shared" si="9"/>
        <v xml:space="preserve"> </v>
      </c>
      <c r="T627" s="6">
        <f>IF(IF(COUNTIF(H$2:$H627,H627)=1,1,"")=1,SUMIF($H$2:$H$7997,H627,$S$2:$S$7997),"")</f>
        <v>0</v>
      </c>
      <c r="V627" t="s">
        <v>1860</v>
      </c>
      <c r="W627">
        <v>2179728</v>
      </c>
      <c r="X627">
        <v>2555909</v>
      </c>
      <c r="Y627">
        <v>2816998</v>
      </c>
      <c r="Z627">
        <v>3303160</v>
      </c>
      <c r="AA627" s="2">
        <v>1</v>
      </c>
      <c r="AB627" s="2">
        <v>1.292362340833547</v>
      </c>
      <c r="AC627" s="2">
        <v>0</v>
      </c>
      <c r="AD627">
        <v>0</v>
      </c>
      <c r="AE627" t="s">
        <v>1862</v>
      </c>
      <c r="AF627">
        <v>50805.26</v>
      </c>
      <c r="AG627">
        <v>11500000</v>
      </c>
      <c r="AH627">
        <v>195500</v>
      </c>
      <c r="AI627" s="1" t="s">
        <v>228</v>
      </c>
      <c r="AJ627">
        <v>88374010</v>
      </c>
      <c r="AK627" s="1" t="s">
        <v>1867</v>
      </c>
      <c r="AL627" t="s">
        <v>1875</v>
      </c>
      <c r="AN627" t="s">
        <v>2042</v>
      </c>
      <c r="AO627" t="s">
        <v>2067</v>
      </c>
      <c r="AP627" t="s">
        <v>2072</v>
      </c>
      <c r="AQ627">
        <v>93132</v>
      </c>
      <c r="AR627" s="3">
        <v>46203</v>
      </c>
      <c r="AS627" s="3">
        <v>46113</v>
      </c>
      <c r="AT627" s="3">
        <v>46203</v>
      </c>
      <c r="AU627" t="s">
        <v>2124</v>
      </c>
      <c r="AW627" s="3">
        <v>46208.53701449134</v>
      </c>
    </row>
    <row r="628" spans="1:49" ht="16" hidden="1" x14ac:dyDescent="0.2">
      <c r="A628" t="s">
        <v>51</v>
      </c>
      <c r="B628">
        <v>10764</v>
      </c>
      <c r="C628">
        <v>8880</v>
      </c>
      <c r="D628" t="s">
        <v>114</v>
      </c>
      <c r="E628" t="s">
        <v>228</v>
      </c>
      <c r="F628">
        <v>252732</v>
      </c>
      <c r="G628" t="s">
        <v>439</v>
      </c>
      <c r="H628">
        <v>539615</v>
      </c>
      <c r="I628" t="s">
        <v>923</v>
      </c>
      <c r="J628">
        <v>88374013</v>
      </c>
      <c r="K628" t="s">
        <v>1836</v>
      </c>
      <c r="L628" t="s">
        <v>1850</v>
      </c>
      <c r="M628" s="1">
        <v>17</v>
      </c>
      <c r="N628" t="s">
        <v>23</v>
      </c>
      <c r="O628">
        <v>296749</v>
      </c>
      <c r="P628" s="1">
        <v>5044.7299999999996</v>
      </c>
      <c r="S628" s="6" t="str">
        <f t="shared" si="9"/>
        <v xml:space="preserve"> </v>
      </c>
      <c r="T628" s="6" t="str">
        <f>IF(IF(COUNTIF(H$2:$H628,H628)=1,1,"")=1,SUMIF($H$2:$H$7997,H628,$S$2:$S$7997),"")</f>
        <v/>
      </c>
      <c r="W628">
        <v>275565</v>
      </c>
      <c r="X628">
        <v>296749</v>
      </c>
      <c r="Y628">
        <v>0</v>
      </c>
      <c r="Z628">
        <v>0</v>
      </c>
      <c r="AA628" s="2">
        <v>1</v>
      </c>
      <c r="AB628" s="2">
        <v>0</v>
      </c>
      <c r="AC628" s="2">
        <v>0</v>
      </c>
      <c r="AD628">
        <v>0</v>
      </c>
      <c r="AE628" t="s">
        <v>1862</v>
      </c>
      <c r="AF628">
        <v>4417.8500000000004</v>
      </c>
      <c r="AG628">
        <v>1000000</v>
      </c>
      <c r="AH628">
        <v>17000</v>
      </c>
      <c r="AI628" s="1" t="s">
        <v>228</v>
      </c>
      <c r="AJ628">
        <v>88374010</v>
      </c>
      <c r="AK628" s="1" t="s">
        <v>1867</v>
      </c>
      <c r="AL628" t="s">
        <v>1875</v>
      </c>
      <c r="AN628" t="s">
        <v>2042</v>
      </c>
      <c r="AO628" t="s">
        <v>2067</v>
      </c>
      <c r="AP628" t="s">
        <v>2072</v>
      </c>
      <c r="AQ628">
        <v>93132</v>
      </c>
      <c r="AR628" s="3">
        <v>46203</v>
      </c>
      <c r="AS628" s="3">
        <v>46113</v>
      </c>
      <c r="AT628" s="3">
        <v>46203</v>
      </c>
      <c r="AU628" t="s">
        <v>2124</v>
      </c>
      <c r="AW628" s="3">
        <v>46208.53701449134</v>
      </c>
    </row>
    <row r="629" spans="1:49" ht="16" hidden="1" x14ac:dyDescent="0.2">
      <c r="A629" t="s">
        <v>51</v>
      </c>
      <c r="B629">
        <v>10764</v>
      </c>
      <c r="C629">
        <v>8880</v>
      </c>
      <c r="D629" t="s">
        <v>114</v>
      </c>
      <c r="E629" t="s">
        <v>226</v>
      </c>
      <c r="F629">
        <v>252736</v>
      </c>
      <c r="G629" t="s">
        <v>437</v>
      </c>
      <c r="H629">
        <v>539643</v>
      </c>
      <c r="I629" t="s">
        <v>919</v>
      </c>
      <c r="J629">
        <v>88354540</v>
      </c>
      <c r="K629" t="s">
        <v>1836</v>
      </c>
      <c r="L629" t="s">
        <v>1850</v>
      </c>
      <c r="M629" s="1">
        <v>17</v>
      </c>
      <c r="N629" t="s">
        <v>1853</v>
      </c>
      <c r="O629">
        <v>2787231</v>
      </c>
      <c r="P629" s="1">
        <v>47382.93</v>
      </c>
      <c r="S629" s="6" t="str">
        <f t="shared" si="9"/>
        <v xml:space="preserve"> </v>
      </c>
      <c r="T629" s="6">
        <f>IF(IF(COUNTIF(H$2:$H629,H629)=1,1,"")=1,SUMIF($H$2:$H$7997,H629,$S$2:$S$7997),"")</f>
        <v>0</v>
      </c>
      <c r="V629" t="s">
        <v>1860</v>
      </c>
      <c r="W629">
        <v>1659261</v>
      </c>
      <c r="X629">
        <v>2117845</v>
      </c>
      <c r="Y629">
        <v>2183702</v>
      </c>
      <c r="Z629">
        <v>2787231</v>
      </c>
      <c r="AA629" s="2">
        <v>1</v>
      </c>
      <c r="AB629" s="2">
        <v>1.3160695578314321</v>
      </c>
      <c r="AC629" s="2">
        <v>0</v>
      </c>
      <c r="AD629">
        <v>0</v>
      </c>
      <c r="AE629" t="s">
        <v>1862</v>
      </c>
      <c r="AF629">
        <v>37483.620000000003</v>
      </c>
      <c r="AG629">
        <v>9200000</v>
      </c>
      <c r="AH629">
        <v>156400</v>
      </c>
      <c r="AI629" s="1" t="s">
        <v>226</v>
      </c>
      <c r="AJ629">
        <v>88354001</v>
      </c>
      <c r="AK629" s="1" t="s">
        <v>1867</v>
      </c>
      <c r="AL629" t="s">
        <v>1875</v>
      </c>
      <c r="AN629" t="s">
        <v>2042</v>
      </c>
      <c r="AO629" t="s">
        <v>2067</v>
      </c>
      <c r="AP629" t="s">
        <v>2072</v>
      </c>
      <c r="AQ629">
        <v>92990</v>
      </c>
      <c r="AR629" s="3">
        <v>46203</v>
      </c>
      <c r="AS629" s="3">
        <v>46113</v>
      </c>
      <c r="AT629" s="3">
        <v>46203</v>
      </c>
      <c r="AU629" t="s">
        <v>2124</v>
      </c>
      <c r="AW629" s="3">
        <v>46208.53701449134</v>
      </c>
    </row>
    <row r="630" spans="1:49" ht="16" hidden="1" x14ac:dyDescent="0.2">
      <c r="A630" t="s">
        <v>51</v>
      </c>
      <c r="B630">
        <v>10764</v>
      </c>
      <c r="C630">
        <v>8880</v>
      </c>
      <c r="D630" t="s">
        <v>114</v>
      </c>
      <c r="E630" t="s">
        <v>226</v>
      </c>
      <c r="F630">
        <v>252736</v>
      </c>
      <c r="G630" t="s">
        <v>437</v>
      </c>
      <c r="H630">
        <v>539643</v>
      </c>
      <c r="I630" t="s">
        <v>920</v>
      </c>
      <c r="J630">
        <v>88354543</v>
      </c>
      <c r="K630" t="s">
        <v>1836</v>
      </c>
      <c r="L630" t="s">
        <v>1850</v>
      </c>
      <c r="M630" s="1">
        <v>17</v>
      </c>
      <c r="N630" t="s">
        <v>23</v>
      </c>
      <c r="O630">
        <v>235308</v>
      </c>
      <c r="P630" s="1">
        <v>4000.24</v>
      </c>
      <c r="S630" s="6" t="str">
        <f t="shared" si="9"/>
        <v xml:space="preserve"> </v>
      </c>
      <c r="T630" s="6" t="str">
        <f>IF(IF(COUNTIF(H$2:$H630,H630)=1,1,"")=1,SUMIF($H$2:$H$7997,H630,$S$2:$S$7997),"")</f>
        <v/>
      </c>
      <c r="W630">
        <v>198270</v>
      </c>
      <c r="X630">
        <v>235308</v>
      </c>
      <c r="Y630">
        <v>0</v>
      </c>
      <c r="Z630">
        <v>0</v>
      </c>
      <c r="AA630" s="2">
        <v>1</v>
      </c>
      <c r="AB630" s="2">
        <v>0</v>
      </c>
      <c r="AC630" s="2">
        <v>0</v>
      </c>
      <c r="AD630">
        <v>0</v>
      </c>
      <c r="AE630" t="s">
        <v>1862</v>
      </c>
      <c r="AF630">
        <v>3259.45</v>
      </c>
      <c r="AG630">
        <v>800000</v>
      </c>
      <c r="AH630">
        <v>13600</v>
      </c>
      <c r="AI630" s="1" t="s">
        <v>226</v>
      </c>
      <c r="AJ630">
        <v>88354001</v>
      </c>
      <c r="AK630" s="1" t="s">
        <v>1867</v>
      </c>
      <c r="AL630" t="s">
        <v>1875</v>
      </c>
      <c r="AN630" t="s">
        <v>2042</v>
      </c>
      <c r="AO630" t="s">
        <v>2067</v>
      </c>
      <c r="AP630" t="s">
        <v>2072</v>
      </c>
      <c r="AQ630">
        <v>92990</v>
      </c>
      <c r="AR630" s="3">
        <v>46203</v>
      </c>
      <c r="AS630" s="3">
        <v>46113</v>
      </c>
      <c r="AT630" s="3">
        <v>46203</v>
      </c>
      <c r="AU630" t="s">
        <v>2124</v>
      </c>
      <c r="AW630" s="3">
        <v>46208.53701449134</v>
      </c>
    </row>
    <row r="631" spans="1:49" ht="16" hidden="1" x14ac:dyDescent="0.2">
      <c r="A631" t="s">
        <v>51</v>
      </c>
      <c r="B631">
        <v>10764</v>
      </c>
      <c r="C631">
        <v>3321</v>
      </c>
      <c r="D631" t="s">
        <v>187</v>
      </c>
      <c r="E631" t="s">
        <v>348</v>
      </c>
      <c r="F631">
        <v>256852</v>
      </c>
      <c r="G631" t="s">
        <v>648</v>
      </c>
      <c r="H631">
        <v>582079</v>
      </c>
      <c r="I631" t="s">
        <v>1262</v>
      </c>
      <c r="J631">
        <v>94268630</v>
      </c>
      <c r="K631" t="s">
        <v>1839</v>
      </c>
      <c r="L631" t="s">
        <v>1850</v>
      </c>
      <c r="M631" s="1">
        <v>40</v>
      </c>
      <c r="N631" t="s">
        <v>23</v>
      </c>
      <c r="O631">
        <v>5761563</v>
      </c>
      <c r="P631" s="1">
        <v>230462.52</v>
      </c>
      <c r="S631" s="6" t="str">
        <f t="shared" si="9"/>
        <v xml:space="preserve"> </v>
      </c>
      <c r="T631" s="6">
        <f>IF(IF(COUNTIF(H$2:$H631,H631)=1,1,"")=1,SUMIF($H$2:$H$7997,H631,$S$2:$S$7997),"")</f>
        <v>0</v>
      </c>
      <c r="W631">
        <v>5761563</v>
      </c>
      <c r="X631">
        <v>5761563</v>
      </c>
      <c r="Y631">
        <v>0</v>
      </c>
      <c r="Z631">
        <v>0</v>
      </c>
      <c r="AA631" s="2">
        <v>1</v>
      </c>
      <c r="AB631" s="2">
        <v>0</v>
      </c>
      <c r="AC631" s="2">
        <v>0</v>
      </c>
      <c r="AD631">
        <v>0</v>
      </c>
      <c r="AE631" t="s">
        <v>1862</v>
      </c>
      <c r="AF631">
        <v>115985.27</v>
      </c>
      <c r="AG631">
        <v>8750000</v>
      </c>
      <c r="AH631">
        <v>350000</v>
      </c>
      <c r="AI631" s="1" t="s">
        <v>348</v>
      </c>
      <c r="AJ631">
        <v>94268627</v>
      </c>
      <c r="AK631" s="1" t="s">
        <v>1867</v>
      </c>
      <c r="AL631" t="s">
        <v>1971</v>
      </c>
      <c r="AN631" t="s">
        <v>2042</v>
      </c>
      <c r="AO631" t="s">
        <v>2067</v>
      </c>
      <c r="AP631" t="s">
        <v>2094</v>
      </c>
      <c r="AQ631">
        <v>129379</v>
      </c>
      <c r="AR631" s="3">
        <v>46203</v>
      </c>
      <c r="AS631" s="3">
        <v>46184</v>
      </c>
      <c r="AT631" s="3">
        <v>46222</v>
      </c>
      <c r="AU631" t="s">
        <v>2124</v>
      </c>
      <c r="AW631" s="3">
        <v>46208.53701449134</v>
      </c>
    </row>
    <row r="632" spans="1:49" ht="16" hidden="1" x14ac:dyDescent="0.2">
      <c r="A632" t="s">
        <v>51</v>
      </c>
      <c r="B632">
        <v>10764</v>
      </c>
      <c r="C632">
        <v>3321</v>
      </c>
      <c r="D632" t="s">
        <v>187</v>
      </c>
      <c r="E632" t="s">
        <v>348</v>
      </c>
      <c r="F632">
        <v>256852</v>
      </c>
      <c r="G632" t="s">
        <v>648</v>
      </c>
      <c r="H632">
        <v>582079</v>
      </c>
      <c r="I632" t="s">
        <v>1263</v>
      </c>
      <c r="J632">
        <v>94268633</v>
      </c>
      <c r="K632" t="s">
        <v>1835</v>
      </c>
      <c r="L632" t="s">
        <v>1850</v>
      </c>
      <c r="M632" s="1">
        <v>40</v>
      </c>
      <c r="N632" t="s">
        <v>23</v>
      </c>
      <c r="O632">
        <v>2530360</v>
      </c>
      <c r="P632" s="1">
        <v>101214.39999999999</v>
      </c>
      <c r="S632" s="6" t="str">
        <f t="shared" si="9"/>
        <v xml:space="preserve"> </v>
      </c>
      <c r="T632" s="6" t="str">
        <f>IF(IF(COUNTIF(H$2:$H632,H632)=1,1,"")=1,SUMIF($H$2:$H$7997,H632,$S$2:$S$7997),"")</f>
        <v/>
      </c>
      <c r="W632">
        <v>2530360</v>
      </c>
      <c r="X632">
        <v>2530360</v>
      </c>
      <c r="Y632">
        <v>0</v>
      </c>
      <c r="Z632">
        <v>0</v>
      </c>
      <c r="AA632" s="2">
        <v>1</v>
      </c>
      <c r="AB632" s="2">
        <v>0</v>
      </c>
      <c r="AC632" s="2">
        <v>0</v>
      </c>
      <c r="AD632">
        <v>0</v>
      </c>
      <c r="AE632" t="s">
        <v>1862</v>
      </c>
      <c r="AF632">
        <v>49707.97</v>
      </c>
      <c r="AG632">
        <v>3750000</v>
      </c>
      <c r="AH632">
        <v>150000</v>
      </c>
      <c r="AI632" s="1" t="s">
        <v>348</v>
      </c>
      <c r="AJ632">
        <v>94268627</v>
      </c>
      <c r="AK632" s="1" t="s">
        <v>1867</v>
      </c>
      <c r="AL632" t="s">
        <v>1971</v>
      </c>
      <c r="AN632" t="s">
        <v>2042</v>
      </c>
      <c r="AO632" t="s">
        <v>2067</v>
      </c>
      <c r="AP632" t="s">
        <v>2092</v>
      </c>
      <c r="AQ632">
        <v>129379</v>
      </c>
      <c r="AR632" s="3">
        <v>46203</v>
      </c>
      <c r="AS632" s="3">
        <v>46184</v>
      </c>
      <c r="AT632" s="3">
        <v>46222</v>
      </c>
      <c r="AU632" t="s">
        <v>2123</v>
      </c>
      <c r="AW632" s="3">
        <v>46208.53701449134</v>
      </c>
    </row>
    <row r="633" spans="1:49" ht="16" hidden="1" x14ac:dyDescent="0.2">
      <c r="A633" t="s">
        <v>51</v>
      </c>
      <c r="B633">
        <v>10764</v>
      </c>
      <c r="C633">
        <v>8732</v>
      </c>
      <c r="D633" t="s">
        <v>133</v>
      </c>
      <c r="E633" t="s">
        <v>257</v>
      </c>
      <c r="F633">
        <v>266090</v>
      </c>
      <c r="G633" t="s">
        <v>477</v>
      </c>
      <c r="H633">
        <v>580681</v>
      </c>
      <c r="I633" t="s">
        <v>477</v>
      </c>
      <c r="J633">
        <v>93028898</v>
      </c>
      <c r="K633" t="s">
        <v>1836</v>
      </c>
      <c r="L633" t="s">
        <v>1850</v>
      </c>
      <c r="M633" s="1">
        <v>18.89</v>
      </c>
      <c r="N633" t="s">
        <v>1853</v>
      </c>
      <c r="O633">
        <v>5852175</v>
      </c>
      <c r="P633" s="1">
        <v>110547.59</v>
      </c>
      <c r="S633" s="6" t="str">
        <f t="shared" si="9"/>
        <v xml:space="preserve"> </v>
      </c>
      <c r="T633" s="6">
        <f>IF(IF(COUNTIF(H$2:$H633,H633)=1,1,"")=1,SUMIF($H$2:$H$7997,H633,$S$2:$S$7997),"")</f>
        <v>0</v>
      </c>
      <c r="V633" t="s">
        <v>1860</v>
      </c>
      <c r="W633">
        <v>3659648</v>
      </c>
      <c r="X633">
        <v>4854459</v>
      </c>
      <c r="Y633">
        <v>4411799</v>
      </c>
      <c r="Z633">
        <v>5852175</v>
      </c>
      <c r="AA633" s="2">
        <v>1</v>
      </c>
      <c r="AB633" s="2">
        <v>1.2055257647273441</v>
      </c>
      <c r="AC633" s="2">
        <v>0</v>
      </c>
      <c r="AD633">
        <v>0</v>
      </c>
      <c r="AE633" t="s">
        <v>1862</v>
      </c>
      <c r="AF633">
        <v>62924.46</v>
      </c>
      <c r="AG633">
        <v>8913727</v>
      </c>
      <c r="AH633">
        <v>168380.3</v>
      </c>
      <c r="AI633" s="1" t="s">
        <v>257</v>
      </c>
      <c r="AJ633">
        <v>92929358</v>
      </c>
      <c r="AK633" s="1" t="s">
        <v>1872</v>
      </c>
      <c r="AL633" t="s">
        <v>1896</v>
      </c>
      <c r="AN633" t="s">
        <v>2053</v>
      </c>
      <c r="AO633" t="s">
        <v>2067</v>
      </c>
      <c r="AP633" t="s">
        <v>2072</v>
      </c>
      <c r="AQ633">
        <v>123238</v>
      </c>
      <c r="AR633" s="3">
        <v>46203</v>
      </c>
      <c r="AS633" s="3">
        <v>46163</v>
      </c>
      <c r="AT633" s="3">
        <v>46190</v>
      </c>
      <c r="AU633" t="s">
        <v>2124</v>
      </c>
      <c r="AW633" s="3">
        <v>46208.53701449134</v>
      </c>
    </row>
    <row r="634" spans="1:49" ht="16" hidden="1" x14ac:dyDescent="0.2">
      <c r="A634" t="s">
        <v>51</v>
      </c>
      <c r="B634">
        <v>10764</v>
      </c>
      <c r="C634">
        <v>8732</v>
      </c>
      <c r="D634" t="s">
        <v>133</v>
      </c>
      <c r="E634" t="s">
        <v>257</v>
      </c>
      <c r="F634">
        <v>266090</v>
      </c>
      <c r="G634" t="s">
        <v>476</v>
      </c>
      <c r="H634">
        <v>580682</v>
      </c>
      <c r="I634" t="s">
        <v>476</v>
      </c>
      <c r="J634">
        <v>93028892</v>
      </c>
      <c r="K634" t="s">
        <v>1836</v>
      </c>
      <c r="L634" t="s">
        <v>1850</v>
      </c>
      <c r="M634" s="1">
        <v>18.89</v>
      </c>
      <c r="N634" t="s">
        <v>1853</v>
      </c>
      <c r="O634">
        <v>3646158</v>
      </c>
      <c r="P634" s="1">
        <v>66149.42</v>
      </c>
      <c r="S634" s="6" t="str">
        <f t="shared" si="9"/>
        <v xml:space="preserve"> </v>
      </c>
      <c r="T634" s="6">
        <f>IF(IF(COUNTIF(H$2:$H634,H634)=1,1,"")=1,SUMIF($H$2:$H$7997,H634,$S$2:$S$7997),"")</f>
        <v>0</v>
      </c>
      <c r="W634">
        <v>3268847</v>
      </c>
      <c r="X634">
        <v>3268847</v>
      </c>
      <c r="Y634">
        <v>3646158</v>
      </c>
      <c r="Z634">
        <v>3646158</v>
      </c>
      <c r="AA634" s="2">
        <v>1</v>
      </c>
      <c r="AB634" s="2">
        <v>1.1154265108115811</v>
      </c>
      <c r="AC634" s="2">
        <v>0</v>
      </c>
      <c r="AD634">
        <v>0</v>
      </c>
      <c r="AE634" t="s">
        <v>1862</v>
      </c>
      <c r="AF634">
        <v>66149.42</v>
      </c>
      <c r="AG634">
        <v>3501822</v>
      </c>
      <c r="AH634">
        <v>66149.42</v>
      </c>
      <c r="AI634" s="1" t="s">
        <v>257</v>
      </c>
      <c r="AJ634">
        <v>92929358</v>
      </c>
      <c r="AK634" s="1" t="s">
        <v>1872</v>
      </c>
      <c r="AL634" t="s">
        <v>1896</v>
      </c>
      <c r="AN634" t="s">
        <v>2053</v>
      </c>
      <c r="AO634" t="s">
        <v>2067</v>
      </c>
      <c r="AP634" t="s">
        <v>2072</v>
      </c>
      <c r="AQ634">
        <v>123238</v>
      </c>
      <c r="AR634" s="3">
        <v>46203</v>
      </c>
      <c r="AS634" s="3">
        <v>46191</v>
      </c>
      <c r="AT634" s="3">
        <v>46201</v>
      </c>
      <c r="AU634" t="s">
        <v>2124</v>
      </c>
      <c r="AW634" s="3">
        <v>46208.53701449134</v>
      </c>
    </row>
    <row r="635" spans="1:49" ht="16" hidden="1" x14ac:dyDescent="0.2">
      <c r="A635" t="s">
        <v>51</v>
      </c>
      <c r="B635">
        <v>10764</v>
      </c>
      <c r="C635">
        <v>8732</v>
      </c>
      <c r="D635" t="s">
        <v>133</v>
      </c>
      <c r="E635" t="s">
        <v>408</v>
      </c>
      <c r="F635">
        <v>272146</v>
      </c>
      <c r="G635" t="s">
        <v>762</v>
      </c>
      <c r="H635">
        <v>595992</v>
      </c>
      <c r="I635" t="s">
        <v>762</v>
      </c>
      <c r="J635">
        <v>95038947</v>
      </c>
      <c r="K635" t="s">
        <v>1836</v>
      </c>
      <c r="L635" t="s">
        <v>1850</v>
      </c>
      <c r="M635" s="1">
        <v>18.89</v>
      </c>
      <c r="N635" t="s">
        <v>1853</v>
      </c>
      <c r="O635">
        <v>307412</v>
      </c>
      <c r="P635" s="1">
        <v>5807.01</v>
      </c>
      <c r="S635" s="6" t="str">
        <f t="shared" si="9"/>
        <v xml:space="preserve"> </v>
      </c>
      <c r="T635" s="6">
        <f>IF(IF(COUNTIF(H$2:$H635,H635)=1,1,"")=1,SUMIF($H$2:$H$7997,H635,$S$2:$S$7997),"")</f>
        <v>0</v>
      </c>
      <c r="V635" t="s">
        <v>1860</v>
      </c>
      <c r="W635">
        <v>566493</v>
      </c>
      <c r="X635">
        <v>566493</v>
      </c>
      <c r="Y635">
        <v>307412</v>
      </c>
      <c r="Z635">
        <v>307412</v>
      </c>
      <c r="AA635" s="2">
        <v>1</v>
      </c>
      <c r="AB635" s="2">
        <v>0.54265826202938716</v>
      </c>
      <c r="AC635" s="2">
        <v>0</v>
      </c>
      <c r="AD635">
        <v>0</v>
      </c>
      <c r="AE635" t="s">
        <v>1862</v>
      </c>
      <c r="AF635">
        <v>7465.33</v>
      </c>
      <c r="AG635">
        <v>11056623</v>
      </c>
      <c r="AH635">
        <v>208859.61</v>
      </c>
      <c r="AI635" s="1" t="s">
        <v>408</v>
      </c>
      <c r="AJ635">
        <v>95038944</v>
      </c>
      <c r="AK635" s="1" t="s">
        <v>1872</v>
      </c>
      <c r="AL635" t="s">
        <v>2016</v>
      </c>
      <c r="AN635" t="s">
        <v>2053</v>
      </c>
      <c r="AO635" t="s">
        <v>2067</v>
      </c>
      <c r="AP635" t="s">
        <v>2072</v>
      </c>
      <c r="AQ635">
        <v>133461</v>
      </c>
      <c r="AR635" s="3">
        <v>46203</v>
      </c>
      <c r="AS635" s="3">
        <v>46202</v>
      </c>
      <c r="AT635" s="3">
        <v>46225</v>
      </c>
      <c r="AU635" t="s">
        <v>2124</v>
      </c>
      <c r="AW635" s="3">
        <v>46208.53701449134</v>
      </c>
    </row>
    <row r="636" spans="1:49" ht="16" hidden="1" x14ac:dyDescent="0.2">
      <c r="A636" t="s">
        <v>51</v>
      </c>
      <c r="B636">
        <v>10764</v>
      </c>
      <c r="C636">
        <v>8732</v>
      </c>
      <c r="D636" t="s">
        <v>133</v>
      </c>
      <c r="E636" t="s">
        <v>341</v>
      </c>
      <c r="F636">
        <v>259734</v>
      </c>
      <c r="G636" t="s">
        <v>637</v>
      </c>
      <c r="H636">
        <v>582242</v>
      </c>
      <c r="I636" t="s">
        <v>1241</v>
      </c>
      <c r="J636">
        <v>94257561</v>
      </c>
      <c r="K636" t="s">
        <v>1839</v>
      </c>
      <c r="L636" t="s">
        <v>1850</v>
      </c>
      <c r="M636" s="1">
        <v>40</v>
      </c>
      <c r="N636" t="s">
        <v>23</v>
      </c>
      <c r="O636">
        <v>4116362</v>
      </c>
      <c r="P636" s="1">
        <v>164654.48000000001</v>
      </c>
      <c r="S636" s="6" t="str">
        <f t="shared" si="9"/>
        <v xml:space="preserve"> </v>
      </c>
      <c r="T636" s="6">
        <f>IF(IF(COUNTIF(H$2:$H636,H636)=1,1,"")=1,SUMIF($H$2:$H$7997,H636,$S$2:$S$7997),"")</f>
        <v>0</v>
      </c>
      <c r="W636">
        <v>4116362</v>
      </c>
      <c r="X636">
        <v>4116362</v>
      </c>
      <c r="Y636">
        <v>0</v>
      </c>
      <c r="Z636">
        <v>0</v>
      </c>
      <c r="AA636" s="2">
        <v>1</v>
      </c>
      <c r="AB636" s="2">
        <v>0</v>
      </c>
      <c r="AC636" s="2">
        <v>0</v>
      </c>
      <c r="AD636">
        <v>0</v>
      </c>
      <c r="AE636" t="s">
        <v>1862</v>
      </c>
      <c r="AF636">
        <v>79728.429999999993</v>
      </c>
      <c r="AG636">
        <v>6234375</v>
      </c>
      <c r="AH636">
        <v>249375</v>
      </c>
      <c r="AI636" s="1" t="s">
        <v>341</v>
      </c>
      <c r="AJ636">
        <v>94257554</v>
      </c>
      <c r="AK636" s="1" t="s">
        <v>1867</v>
      </c>
      <c r="AN636" t="s">
        <v>2053</v>
      </c>
      <c r="AO636" t="s">
        <v>2067</v>
      </c>
      <c r="AP636" t="s">
        <v>2094</v>
      </c>
      <c r="AQ636">
        <v>129262</v>
      </c>
      <c r="AR636" s="3">
        <v>46203</v>
      </c>
      <c r="AS636" s="3">
        <v>46174</v>
      </c>
      <c r="AT636" s="3">
        <v>46222</v>
      </c>
      <c r="AU636" t="s">
        <v>2124</v>
      </c>
      <c r="AW636" s="3">
        <v>46208.53701449134</v>
      </c>
    </row>
    <row r="637" spans="1:49" ht="16" hidden="1" x14ac:dyDescent="0.2">
      <c r="A637" t="s">
        <v>51</v>
      </c>
      <c r="B637">
        <v>10764</v>
      </c>
      <c r="C637">
        <v>8732</v>
      </c>
      <c r="D637" t="s">
        <v>133</v>
      </c>
      <c r="E637" t="s">
        <v>341</v>
      </c>
      <c r="F637">
        <v>259734</v>
      </c>
      <c r="G637" t="s">
        <v>637</v>
      </c>
      <c r="H637">
        <v>582242</v>
      </c>
      <c r="I637" t="s">
        <v>1240</v>
      </c>
      <c r="J637">
        <v>94257557</v>
      </c>
      <c r="K637" t="s">
        <v>1835</v>
      </c>
      <c r="L637" t="s">
        <v>1850</v>
      </c>
      <c r="M637" s="1">
        <v>40</v>
      </c>
      <c r="N637" t="s">
        <v>23</v>
      </c>
      <c r="O637">
        <v>1803278</v>
      </c>
      <c r="P637" s="1">
        <v>72131.12</v>
      </c>
      <c r="S637" s="6" t="str">
        <f t="shared" si="9"/>
        <v xml:space="preserve"> </v>
      </c>
      <c r="T637" s="6" t="str">
        <f>IF(IF(COUNTIF(H$2:$H637,H637)=1,1,"")=1,SUMIF($H$2:$H$7997,H637,$S$2:$S$7997),"")</f>
        <v/>
      </c>
      <c r="W637">
        <v>1803278</v>
      </c>
      <c r="X637">
        <v>1803278</v>
      </c>
      <c r="Y637">
        <v>0</v>
      </c>
      <c r="Z637">
        <v>0</v>
      </c>
      <c r="AA637" s="2">
        <v>1</v>
      </c>
      <c r="AB637" s="2">
        <v>0</v>
      </c>
      <c r="AC637" s="2">
        <v>0</v>
      </c>
      <c r="AD637">
        <v>0</v>
      </c>
      <c r="AE637" t="s">
        <v>1862</v>
      </c>
      <c r="AF637">
        <v>34169.33</v>
      </c>
      <c r="AG637">
        <v>2671875</v>
      </c>
      <c r="AH637">
        <v>106875</v>
      </c>
      <c r="AI637" s="1" t="s">
        <v>341</v>
      </c>
      <c r="AJ637">
        <v>94257554</v>
      </c>
      <c r="AK637" s="1" t="s">
        <v>1867</v>
      </c>
      <c r="AN637" t="s">
        <v>2053</v>
      </c>
      <c r="AO637" t="s">
        <v>2067</v>
      </c>
      <c r="AP637" t="s">
        <v>2092</v>
      </c>
      <c r="AQ637">
        <v>129262</v>
      </c>
      <c r="AR637" s="3">
        <v>46203</v>
      </c>
      <c r="AS637" s="3">
        <v>46174</v>
      </c>
      <c r="AT637" s="3">
        <v>46222</v>
      </c>
      <c r="AU637" t="s">
        <v>2123</v>
      </c>
      <c r="AW637" s="3">
        <v>46208.53701449134</v>
      </c>
    </row>
    <row r="638" spans="1:49" ht="16" hidden="1" x14ac:dyDescent="0.2">
      <c r="A638" t="s">
        <v>51</v>
      </c>
      <c r="B638">
        <v>10764</v>
      </c>
      <c r="C638">
        <v>8732</v>
      </c>
      <c r="D638" t="s">
        <v>133</v>
      </c>
      <c r="E638" t="s">
        <v>341</v>
      </c>
      <c r="F638">
        <v>259734</v>
      </c>
      <c r="G638" t="s">
        <v>873</v>
      </c>
      <c r="H638">
        <v>582245</v>
      </c>
      <c r="I638" t="s">
        <v>1676</v>
      </c>
      <c r="J638">
        <v>582251</v>
      </c>
      <c r="K638" t="s">
        <v>1846</v>
      </c>
      <c r="L638" t="s">
        <v>1851</v>
      </c>
      <c r="M638" s="1">
        <v>118750</v>
      </c>
      <c r="N638" t="s">
        <v>1858</v>
      </c>
      <c r="O638">
        <v>0</v>
      </c>
      <c r="P638" s="1">
        <v>36352.04</v>
      </c>
      <c r="S638" s="6" t="str">
        <f t="shared" si="9"/>
        <v xml:space="preserve"> </v>
      </c>
      <c r="T638" s="6">
        <f>IF(IF(COUNTIF(H$2:$H638,H638)=1,1,"")=1,SUMIF($H$2:$H$7997,H638,$S$2:$S$7997),"")</f>
        <v>0</v>
      </c>
      <c r="W638">
        <v>0</v>
      </c>
      <c r="X638">
        <v>0</v>
      </c>
      <c r="Y638">
        <v>0</v>
      </c>
      <c r="Z638">
        <v>0</v>
      </c>
      <c r="AA638" s="2">
        <v>1</v>
      </c>
      <c r="AB638" s="2">
        <v>0</v>
      </c>
      <c r="AC638" s="2">
        <v>0</v>
      </c>
      <c r="AD638">
        <v>0</v>
      </c>
      <c r="AE638" t="s">
        <v>1863</v>
      </c>
      <c r="AF638">
        <v>36352.04</v>
      </c>
      <c r="AG638">
        <v>1</v>
      </c>
      <c r="AH638">
        <v>118750</v>
      </c>
      <c r="AI638" s="1" t="s">
        <v>341</v>
      </c>
      <c r="AJ638">
        <v>259734</v>
      </c>
      <c r="AK638" s="1" t="s">
        <v>1867</v>
      </c>
      <c r="AN638" t="s">
        <v>2053</v>
      </c>
      <c r="AO638" t="s">
        <v>2067</v>
      </c>
      <c r="AP638" t="s">
        <v>2110</v>
      </c>
      <c r="AQ638">
        <v>129262</v>
      </c>
      <c r="AR638" s="3">
        <v>46203</v>
      </c>
      <c r="AS638" s="3">
        <v>46174</v>
      </c>
      <c r="AT638" s="3">
        <v>46222</v>
      </c>
      <c r="AU638" t="s">
        <v>2128</v>
      </c>
      <c r="AW638" s="3">
        <v>46208.53701449134</v>
      </c>
    </row>
    <row r="639" spans="1:49" ht="16" hidden="1" x14ac:dyDescent="0.2">
      <c r="A639" t="s">
        <v>51</v>
      </c>
      <c r="B639">
        <v>10764</v>
      </c>
      <c r="C639">
        <v>8732</v>
      </c>
      <c r="D639" t="s">
        <v>133</v>
      </c>
      <c r="E639" t="s">
        <v>341</v>
      </c>
      <c r="F639">
        <v>259734</v>
      </c>
      <c r="G639" t="s">
        <v>873</v>
      </c>
      <c r="H639">
        <v>582245</v>
      </c>
      <c r="I639" t="s">
        <v>1682</v>
      </c>
      <c r="J639">
        <v>582254</v>
      </c>
      <c r="K639" t="s">
        <v>1844</v>
      </c>
      <c r="L639" t="s">
        <v>1851</v>
      </c>
      <c r="M639" s="1">
        <v>118750</v>
      </c>
      <c r="N639" t="s">
        <v>1858</v>
      </c>
      <c r="O639">
        <v>0</v>
      </c>
      <c r="P639" s="1">
        <v>36352.04</v>
      </c>
      <c r="S639" s="6" t="str">
        <f t="shared" si="9"/>
        <v xml:space="preserve"> </v>
      </c>
      <c r="T639" s="6" t="str">
        <f>IF(IF(COUNTIF(H$2:$H639,H639)=1,1,"")=1,SUMIF($H$2:$H$7997,H639,$S$2:$S$7997),"")</f>
        <v/>
      </c>
      <c r="W639">
        <v>0</v>
      </c>
      <c r="X639">
        <v>0</v>
      </c>
      <c r="Y639">
        <v>0</v>
      </c>
      <c r="Z639">
        <v>0</v>
      </c>
      <c r="AA639" s="2">
        <v>1</v>
      </c>
      <c r="AB639" s="2">
        <v>0</v>
      </c>
      <c r="AC639" s="2">
        <v>0</v>
      </c>
      <c r="AD639">
        <v>0</v>
      </c>
      <c r="AE639" t="s">
        <v>1863</v>
      </c>
      <c r="AF639">
        <v>36352.04</v>
      </c>
      <c r="AG639">
        <v>1</v>
      </c>
      <c r="AH639">
        <v>118750</v>
      </c>
      <c r="AI639" s="1" t="s">
        <v>341</v>
      </c>
      <c r="AJ639">
        <v>259734</v>
      </c>
      <c r="AK639" s="1" t="s">
        <v>1867</v>
      </c>
      <c r="AN639" t="s">
        <v>2053</v>
      </c>
      <c r="AO639" t="s">
        <v>2067</v>
      </c>
      <c r="AP639" t="s">
        <v>2107</v>
      </c>
      <c r="AQ639">
        <v>129262</v>
      </c>
      <c r="AR639" s="3">
        <v>46203</v>
      </c>
      <c r="AS639" s="3">
        <v>46174</v>
      </c>
      <c r="AT639" s="3">
        <v>46222</v>
      </c>
      <c r="AU639" t="s">
        <v>2127</v>
      </c>
      <c r="AW639" s="3">
        <v>46208.53701449134</v>
      </c>
    </row>
    <row r="640" spans="1:49" ht="16" hidden="1" x14ac:dyDescent="0.2">
      <c r="A640" t="s">
        <v>51</v>
      </c>
      <c r="B640">
        <v>10764</v>
      </c>
      <c r="C640">
        <v>8732</v>
      </c>
      <c r="D640" t="s">
        <v>133</v>
      </c>
      <c r="E640" t="s">
        <v>341</v>
      </c>
      <c r="F640">
        <v>259734</v>
      </c>
      <c r="G640" t="s">
        <v>873</v>
      </c>
      <c r="H640">
        <v>582245</v>
      </c>
      <c r="I640" t="s">
        <v>1829</v>
      </c>
      <c r="J640">
        <v>582253</v>
      </c>
      <c r="K640" t="s">
        <v>1835</v>
      </c>
      <c r="L640" t="s">
        <v>1851</v>
      </c>
      <c r="M640" s="1">
        <v>118750</v>
      </c>
      <c r="N640" t="s">
        <v>1858</v>
      </c>
      <c r="O640">
        <v>0</v>
      </c>
      <c r="P640" s="1">
        <v>36352.04</v>
      </c>
      <c r="S640" s="6" t="str">
        <f t="shared" si="9"/>
        <v xml:space="preserve"> </v>
      </c>
      <c r="T640" s="6" t="str">
        <f>IF(IF(COUNTIF(H$2:$H640,H640)=1,1,"")=1,SUMIF($H$2:$H$7997,H640,$S$2:$S$7997),"")</f>
        <v/>
      </c>
      <c r="W640">
        <v>0</v>
      </c>
      <c r="X640">
        <v>0</v>
      </c>
      <c r="Y640">
        <v>0</v>
      </c>
      <c r="Z640">
        <v>0</v>
      </c>
      <c r="AA640" s="2">
        <v>1</v>
      </c>
      <c r="AB640" s="2">
        <v>0</v>
      </c>
      <c r="AC640" s="2">
        <v>0</v>
      </c>
      <c r="AD640">
        <v>0</v>
      </c>
      <c r="AE640" t="s">
        <v>1863</v>
      </c>
      <c r="AF640">
        <v>36352.04</v>
      </c>
      <c r="AG640">
        <v>1</v>
      </c>
      <c r="AH640">
        <v>118750</v>
      </c>
      <c r="AI640" s="1" t="s">
        <v>341</v>
      </c>
      <c r="AJ640">
        <v>259734</v>
      </c>
      <c r="AK640" s="1" t="s">
        <v>1867</v>
      </c>
      <c r="AN640" t="s">
        <v>2053</v>
      </c>
      <c r="AO640" t="s">
        <v>2067</v>
      </c>
      <c r="AP640" t="s">
        <v>2109</v>
      </c>
      <c r="AQ640">
        <v>129262</v>
      </c>
      <c r="AR640" s="3">
        <v>46203</v>
      </c>
      <c r="AS640" s="3">
        <v>46174</v>
      </c>
      <c r="AT640" s="3">
        <v>46222</v>
      </c>
      <c r="AU640" t="s">
        <v>2129</v>
      </c>
      <c r="AW640" s="3">
        <v>46208.53701449134</v>
      </c>
    </row>
    <row r="641" spans="1:49" ht="16" hidden="1" x14ac:dyDescent="0.2">
      <c r="A641" t="s">
        <v>49</v>
      </c>
      <c r="B641">
        <v>11662</v>
      </c>
      <c r="C641">
        <v>7406</v>
      </c>
      <c r="D641" t="s">
        <v>125</v>
      </c>
      <c r="E641" t="s">
        <v>406</v>
      </c>
      <c r="F641">
        <v>271381</v>
      </c>
      <c r="G641" t="s">
        <v>758</v>
      </c>
      <c r="H641">
        <v>594135</v>
      </c>
      <c r="I641" t="s">
        <v>758</v>
      </c>
      <c r="J641">
        <v>94979900</v>
      </c>
      <c r="K641" t="s">
        <v>1841</v>
      </c>
      <c r="L641" t="s">
        <v>1850</v>
      </c>
      <c r="M641" s="1">
        <v>23</v>
      </c>
      <c r="N641" t="s">
        <v>1853</v>
      </c>
      <c r="O641">
        <v>0</v>
      </c>
      <c r="P641" s="1">
        <v>0</v>
      </c>
      <c r="S641" s="6" t="str">
        <f t="shared" si="9"/>
        <v xml:space="preserve"> </v>
      </c>
      <c r="T641" s="6">
        <f>IF(IF(COUNTIF(H$2:$H641,H641)=1,1,"")=1,SUMIF($H$2:$H$7997,H641,$S$2:$S$7997),"")</f>
        <v>0</v>
      </c>
      <c r="V641" t="s">
        <v>1860</v>
      </c>
      <c r="W641">
        <v>11013</v>
      </c>
      <c r="X641">
        <v>11013</v>
      </c>
      <c r="Y641">
        <v>0</v>
      </c>
      <c r="Z641">
        <v>0</v>
      </c>
      <c r="AA641" s="2">
        <v>1</v>
      </c>
      <c r="AB641" s="2">
        <v>0</v>
      </c>
      <c r="AC641" s="2">
        <v>0</v>
      </c>
      <c r="AD641">
        <v>0</v>
      </c>
      <c r="AE641" t="s">
        <v>1862</v>
      </c>
      <c r="AF641">
        <v>253.3</v>
      </c>
      <c r="AG641">
        <v>2014479</v>
      </c>
      <c r="AH641">
        <v>46333.02</v>
      </c>
      <c r="AI641" s="1" t="s">
        <v>406</v>
      </c>
      <c r="AJ641">
        <v>94979881</v>
      </c>
      <c r="AK641" s="1" t="s">
        <v>1867</v>
      </c>
      <c r="AL641" t="s">
        <v>2014</v>
      </c>
      <c r="AN641" t="s">
        <v>2046</v>
      </c>
      <c r="AO641" t="s">
        <v>2067</v>
      </c>
      <c r="AP641" t="s">
        <v>2084</v>
      </c>
      <c r="AQ641">
        <v>133041</v>
      </c>
      <c r="AR641" s="3">
        <v>46203</v>
      </c>
      <c r="AS641" s="3">
        <v>46202</v>
      </c>
      <c r="AT641" s="3">
        <v>46292</v>
      </c>
      <c r="AU641" t="s">
        <v>2124</v>
      </c>
      <c r="AW641" s="3">
        <v>46208.53701449134</v>
      </c>
    </row>
    <row r="642" spans="1:49" ht="16" hidden="1" x14ac:dyDescent="0.2">
      <c r="A642" t="s">
        <v>49</v>
      </c>
      <c r="B642">
        <v>11662</v>
      </c>
      <c r="C642">
        <v>7406</v>
      </c>
      <c r="D642" t="s">
        <v>125</v>
      </c>
      <c r="E642" t="s">
        <v>245</v>
      </c>
      <c r="F642">
        <v>265377</v>
      </c>
      <c r="G642" t="s">
        <v>457</v>
      </c>
      <c r="H642">
        <v>575474</v>
      </c>
      <c r="I642" t="s">
        <v>457</v>
      </c>
      <c r="J642">
        <v>92797813</v>
      </c>
      <c r="K642" t="s">
        <v>1841</v>
      </c>
      <c r="L642" t="s">
        <v>1850</v>
      </c>
      <c r="M642" s="1">
        <v>23</v>
      </c>
      <c r="N642" t="s">
        <v>23</v>
      </c>
      <c r="O642">
        <v>996295</v>
      </c>
      <c r="P642" s="1">
        <v>22914.78</v>
      </c>
      <c r="S642" s="6" t="str">
        <f t="shared" si="9"/>
        <v xml:space="preserve"> </v>
      </c>
      <c r="T642" s="6">
        <f>IF(IF(COUNTIF(H$2:$H642,H642)=1,1,"")=1,SUMIF($H$2:$H$7997,H642,$S$2:$S$7997),"")</f>
        <v>0</v>
      </c>
      <c r="V642" t="s">
        <v>1860</v>
      </c>
      <c r="W642">
        <v>526768</v>
      </c>
      <c r="X642">
        <v>996295</v>
      </c>
      <c r="Y642">
        <v>0</v>
      </c>
      <c r="Z642">
        <v>0</v>
      </c>
      <c r="AA642" s="2">
        <v>1</v>
      </c>
      <c r="AB642" s="2">
        <v>0</v>
      </c>
      <c r="AC642" s="2">
        <v>0</v>
      </c>
      <c r="AD642">
        <v>0</v>
      </c>
      <c r="AE642" t="s">
        <v>1862</v>
      </c>
      <c r="AF642">
        <v>12304.86</v>
      </c>
      <c r="AG642">
        <v>2797087</v>
      </c>
      <c r="AH642">
        <v>64333</v>
      </c>
      <c r="AI642" s="1" t="s">
        <v>245</v>
      </c>
      <c r="AJ642">
        <v>92797792</v>
      </c>
      <c r="AK642" s="1" t="s">
        <v>1867</v>
      </c>
      <c r="AL642" t="s">
        <v>1885</v>
      </c>
      <c r="AN642" t="s">
        <v>2046</v>
      </c>
      <c r="AO642" t="s">
        <v>2067</v>
      </c>
      <c r="AP642" t="s">
        <v>2084</v>
      </c>
      <c r="AQ642">
        <v>121653</v>
      </c>
      <c r="AR642" s="3">
        <v>46203</v>
      </c>
      <c r="AS642" s="3">
        <v>46111</v>
      </c>
      <c r="AT642" s="3">
        <v>46201</v>
      </c>
      <c r="AU642" t="s">
        <v>2124</v>
      </c>
      <c r="AW642" s="3">
        <v>46208.53701449134</v>
      </c>
    </row>
    <row r="643" spans="1:49" ht="16" hidden="1" x14ac:dyDescent="0.2">
      <c r="A643" t="s">
        <v>49</v>
      </c>
      <c r="B643">
        <v>11662</v>
      </c>
      <c r="C643">
        <v>4046</v>
      </c>
      <c r="D643" t="s">
        <v>190</v>
      </c>
      <c r="E643" t="s">
        <v>354</v>
      </c>
      <c r="F643">
        <v>259384</v>
      </c>
      <c r="G643" t="s">
        <v>815</v>
      </c>
      <c r="H643">
        <v>582844</v>
      </c>
      <c r="I643" t="s">
        <v>1589</v>
      </c>
      <c r="J643">
        <v>7319788258</v>
      </c>
      <c r="K643" t="s">
        <v>1835</v>
      </c>
      <c r="L643" t="s">
        <v>1851</v>
      </c>
      <c r="M643" s="1">
        <v>6</v>
      </c>
      <c r="N643" t="s">
        <v>1858</v>
      </c>
      <c r="O643">
        <v>12755102</v>
      </c>
      <c r="P643" s="1">
        <v>76530.61</v>
      </c>
      <c r="S643" s="6" t="str">
        <f t="shared" ref="S643:S706" si="10">IF(ISBLANK(R643)," ",ROUND(R643*(IF(ISBLANK(Q643),(M643/1000),(Q643/1000))),2))</f>
        <v xml:space="preserve"> </v>
      </c>
      <c r="T643" s="6">
        <f>IF(IF(COUNTIF(H$2:$H643,H643)=1,1,"")=1,SUMIF($H$2:$H$7997,H643,$S$2:$S$7997),"")</f>
        <v>0</v>
      </c>
      <c r="W643">
        <v>0</v>
      </c>
      <c r="X643">
        <v>0</v>
      </c>
      <c r="Y643">
        <v>0</v>
      </c>
      <c r="Z643">
        <v>0</v>
      </c>
      <c r="AA643" s="2">
        <v>1</v>
      </c>
      <c r="AB643" s="2">
        <v>0</v>
      </c>
      <c r="AC643" s="2">
        <v>0</v>
      </c>
      <c r="AD643">
        <v>0</v>
      </c>
      <c r="AE643" t="s">
        <v>1863</v>
      </c>
      <c r="AF643">
        <v>76530.61</v>
      </c>
      <c r="AG643">
        <v>41666667</v>
      </c>
      <c r="AH643">
        <v>250000</v>
      </c>
      <c r="AI643" s="1" t="s">
        <v>354</v>
      </c>
      <c r="AJ643">
        <v>259384</v>
      </c>
      <c r="AK643" s="1" t="s">
        <v>1867</v>
      </c>
      <c r="AL643" t="s">
        <v>1976</v>
      </c>
      <c r="AN643" t="s">
        <v>2039</v>
      </c>
      <c r="AO643" t="s">
        <v>2067</v>
      </c>
      <c r="AP643" t="s">
        <v>2103</v>
      </c>
      <c r="AQ643">
        <v>129141</v>
      </c>
      <c r="AR643" s="3">
        <v>46203</v>
      </c>
      <c r="AS643" s="3">
        <v>46174</v>
      </c>
      <c r="AT643" s="3">
        <v>46222</v>
      </c>
      <c r="AU643" t="s">
        <v>2126</v>
      </c>
      <c r="AW643" s="3">
        <v>46208.53701449134</v>
      </c>
    </row>
    <row r="644" spans="1:49" ht="16" hidden="1" x14ac:dyDescent="0.2">
      <c r="A644" t="s">
        <v>49</v>
      </c>
      <c r="B644">
        <v>11662</v>
      </c>
      <c r="C644">
        <v>4046</v>
      </c>
      <c r="D644" t="s">
        <v>190</v>
      </c>
      <c r="E644" t="s">
        <v>354</v>
      </c>
      <c r="F644">
        <v>259384</v>
      </c>
      <c r="G644" t="s">
        <v>657</v>
      </c>
      <c r="H644">
        <v>582848</v>
      </c>
      <c r="I644" t="s">
        <v>1278</v>
      </c>
      <c r="J644">
        <v>94270831</v>
      </c>
      <c r="K644" t="s">
        <v>1839</v>
      </c>
      <c r="L644" t="s">
        <v>1851</v>
      </c>
      <c r="M644" s="1">
        <v>40</v>
      </c>
      <c r="N644" t="s">
        <v>1858</v>
      </c>
      <c r="O644">
        <v>3348214</v>
      </c>
      <c r="P644" s="1">
        <v>133928.57</v>
      </c>
      <c r="S644" s="6" t="str">
        <f t="shared" si="10"/>
        <v xml:space="preserve"> </v>
      </c>
      <c r="T644" s="6">
        <f>IF(IF(COUNTIF(H$2:$H644,H644)=1,1,"")=1,SUMIF($H$2:$H$7997,H644,$S$2:$S$7997),"")</f>
        <v>0</v>
      </c>
      <c r="W644">
        <v>7204942</v>
      </c>
      <c r="X644">
        <v>7204942</v>
      </c>
      <c r="Y644">
        <v>0</v>
      </c>
      <c r="Z644">
        <v>0</v>
      </c>
      <c r="AA644" s="2">
        <v>1</v>
      </c>
      <c r="AB644" s="2">
        <v>0</v>
      </c>
      <c r="AC644" s="2">
        <v>0</v>
      </c>
      <c r="AD644">
        <v>0</v>
      </c>
      <c r="AE644" t="s">
        <v>1863</v>
      </c>
      <c r="AF644">
        <v>133928.57</v>
      </c>
      <c r="AG644">
        <v>10937500</v>
      </c>
      <c r="AH644">
        <v>437500</v>
      </c>
      <c r="AI644" s="1" t="s">
        <v>354</v>
      </c>
      <c r="AJ644">
        <v>94270638</v>
      </c>
      <c r="AK644" s="1" t="s">
        <v>1867</v>
      </c>
      <c r="AL644" t="s">
        <v>1976</v>
      </c>
      <c r="AN644" t="s">
        <v>2039</v>
      </c>
      <c r="AO644" t="s">
        <v>2067</v>
      </c>
      <c r="AP644" t="s">
        <v>2094</v>
      </c>
      <c r="AQ644">
        <v>129141</v>
      </c>
      <c r="AR644" s="3">
        <v>46203</v>
      </c>
      <c r="AS644" s="3">
        <v>46174</v>
      </c>
      <c r="AT644" s="3">
        <v>46222</v>
      </c>
      <c r="AU644" t="s">
        <v>2124</v>
      </c>
      <c r="AW644" s="3">
        <v>46208.53701449134</v>
      </c>
    </row>
    <row r="645" spans="1:49" ht="16" hidden="1" x14ac:dyDescent="0.2">
      <c r="A645" t="s">
        <v>49</v>
      </c>
      <c r="B645">
        <v>11662</v>
      </c>
      <c r="C645">
        <v>4046</v>
      </c>
      <c r="D645" t="s">
        <v>190</v>
      </c>
      <c r="E645" t="s">
        <v>354</v>
      </c>
      <c r="F645">
        <v>259384</v>
      </c>
      <c r="G645" t="s">
        <v>657</v>
      </c>
      <c r="H645">
        <v>582848</v>
      </c>
      <c r="I645" t="s">
        <v>1279</v>
      </c>
      <c r="J645">
        <v>94270834</v>
      </c>
      <c r="K645" t="s">
        <v>1835</v>
      </c>
      <c r="L645" t="s">
        <v>1851</v>
      </c>
      <c r="M645" s="1">
        <v>40</v>
      </c>
      <c r="N645" t="s">
        <v>1858</v>
      </c>
      <c r="O645">
        <v>1434949</v>
      </c>
      <c r="P645" s="1">
        <v>57397.96</v>
      </c>
      <c r="S645" s="6" t="str">
        <f t="shared" si="10"/>
        <v xml:space="preserve"> </v>
      </c>
      <c r="T645" s="6" t="str">
        <f>IF(IF(COUNTIF(H$2:$H645,H645)=1,1,"")=1,SUMIF($H$2:$H$7997,H645,$S$2:$S$7997),"")</f>
        <v/>
      </c>
      <c r="W645">
        <v>3156919</v>
      </c>
      <c r="X645">
        <v>3156919</v>
      </c>
      <c r="Y645">
        <v>0</v>
      </c>
      <c r="Z645">
        <v>0</v>
      </c>
      <c r="AA645" s="2">
        <v>1</v>
      </c>
      <c r="AB645" s="2">
        <v>0</v>
      </c>
      <c r="AC645" s="2">
        <v>0</v>
      </c>
      <c r="AD645">
        <v>0</v>
      </c>
      <c r="AE645" t="s">
        <v>1863</v>
      </c>
      <c r="AF645">
        <v>57397.96</v>
      </c>
      <c r="AG645">
        <v>4687500</v>
      </c>
      <c r="AH645">
        <v>187500</v>
      </c>
      <c r="AI645" s="1" t="s">
        <v>354</v>
      </c>
      <c r="AJ645">
        <v>94270638</v>
      </c>
      <c r="AK645" s="1" t="s">
        <v>1867</v>
      </c>
      <c r="AL645" t="s">
        <v>1976</v>
      </c>
      <c r="AN645" t="s">
        <v>2039</v>
      </c>
      <c r="AO645" t="s">
        <v>2067</v>
      </c>
      <c r="AP645" t="s">
        <v>2092</v>
      </c>
      <c r="AQ645">
        <v>129141</v>
      </c>
      <c r="AR645" s="3">
        <v>46203</v>
      </c>
      <c r="AS645" s="3">
        <v>46174</v>
      </c>
      <c r="AT645" s="3">
        <v>46222</v>
      </c>
      <c r="AU645" t="s">
        <v>2123</v>
      </c>
      <c r="AW645" s="3">
        <v>46208.53701449134</v>
      </c>
    </row>
    <row r="646" spans="1:49" ht="16" hidden="1" x14ac:dyDescent="0.2">
      <c r="A646" t="s">
        <v>49</v>
      </c>
      <c r="B646">
        <v>11662</v>
      </c>
      <c r="C646">
        <v>4046</v>
      </c>
      <c r="D646" t="s">
        <v>190</v>
      </c>
      <c r="E646" t="s">
        <v>354</v>
      </c>
      <c r="F646">
        <v>259384</v>
      </c>
      <c r="G646" t="s">
        <v>807</v>
      </c>
      <c r="H646">
        <v>582860</v>
      </c>
      <c r="I646" t="s">
        <v>1594</v>
      </c>
      <c r="J646">
        <v>7321335827</v>
      </c>
      <c r="K646" t="s">
        <v>1835</v>
      </c>
      <c r="L646" t="s">
        <v>1851</v>
      </c>
      <c r="M646" s="1">
        <v>0</v>
      </c>
      <c r="N646" t="s">
        <v>1858</v>
      </c>
      <c r="O646">
        <v>0</v>
      </c>
      <c r="P646" s="1">
        <v>0</v>
      </c>
      <c r="S646" s="6" t="str">
        <f t="shared" si="10"/>
        <v xml:space="preserve"> </v>
      </c>
      <c r="T646" s="6">
        <f>IF(IF(COUNTIF(H$2:$H646,H646)=1,1,"")=1,SUMIF($H$2:$H$7997,H646,$S$2:$S$7997),"")</f>
        <v>0</v>
      </c>
      <c r="W646">
        <v>0</v>
      </c>
      <c r="X646">
        <v>0</v>
      </c>
      <c r="Y646">
        <v>0</v>
      </c>
      <c r="Z646">
        <v>0</v>
      </c>
      <c r="AA646" s="2">
        <v>1</v>
      </c>
      <c r="AB646" s="2">
        <v>0</v>
      </c>
      <c r="AC646" s="2">
        <v>0</v>
      </c>
      <c r="AD646">
        <v>0</v>
      </c>
      <c r="AE646" t="s">
        <v>1863</v>
      </c>
      <c r="AF646">
        <v>0</v>
      </c>
      <c r="AG646">
        <v>1</v>
      </c>
      <c r="AH646">
        <v>0</v>
      </c>
      <c r="AI646" s="1" t="s">
        <v>354</v>
      </c>
      <c r="AJ646">
        <v>259384</v>
      </c>
      <c r="AK646" s="1" t="s">
        <v>1867</v>
      </c>
      <c r="AL646" t="s">
        <v>1976</v>
      </c>
      <c r="AN646" t="s">
        <v>2039</v>
      </c>
      <c r="AO646" t="s">
        <v>2067</v>
      </c>
      <c r="AP646" t="s">
        <v>2105</v>
      </c>
      <c r="AQ646">
        <v>129141</v>
      </c>
      <c r="AR646" s="3">
        <v>46203</v>
      </c>
      <c r="AS646" s="3">
        <v>46189</v>
      </c>
      <c r="AT646" s="3">
        <v>46189</v>
      </c>
      <c r="AU646" t="s">
        <v>2126</v>
      </c>
      <c r="AW646" s="3">
        <v>46208.53701449134</v>
      </c>
    </row>
    <row r="647" spans="1:49" ht="16" hidden="1" x14ac:dyDescent="0.2">
      <c r="A647" t="s">
        <v>49</v>
      </c>
      <c r="B647">
        <v>11662</v>
      </c>
      <c r="C647">
        <v>4046</v>
      </c>
      <c r="D647" t="s">
        <v>190</v>
      </c>
      <c r="E647" t="s">
        <v>354</v>
      </c>
      <c r="F647">
        <v>259384</v>
      </c>
      <c r="G647" t="s">
        <v>807</v>
      </c>
      <c r="H647">
        <v>582860</v>
      </c>
      <c r="I647" t="s">
        <v>1592</v>
      </c>
      <c r="J647">
        <v>7321334849</v>
      </c>
      <c r="K647" t="s">
        <v>1835</v>
      </c>
      <c r="L647" t="s">
        <v>1851</v>
      </c>
      <c r="M647" s="1">
        <v>60000</v>
      </c>
      <c r="N647" t="s">
        <v>1858</v>
      </c>
      <c r="O647">
        <v>500</v>
      </c>
      <c r="P647" s="1">
        <v>30000</v>
      </c>
      <c r="S647" s="6" t="str">
        <f t="shared" si="10"/>
        <v xml:space="preserve"> </v>
      </c>
      <c r="T647" s="6" t="str">
        <f>IF(IF(COUNTIF(H$2:$H647,H647)=1,1,"")=1,SUMIF($H$2:$H$7997,H647,$S$2:$S$7997),"")</f>
        <v/>
      </c>
      <c r="W647">
        <v>0</v>
      </c>
      <c r="X647">
        <v>0</v>
      </c>
      <c r="Y647">
        <v>0</v>
      </c>
      <c r="Z647">
        <v>0</v>
      </c>
      <c r="AA647" s="2">
        <v>1</v>
      </c>
      <c r="AB647" s="2">
        <v>0</v>
      </c>
      <c r="AC647" s="2">
        <v>0</v>
      </c>
      <c r="AD647">
        <v>0</v>
      </c>
      <c r="AE647" t="s">
        <v>1863</v>
      </c>
      <c r="AF647">
        <v>30000</v>
      </c>
      <c r="AG647">
        <v>1</v>
      </c>
      <c r="AH647">
        <v>60000</v>
      </c>
      <c r="AI647" s="1" t="s">
        <v>354</v>
      </c>
      <c r="AJ647">
        <v>259384</v>
      </c>
      <c r="AK647" s="1" t="s">
        <v>1867</v>
      </c>
      <c r="AL647" t="s">
        <v>1976</v>
      </c>
      <c r="AN647" t="s">
        <v>2039</v>
      </c>
      <c r="AO647" t="s">
        <v>2067</v>
      </c>
      <c r="AP647" t="s">
        <v>2104</v>
      </c>
      <c r="AQ647">
        <v>129141</v>
      </c>
      <c r="AR647" s="3">
        <v>46203</v>
      </c>
      <c r="AS647" s="3">
        <v>46189</v>
      </c>
      <c r="AT647" s="3">
        <v>46189</v>
      </c>
      <c r="AU647" t="s">
        <v>2126</v>
      </c>
      <c r="AW647" s="3">
        <v>46208.53701449134</v>
      </c>
    </row>
    <row r="648" spans="1:49" ht="16" hidden="1" x14ac:dyDescent="0.2">
      <c r="A648" t="s">
        <v>49</v>
      </c>
      <c r="B648">
        <v>11662</v>
      </c>
      <c r="C648">
        <v>4046</v>
      </c>
      <c r="D648" t="s">
        <v>190</v>
      </c>
      <c r="E648" t="s">
        <v>354</v>
      </c>
      <c r="F648">
        <v>259384</v>
      </c>
      <c r="G648" t="s">
        <v>807</v>
      </c>
      <c r="H648">
        <v>582860</v>
      </c>
      <c r="I648" t="s">
        <v>1593</v>
      </c>
      <c r="J648">
        <v>7321335821</v>
      </c>
      <c r="K648" t="s">
        <v>1835</v>
      </c>
      <c r="L648" t="s">
        <v>1851</v>
      </c>
      <c r="M648" s="1">
        <v>60000</v>
      </c>
      <c r="N648" t="s">
        <v>1858</v>
      </c>
      <c r="O648">
        <v>500</v>
      </c>
      <c r="P648" s="1">
        <v>30000</v>
      </c>
      <c r="S648" s="6" t="str">
        <f t="shared" si="10"/>
        <v xml:space="preserve"> </v>
      </c>
      <c r="T648" s="6" t="str">
        <f>IF(IF(COUNTIF(H$2:$H648,H648)=1,1,"")=1,SUMIF($H$2:$H$7997,H648,$S$2:$S$7997),"")</f>
        <v/>
      </c>
      <c r="W648">
        <v>0</v>
      </c>
      <c r="X648">
        <v>0</v>
      </c>
      <c r="Y648">
        <v>0</v>
      </c>
      <c r="Z648">
        <v>0</v>
      </c>
      <c r="AA648" s="2">
        <v>1</v>
      </c>
      <c r="AB648" s="2">
        <v>0</v>
      </c>
      <c r="AC648" s="2">
        <v>0</v>
      </c>
      <c r="AD648">
        <v>0</v>
      </c>
      <c r="AE648" t="s">
        <v>1863</v>
      </c>
      <c r="AF648">
        <v>30000</v>
      </c>
      <c r="AG648">
        <v>1</v>
      </c>
      <c r="AH648">
        <v>60000</v>
      </c>
      <c r="AI648" s="1" t="s">
        <v>354</v>
      </c>
      <c r="AJ648">
        <v>259384</v>
      </c>
      <c r="AK648" s="1" t="s">
        <v>1867</v>
      </c>
      <c r="AL648" t="s">
        <v>1976</v>
      </c>
      <c r="AN648" t="s">
        <v>2039</v>
      </c>
      <c r="AO648" t="s">
        <v>2067</v>
      </c>
      <c r="AP648" t="s">
        <v>2104</v>
      </c>
      <c r="AQ648">
        <v>129141</v>
      </c>
      <c r="AR648" s="3">
        <v>46203</v>
      </c>
      <c r="AS648" s="3">
        <v>46189</v>
      </c>
      <c r="AT648" s="3">
        <v>46189</v>
      </c>
      <c r="AU648" t="s">
        <v>2126</v>
      </c>
      <c r="AW648" s="3">
        <v>46208.53701449134</v>
      </c>
    </row>
    <row r="649" spans="1:49" ht="16" hidden="1" x14ac:dyDescent="0.2">
      <c r="A649" t="s">
        <v>49</v>
      </c>
      <c r="B649">
        <v>11662</v>
      </c>
      <c r="C649">
        <v>4046</v>
      </c>
      <c r="D649" t="s">
        <v>190</v>
      </c>
      <c r="E649" t="s">
        <v>354</v>
      </c>
      <c r="F649">
        <v>259384</v>
      </c>
      <c r="G649" t="s">
        <v>807</v>
      </c>
      <c r="H649">
        <v>582860</v>
      </c>
      <c r="I649" t="s">
        <v>1588</v>
      </c>
      <c r="J649">
        <v>7319773849</v>
      </c>
      <c r="K649" t="s">
        <v>1835</v>
      </c>
      <c r="L649" t="s">
        <v>1851</v>
      </c>
      <c r="M649" s="1">
        <v>60000</v>
      </c>
      <c r="N649" t="s">
        <v>1858</v>
      </c>
      <c r="O649">
        <v>500</v>
      </c>
      <c r="P649" s="1">
        <v>30000</v>
      </c>
      <c r="S649" s="6" t="str">
        <f t="shared" si="10"/>
        <v xml:space="preserve"> </v>
      </c>
      <c r="T649" s="6" t="str">
        <f>IF(IF(COUNTIF(H$2:$H649,H649)=1,1,"")=1,SUMIF($H$2:$H$7997,H649,$S$2:$S$7997),"")</f>
        <v/>
      </c>
      <c r="W649">
        <v>0</v>
      </c>
      <c r="X649">
        <v>0</v>
      </c>
      <c r="Y649">
        <v>0</v>
      </c>
      <c r="Z649">
        <v>0</v>
      </c>
      <c r="AA649" s="2">
        <v>1</v>
      </c>
      <c r="AB649" s="2">
        <v>0</v>
      </c>
      <c r="AC649" s="2">
        <v>0</v>
      </c>
      <c r="AD649">
        <v>0</v>
      </c>
      <c r="AE649" t="s">
        <v>1863</v>
      </c>
      <c r="AF649">
        <v>30000</v>
      </c>
      <c r="AG649">
        <v>1</v>
      </c>
      <c r="AH649">
        <v>60000</v>
      </c>
      <c r="AI649" s="1" t="s">
        <v>354</v>
      </c>
      <c r="AJ649">
        <v>259384</v>
      </c>
      <c r="AK649" s="1" t="s">
        <v>1867</v>
      </c>
      <c r="AL649" t="s">
        <v>1976</v>
      </c>
      <c r="AN649" t="s">
        <v>2039</v>
      </c>
      <c r="AO649" t="s">
        <v>2067</v>
      </c>
      <c r="AP649" t="s">
        <v>2104</v>
      </c>
      <c r="AQ649">
        <v>129141</v>
      </c>
      <c r="AR649" s="3">
        <v>46203</v>
      </c>
      <c r="AS649" s="3">
        <v>46189</v>
      </c>
      <c r="AT649" s="3">
        <v>46189</v>
      </c>
      <c r="AU649" t="s">
        <v>2126</v>
      </c>
      <c r="AW649" s="3">
        <v>46208.53701449134</v>
      </c>
    </row>
    <row r="650" spans="1:49" ht="16" hidden="1" x14ac:dyDescent="0.2">
      <c r="A650" t="s">
        <v>49</v>
      </c>
      <c r="B650">
        <v>11662</v>
      </c>
      <c r="C650">
        <v>4046</v>
      </c>
      <c r="D650" t="s">
        <v>190</v>
      </c>
      <c r="E650" t="s">
        <v>354</v>
      </c>
      <c r="F650">
        <v>259384</v>
      </c>
      <c r="G650" t="s">
        <v>807</v>
      </c>
      <c r="H650">
        <v>582860</v>
      </c>
      <c r="I650" t="s">
        <v>1568</v>
      </c>
      <c r="J650">
        <v>7317415842</v>
      </c>
      <c r="K650" t="s">
        <v>1835</v>
      </c>
      <c r="L650" t="s">
        <v>1851</v>
      </c>
      <c r="M650" s="1">
        <v>60000</v>
      </c>
      <c r="N650" t="s">
        <v>1858</v>
      </c>
      <c r="O650">
        <v>500</v>
      </c>
      <c r="P650" s="1">
        <v>30000</v>
      </c>
      <c r="S650" s="6" t="str">
        <f t="shared" si="10"/>
        <v xml:space="preserve"> </v>
      </c>
      <c r="T650" s="6" t="str">
        <f>IF(IF(COUNTIF(H$2:$H650,H650)=1,1,"")=1,SUMIF($H$2:$H$7997,H650,$S$2:$S$7997),"")</f>
        <v/>
      </c>
      <c r="W650">
        <v>0</v>
      </c>
      <c r="X650">
        <v>0</v>
      </c>
      <c r="Y650">
        <v>0</v>
      </c>
      <c r="Z650">
        <v>0</v>
      </c>
      <c r="AA650" s="2">
        <v>1</v>
      </c>
      <c r="AB650" s="2">
        <v>0</v>
      </c>
      <c r="AC650" s="2">
        <v>0</v>
      </c>
      <c r="AD650">
        <v>0</v>
      </c>
      <c r="AE650" t="s">
        <v>1863</v>
      </c>
      <c r="AF650">
        <v>30000</v>
      </c>
      <c r="AG650">
        <v>1</v>
      </c>
      <c r="AH650">
        <v>60000</v>
      </c>
      <c r="AI650" s="1" t="s">
        <v>354</v>
      </c>
      <c r="AJ650">
        <v>259384</v>
      </c>
      <c r="AK650" s="1" t="s">
        <v>1867</v>
      </c>
      <c r="AL650" t="s">
        <v>1976</v>
      </c>
      <c r="AN650" t="s">
        <v>2039</v>
      </c>
      <c r="AO650" t="s">
        <v>2067</v>
      </c>
      <c r="AP650" t="s">
        <v>2104</v>
      </c>
      <c r="AQ650">
        <v>129141</v>
      </c>
      <c r="AR650" s="3">
        <v>46203</v>
      </c>
      <c r="AS650" s="3">
        <v>46189</v>
      </c>
      <c r="AT650" s="3">
        <v>46189</v>
      </c>
      <c r="AU650" t="s">
        <v>2126</v>
      </c>
      <c r="AW650" s="3">
        <v>46208.53701449134</v>
      </c>
    </row>
    <row r="651" spans="1:49" ht="16" hidden="1" x14ac:dyDescent="0.2">
      <c r="A651" t="s">
        <v>49</v>
      </c>
      <c r="B651">
        <v>11662</v>
      </c>
      <c r="C651">
        <v>4046</v>
      </c>
      <c r="D651" t="s">
        <v>190</v>
      </c>
      <c r="E651" t="s">
        <v>354</v>
      </c>
      <c r="F651">
        <v>259384</v>
      </c>
      <c r="G651" t="s">
        <v>807</v>
      </c>
      <c r="H651">
        <v>582860</v>
      </c>
      <c r="I651" t="s">
        <v>1595</v>
      </c>
      <c r="J651">
        <v>7321335833</v>
      </c>
      <c r="K651" t="s">
        <v>1835</v>
      </c>
      <c r="L651" t="s">
        <v>1851</v>
      </c>
      <c r="M651" s="1">
        <v>60000</v>
      </c>
      <c r="N651" t="s">
        <v>1858</v>
      </c>
      <c r="O651">
        <v>500</v>
      </c>
      <c r="P651" s="1">
        <v>30000</v>
      </c>
      <c r="S651" s="6" t="str">
        <f t="shared" si="10"/>
        <v xml:space="preserve"> </v>
      </c>
      <c r="T651" s="6" t="str">
        <f>IF(IF(COUNTIF(H$2:$H651,H651)=1,1,"")=1,SUMIF($H$2:$H$7997,H651,$S$2:$S$7997),"")</f>
        <v/>
      </c>
      <c r="W651">
        <v>0</v>
      </c>
      <c r="X651">
        <v>0</v>
      </c>
      <c r="Y651">
        <v>0</v>
      </c>
      <c r="Z651">
        <v>0</v>
      </c>
      <c r="AA651" s="2">
        <v>1</v>
      </c>
      <c r="AB651" s="2">
        <v>0</v>
      </c>
      <c r="AC651" s="2">
        <v>0</v>
      </c>
      <c r="AD651">
        <v>0</v>
      </c>
      <c r="AE651" t="s">
        <v>1863</v>
      </c>
      <c r="AF651">
        <v>30000</v>
      </c>
      <c r="AG651">
        <v>1</v>
      </c>
      <c r="AH651">
        <v>60000</v>
      </c>
      <c r="AI651" s="1" t="s">
        <v>354</v>
      </c>
      <c r="AJ651">
        <v>259384</v>
      </c>
      <c r="AK651" s="1" t="s">
        <v>1867</v>
      </c>
      <c r="AL651" t="s">
        <v>1976</v>
      </c>
      <c r="AN651" t="s">
        <v>2039</v>
      </c>
      <c r="AO651" t="s">
        <v>2067</v>
      </c>
      <c r="AP651" t="s">
        <v>2106</v>
      </c>
      <c r="AQ651">
        <v>129141</v>
      </c>
      <c r="AR651" s="3">
        <v>46203</v>
      </c>
      <c r="AS651" s="3">
        <v>46189</v>
      </c>
      <c r="AT651" s="3">
        <v>46189</v>
      </c>
      <c r="AU651" t="s">
        <v>2126</v>
      </c>
      <c r="AW651" s="3">
        <v>46208.53701449134</v>
      </c>
    </row>
    <row r="652" spans="1:49" ht="16" hidden="1" x14ac:dyDescent="0.2">
      <c r="A652" t="s">
        <v>49</v>
      </c>
      <c r="B652">
        <v>11662</v>
      </c>
      <c r="C652">
        <v>4046</v>
      </c>
      <c r="D652" t="s">
        <v>190</v>
      </c>
      <c r="E652" t="s">
        <v>354</v>
      </c>
      <c r="F652">
        <v>259384</v>
      </c>
      <c r="G652" t="s">
        <v>655</v>
      </c>
      <c r="H652">
        <v>582873</v>
      </c>
      <c r="I652" t="s">
        <v>1275</v>
      </c>
      <c r="J652">
        <v>94270641</v>
      </c>
      <c r="K652" t="s">
        <v>1835</v>
      </c>
      <c r="L652" t="s">
        <v>1850</v>
      </c>
      <c r="M652" s="1">
        <v>25</v>
      </c>
      <c r="N652" t="s">
        <v>1854</v>
      </c>
      <c r="O652">
        <v>895851</v>
      </c>
      <c r="P652" s="1">
        <v>11874.18</v>
      </c>
      <c r="S652" s="6" t="str">
        <f t="shared" si="10"/>
        <v xml:space="preserve"> </v>
      </c>
      <c r="T652" s="6">
        <f>IF(IF(COUNTIF(H$2:$H652,H652)=1,1,"")=1,SUMIF($H$2:$H$7997,H652,$S$2:$S$7997),"")</f>
        <v>0</v>
      </c>
      <c r="W652">
        <v>752910</v>
      </c>
      <c r="X652">
        <v>752910</v>
      </c>
      <c r="Y652">
        <v>895851</v>
      </c>
      <c r="Z652">
        <v>895851</v>
      </c>
      <c r="AA652" s="2">
        <v>1</v>
      </c>
      <c r="AB652" s="2">
        <v>1.189852255312374</v>
      </c>
      <c r="AC652" s="2">
        <v>0</v>
      </c>
      <c r="AD652">
        <v>0</v>
      </c>
      <c r="AE652" t="s">
        <v>1863</v>
      </c>
      <c r="AF652">
        <v>11874.18</v>
      </c>
      <c r="AG652">
        <v>1551560</v>
      </c>
      <c r="AH652">
        <v>38789</v>
      </c>
      <c r="AI652" s="1" t="s">
        <v>354</v>
      </c>
      <c r="AJ652">
        <v>94270638</v>
      </c>
      <c r="AK652" s="1" t="s">
        <v>1867</v>
      </c>
      <c r="AL652" t="s">
        <v>1976</v>
      </c>
      <c r="AN652" t="s">
        <v>2039</v>
      </c>
      <c r="AO652" t="s">
        <v>2067</v>
      </c>
      <c r="AP652" t="s">
        <v>2091</v>
      </c>
      <c r="AQ652">
        <v>129141</v>
      </c>
      <c r="AR652" s="3">
        <v>46203</v>
      </c>
      <c r="AS652" s="3">
        <v>46174</v>
      </c>
      <c r="AT652" s="3">
        <v>46222</v>
      </c>
      <c r="AU652" t="s">
        <v>2123</v>
      </c>
      <c r="AW652" s="3">
        <v>46208.53701449134</v>
      </c>
    </row>
    <row r="653" spans="1:49" ht="16" hidden="1" x14ac:dyDescent="0.2">
      <c r="A653" t="s">
        <v>49</v>
      </c>
      <c r="B653">
        <v>11662</v>
      </c>
      <c r="C653">
        <v>4046</v>
      </c>
      <c r="D653" t="s">
        <v>190</v>
      </c>
      <c r="E653" t="s">
        <v>354</v>
      </c>
      <c r="F653">
        <v>259384</v>
      </c>
      <c r="G653" t="s">
        <v>655</v>
      </c>
      <c r="H653">
        <v>582873</v>
      </c>
      <c r="I653" t="s">
        <v>1476</v>
      </c>
      <c r="J653">
        <v>94977046</v>
      </c>
      <c r="K653" t="s">
        <v>1843</v>
      </c>
      <c r="L653" t="s">
        <v>1851</v>
      </c>
      <c r="M653" s="1">
        <v>25</v>
      </c>
      <c r="N653" t="s">
        <v>1858</v>
      </c>
      <c r="O653">
        <v>198502</v>
      </c>
      <c r="P653" s="1">
        <v>4962.55</v>
      </c>
      <c r="S653" s="6" t="str">
        <f t="shared" si="10"/>
        <v xml:space="preserve"> </v>
      </c>
      <c r="T653" s="6" t="str">
        <f>IF(IF(COUNTIF(H$2:$H653,H653)=1,1,"")=1,SUMIF($H$2:$H$7997,H653,$S$2:$S$7997),"")</f>
        <v/>
      </c>
      <c r="W653">
        <v>188179</v>
      </c>
      <c r="X653">
        <v>188179</v>
      </c>
      <c r="Y653">
        <v>0</v>
      </c>
      <c r="Z653">
        <v>0</v>
      </c>
      <c r="AA653" s="2">
        <v>1</v>
      </c>
      <c r="AB653" s="2">
        <v>0</v>
      </c>
      <c r="AC653" s="2">
        <v>0</v>
      </c>
      <c r="AD653">
        <v>0</v>
      </c>
      <c r="AE653" t="s">
        <v>1863</v>
      </c>
      <c r="AF653">
        <v>4962.55</v>
      </c>
      <c r="AG653">
        <v>648440</v>
      </c>
      <c r="AH653">
        <v>16211</v>
      </c>
      <c r="AI653" s="1" t="s">
        <v>354</v>
      </c>
      <c r="AJ653">
        <v>94270638</v>
      </c>
      <c r="AK653" s="1" t="s">
        <v>1867</v>
      </c>
      <c r="AL653" t="s">
        <v>1976</v>
      </c>
      <c r="AN653" t="s">
        <v>2039</v>
      </c>
      <c r="AO653" t="s">
        <v>2067</v>
      </c>
      <c r="AP653" t="s">
        <v>2099</v>
      </c>
      <c r="AQ653">
        <v>129141</v>
      </c>
      <c r="AR653" s="3">
        <v>46203</v>
      </c>
      <c r="AS653" s="3">
        <v>46174</v>
      </c>
      <c r="AT653" s="3">
        <v>46222</v>
      </c>
      <c r="AU653" t="s">
        <v>2125</v>
      </c>
      <c r="AW653" s="3">
        <v>46208.53701449134</v>
      </c>
    </row>
    <row r="654" spans="1:49" ht="16" hidden="1" x14ac:dyDescent="0.2">
      <c r="A654" t="s">
        <v>49</v>
      </c>
      <c r="B654">
        <v>11662</v>
      </c>
      <c r="C654">
        <v>4046</v>
      </c>
      <c r="D654" t="s">
        <v>190</v>
      </c>
      <c r="E654" t="s">
        <v>354</v>
      </c>
      <c r="F654">
        <v>259384</v>
      </c>
      <c r="G654" t="s">
        <v>656</v>
      </c>
      <c r="H654">
        <v>582880</v>
      </c>
      <c r="I654" t="s">
        <v>1277</v>
      </c>
      <c r="J654">
        <v>94270664</v>
      </c>
      <c r="K654" t="s">
        <v>1839</v>
      </c>
      <c r="L654" t="s">
        <v>1850</v>
      </c>
      <c r="M654" s="1">
        <v>20</v>
      </c>
      <c r="N654" t="s">
        <v>1859</v>
      </c>
      <c r="O654">
        <v>5173952</v>
      </c>
      <c r="P654" s="1">
        <v>46487.76</v>
      </c>
      <c r="S654" s="6" t="str">
        <f t="shared" si="10"/>
        <v xml:space="preserve"> </v>
      </c>
      <c r="T654" s="6">
        <f>IF(IF(COUNTIF(H$2:$H654,H654)=1,1,"")=1,SUMIF($H$2:$H$7997,H654,$S$2:$S$7997),"")</f>
        <v>0</v>
      </c>
      <c r="W654">
        <v>5173952</v>
      </c>
      <c r="X654">
        <v>5173952</v>
      </c>
      <c r="Y654">
        <v>0</v>
      </c>
      <c r="Z654">
        <v>0</v>
      </c>
      <c r="AA654" s="2">
        <v>1</v>
      </c>
      <c r="AB654" s="2">
        <v>0</v>
      </c>
      <c r="AC654" s="2">
        <v>0</v>
      </c>
      <c r="AD654">
        <v>0</v>
      </c>
      <c r="AE654" t="s">
        <v>1863</v>
      </c>
      <c r="AF654">
        <v>46487.76</v>
      </c>
      <c r="AG654">
        <v>7593000</v>
      </c>
      <c r="AH654">
        <v>151860</v>
      </c>
      <c r="AI654" s="1" t="s">
        <v>354</v>
      </c>
      <c r="AJ654">
        <v>94270638</v>
      </c>
      <c r="AK654" s="1" t="s">
        <v>1868</v>
      </c>
      <c r="AL654" t="s">
        <v>1976</v>
      </c>
      <c r="AN654" t="s">
        <v>2039</v>
      </c>
      <c r="AO654" t="s">
        <v>2067</v>
      </c>
      <c r="AP654" t="s">
        <v>2093</v>
      </c>
      <c r="AQ654">
        <v>129141</v>
      </c>
      <c r="AR654" s="3">
        <v>46203</v>
      </c>
      <c r="AS654" s="3">
        <v>46174</v>
      </c>
      <c r="AT654" s="3">
        <v>46222</v>
      </c>
      <c r="AU654" t="s">
        <v>2124</v>
      </c>
      <c r="AW654" s="3">
        <v>46208.53701449134</v>
      </c>
    </row>
    <row r="655" spans="1:49" ht="16" hidden="1" x14ac:dyDescent="0.2">
      <c r="A655" t="s">
        <v>49</v>
      </c>
      <c r="B655">
        <v>11662</v>
      </c>
      <c r="C655">
        <v>4046</v>
      </c>
      <c r="D655" t="s">
        <v>190</v>
      </c>
      <c r="E655" t="s">
        <v>354</v>
      </c>
      <c r="F655">
        <v>259384</v>
      </c>
      <c r="G655" t="s">
        <v>656</v>
      </c>
      <c r="H655">
        <v>582880</v>
      </c>
      <c r="I655" t="s">
        <v>1276</v>
      </c>
      <c r="J655">
        <v>94270652</v>
      </c>
      <c r="K655" t="s">
        <v>1840</v>
      </c>
      <c r="L655" t="s">
        <v>1850</v>
      </c>
      <c r="M655" s="1">
        <v>20</v>
      </c>
      <c r="N655" t="s">
        <v>1859</v>
      </c>
      <c r="O655">
        <v>3422731</v>
      </c>
      <c r="P655" s="1">
        <v>30991.84</v>
      </c>
      <c r="S655" s="6" t="str">
        <f t="shared" si="10"/>
        <v xml:space="preserve"> </v>
      </c>
      <c r="T655" s="6" t="str">
        <f>IF(IF(COUNTIF(H$2:$H655,H655)=1,1,"")=1,SUMIF($H$2:$H$7997,H655,$S$2:$S$7997),"")</f>
        <v/>
      </c>
      <c r="W655">
        <v>3422731</v>
      </c>
      <c r="X655">
        <v>3422731</v>
      </c>
      <c r="Y655">
        <v>0</v>
      </c>
      <c r="Z655">
        <v>0</v>
      </c>
      <c r="AA655" s="2">
        <v>1</v>
      </c>
      <c r="AB655" s="2">
        <v>0</v>
      </c>
      <c r="AC655" s="2">
        <v>0</v>
      </c>
      <c r="AD655">
        <v>0</v>
      </c>
      <c r="AE655" t="s">
        <v>1863</v>
      </c>
      <c r="AF655">
        <v>30991.84</v>
      </c>
      <c r="AG655">
        <v>5062000</v>
      </c>
      <c r="AH655">
        <v>101240</v>
      </c>
      <c r="AI655" s="1" t="s">
        <v>354</v>
      </c>
      <c r="AJ655">
        <v>94270638</v>
      </c>
      <c r="AK655" s="1" t="s">
        <v>1868</v>
      </c>
      <c r="AL655" t="s">
        <v>1976</v>
      </c>
      <c r="AN655" t="s">
        <v>2039</v>
      </c>
      <c r="AO655" t="s">
        <v>2067</v>
      </c>
      <c r="AP655" t="s">
        <v>2083</v>
      </c>
      <c r="AQ655">
        <v>129141</v>
      </c>
      <c r="AR655" s="3">
        <v>46203</v>
      </c>
      <c r="AS655" s="3">
        <v>46174</v>
      </c>
      <c r="AT655" s="3">
        <v>46222</v>
      </c>
      <c r="AU655" t="s">
        <v>2123</v>
      </c>
      <c r="AW655" s="3">
        <v>46208.53701449134</v>
      </c>
    </row>
    <row r="656" spans="1:49" ht="16" hidden="1" x14ac:dyDescent="0.2">
      <c r="A656" t="s">
        <v>49</v>
      </c>
      <c r="B656">
        <v>11662</v>
      </c>
      <c r="C656">
        <v>4046</v>
      </c>
      <c r="D656" t="s">
        <v>190</v>
      </c>
      <c r="E656" t="s">
        <v>354</v>
      </c>
      <c r="F656">
        <v>259384</v>
      </c>
      <c r="G656" t="s">
        <v>912</v>
      </c>
      <c r="H656">
        <v>582957</v>
      </c>
      <c r="I656" t="s">
        <v>1807</v>
      </c>
      <c r="J656">
        <v>582959</v>
      </c>
      <c r="K656" t="s">
        <v>1847</v>
      </c>
      <c r="L656" t="s">
        <v>1851</v>
      </c>
      <c r="M656" s="1">
        <v>250000</v>
      </c>
      <c r="N656" t="s">
        <v>1858</v>
      </c>
      <c r="O656">
        <v>0</v>
      </c>
      <c r="P656" s="1">
        <v>76530.61</v>
      </c>
      <c r="S656" s="6" t="str">
        <f t="shared" si="10"/>
        <v xml:space="preserve"> </v>
      </c>
      <c r="T656" s="6">
        <f>IF(IF(COUNTIF(H$2:$H656,H656)=1,1,"")=1,SUMIF($H$2:$H$7997,H656,$S$2:$S$7997),"")</f>
        <v>0</v>
      </c>
      <c r="W656">
        <v>0</v>
      </c>
      <c r="X656">
        <v>0</v>
      </c>
      <c r="Y656">
        <v>0</v>
      </c>
      <c r="Z656">
        <v>0</v>
      </c>
      <c r="AA656" s="2">
        <v>1</v>
      </c>
      <c r="AB656" s="2">
        <v>0</v>
      </c>
      <c r="AC656" s="2">
        <v>0</v>
      </c>
      <c r="AD656">
        <v>0</v>
      </c>
      <c r="AE656" t="s">
        <v>1863</v>
      </c>
      <c r="AF656">
        <v>76530.61</v>
      </c>
      <c r="AG656">
        <v>1</v>
      </c>
      <c r="AH656">
        <v>250000</v>
      </c>
      <c r="AI656" s="1" t="s">
        <v>354</v>
      </c>
      <c r="AJ656">
        <v>259384</v>
      </c>
      <c r="AK656" s="1" t="s">
        <v>1867</v>
      </c>
      <c r="AL656" t="s">
        <v>1976</v>
      </c>
      <c r="AN656" t="s">
        <v>2039</v>
      </c>
      <c r="AO656" t="s">
        <v>2067</v>
      </c>
      <c r="AP656" t="s">
        <v>2112</v>
      </c>
      <c r="AQ656">
        <v>129141</v>
      </c>
      <c r="AR656" s="3">
        <v>46203</v>
      </c>
      <c r="AS656" s="3">
        <v>46174</v>
      </c>
      <c r="AT656" s="3">
        <v>46222</v>
      </c>
      <c r="AU656" t="s">
        <v>2130</v>
      </c>
      <c r="AW656" s="3">
        <v>46208.53701449134</v>
      </c>
    </row>
    <row r="657" spans="1:49" ht="16" hidden="1" x14ac:dyDescent="0.2">
      <c r="A657" t="s">
        <v>49</v>
      </c>
      <c r="B657">
        <v>11662</v>
      </c>
      <c r="C657">
        <v>4041</v>
      </c>
      <c r="D657" t="s">
        <v>176</v>
      </c>
      <c r="E657" t="s">
        <v>350</v>
      </c>
      <c r="F657">
        <v>259143</v>
      </c>
      <c r="G657" t="s">
        <v>650</v>
      </c>
      <c r="H657">
        <v>581420</v>
      </c>
      <c r="I657" t="s">
        <v>1267</v>
      </c>
      <c r="J657">
        <v>94270019</v>
      </c>
      <c r="K657" t="s">
        <v>1839</v>
      </c>
      <c r="L657" t="s">
        <v>1850</v>
      </c>
      <c r="M657" s="1">
        <v>40</v>
      </c>
      <c r="N657" t="s">
        <v>23</v>
      </c>
      <c r="O657">
        <v>5780020</v>
      </c>
      <c r="P657" s="1">
        <v>231200.8</v>
      </c>
      <c r="S657" s="6" t="str">
        <f t="shared" si="10"/>
        <v xml:space="preserve"> </v>
      </c>
      <c r="T657" s="6">
        <f>IF(IF(COUNTIF(H$2:$H657,H657)=1,1,"")=1,SUMIF($H$2:$H$7997,H657,$S$2:$S$7997),"")</f>
        <v>0</v>
      </c>
      <c r="W657">
        <v>5780020</v>
      </c>
      <c r="X657">
        <v>5780020</v>
      </c>
      <c r="Y657">
        <v>0</v>
      </c>
      <c r="Z657">
        <v>0</v>
      </c>
      <c r="AA657" s="2">
        <v>1</v>
      </c>
      <c r="AB657" s="2">
        <v>0</v>
      </c>
      <c r="AC657" s="2">
        <v>0</v>
      </c>
      <c r="AD657">
        <v>0</v>
      </c>
      <c r="AE657" t="s">
        <v>1862</v>
      </c>
      <c r="AF657">
        <v>112012.89</v>
      </c>
      <c r="AG657">
        <v>8750000</v>
      </c>
      <c r="AH657">
        <v>350000</v>
      </c>
      <c r="AI657" s="1" t="s">
        <v>350</v>
      </c>
      <c r="AJ657">
        <v>94270012</v>
      </c>
      <c r="AK657" s="1" t="s">
        <v>1867</v>
      </c>
      <c r="AL657" t="s">
        <v>1972</v>
      </c>
      <c r="AN657" t="s">
        <v>2039</v>
      </c>
      <c r="AO657" t="s">
        <v>2067</v>
      </c>
      <c r="AP657" t="s">
        <v>2094</v>
      </c>
      <c r="AQ657">
        <v>128767</v>
      </c>
      <c r="AR657" s="3">
        <v>46203</v>
      </c>
      <c r="AS657" s="3">
        <v>46174</v>
      </c>
      <c r="AT657" s="3">
        <v>46222</v>
      </c>
      <c r="AU657" t="s">
        <v>2124</v>
      </c>
      <c r="AW657" s="3">
        <v>46208.53701449134</v>
      </c>
    </row>
    <row r="658" spans="1:49" ht="16" hidden="1" x14ac:dyDescent="0.2">
      <c r="A658" t="s">
        <v>49</v>
      </c>
      <c r="B658">
        <v>11662</v>
      </c>
      <c r="C658">
        <v>4041</v>
      </c>
      <c r="D658" t="s">
        <v>176</v>
      </c>
      <c r="E658" t="s">
        <v>350</v>
      </c>
      <c r="F658">
        <v>259143</v>
      </c>
      <c r="G658" t="s">
        <v>650</v>
      </c>
      <c r="H658">
        <v>581420</v>
      </c>
      <c r="I658" t="s">
        <v>1266</v>
      </c>
      <c r="J658">
        <v>94270015</v>
      </c>
      <c r="K658" t="s">
        <v>1835</v>
      </c>
      <c r="L658" t="s">
        <v>1850</v>
      </c>
      <c r="M658" s="1">
        <v>40</v>
      </c>
      <c r="N658" t="s">
        <v>23</v>
      </c>
      <c r="O658">
        <v>2535829</v>
      </c>
      <c r="P658" s="1">
        <v>101433.16</v>
      </c>
      <c r="S658" s="6" t="str">
        <f t="shared" si="10"/>
        <v xml:space="preserve"> </v>
      </c>
      <c r="T658" s="6" t="str">
        <f>IF(IF(COUNTIF(H$2:$H658,H658)=1,1,"")=1,SUMIF($H$2:$H$7997,H658,$S$2:$S$7997),"")</f>
        <v/>
      </c>
      <c r="W658">
        <v>2535829</v>
      </c>
      <c r="X658">
        <v>2535829</v>
      </c>
      <c r="Y658">
        <v>0</v>
      </c>
      <c r="Z658">
        <v>0</v>
      </c>
      <c r="AA658" s="2">
        <v>1</v>
      </c>
      <c r="AB658" s="2">
        <v>0</v>
      </c>
      <c r="AC658" s="2">
        <v>0</v>
      </c>
      <c r="AD658">
        <v>0</v>
      </c>
      <c r="AE658" t="s">
        <v>1862</v>
      </c>
      <c r="AF658">
        <v>48005.53</v>
      </c>
      <c r="AG658">
        <v>3750000</v>
      </c>
      <c r="AH658">
        <v>150000</v>
      </c>
      <c r="AI658" s="1" t="s">
        <v>350</v>
      </c>
      <c r="AJ658">
        <v>94270012</v>
      </c>
      <c r="AK658" s="1" t="s">
        <v>1867</v>
      </c>
      <c r="AL658" t="s">
        <v>1972</v>
      </c>
      <c r="AN658" t="s">
        <v>2039</v>
      </c>
      <c r="AO658" t="s">
        <v>2067</v>
      </c>
      <c r="AP658" t="s">
        <v>2092</v>
      </c>
      <c r="AQ658">
        <v>128767</v>
      </c>
      <c r="AR658" s="3">
        <v>46203</v>
      </c>
      <c r="AS658" s="3">
        <v>46174</v>
      </c>
      <c r="AT658" s="3">
        <v>46222</v>
      </c>
      <c r="AU658" t="s">
        <v>2123</v>
      </c>
      <c r="AW658" s="3">
        <v>46208.53701449134</v>
      </c>
    </row>
    <row r="659" spans="1:49" ht="16" hidden="1" x14ac:dyDescent="0.2">
      <c r="A659" t="s">
        <v>49</v>
      </c>
      <c r="B659">
        <v>11662</v>
      </c>
      <c r="C659">
        <v>4041</v>
      </c>
      <c r="D659" t="s">
        <v>176</v>
      </c>
      <c r="E659" t="s">
        <v>327</v>
      </c>
      <c r="F659">
        <v>268091</v>
      </c>
      <c r="G659" t="s">
        <v>892</v>
      </c>
      <c r="H659">
        <v>586417</v>
      </c>
      <c r="I659" t="s">
        <v>1810</v>
      </c>
      <c r="J659">
        <v>586418</v>
      </c>
      <c r="K659" t="s">
        <v>1846</v>
      </c>
      <c r="L659" t="s">
        <v>1851</v>
      </c>
      <c r="M659" s="1">
        <v>50000</v>
      </c>
      <c r="N659" t="s">
        <v>1858</v>
      </c>
      <c r="O659">
        <v>0</v>
      </c>
      <c r="P659" s="1">
        <v>12500</v>
      </c>
      <c r="S659" s="6" t="str">
        <f t="shared" si="10"/>
        <v xml:space="preserve"> </v>
      </c>
      <c r="T659" s="6">
        <f>IF(IF(COUNTIF(H$2:$H659,H659)=1,1,"")=1,SUMIF($H$2:$H$7997,H659,$S$2:$S$7997),"")</f>
        <v>0</v>
      </c>
      <c r="W659">
        <v>0</v>
      </c>
      <c r="X659">
        <v>0</v>
      </c>
      <c r="Y659">
        <v>0</v>
      </c>
      <c r="Z659">
        <v>0</v>
      </c>
      <c r="AA659" s="2">
        <v>1</v>
      </c>
      <c r="AB659" s="2">
        <v>0</v>
      </c>
      <c r="AC659" s="2">
        <v>0</v>
      </c>
      <c r="AD659">
        <v>0</v>
      </c>
      <c r="AE659" t="s">
        <v>1863</v>
      </c>
      <c r="AF659">
        <v>12500</v>
      </c>
      <c r="AG659">
        <v>1</v>
      </c>
      <c r="AH659">
        <v>50000</v>
      </c>
      <c r="AI659" s="1" t="s">
        <v>327</v>
      </c>
      <c r="AJ659">
        <v>268091</v>
      </c>
      <c r="AK659" s="1" t="s">
        <v>1867</v>
      </c>
      <c r="AL659" t="s">
        <v>1956</v>
      </c>
      <c r="AN659" t="s">
        <v>2039</v>
      </c>
      <c r="AO659" t="s">
        <v>2067</v>
      </c>
      <c r="AP659" t="s">
        <v>2110</v>
      </c>
      <c r="AQ659">
        <v>128669</v>
      </c>
      <c r="AR659" s="3">
        <v>46203</v>
      </c>
      <c r="AS659" s="3">
        <v>46165</v>
      </c>
      <c r="AT659" s="3">
        <v>46180</v>
      </c>
      <c r="AU659" t="s">
        <v>2128</v>
      </c>
      <c r="AW659" s="3">
        <v>46208.53701449134</v>
      </c>
    </row>
    <row r="660" spans="1:49" ht="16" hidden="1" x14ac:dyDescent="0.2">
      <c r="A660" t="s">
        <v>49</v>
      </c>
      <c r="B660">
        <v>11662</v>
      </c>
      <c r="C660">
        <v>4041</v>
      </c>
      <c r="D660" t="s">
        <v>176</v>
      </c>
      <c r="E660" t="s">
        <v>327</v>
      </c>
      <c r="F660">
        <v>268091</v>
      </c>
      <c r="G660" t="s">
        <v>892</v>
      </c>
      <c r="H660">
        <v>586417</v>
      </c>
      <c r="I660" t="s">
        <v>1712</v>
      </c>
      <c r="J660">
        <v>586421</v>
      </c>
      <c r="K660" t="s">
        <v>1844</v>
      </c>
      <c r="L660" t="s">
        <v>1851</v>
      </c>
      <c r="M660" s="1">
        <v>50000</v>
      </c>
      <c r="N660" t="s">
        <v>1858</v>
      </c>
      <c r="O660">
        <v>0</v>
      </c>
      <c r="P660" s="1">
        <v>12500</v>
      </c>
      <c r="S660" s="6" t="str">
        <f t="shared" si="10"/>
        <v xml:space="preserve"> </v>
      </c>
      <c r="T660" s="6" t="str">
        <f>IF(IF(COUNTIF(H$2:$H660,H660)=1,1,"")=1,SUMIF($H$2:$H$7997,H660,$S$2:$S$7997),"")</f>
        <v/>
      </c>
      <c r="W660">
        <v>0</v>
      </c>
      <c r="X660">
        <v>0</v>
      </c>
      <c r="Y660">
        <v>0</v>
      </c>
      <c r="Z660">
        <v>0</v>
      </c>
      <c r="AA660" s="2">
        <v>1</v>
      </c>
      <c r="AB660" s="2">
        <v>0</v>
      </c>
      <c r="AC660" s="2">
        <v>0</v>
      </c>
      <c r="AD660">
        <v>0</v>
      </c>
      <c r="AE660" t="s">
        <v>1863</v>
      </c>
      <c r="AF660">
        <v>12500</v>
      </c>
      <c r="AG660">
        <v>1</v>
      </c>
      <c r="AH660">
        <v>50000</v>
      </c>
      <c r="AI660" s="1" t="s">
        <v>327</v>
      </c>
      <c r="AJ660">
        <v>268091</v>
      </c>
      <c r="AK660" s="1" t="s">
        <v>1867</v>
      </c>
      <c r="AL660" t="s">
        <v>1956</v>
      </c>
      <c r="AN660" t="s">
        <v>2039</v>
      </c>
      <c r="AO660" t="s">
        <v>2067</v>
      </c>
      <c r="AP660" t="s">
        <v>2107</v>
      </c>
      <c r="AQ660">
        <v>128669</v>
      </c>
      <c r="AR660" s="3">
        <v>46203</v>
      </c>
      <c r="AS660" s="3">
        <v>46165</v>
      </c>
      <c r="AT660" s="3">
        <v>46180</v>
      </c>
      <c r="AU660" t="s">
        <v>2127</v>
      </c>
      <c r="AW660" s="3">
        <v>46208.53701449134</v>
      </c>
    </row>
    <row r="661" spans="1:49" ht="16" hidden="1" x14ac:dyDescent="0.2">
      <c r="A661" t="s">
        <v>49</v>
      </c>
      <c r="B661">
        <v>11662</v>
      </c>
      <c r="C661">
        <v>4041</v>
      </c>
      <c r="D661" t="s">
        <v>176</v>
      </c>
      <c r="E661" t="s">
        <v>327</v>
      </c>
      <c r="F661">
        <v>268091</v>
      </c>
      <c r="G661" t="s">
        <v>892</v>
      </c>
      <c r="H661">
        <v>586417</v>
      </c>
      <c r="I661" t="s">
        <v>1756</v>
      </c>
      <c r="J661">
        <v>586420</v>
      </c>
      <c r="K661" t="s">
        <v>1835</v>
      </c>
      <c r="L661" t="s">
        <v>1851</v>
      </c>
      <c r="M661" s="1">
        <v>50000</v>
      </c>
      <c r="N661" t="s">
        <v>1858</v>
      </c>
      <c r="O661">
        <v>0</v>
      </c>
      <c r="P661" s="1">
        <v>12500</v>
      </c>
      <c r="S661" s="6" t="str">
        <f t="shared" si="10"/>
        <v xml:space="preserve"> </v>
      </c>
      <c r="T661" s="6" t="str">
        <f>IF(IF(COUNTIF(H$2:$H661,H661)=1,1,"")=1,SUMIF($H$2:$H$7997,H661,$S$2:$S$7997),"")</f>
        <v/>
      </c>
      <c r="W661">
        <v>0</v>
      </c>
      <c r="X661">
        <v>0</v>
      </c>
      <c r="Y661">
        <v>0</v>
      </c>
      <c r="Z661">
        <v>0</v>
      </c>
      <c r="AA661" s="2">
        <v>1</v>
      </c>
      <c r="AB661" s="2">
        <v>0</v>
      </c>
      <c r="AC661" s="2">
        <v>0</v>
      </c>
      <c r="AD661">
        <v>0</v>
      </c>
      <c r="AE661" t="s">
        <v>1863</v>
      </c>
      <c r="AF661">
        <v>12500</v>
      </c>
      <c r="AG661">
        <v>1</v>
      </c>
      <c r="AH661">
        <v>50000</v>
      </c>
      <c r="AI661" s="1" t="s">
        <v>327</v>
      </c>
      <c r="AJ661">
        <v>268091</v>
      </c>
      <c r="AK661" s="1" t="s">
        <v>1867</v>
      </c>
      <c r="AL661" t="s">
        <v>1956</v>
      </c>
      <c r="AN661" t="s">
        <v>2039</v>
      </c>
      <c r="AO661" t="s">
        <v>2067</v>
      </c>
      <c r="AP661" t="s">
        <v>2109</v>
      </c>
      <c r="AQ661">
        <v>128669</v>
      </c>
      <c r="AR661" s="3">
        <v>46203</v>
      </c>
      <c r="AS661" s="3">
        <v>46165</v>
      </c>
      <c r="AT661" s="3">
        <v>46180</v>
      </c>
      <c r="AU661" t="s">
        <v>2129</v>
      </c>
      <c r="AW661" s="3">
        <v>46208.53701449134</v>
      </c>
    </row>
    <row r="662" spans="1:49" ht="16" hidden="1" x14ac:dyDescent="0.2">
      <c r="A662" t="s">
        <v>49</v>
      </c>
      <c r="B662">
        <v>11662</v>
      </c>
      <c r="C662">
        <v>4041</v>
      </c>
      <c r="D662" t="s">
        <v>176</v>
      </c>
      <c r="E662" t="s">
        <v>327</v>
      </c>
      <c r="F662">
        <v>268091</v>
      </c>
      <c r="G662" t="s">
        <v>799</v>
      </c>
      <c r="H662">
        <v>586422</v>
      </c>
      <c r="I662" t="s">
        <v>1560</v>
      </c>
      <c r="J662">
        <v>7316109554</v>
      </c>
      <c r="K662" t="s">
        <v>1835</v>
      </c>
      <c r="L662" t="s">
        <v>1851</v>
      </c>
      <c r="M662" s="1">
        <v>12500</v>
      </c>
      <c r="N662" t="s">
        <v>1858</v>
      </c>
      <c r="O662">
        <v>500</v>
      </c>
      <c r="P662" s="1">
        <v>6250</v>
      </c>
      <c r="S662" s="6" t="str">
        <f t="shared" si="10"/>
        <v xml:space="preserve"> </v>
      </c>
      <c r="T662" s="6">
        <f>IF(IF(COUNTIF(H$2:$H662,H662)=1,1,"")=1,SUMIF($H$2:$H$7997,H662,$S$2:$S$7997),"")</f>
        <v>0</v>
      </c>
      <c r="W662">
        <v>0</v>
      </c>
      <c r="X662">
        <v>0</v>
      </c>
      <c r="Y662">
        <v>0</v>
      </c>
      <c r="Z662">
        <v>0</v>
      </c>
      <c r="AA662" s="2">
        <v>1</v>
      </c>
      <c r="AB662" s="2">
        <v>0</v>
      </c>
      <c r="AC662" s="2">
        <v>0</v>
      </c>
      <c r="AD662">
        <v>0</v>
      </c>
      <c r="AE662" t="s">
        <v>1863</v>
      </c>
      <c r="AF662">
        <v>6250</v>
      </c>
      <c r="AG662">
        <v>1</v>
      </c>
      <c r="AH662">
        <v>12500</v>
      </c>
      <c r="AI662" s="1" t="s">
        <v>327</v>
      </c>
      <c r="AJ662">
        <v>268091</v>
      </c>
      <c r="AK662" s="1" t="s">
        <v>1867</v>
      </c>
      <c r="AL662" t="s">
        <v>1956</v>
      </c>
      <c r="AN662" t="s">
        <v>2039</v>
      </c>
      <c r="AO662" t="s">
        <v>2067</v>
      </c>
      <c r="AP662" t="s">
        <v>2104</v>
      </c>
      <c r="AQ662">
        <v>128669</v>
      </c>
      <c r="AR662" s="3">
        <v>46203</v>
      </c>
      <c r="AS662" s="3">
        <v>46179</v>
      </c>
      <c r="AT662" s="3">
        <v>46179</v>
      </c>
      <c r="AU662" t="s">
        <v>2126</v>
      </c>
      <c r="AW662" s="3">
        <v>46208.53701449134</v>
      </c>
    </row>
    <row r="663" spans="1:49" ht="16" hidden="1" x14ac:dyDescent="0.2">
      <c r="A663" t="s">
        <v>49</v>
      </c>
      <c r="B663">
        <v>11662</v>
      </c>
      <c r="C663">
        <v>4041</v>
      </c>
      <c r="D663" t="s">
        <v>176</v>
      </c>
      <c r="E663" t="s">
        <v>327</v>
      </c>
      <c r="F663">
        <v>268091</v>
      </c>
      <c r="G663" t="s">
        <v>799</v>
      </c>
      <c r="H663">
        <v>586422</v>
      </c>
      <c r="I663" t="s">
        <v>1562</v>
      </c>
      <c r="J663">
        <v>7316110955</v>
      </c>
      <c r="K663" t="s">
        <v>1835</v>
      </c>
      <c r="L663" t="s">
        <v>1851</v>
      </c>
      <c r="M663" s="1">
        <v>12500</v>
      </c>
      <c r="N663" t="s">
        <v>1858</v>
      </c>
      <c r="O663">
        <v>500</v>
      </c>
      <c r="P663" s="1">
        <v>6250</v>
      </c>
      <c r="S663" s="6" t="str">
        <f t="shared" si="10"/>
        <v xml:space="preserve"> </v>
      </c>
      <c r="T663" s="6" t="str">
        <f>IF(IF(COUNTIF(H$2:$H663,H663)=1,1,"")=1,SUMIF($H$2:$H$7997,H663,$S$2:$S$7997),"")</f>
        <v/>
      </c>
      <c r="W663">
        <v>0</v>
      </c>
      <c r="X663">
        <v>0</v>
      </c>
      <c r="Y663">
        <v>0</v>
      </c>
      <c r="Z663">
        <v>0</v>
      </c>
      <c r="AA663" s="2">
        <v>1</v>
      </c>
      <c r="AB663" s="2">
        <v>0</v>
      </c>
      <c r="AC663" s="2">
        <v>0</v>
      </c>
      <c r="AD663">
        <v>0</v>
      </c>
      <c r="AE663" t="s">
        <v>1863</v>
      </c>
      <c r="AF663">
        <v>6250</v>
      </c>
      <c r="AG663">
        <v>1</v>
      </c>
      <c r="AH663">
        <v>12500</v>
      </c>
      <c r="AI663" s="1" t="s">
        <v>327</v>
      </c>
      <c r="AJ663">
        <v>268091</v>
      </c>
      <c r="AK663" s="1" t="s">
        <v>1867</v>
      </c>
      <c r="AL663" t="s">
        <v>1956</v>
      </c>
      <c r="AN663" t="s">
        <v>2039</v>
      </c>
      <c r="AO663" t="s">
        <v>2067</v>
      </c>
      <c r="AP663" t="s">
        <v>2104</v>
      </c>
      <c r="AQ663">
        <v>128669</v>
      </c>
      <c r="AR663" s="3">
        <v>46203</v>
      </c>
      <c r="AS663" s="3">
        <v>46179</v>
      </c>
      <c r="AT663" s="3">
        <v>46179</v>
      </c>
      <c r="AU663" t="s">
        <v>2126</v>
      </c>
      <c r="AW663" s="3">
        <v>46208.53701449134</v>
      </c>
    </row>
    <row r="664" spans="1:49" ht="16" hidden="1" x14ac:dyDescent="0.2">
      <c r="A664" t="s">
        <v>49</v>
      </c>
      <c r="B664">
        <v>11662</v>
      </c>
      <c r="C664">
        <v>4041</v>
      </c>
      <c r="D664" t="s">
        <v>176</v>
      </c>
      <c r="E664" t="s">
        <v>327</v>
      </c>
      <c r="F664">
        <v>268091</v>
      </c>
      <c r="G664" t="s">
        <v>799</v>
      </c>
      <c r="H664">
        <v>586422</v>
      </c>
      <c r="I664" t="s">
        <v>1555</v>
      </c>
      <c r="J664">
        <v>7314559345</v>
      </c>
      <c r="K664" t="s">
        <v>1835</v>
      </c>
      <c r="L664" t="s">
        <v>1851</v>
      </c>
      <c r="M664" s="1">
        <v>12500</v>
      </c>
      <c r="N664" t="s">
        <v>1858</v>
      </c>
      <c r="O664">
        <v>500</v>
      </c>
      <c r="P664" s="1">
        <v>6250</v>
      </c>
      <c r="S664" s="6" t="str">
        <f t="shared" si="10"/>
        <v xml:space="preserve"> </v>
      </c>
      <c r="T664" s="6" t="str">
        <f>IF(IF(COUNTIF(H$2:$H664,H664)=1,1,"")=1,SUMIF($H$2:$H$7997,H664,$S$2:$S$7997),"")</f>
        <v/>
      </c>
      <c r="W664">
        <v>0</v>
      </c>
      <c r="X664">
        <v>0</v>
      </c>
      <c r="Y664">
        <v>0</v>
      </c>
      <c r="Z664">
        <v>0</v>
      </c>
      <c r="AA664" s="2">
        <v>1</v>
      </c>
      <c r="AB664" s="2">
        <v>0</v>
      </c>
      <c r="AC664" s="2">
        <v>0</v>
      </c>
      <c r="AD664">
        <v>0</v>
      </c>
      <c r="AE664" t="s">
        <v>1863</v>
      </c>
      <c r="AF664">
        <v>6250</v>
      </c>
      <c r="AG664">
        <v>1</v>
      </c>
      <c r="AH664">
        <v>12500</v>
      </c>
      <c r="AI664" s="1" t="s">
        <v>327</v>
      </c>
      <c r="AJ664">
        <v>268091</v>
      </c>
      <c r="AK664" s="1" t="s">
        <v>1867</v>
      </c>
      <c r="AL664" t="s">
        <v>1956</v>
      </c>
      <c r="AN664" t="s">
        <v>2039</v>
      </c>
      <c r="AO664" t="s">
        <v>2067</v>
      </c>
      <c r="AP664" t="s">
        <v>2104</v>
      </c>
      <c r="AQ664">
        <v>128669</v>
      </c>
      <c r="AR664" s="3">
        <v>46203</v>
      </c>
      <c r="AS664" s="3">
        <v>46179</v>
      </c>
      <c r="AT664" s="3">
        <v>46179</v>
      </c>
      <c r="AU664" t="s">
        <v>2126</v>
      </c>
      <c r="AW664" s="3">
        <v>46208.53701449134</v>
      </c>
    </row>
    <row r="665" spans="1:49" ht="16" hidden="1" x14ac:dyDescent="0.2">
      <c r="A665" t="s">
        <v>49</v>
      </c>
      <c r="B665">
        <v>11662</v>
      </c>
      <c r="C665">
        <v>4041</v>
      </c>
      <c r="D665" t="s">
        <v>176</v>
      </c>
      <c r="E665" t="s">
        <v>327</v>
      </c>
      <c r="F665">
        <v>268091</v>
      </c>
      <c r="G665" t="s">
        <v>799</v>
      </c>
      <c r="H665">
        <v>586422</v>
      </c>
      <c r="I665" t="s">
        <v>1561</v>
      </c>
      <c r="J665">
        <v>7316110505</v>
      </c>
      <c r="K665" t="s">
        <v>1835</v>
      </c>
      <c r="L665" t="s">
        <v>1851</v>
      </c>
      <c r="M665" s="1">
        <v>12500</v>
      </c>
      <c r="N665" t="s">
        <v>1858</v>
      </c>
      <c r="O665">
        <v>500</v>
      </c>
      <c r="P665" s="1">
        <v>6250</v>
      </c>
      <c r="S665" s="6" t="str">
        <f t="shared" si="10"/>
        <v xml:space="preserve"> </v>
      </c>
      <c r="T665" s="6" t="str">
        <f>IF(IF(COUNTIF(H$2:$H665,H665)=1,1,"")=1,SUMIF($H$2:$H$7997,H665,$S$2:$S$7997),"")</f>
        <v/>
      </c>
      <c r="W665">
        <v>0</v>
      </c>
      <c r="X665">
        <v>0</v>
      </c>
      <c r="Y665">
        <v>0</v>
      </c>
      <c r="Z665">
        <v>0</v>
      </c>
      <c r="AA665" s="2">
        <v>1</v>
      </c>
      <c r="AB665" s="2">
        <v>0</v>
      </c>
      <c r="AC665" s="2">
        <v>0</v>
      </c>
      <c r="AD665">
        <v>0</v>
      </c>
      <c r="AE665" t="s">
        <v>1863</v>
      </c>
      <c r="AF665">
        <v>6250</v>
      </c>
      <c r="AG665">
        <v>1</v>
      </c>
      <c r="AH665">
        <v>12500</v>
      </c>
      <c r="AI665" s="1" t="s">
        <v>327</v>
      </c>
      <c r="AJ665">
        <v>268091</v>
      </c>
      <c r="AK665" s="1" t="s">
        <v>1867</v>
      </c>
      <c r="AL665" t="s">
        <v>1956</v>
      </c>
      <c r="AN665" t="s">
        <v>2039</v>
      </c>
      <c r="AO665" t="s">
        <v>2067</v>
      </c>
      <c r="AP665" t="s">
        <v>2104</v>
      </c>
      <c r="AQ665">
        <v>128669</v>
      </c>
      <c r="AR665" s="3">
        <v>46203</v>
      </c>
      <c r="AS665" s="3">
        <v>46179</v>
      </c>
      <c r="AT665" s="3">
        <v>46179</v>
      </c>
      <c r="AU665" t="s">
        <v>2126</v>
      </c>
      <c r="AW665" s="3">
        <v>46208.53701449134</v>
      </c>
    </row>
    <row r="666" spans="1:49" ht="16" hidden="1" x14ac:dyDescent="0.2">
      <c r="A666" t="s">
        <v>49</v>
      </c>
      <c r="B666">
        <v>11662</v>
      </c>
      <c r="C666">
        <v>4041</v>
      </c>
      <c r="D666" t="s">
        <v>176</v>
      </c>
      <c r="E666" t="s">
        <v>327</v>
      </c>
      <c r="F666">
        <v>268091</v>
      </c>
      <c r="G666" t="s">
        <v>614</v>
      </c>
      <c r="H666">
        <v>586505</v>
      </c>
      <c r="I666" t="s">
        <v>1200</v>
      </c>
      <c r="J666">
        <v>94129568</v>
      </c>
      <c r="K666" t="s">
        <v>1839</v>
      </c>
      <c r="L666" t="s">
        <v>1850</v>
      </c>
      <c r="M666" s="1">
        <v>20</v>
      </c>
      <c r="N666" t="s">
        <v>1855</v>
      </c>
      <c r="O666">
        <v>1662058</v>
      </c>
      <c r="P666" s="1">
        <v>33241.160000000003</v>
      </c>
      <c r="S666" s="6" t="str">
        <f t="shared" si="10"/>
        <v xml:space="preserve"> </v>
      </c>
      <c r="T666" s="6">
        <f>IF(IF(COUNTIF(H$2:$H666,H666)=1,1,"")=1,SUMIF($H$2:$H$7997,H666,$S$2:$S$7997),"")</f>
        <v>0</v>
      </c>
      <c r="W666">
        <v>1006385</v>
      </c>
      <c r="X666">
        <v>1662058</v>
      </c>
      <c r="Y666">
        <v>0</v>
      </c>
      <c r="Z666">
        <v>0</v>
      </c>
      <c r="AA666" s="2">
        <v>1</v>
      </c>
      <c r="AB666" s="2">
        <v>0</v>
      </c>
      <c r="AC666" s="2">
        <v>0</v>
      </c>
      <c r="AD666">
        <v>0</v>
      </c>
      <c r="AE666" t="s">
        <v>1862</v>
      </c>
      <c r="AF666">
        <v>9198.43</v>
      </c>
      <c r="AG666">
        <v>2625000</v>
      </c>
      <c r="AH666">
        <v>52500</v>
      </c>
      <c r="AI666" s="1" t="s">
        <v>327</v>
      </c>
      <c r="AJ666">
        <v>94129565</v>
      </c>
      <c r="AK666" s="1" t="s">
        <v>1868</v>
      </c>
      <c r="AL666" t="s">
        <v>1956</v>
      </c>
      <c r="AN666" t="s">
        <v>2039</v>
      </c>
      <c r="AO666" t="s">
        <v>2067</v>
      </c>
      <c r="AP666" t="s">
        <v>2093</v>
      </c>
      <c r="AQ666">
        <v>128669</v>
      </c>
      <c r="AR666" s="3">
        <v>46203</v>
      </c>
      <c r="AS666" s="3">
        <v>46165</v>
      </c>
      <c r="AT666" s="3">
        <v>46180</v>
      </c>
      <c r="AU666" t="s">
        <v>2124</v>
      </c>
      <c r="AW666" s="3">
        <v>46208.53701449134</v>
      </c>
    </row>
    <row r="667" spans="1:49" ht="16" hidden="1" x14ac:dyDescent="0.2">
      <c r="A667" t="s">
        <v>49</v>
      </c>
      <c r="B667">
        <v>11662</v>
      </c>
      <c r="C667">
        <v>4041</v>
      </c>
      <c r="D667" t="s">
        <v>176</v>
      </c>
      <c r="E667" t="s">
        <v>327</v>
      </c>
      <c r="F667">
        <v>268091</v>
      </c>
      <c r="G667" t="s">
        <v>614</v>
      </c>
      <c r="H667">
        <v>586505</v>
      </c>
      <c r="I667" t="s">
        <v>1201</v>
      </c>
      <c r="J667">
        <v>94129571</v>
      </c>
      <c r="K667" t="s">
        <v>1840</v>
      </c>
      <c r="L667" t="s">
        <v>1850</v>
      </c>
      <c r="M667" s="1">
        <v>20</v>
      </c>
      <c r="N667" t="s">
        <v>1855</v>
      </c>
      <c r="O667">
        <v>763644</v>
      </c>
      <c r="P667" s="1">
        <v>15272.88</v>
      </c>
      <c r="S667" s="6" t="str">
        <f t="shared" si="10"/>
        <v xml:space="preserve"> </v>
      </c>
      <c r="T667" s="6" t="str">
        <f>IF(IF(COUNTIF(H$2:$H667,H667)=1,1,"")=1,SUMIF($H$2:$H$7997,H667,$S$2:$S$7997),"")</f>
        <v/>
      </c>
      <c r="W667">
        <v>366874</v>
      </c>
      <c r="X667">
        <v>763644</v>
      </c>
      <c r="Y667">
        <v>0</v>
      </c>
      <c r="Z667">
        <v>0</v>
      </c>
      <c r="AA667" s="2">
        <v>1</v>
      </c>
      <c r="AB667" s="2">
        <v>0</v>
      </c>
      <c r="AC667" s="2">
        <v>0</v>
      </c>
      <c r="AD667">
        <v>0</v>
      </c>
      <c r="AE667" t="s">
        <v>1862</v>
      </c>
      <c r="AF667">
        <v>3942.19</v>
      </c>
      <c r="AG667">
        <v>1125000</v>
      </c>
      <c r="AH667">
        <v>22500</v>
      </c>
      <c r="AI667" s="1" t="s">
        <v>327</v>
      </c>
      <c r="AJ667">
        <v>94129565</v>
      </c>
      <c r="AK667" s="1" t="s">
        <v>1868</v>
      </c>
      <c r="AL667" t="s">
        <v>1956</v>
      </c>
      <c r="AN667" t="s">
        <v>2039</v>
      </c>
      <c r="AO667" t="s">
        <v>2067</v>
      </c>
      <c r="AP667" t="s">
        <v>2083</v>
      </c>
      <c r="AQ667">
        <v>128669</v>
      </c>
      <c r="AR667" s="3">
        <v>46203</v>
      </c>
      <c r="AS667" s="3">
        <v>46165</v>
      </c>
      <c r="AT667" s="3">
        <v>46180</v>
      </c>
      <c r="AU667" t="s">
        <v>2123</v>
      </c>
      <c r="AW667" s="3">
        <v>46208.53701449134</v>
      </c>
    </row>
    <row r="668" spans="1:49" ht="16" hidden="1" x14ac:dyDescent="0.2">
      <c r="A668" t="s">
        <v>49</v>
      </c>
      <c r="B668">
        <v>11662</v>
      </c>
      <c r="C668">
        <v>13289</v>
      </c>
      <c r="D668" t="s">
        <v>111</v>
      </c>
      <c r="E668" t="s">
        <v>223</v>
      </c>
      <c r="F668">
        <v>271386</v>
      </c>
      <c r="G668" t="s">
        <v>750</v>
      </c>
      <c r="H668">
        <v>594161</v>
      </c>
      <c r="I668" t="s">
        <v>1458</v>
      </c>
      <c r="J668">
        <v>94857964</v>
      </c>
      <c r="K668" t="s">
        <v>1839</v>
      </c>
      <c r="L668" t="s">
        <v>1850</v>
      </c>
      <c r="M668" s="1">
        <v>40</v>
      </c>
      <c r="N668" t="s">
        <v>23</v>
      </c>
      <c r="O668">
        <v>574766</v>
      </c>
      <c r="P668" s="1">
        <v>22990.639999999999</v>
      </c>
      <c r="S668" s="6" t="str">
        <f t="shared" si="10"/>
        <v xml:space="preserve"> </v>
      </c>
      <c r="T668" s="6">
        <f>IF(IF(COUNTIF(H$2:$H668,H668)=1,1,"")=1,SUMIF($H$2:$H$7997,H668,$S$2:$S$7997),"")</f>
        <v>0</v>
      </c>
      <c r="W668">
        <v>574766</v>
      </c>
      <c r="X668">
        <v>574766</v>
      </c>
      <c r="Y668">
        <v>0</v>
      </c>
      <c r="Z668">
        <v>0</v>
      </c>
      <c r="AA668" s="2">
        <v>1</v>
      </c>
      <c r="AB668" s="2">
        <v>0</v>
      </c>
      <c r="AC668" s="2">
        <v>0</v>
      </c>
      <c r="AD668">
        <v>0</v>
      </c>
      <c r="AE668" t="s">
        <v>1862</v>
      </c>
      <c r="AF668">
        <v>11704.77</v>
      </c>
      <c r="AG668">
        <v>875000</v>
      </c>
      <c r="AH668">
        <v>35000</v>
      </c>
      <c r="AI668" s="1" t="s">
        <v>223</v>
      </c>
      <c r="AJ668">
        <v>94857953</v>
      </c>
      <c r="AK668" s="1" t="s">
        <v>1867</v>
      </c>
      <c r="AL668" t="s">
        <v>1873</v>
      </c>
      <c r="AN668" t="s">
        <v>2039</v>
      </c>
      <c r="AO668" t="s">
        <v>2067</v>
      </c>
      <c r="AP668" t="s">
        <v>2094</v>
      </c>
      <c r="AQ668">
        <v>132247</v>
      </c>
      <c r="AR668" s="3">
        <v>46203</v>
      </c>
      <c r="AS668" s="3">
        <v>46190</v>
      </c>
      <c r="AT668" s="3">
        <v>46222</v>
      </c>
      <c r="AU668" t="s">
        <v>2124</v>
      </c>
      <c r="AW668" s="3">
        <v>46208.53701449134</v>
      </c>
    </row>
    <row r="669" spans="1:49" ht="16" hidden="1" x14ac:dyDescent="0.2">
      <c r="A669" t="s">
        <v>49</v>
      </c>
      <c r="B669">
        <v>11662</v>
      </c>
      <c r="C669">
        <v>13289</v>
      </c>
      <c r="D669" t="s">
        <v>111</v>
      </c>
      <c r="E669" t="s">
        <v>223</v>
      </c>
      <c r="F669">
        <v>271386</v>
      </c>
      <c r="G669" t="s">
        <v>750</v>
      </c>
      <c r="H669">
        <v>594161</v>
      </c>
      <c r="I669" t="s">
        <v>1459</v>
      </c>
      <c r="J669">
        <v>94857967</v>
      </c>
      <c r="K669" t="s">
        <v>1835</v>
      </c>
      <c r="L669" t="s">
        <v>1850</v>
      </c>
      <c r="M669" s="1">
        <v>40</v>
      </c>
      <c r="N669" t="s">
        <v>23</v>
      </c>
      <c r="O669">
        <v>252300</v>
      </c>
      <c r="P669" s="1">
        <v>10092</v>
      </c>
      <c r="S669" s="6" t="str">
        <f t="shared" si="10"/>
        <v xml:space="preserve"> </v>
      </c>
      <c r="T669" s="6" t="str">
        <f>IF(IF(COUNTIF(H$2:$H669,H669)=1,1,"")=1,SUMIF($H$2:$H$7997,H669,$S$2:$S$7997),"")</f>
        <v/>
      </c>
      <c r="W669">
        <v>252300</v>
      </c>
      <c r="X669">
        <v>252300</v>
      </c>
      <c r="Y669">
        <v>0</v>
      </c>
      <c r="Z669">
        <v>0</v>
      </c>
      <c r="AA669" s="2">
        <v>1</v>
      </c>
      <c r="AB669" s="2">
        <v>0</v>
      </c>
      <c r="AC669" s="2">
        <v>0</v>
      </c>
      <c r="AD669">
        <v>0</v>
      </c>
      <c r="AE669" t="s">
        <v>1862</v>
      </c>
      <c r="AF669">
        <v>5016.33</v>
      </c>
      <c r="AG669">
        <v>375000</v>
      </c>
      <c r="AH669">
        <v>15000</v>
      </c>
      <c r="AI669" s="1" t="s">
        <v>223</v>
      </c>
      <c r="AJ669">
        <v>94857953</v>
      </c>
      <c r="AK669" s="1" t="s">
        <v>1867</v>
      </c>
      <c r="AL669" t="s">
        <v>1873</v>
      </c>
      <c r="AN669" t="s">
        <v>2039</v>
      </c>
      <c r="AO669" t="s">
        <v>2067</v>
      </c>
      <c r="AP669" t="s">
        <v>2092</v>
      </c>
      <c r="AQ669">
        <v>132247</v>
      </c>
      <c r="AR669" s="3">
        <v>46203</v>
      </c>
      <c r="AS669" s="3">
        <v>46190</v>
      </c>
      <c r="AT669" s="3">
        <v>46222</v>
      </c>
      <c r="AU669" t="s">
        <v>2123</v>
      </c>
      <c r="AW669" s="3">
        <v>46208.53701449134</v>
      </c>
    </row>
    <row r="670" spans="1:49" ht="16" hidden="1" x14ac:dyDescent="0.2">
      <c r="A670" t="s">
        <v>49</v>
      </c>
      <c r="B670">
        <v>11662</v>
      </c>
      <c r="C670">
        <v>13289</v>
      </c>
      <c r="D670" t="s">
        <v>111</v>
      </c>
      <c r="E670" t="s">
        <v>223</v>
      </c>
      <c r="F670">
        <v>271386</v>
      </c>
      <c r="G670" t="s">
        <v>751</v>
      </c>
      <c r="H670">
        <v>594168</v>
      </c>
      <c r="I670" t="s">
        <v>1460</v>
      </c>
      <c r="J670">
        <v>94857970</v>
      </c>
      <c r="K670" t="s">
        <v>1835</v>
      </c>
      <c r="L670" t="s">
        <v>1850</v>
      </c>
      <c r="M670" s="1">
        <v>27</v>
      </c>
      <c r="N670" t="s">
        <v>1853</v>
      </c>
      <c r="O670">
        <v>17340</v>
      </c>
      <c r="P670" s="1">
        <v>468.18</v>
      </c>
      <c r="S670" s="6" t="str">
        <f t="shared" si="10"/>
        <v xml:space="preserve"> </v>
      </c>
      <c r="T670" s="6">
        <f>IF(IF(COUNTIF(H$2:$H670,H670)=1,1,"")=1,SUMIF($H$2:$H$7997,H670,$S$2:$S$7997),"")</f>
        <v>0</v>
      </c>
      <c r="W670">
        <v>14392</v>
      </c>
      <c r="X670">
        <v>14392</v>
      </c>
      <c r="Y670">
        <v>17340</v>
      </c>
      <c r="Z670">
        <v>17340</v>
      </c>
      <c r="AA670" s="2">
        <v>1</v>
      </c>
      <c r="AB670" s="2">
        <v>1.2048844792895299</v>
      </c>
      <c r="AC670" s="2">
        <v>0</v>
      </c>
      <c r="AD670">
        <v>0</v>
      </c>
      <c r="AE670" t="s">
        <v>1862</v>
      </c>
      <c r="AF670">
        <v>11.02</v>
      </c>
      <c r="AG670">
        <v>44148</v>
      </c>
      <c r="AH670">
        <v>1192</v>
      </c>
      <c r="AI670" s="1" t="s">
        <v>223</v>
      </c>
      <c r="AJ670">
        <v>94857953</v>
      </c>
      <c r="AK670" s="1" t="s">
        <v>1867</v>
      </c>
      <c r="AL670" t="s">
        <v>1873</v>
      </c>
      <c r="AN670" t="s">
        <v>2039</v>
      </c>
      <c r="AO670" t="s">
        <v>2067</v>
      </c>
      <c r="AP670" t="s">
        <v>2091</v>
      </c>
      <c r="AQ670">
        <v>132247</v>
      </c>
      <c r="AR670" s="3">
        <v>46203</v>
      </c>
      <c r="AS670" s="3">
        <v>46190</v>
      </c>
      <c r="AT670" s="3">
        <v>46222</v>
      </c>
      <c r="AU670" t="s">
        <v>2123</v>
      </c>
      <c r="AW670" s="3">
        <v>46208.53701449134</v>
      </c>
    </row>
    <row r="671" spans="1:49" ht="16" hidden="1" x14ac:dyDescent="0.2">
      <c r="A671" t="s">
        <v>49</v>
      </c>
      <c r="B671">
        <v>11662</v>
      </c>
      <c r="C671">
        <v>13289</v>
      </c>
      <c r="D671" t="s">
        <v>111</v>
      </c>
      <c r="E671" t="s">
        <v>223</v>
      </c>
      <c r="F671">
        <v>271386</v>
      </c>
      <c r="G671" t="s">
        <v>751</v>
      </c>
      <c r="H671">
        <v>594168</v>
      </c>
      <c r="I671" t="s">
        <v>1486</v>
      </c>
      <c r="J671">
        <v>95009109</v>
      </c>
      <c r="K671" t="s">
        <v>1843</v>
      </c>
      <c r="L671" t="s">
        <v>1850</v>
      </c>
      <c r="M671" s="1">
        <v>27</v>
      </c>
      <c r="N671" t="s">
        <v>23</v>
      </c>
      <c r="O671">
        <v>234885</v>
      </c>
      <c r="P671" s="1">
        <v>6341.9</v>
      </c>
      <c r="S671" s="6" t="str">
        <f t="shared" si="10"/>
        <v xml:space="preserve"> </v>
      </c>
      <c r="T671" s="6" t="str">
        <f>IF(IF(COUNTIF(H$2:$H671,H671)=1,1,"")=1,SUMIF($H$2:$H$7997,H671,$S$2:$S$7997),"")</f>
        <v/>
      </c>
      <c r="W671">
        <v>234885</v>
      </c>
      <c r="X671">
        <v>234885</v>
      </c>
      <c r="Y671">
        <v>0</v>
      </c>
      <c r="Z671">
        <v>0</v>
      </c>
      <c r="AA671" s="2">
        <v>1</v>
      </c>
      <c r="AB671" s="2">
        <v>0</v>
      </c>
      <c r="AC671" s="2">
        <v>0</v>
      </c>
      <c r="AD671">
        <v>0</v>
      </c>
      <c r="AE671" t="s">
        <v>1862</v>
      </c>
      <c r="AF671">
        <v>220.11</v>
      </c>
      <c r="AG671">
        <v>881778</v>
      </c>
      <c r="AH671">
        <v>23808.01</v>
      </c>
      <c r="AI671" s="1" t="s">
        <v>223</v>
      </c>
      <c r="AJ671">
        <v>94857953</v>
      </c>
      <c r="AK671" s="1" t="s">
        <v>1867</v>
      </c>
      <c r="AL671" t="s">
        <v>1873</v>
      </c>
      <c r="AN671" t="s">
        <v>2039</v>
      </c>
      <c r="AO671" t="s">
        <v>2067</v>
      </c>
      <c r="AP671" t="s">
        <v>2099</v>
      </c>
      <c r="AQ671">
        <v>132247</v>
      </c>
      <c r="AR671" s="3">
        <v>46203</v>
      </c>
      <c r="AS671" s="3">
        <v>46190</v>
      </c>
      <c r="AT671" s="3">
        <v>46222</v>
      </c>
      <c r="AU671" t="s">
        <v>2125</v>
      </c>
      <c r="AW671" s="3">
        <v>46208.53701449134</v>
      </c>
    </row>
    <row r="672" spans="1:49" ht="16" hidden="1" x14ac:dyDescent="0.2">
      <c r="A672" t="s">
        <v>49</v>
      </c>
      <c r="B672">
        <v>11662</v>
      </c>
      <c r="C672">
        <v>13289</v>
      </c>
      <c r="D672" t="s">
        <v>111</v>
      </c>
      <c r="E672" t="s">
        <v>223</v>
      </c>
      <c r="F672">
        <v>271386</v>
      </c>
      <c r="G672" t="s">
        <v>749</v>
      </c>
      <c r="H672">
        <v>594170</v>
      </c>
      <c r="I672" t="s">
        <v>1457</v>
      </c>
      <c r="J672">
        <v>94857959</v>
      </c>
      <c r="K672" t="s">
        <v>1839</v>
      </c>
      <c r="L672" t="s">
        <v>1850</v>
      </c>
      <c r="M672" s="1">
        <v>23</v>
      </c>
      <c r="N672" t="s">
        <v>1855</v>
      </c>
      <c r="O672">
        <v>3664298</v>
      </c>
      <c r="P672" s="1">
        <v>84278.85</v>
      </c>
      <c r="S672" s="6" t="str">
        <f t="shared" si="10"/>
        <v xml:space="preserve"> </v>
      </c>
      <c r="T672" s="6">
        <f>IF(IF(COUNTIF(H$2:$H672,H672)=1,1,"")=1,SUMIF($H$2:$H$7997,H672,$S$2:$S$7997),"")</f>
        <v>0</v>
      </c>
      <c r="W672">
        <v>3664298</v>
      </c>
      <c r="X672">
        <v>3664298</v>
      </c>
      <c r="Y672">
        <v>0</v>
      </c>
      <c r="Z672">
        <v>0</v>
      </c>
      <c r="AA672" s="2">
        <v>1</v>
      </c>
      <c r="AB672" s="2">
        <v>0</v>
      </c>
      <c r="AC672" s="2">
        <v>0</v>
      </c>
      <c r="AD672">
        <v>0</v>
      </c>
      <c r="AE672" t="s">
        <v>1862</v>
      </c>
      <c r="AF672">
        <v>39773.51</v>
      </c>
      <c r="AG672">
        <v>9737792</v>
      </c>
      <c r="AH672">
        <v>223969.22</v>
      </c>
      <c r="AI672" s="1" t="s">
        <v>223</v>
      </c>
      <c r="AJ672">
        <v>94857953</v>
      </c>
      <c r="AK672" s="1" t="s">
        <v>1868</v>
      </c>
      <c r="AL672" t="s">
        <v>1873</v>
      </c>
      <c r="AN672" t="s">
        <v>2039</v>
      </c>
      <c r="AO672" t="s">
        <v>2067</v>
      </c>
      <c r="AP672" t="s">
        <v>2093</v>
      </c>
      <c r="AQ672">
        <v>132247</v>
      </c>
      <c r="AR672" s="3">
        <v>46203</v>
      </c>
      <c r="AS672" s="3">
        <v>46190</v>
      </c>
      <c r="AT672" s="3">
        <v>46222</v>
      </c>
      <c r="AU672" t="s">
        <v>2124</v>
      </c>
      <c r="AW672" s="3">
        <v>46208.53701449134</v>
      </c>
    </row>
    <row r="673" spans="1:49" ht="16" hidden="1" x14ac:dyDescent="0.2">
      <c r="A673" t="s">
        <v>49</v>
      </c>
      <c r="B673">
        <v>11662</v>
      </c>
      <c r="C673">
        <v>13289</v>
      </c>
      <c r="D673" t="s">
        <v>111</v>
      </c>
      <c r="E673" t="s">
        <v>223</v>
      </c>
      <c r="F673">
        <v>271386</v>
      </c>
      <c r="G673" t="s">
        <v>749</v>
      </c>
      <c r="H673">
        <v>594170</v>
      </c>
      <c r="I673" t="s">
        <v>1456</v>
      </c>
      <c r="J673">
        <v>94857956</v>
      </c>
      <c r="K673" t="s">
        <v>1840</v>
      </c>
      <c r="L673" t="s">
        <v>1850</v>
      </c>
      <c r="M673" s="1">
        <v>23</v>
      </c>
      <c r="N673" t="s">
        <v>1855</v>
      </c>
      <c r="O673">
        <v>2081072</v>
      </c>
      <c r="P673" s="1">
        <v>47864.66</v>
      </c>
      <c r="S673" s="6" t="str">
        <f t="shared" si="10"/>
        <v xml:space="preserve"> </v>
      </c>
      <c r="T673" s="6" t="str">
        <f>IF(IF(COUNTIF(H$2:$H673,H673)=1,1,"")=1,SUMIF($H$2:$H$7997,H673,$S$2:$S$7997),"")</f>
        <v/>
      </c>
      <c r="W673">
        <v>2081072</v>
      </c>
      <c r="X673">
        <v>2081072</v>
      </c>
      <c r="Y673">
        <v>0</v>
      </c>
      <c r="Z673">
        <v>0</v>
      </c>
      <c r="AA673" s="2">
        <v>1</v>
      </c>
      <c r="AB673" s="2">
        <v>0</v>
      </c>
      <c r="AC673" s="2">
        <v>0</v>
      </c>
      <c r="AD673">
        <v>0</v>
      </c>
      <c r="AE673" t="s">
        <v>1862</v>
      </c>
      <c r="AF673">
        <v>26515.67</v>
      </c>
      <c r="AG673">
        <v>6491860</v>
      </c>
      <c r="AH673">
        <v>149312.78</v>
      </c>
      <c r="AI673" s="1" t="s">
        <v>223</v>
      </c>
      <c r="AJ673">
        <v>94857953</v>
      </c>
      <c r="AK673" s="1" t="s">
        <v>1868</v>
      </c>
      <c r="AL673" t="s">
        <v>1873</v>
      </c>
      <c r="AN673" t="s">
        <v>2039</v>
      </c>
      <c r="AO673" t="s">
        <v>2067</v>
      </c>
      <c r="AP673" t="s">
        <v>2083</v>
      </c>
      <c r="AQ673">
        <v>132247</v>
      </c>
      <c r="AR673" s="3">
        <v>46203</v>
      </c>
      <c r="AS673" s="3">
        <v>46190</v>
      </c>
      <c r="AT673" s="3">
        <v>46222</v>
      </c>
      <c r="AU673" t="s">
        <v>2123</v>
      </c>
      <c r="AW673" s="3">
        <v>46208.53701449134</v>
      </c>
    </row>
    <row r="674" spans="1:49" ht="16" hidden="1" x14ac:dyDescent="0.2">
      <c r="A674" t="s">
        <v>49</v>
      </c>
      <c r="B674">
        <v>11662</v>
      </c>
      <c r="C674">
        <v>13289</v>
      </c>
      <c r="D674" t="s">
        <v>111</v>
      </c>
      <c r="E674" t="s">
        <v>223</v>
      </c>
      <c r="F674">
        <v>271386</v>
      </c>
      <c r="G674" t="s">
        <v>434</v>
      </c>
      <c r="H674">
        <v>594619</v>
      </c>
      <c r="I674" t="s">
        <v>434</v>
      </c>
      <c r="J674">
        <v>103901</v>
      </c>
      <c r="K674" t="s">
        <v>1834</v>
      </c>
      <c r="L674" t="s">
        <v>1850</v>
      </c>
      <c r="M674" s="1">
        <v>19.25</v>
      </c>
      <c r="N674" t="s">
        <v>23</v>
      </c>
      <c r="O674">
        <v>0</v>
      </c>
      <c r="P674" s="1">
        <v>0</v>
      </c>
      <c r="S674" s="6" t="str">
        <f t="shared" si="10"/>
        <v xml:space="preserve"> </v>
      </c>
      <c r="T674" s="6">
        <f>IF(IF(COUNTIF(H$2:$H674,H674)=1,1,"")=1,SUMIF($H$2:$H$7997,H674,$S$2:$S$7997),"")</f>
        <v>0</v>
      </c>
      <c r="W674">
        <v>0</v>
      </c>
      <c r="X674">
        <v>0</v>
      </c>
      <c r="Y674">
        <v>0</v>
      </c>
      <c r="Z674">
        <v>0</v>
      </c>
      <c r="AA674" s="2">
        <v>1</v>
      </c>
      <c r="AB674" s="2">
        <v>0</v>
      </c>
      <c r="AC674" s="2">
        <v>0</v>
      </c>
      <c r="AD674">
        <v>0</v>
      </c>
      <c r="AE674" t="s">
        <v>1862</v>
      </c>
      <c r="AF674">
        <v>5368.63</v>
      </c>
      <c r="AG674">
        <v>9740260</v>
      </c>
      <c r="AH674">
        <v>187500.01</v>
      </c>
      <c r="AI674" s="1" t="s">
        <v>223</v>
      </c>
      <c r="AJ674">
        <v>271386</v>
      </c>
      <c r="AK674" s="1" t="s">
        <v>1867</v>
      </c>
      <c r="AL674" t="s">
        <v>1873</v>
      </c>
      <c r="AN674" t="s">
        <v>2039</v>
      </c>
      <c r="AO674" t="s">
        <v>2067</v>
      </c>
      <c r="AP674" t="s">
        <v>2069</v>
      </c>
      <c r="AQ674">
        <v>132247</v>
      </c>
      <c r="AR674" s="3">
        <v>46203</v>
      </c>
      <c r="AS674" s="3">
        <v>46198</v>
      </c>
      <c r="AT674" s="3">
        <v>46222</v>
      </c>
      <c r="AU674" t="s">
        <v>2122</v>
      </c>
      <c r="AW674" s="3">
        <v>46208.53701449134</v>
      </c>
    </row>
    <row r="675" spans="1:49" ht="16" hidden="1" x14ac:dyDescent="0.2">
      <c r="A675" t="s">
        <v>49</v>
      </c>
      <c r="B675">
        <v>11662</v>
      </c>
      <c r="C675">
        <v>13289</v>
      </c>
      <c r="D675" t="s">
        <v>111</v>
      </c>
      <c r="E675" t="s">
        <v>407</v>
      </c>
      <c r="F675">
        <v>271465</v>
      </c>
      <c r="G675" t="s">
        <v>760</v>
      </c>
      <c r="H675">
        <v>594390</v>
      </c>
      <c r="I675" t="s">
        <v>1488</v>
      </c>
      <c r="J675">
        <v>95009280</v>
      </c>
      <c r="K675" t="s">
        <v>1839</v>
      </c>
      <c r="L675" t="s">
        <v>1850</v>
      </c>
      <c r="M675" s="1">
        <v>23</v>
      </c>
      <c r="N675" t="s">
        <v>1855</v>
      </c>
      <c r="O675">
        <v>86976</v>
      </c>
      <c r="P675" s="1">
        <v>2000.45</v>
      </c>
      <c r="S675" s="6" t="str">
        <f t="shared" si="10"/>
        <v xml:space="preserve"> </v>
      </c>
      <c r="T675" s="6">
        <f>IF(IF(COUNTIF(H$2:$H675,H675)=1,1,"")=1,SUMIF($H$2:$H$7997,H675,$S$2:$S$7997),"")</f>
        <v>0</v>
      </c>
      <c r="W675">
        <v>86976</v>
      </c>
      <c r="X675">
        <v>86976</v>
      </c>
      <c r="Y675">
        <v>0</v>
      </c>
      <c r="Z675">
        <v>0</v>
      </c>
      <c r="AA675" s="2">
        <v>1</v>
      </c>
      <c r="AB675" s="2">
        <v>0</v>
      </c>
      <c r="AC675" s="2">
        <v>0</v>
      </c>
      <c r="AD675">
        <v>0</v>
      </c>
      <c r="AE675" t="s">
        <v>1862</v>
      </c>
      <c r="AF675">
        <v>1119.01</v>
      </c>
      <c r="AG675">
        <v>1564383</v>
      </c>
      <c r="AH675">
        <v>35980.81</v>
      </c>
      <c r="AI675" s="1" t="s">
        <v>407</v>
      </c>
      <c r="AJ675">
        <v>95009267</v>
      </c>
      <c r="AK675" s="1" t="s">
        <v>1868</v>
      </c>
      <c r="AL675" t="s">
        <v>2015</v>
      </c>
      <c r="AN675" t="s">
        <v>2039</v>
      </c>
      <c r="AO675" t="s">
        <v>2067</v>
      </c>
      <c r="AP675" t="s">
        <v>2093</v>
      </c>
      <c r="AQ675">
        <v>133182</v>
      </c>
      <c r="AR675" s="3">
        <v>46203</v>
      </c>
      <c r="AS675" s="3">
        <v>46203</v>
      </c>
      <c r="AT675" s="3">
        <v>46222</v>
      </c>
      <c r="AU675" t="s">
        <v>2124</v>
      </c>
      <c r="AW675" s="3">
        <v>46208.53701449134</v>
      </c>
    </row>
    <row r="676" spans="1:49" ht="16" hidden="1" x14ac:dyDescent="0.2">
      <c r="A676" t="s">
        <v>49</v>
      </c>
      <c r="B676">
        <v>11662</v>
      </c>
      <c r="C676">
        <v>13289</v>
      </c>
      <c r="D676" t="s">
        <v>111</v>
      </c>
      <c r="E676" t="s">
        <v>407</v>
      </c>
      <c r="F676">
        <v>271465</v>
      </c>
      <c r="G676" t="s">
        <v>760</v>
      </c>
      <c r="H676">
        <v>594390</v>
      </c>
      <c r="I676" t="s">
        <v>1487</v>
      </c>
      <c r="J676">
        <v>95009277</v>
      </c>
      <c r="K676" t="s">
        <v>1840</v>
      </c>
      <c r="L676" t="s">
        <v>1850</v>
      </c>
      <c r="M676" s="1">
        <v>23</v>
      </c>
      <c r="N676" t="s">
        <v>1855</v>
      </c>
      <c r="O676">
        <v>57909</v>
      </c>
      <c r="P676" s="1">
        <v>1331.91</v>
      </c>
      <c r="S676" s="6" t="str">
        <f t="shared" si="10"/>
        <v xml:space="preserve"> </v>
      </c>
      <c r="T676" s="6" t="str">
        <f>IF(IF(COUNTIF(H$2:$H676,H676)=1,1,"")=1,SUMIF($H$2:$H$7997,H676,$S$2:$S$7997),"")</f>
        <v/>
      </c>
      <c r="W676">
        <v>57909</v>
      </c>
      <c r="X676">
        <v>57909</v>
      </c>
      <c r="Y676">
        <v>0</v>
      </c>
      <c r="Z676">
        <v>0</v>
      </c>
      <c r="AA676" s="2">
        <v>1</v>
      </c>
      <c r="AB676" s="2">
        <v>0</v>
      </c>
      <c r="AC676" s="2">
        <v>0</v>
      </c>
      <c r="AD676">
        <v>0</v>
      </c>
      <c r="AE676" t="s">
        <v>1862</v>
      </c>
      <c r="AF676">
        <v>746.01</v>
      </c>
      <c r="AG676">
        <v>1042922</v>
      </c>
      <c r="AH676">
        <v>23987.21</v>
      </c>
      <c r="AI676" s="1" t="s">
        <v>407</v>
      </c>
      <c r="AJ676">
        <v>95009267</v>
      </c>
      <c r="AK676" s="1" t="s">
        <v>1868</v>
      </c>
      <c r="AL676" t="s">
        <v>2015</v>
      </c>
      <c r="AN676" t="s">
        <v>2039</v>
      </c>
      <c r="AO676" t="s">
        <v>2067</v>
      </c>
      <c r="AP676" t="s">
        <v>2083</v>
      </c>
      <c r="AQ676">
        <v>133182</v>
      </c>
      <c r="AR676" s="3">
        <v>46203</v>
      </c>
      <c r="AS676" s="3">
        <v>46203</v>
      </c>
      <c r="AT676" s="3">
        <v>46222</v>
      </c>
      <c r="AU676" t="s">
        <v>2123</v>
      </c>
      <c r="AW676" s="3">
        <v>46208.53701449134</v>
      </c>
    </row>
    <row r="677" spans="1:49" ht="16" hidden="1" x14ac:dyDescent="0.2">
      <c r="A677" t="s">
        <v>49</v>
      </c>
      <c r="B677">
        <v>11662</v>
      </c>
      <c r="C677">
        <v>13289</v>
      </c>
      <c r="D677" t="s">
        <v>111</v>
      </c>
      <c r="E677" t="s">
        <v>407</v>
      </c>
      <c r="F677">
        <v>271465</v>
      </c>
      <c r="G677" t="s">
        <v>848</v>
      </c>
      <c r="H677">
        <v>594394</v>
      </c>
      <c r="I677" t="s">
        <v>1731</v>
      </c>
      <c r="J677">
        <v>594395</v>
      </c>
      <c r="K677" t="s">
        <v>1846</v>
      </c>
      <c r="L677" t="s">
        <v>1851</v>
      </c>
      <c r="M677" s="1">
        <v>124333</v>
      </c>
      <c r="N677" t="s">
        <v>1858</v>
      </c>
      <c r="O677">
        <v>0</v>
      </c>
      <c r="P677" s="1">
        <v>18419.7</v>
      </c>
      <c r="S677" s="6" t="str">
        <f t="shared" si="10"/>
        <v xml:space="preserve"> </v>
      </c>
      <c r="T677" s="6">
        <f>IF(IF(COUNTIF(H$2:$H677,H677)=1,1,"")=1,SUMIF($H$2:$H$7997,H677,$S$2:$S$7997),"")</f>
        <v>0</v>
      </c>
      <c r="W677">
        <v>0</v>
      </c>
      <c r="X677">
        <v>0</v>
      </c>
      <c r="Y677">
        <v>0</v>
      </c>
      <c r="Z677">
        <v>0</v>
      </c>
      <c r="AA677" s="2">
        <v>1</v>
      </c>
      <c r="AB677" s="2">
        <v>0</v>
      </c>
      <c r="AC677" s="2">
        <v>0</v>
      </c>
      <c r="AD677">
        <v>0</v>
      </c>
      <c r="AE677" t="s">
        <v>1863</v>
      </c>
      <c r="AF677">
        <v>18419.7</v>
      </c>
      <c r="AG677">
        <v>1</v>
      </c>
      <c r="AH677">
        <v>124333</v>
      </c>
      <c r="AI677" s="1" t="s">
        <v>407</v>
      </c>
      <c r="AJ677">
        <v>271465</v>
      </c>
      <c r="AK677" s="1" t="s">
        <v>1867</v>
      </c>
      <c r="AL677" t="s">
        <v>2015</v>
      </c>
      <c r="AN677" t="s">
        <v>2039</v>
      </c>
      <c r="AO677" t="s">
        <v>2067</v>
      </c>
      <c r="AP677" t="s">
        <v>2110</v>
      </c>
      <c r="AQ677">
        <v>133182</v>
      </c>
      <c r="AR677" s="3">
        <v>46203</v>
      </c>
      <c r="AS677" s="3">
        <v>46196</v>
      </c>
      <c r="AT677" s="3">
        <v>46222</v>
      </c>
      <c r="AU677" t="s">
        <v>2128</v>
      </c>
      <c r="AW677" s="3">
        <v>46208.53701449134</v>
      </c>
    </row>
    <row r="678" spans="1:49" ht="16" hidden="1" x14ac:dyDescent="0.2">
      <c r="A678" t="s">
        <v>49</v>
      </c>
      <c r="B678">
        <v>11662</v>
      </c>
      <c r="C678">
        <v>13289</v>
      </c>
      <c r="D678" t="s">
        <v>111</v>
      </c>
      <c r="E678" t="s">
        <v>407</v>
      </c>
      <c r="F678">
        <v>271465</v>
      </c>
      <c r="G678" t="s">
        <v>848</v>
      </c>
      <c r="H678">
        <v>594394</v>
      </c>
      <c r="I678" t="s">
        <v>1644</v>
      </c>
      <c r="J678">
        <v>594397</v>
      </c>
      <c r="K678" t="s">
        <v>1844</v>
      </c>
      <c r="L678" t="s">
        <v>1851</v>
      </c>
      <c r="M678" s="1">
        <v>124333</v>
      </c>
      <c r="N678" t="s">
        <v>1858</v>
      </c>
      <c r="O678">
        <v>0</v>
      </c>
      <c r="P678" s="1">
        <v>18419.7</v>
      </c>
      <c r="S678" s="6" t="str">
        <f t="shared" si="10"/>
        <v xml:space="preserve"> </v>
      </c>
      <c r="T678" s="6" t="str">
        <f>IF(IF(COUNTIF(H$2:$H678,H678)=1,1,"")=1,SUMIF($H$2:$H$7997,H678,$S$2:$S$7997),"")</f>
        <v/>
      </c>
      <c r="W678">
        <v>0</v>
      </c>
      <c r="X678">
        <v>0</v>
      </c>
      <c r="Y678">
        <v>0</v>
      </c>
      <c r="Z678">
        <v>0</v>
      </c>
      <c r="AA678" s="2">
        <v>1</v>
      </c>
      <c r="AB678" s="2">
        <v>0</v>
      </c>
      <c r="AC678" s="2">
        <v>0</v>
      </c>
      <c r="AD678">
        <v>0</v>
      </c>
      <c r="AE678" t="s">
        <v>1863</v>
      </c>
      <c r="AF678">
        <v>18419.7</v>
      </c>
      <c r="AG678">
        <v>1</v>
      </c>
      <c r="AH678">
        <v>124333</v>
      </c>
      <c r="AI678" s="1" t="s">
        <v>407</v>
      </c>
      <c r="AJ678">
        <v>271465</v>
      </c>
      <c r="AK678" s="1" t="s">
        <v>1867</v>
      </c>
      <c r="AL678" t="s">
        <v>2015</v>
      </c>
      <c r="AN678" t="s">
        <v>2039</v>
      </c>
      <c r="AO678" t="s">
        <v>2067</v>
      </c>
      <c r="AP678" t="s">
        <v>2107</v>
      </c>
      <c r="AQ678">
        <v>133182</v>
      </c>
      <c r="AR678" s="3">
        <v>46203</v>
      </c>
      <c r="AS678" s="3">
        <v>46196</v>
      </c>
      <c r="AT678" s="3">
        <v>46222</v>
      </c>
      <c r="AU678" t="s">
        <v>2127</v>
      </c>
      <c r="AW678" s="3">
        <v>46208.53701449134</v>
      </c>
    </row>
    <row r="679" spans="1:49" ht="16" hidden="1" x14ac:dyDescent="0.2">
      <c r="A679" t="s">
        <v>49</v>
      </c>
      <c r="B679">
        <v>11662</v>
      </c>
      <c r="C679">
        <v>13289</v>
      </c>
      <c r="D679" t="s">
        <v>111</v>
      </c>
      <c r="E679" t="s">
        <v>407</v>
      </c>
      <c r="F679">
        <v>271465</v>
      </c>
      <c r="G679" t="s">
        <v>848</v>
      </c>
      <c r="H679">
        <v>594394</v>
      </c>
      <c r="I679" t="s">
        <v>1818</v>
      </c>
      <c r="J679">
        <v>594396</v>
      </c>
      <c r="K679" t="s">
        <v>1835</v>
      </c>
      <c r="L679" t="s">
        <v>1851</v>
      </c>
      <c r="M679" s="1">
        <v>124334</v>
      </c>
      <c r="N679" t="s">
        <v>1858</v>
      </c>
      <c r="O679">
        <v>0</v>
      </c>
      <c r="P679" s="1">
        <v>18419.849999999999</v>
      </c>
      <c r="S679" s="6" t="str">
        <f t="shared" si="10"/>
        <v xml:space="preserve"> </v>
      </c>
      <c r="T679" s="6" t="str">
        <f>IF(IF(COUNTIF(H$2:$H679,H679)=1,1,"")=1,SUMIF($H$2:$H$7997,H679,$S$2:$S$7997),"")</f>
        <v/>
      </c>
      <c r="W679">
        <v>0</v>
      </c>
      <c r="X679">
        <v>0</v>
      </c>
      <c r="Y679">
        <v>0</v>
      </c>
      <c r="Z679">
        <v>0</v>
      </c>
      <c r="AA679" s="2">
        <v>1</v>
      </c>
      <c r="AB679" s="2">
        <v>0</v>
      </c>
      <c r="AC679" s="2">
        <v>0</v>
      </c>
      <c r="AD679">
        <v>0</v>
      </c>
      <c r="AE679" t="s">
        <v>1863</v>
      </c>
      <c r="AF679">
        <v>18419.849999999999</v>
      </c>
      <c r="AG679">
        <v>1</v>
      </c>
      <c r="AH679">
        <v>124334</v>
      </c>
      <c r="AI679" s="1" t="s">
        <v>407</v>
      </c>
      <c r="AJ679">
        <v>271465</v>
      </c>
      <c r="AK679" s="1" t="s">
        <v>1867</v>
      </c>
      <c r="AL679" t="s">
        <v>2015</v>
      </c>
      <c r="AN679" t="s">
        <v>2039</v>
      </c>
      <c r="AO679" t="s">
        <v>2067</v>
      </c>
      <c r="AP679" t="s">
        <v>2109</v>
      </c>
      <c r="AQ679">
        <v>133182</v>
      </c>
      <c r="AR679" s="3">
        <v>46203</v>
      </c>
      <c r="AS679" s="3">
        <v>46196</v>
      </c>
      <c r="AT679" s="3">
        <v>46222</v>
      </c>
      <c r="AU679" t="s">
        <v>2129</v>
      </c>
      <c r="AW679" s="3">
        <v>46208.53701449134</v>
      </c>
    </row>
    <row r="680" spans="1:49" ht="16" hidden="1" x14ac:dyDescent="0.2">
      <c r="A680" t="s">
        <v>49</v>
      </c>
      <c r="B680">
        <v>11662</v>
      </c>
      <c r="C680">
        <v>13289</v>
      </c>
      <c r="D680" t="s">
        <v>111</v>
      </c>
      <c r="E680" t="s">
        <v>407</v>
      </c>
      <c r="F680">
        <v>271465</v>
      </c>
      <c r="G680" t="s">
        <v>894</v>
      </c>
      <c r="H680">
        <v>598555</v>
      </c>
      <c r="I680" t="s">
        <v>1721</v>
      </c>
      <c r="J680">
        <v>598559</v>
      </c>
      <c r="K680" t="s">
        <v>1835</v>
      </c>
      <c r="L680" t="s">
        <v>1851</v>
      </c>
      <c r="M680" s="1">
        <v>455000</v>
      </c>
      <c r="N680" t="s">
        <v>1858</v>
      </c>
      <c r="O680">
        <v>0</v>
      </c>
      <c r="P680" s="1">
        <v>67407.41</v>
      </c>
      <c r="S680" s="6" t="str">
        <f t="shared" si="10"/>
        <v xml:space="preserve"> </v>
      </c>
      <c r="T680" s="6">
        <f>IF(IF(COUNTIF(H$2:$H680,H680)=1,1,"")=1,SUMIF($H$2:$H$7997,H680,$S$2:$S$7997),"")</f>
        <v>0</v>
      </c>
      <c r="W680">
        <v>0</v>
      </c>
      <c r="X680">
        <v>0</v>
      </c>
      <c r="Y680">
        <v>0</v>
      </c>
      <c r="Z680">
        <v>0</v>
      </c>
      <c r="AA680" s="2">
        <v>1</v>
      </c>
      <c r="AB680" s="2">
        <v>0</v>
      </c>
      <c r="AC680" s="2">
        <v>0</v>
      </c>
      <c r="AD680">
        <v>0</v>
      </c>
      <c r="AE680" t="s">
        <v>1863</v>
      </c>
      <c r="AF680">
        <v>67407.41</v>
      </c>
      <c r="AG680">
        <v>0</v>
      </c>
      <c r="AH680">
        <v>455000</v>
      </c>
      <c r="AI680" s="1" t="s">
        <v>407</v>
      </c>
      <c r="AJ680">
        <v>271465</v>
      </c>
      <c r="AK680" s="1" t="s">
        <v>1867</v>
      </c>
      <c r="AL680" t="s">
        <v>2015</v>
      </c>
      <c r="AN680" t="s">
        <v>2039</v>
      </c>
      <c r="AO680" t="s">
        <v>2067</v>
      </c>
      <c r="AP680" t="s">
        <v>2117</v>
      </c>
      <c r="AQ680">
        <v>133182</v>
      </c>
      <c r="AR680" s="3">
        <v>46203</v>
      </c>
      <c r="AS680" s="3">
        <v>46196</v>
      </c>
      <c r="AT680" s="3">
        <v>46222</v>
      </c>
      <c r="AU680" t="s">
        <v>2131</v>
      </c>
      <c r="AW680" s="3">
        <v>46208.53701449134</v>
      </c>
    </row>
    <row r="681" spans="1:49" ht="16" hidden="1" x14ac:dyDescent="0.2">
      <c r="A681" t="s">
        <v>49</v>
      </c>
      <c r="B681">
        <v>11662</v>
      </c>
      <c r="C681">
        <v>13289</v>
      </c>
      <c r="D681" t="s">
        <v>111</v>
      </c>
      <c r="E681" t="s">
        <v>403</v>
      </c>
      <c r="F681">
        <v>271405</v>
      </c>
      <c r="G681" t="s">
        <v>755</v>
      </c>
      <c r="H681">
        <v>594211</v>
      </c>
      <c r="I681" t="s">
        <v>1479</v>
      </c>
      <c r="J681">
        <v>94978286</v>
      </c>
      <c r="K681" t="s">
        <v>1839</v>
      </c>
      <c r="L681" t="s">
        <v>1850</v>
      </c>
      <c r="M681" s="1">
        <v>40</v>
      </c>
      <c r="N681" t="s">
        <v>23</v>
      </c>
      <c r="O681">
        <v>2531802</v>
      </c>
      <c r="P681" s="1">
        <v>101272.08</v>
      </c>
      <c r="S681" s="6" t="str">
        <f t="shared" si="10"/>
        <v xml:space="preserve"> </v>
      </c>
      <c r="T681" s="6">
        <f>IF(IF(COUNTIF(H$2:$H681,H681)=1,1,"")=1,SUMIF($H$2:$H$7997,H681,$S$2:$S$7997),"")</f>
        <v>0</v>
      </c>
      <c r="W681">
        <v>2531802</v>
      </c>
      <c r="X681">
        <v>2531802</v>
      </c>
      <c r="Y681">
        <v>0</v>
      </c>
      <c r="Z681">
        <v>0</v>
      </c>
      <c r="AA681" s="2">
        <v>1</v>
      </c>
      <c r="AB681" s="2">
        <v>0</v>
      </c>
      <c r="AC681" s="2">
        <v>0</v>
      </c>
      <c r="AD681">
        <v>0</v>
      </c>
      <c r="AE681" t="s">
        <v>1862</v>
      </c>
      <c r="AF681">
        <v>55491.37</v>
      </c>
      <c r="AG681">
        <v>4637500</v>
      </c>
      <c r="AH681">
        <v>185500</v>
      </c>
      <c r="AI681" s="1" t="s">
        <v>403</v>
      </c>
      <c r="AJ681">
        <v>94978259</v>
      </c>
      <c r="AK681" s="1" t="s">
        <v>1867</v>
      </c>
      <c r="AL681" t="s">
        <v>2011</v>
      </c>
      <c r="AN681" t="s">
        <v>2039</v>
      </c>
      <c r="AO681" t="s">
        <v>2067</v>
      </c>
      <c r="AP681" t="s">
        <v>2094</v>
      </c>
      <c r="AQ681">
        <v>132948</v>
      </c>
      <c r="AR681" s="3">
        <v>46203</v>
      </c>
      <c r="AS681" s="3">
        <v>46190</v>
      </c>
      <c r="AT681" s="3">
        <v>46222</v>
      </c>
      <c r="AU681" t="s">
        <v>2124</v>
      </c>
      <c r="AW681" s="3">
        <v>46208.53701449134</v>
      </c>
    </row>
    <row r="682" spans="1:49" ht="16" hidden="1" x14ac:dyDescent="0.2">
      <c r="A682" t="s">
        <v>49</v>
      </c>
      <c r="B682">
        <v>11662</v>
      </c>
      <c r="C682">
        <v>13289</v>
      </c>
      <c r="D682" t="s">
        <v>111</v>
      </c>
      <c r="E682" t="s">
        <v>403</v>
      </c>
      <c r="F682">
        <v>271405</v>
      </c>
      <c r="G682" t="s">
        <v>755</v>
      </c>
      <c r="H682">
        <v>594211</v>
      </c>
      <c r="I682" t="s">
        <v>1480</v>
      </c>
      <c r="J682">
        <v>94978289</v>
      </c>
      <c r="K682" t="s">
        <v>1835</v>
      </c>
      <c r="L682" t="s">
        <v>1850</v>
      </c>
      <c r="M682" s="1">
        <v>40</v>
      </c>
      <c r="N682" t="s">
        <v>23</v>
      </c>
      <c r="O682">
        <v>1252891</v>
      </c>
      <c r="P682" s="1">
        <v>50115.64</v>
      </c>
      <c r="S682" s="6" t="str">
        <f t="shared" si="10"/>
        <v xml:space="preserve"> </v>
      </c>
      <c r="T682" s="6" t="str">
        <f>IF(IF(COUNTIF(H$2:$H682,H682)=1,1,"")=1,SUMIF($H$2:$H$7997,H682,$S$2:$S$7997),"")</f>
        <v/>
      </c>
      <c r="W682">
        <v>1252891</v>
      </c>
      <c r="X682">
        <v>1252891</v>
      </c>
      <c r="Y682">
        <v>0</v>
      </c>
      <c r="Z682">
        <v>0</v>
      </c>
      <c r="AA682" s="2">
        <v>1</v>
      </c>
      <c r="AB682" s="2">
        <v>0</v>
      </c>
      <c r="AC682" s="2">
        <v>0</v>
      </c>
      <c r="AD682">
        <v>0</v>
      </c>
      <c r="AE682" t="s">
        <v>1862</v>
      </c>
      <c r="AF682">
        <v>23782.01</v>
      </c>
      <c r="AG682">
        <v>1987500</v>
      </c>
      <c r="AH682">
        <v>79500</v>
      </c>
      <c r="AI682" s="1" t="s">
        <v>403</v>
      </c>
      <c r="AJ682">
        <v>94978259</v>
      </c>
      <c r="AK682" s="1" t="s">
        <v>1867</v>
      </c>
      <c r="AL682" t="s">
        <v>2011</v>
      </c>
      <c r="AN682" t="s">
        <v>2039</v>
      </c>
      <c r="AO682" t="s">
        <v>2067</v>
      </c>
      <c r="AP682" t="s">
        <v>2092</v>
      </c>
      <c r="AQ682">
        <v>132948</v>
      </c>
      <c r="AR682" s="3">
        <v>46203</v>
      </c>
      <c r="AS682" s="3">
        <v>46190</v>
      </c>
      <c r="AT682" s="3">
        <v>46222</v>
      </c>
      <c r="AU682" t="s">
        <v>2123</v>
      </c>
      <c r="AW682" s="3">
        <v>46208.53701449134</v>
      </c>
    </row>
    <row r="683" spans="1:49" ht="16" hidden="1" x14ac:dyDescent="0.2">
      <c r="A683" t="s">
        <v>49</v>
      </c>
      <c r="B683">
        <v>11662</v>
      </c>
      <c r="C683">
        <v>13289</v>
      </c>
      <c r="D683" t="s">
        <v>111</v>
      </c>
      <c r="E683" t="s">
        <v>403</v>
      </c>
      <c r="F683">
        <v>271405</v>
      </c>
      <c r="G683" t="s">
        <v>754</v>
      </c>
      <c r="H683">
        <v>594217</v>
      </c>
      <c r="I683" t="s">
        <v>1477</v>
      </c>
      <c r="J683">
        <v>94978262</v>
      </c>
      <c r="K683" t="s">
        <v>1840</v>
      </c>
      <c r="L683" t="s">
        <v>1850</v>
      </c>
      <c r="M683" s="1">
        <v>23</v>
      </c>
      <c r="N683" t="s">
        <v>1855</v>
      </c>
      <c r="O683">
        <v>134289</v>
      </c>
      <c r="P683" s="1">
        <v>3088.65</v>
      </c>
      <c r="S683" s="6" t="str">
        <f t="shared" si="10"/>
        <v xml:space="preserve"> </v>
      </c>
      <c r="T683" s="6">
        <f>IF(IF(COUNTIF(H$2:$H683,H683)=1,1,"")=1,SUMIF($H$2:$H$7997,H683,$S$2:$S$7997),"")</f>
        <v>0</v>
      </c>
      <c r="W683">
        <v>134289</v>
      </c>
      <c r="X683">
        <v>134289</v>
      </c>
      <c r="Y683">
        <v>0</v>
      </c>
      <c r="Z683">
        <v>0</v>
      </c>
      <c r="AA683" s="2">
        <v>1</v>
      </c>
      <c r="AB683" s="2">
        <v>0</v>
      </c>
      <c r="AC683" s="2">
        <v>0</v>
      </c>
      <c r="AD683">
        <v>0</v>
      </c>
      <c r="AE683" t="s">
        <v>1862</v>
      </c>
      <c r="AF683">
        <v>1134.3599999999999</v>
      </c>
      <c r="AG683">
        <v>1269565</v>
      </c>
      <c r="AH683">
        <v>29200</v>
      </c>
      <c r="AI683" s="1" t="s">
        <v>403</v>
      </c>
      <c r="AJ683">
        <v>94978259</v>
      </c>
      <c r="AK683" s="1" t="s">
        <v>1868</v>
      </c>
      <c r="AL683" t="s">
        <v>2011</v>
      </c>
      <c r="AN683" t="s">
        <v>2039</v>
      </c>
      <c r="AO683" t="s">
        <v>2067</v>
      </c>
      <c r="AP683" t="s">
        <v>2083</v>
      </c>
      <c r="AQ683">
        <v>132948</v>
      </c>
      <c r="AR683" s="3">
        <v>46203</v>
      </c>
      <c r="AS683" s="3">
        <v>46190</v>
      </c>
      <c r="AT683" s="3">
        <v>46222</v>
      </c>
      <c r="AU683" t="s">
        <v>2123</v>
      </c>
      <c r="AW683" s="3">
        <v>46208.53701449134</v>
      </c>
    </row>
    <row r="684" spans="1:49" ht="16" hidden="1" x14ac:dyDescent="0.2">
      <c r="A684" t="s">
        <v>49</v>
      </c>
      <c r="B684">
        <v>11662</v>
      </c>
      <c r="C684">
        <v>13289</v>
      </c>
      <c r="D684" t="s">
        <v>111</v>
      </c>
      <c r="E684" t="s">
        <v>403</v>
      </c>
      <c r="F684">
        <v>271405</v>
      </c>
      <c r="G684" t="s">
        <v>754</v>
      </c>
      <c r="H684">
        <v>594217</v>
      </c>
      <c r="I684" t="s">
        <v>1478</v>
      </c>
      <c r="J684">
        <v>94978265</v>
      </c>
      <c r="K684" t="s">
        <v>1839</v>
      </c>
      <c r="L684" t="s">
        <v>1850</v>
      </c>
      <c r="M684" s="1">
        <v>23</v>
      </c>
      <c r="N684" t="s">
        <v>1855</v>
      </c>
      <c r="O684">
        <v>210489</v>
      </c>
      <c r="P684" s="1">
        <v>4841.25</v>
      </c>
      <c r="S684" s="6" t="str">
        <f t="shared" si="10"/>
        <v xml:space="preserve"> </v>
      </c>
      <c r="T684" s="6" t="str">
        <f>IF(IF(COUNTIF(H$2:$H684,H684)=1,1,"")=1,SUMIF($H$2:$H$7997,H684,$S$2:$S$7997),"")</f>
        <v/>
      </c>
      <c r="W684">
        <v>210489</v>
      </c>
      <c r="X684">
        <v>210489</v>
      </c>
      <c r="Y684">
        <v>0</v>
      </c>
      <c r="Z684">
        <v>0</v>
      </c>
      <c r="AA684" s="2">
        <v>1</v>
      </c>
      <c r="AB684" s="2">
        <v>0</v>
      </c>
      <c r="AC684" s="2">
        <v>0</v>
      </c>
      <c r="AD684">
        <v>0</v>
      </c>
      <c r="AE684" t="s">
        <v>1862</v>
      </c>
      <c r="AF684">
        <v>1701.54</v>
      </c>
      <c r="AG684">
        <v>1904348</v>
      </c>
      <c r="AH684">
        <v>43800</v>
      </c>
      <c r="AI684" s="1" t="s">
        <v>403</v>
      </c>
      <c r="AJ684">
        <v>94978259</v>
      </c>
      <c r="AK684" s="1" t="s">
        <v>1868</v>
      </c>
      <c r="AL684" t="s">
        <v>2011</v>
      </c>
      <c r="AN684" t="s">
        <v>2039</v>
      </c>
      <c r="AO684" t="s">
        <v>2067</v>
      </c>
      <c r="AP684" t="s">
        <v>2093</v>
      </c>
      <c r="AQ684">
        <v>132948</v>
      </c>
      <c r="AR684" s="3">
        <v>46203</v>
      </c>
      <c r="AS684" s="3">
        <v>46190</v>
      </c>
      <c r="AT684" s="3">
        <v>46222</v>
      </c>
      <c r="AU684" t="s">
        <v>2124</v>
      </c>
      <c r="AW684" s="3">
        <v>46208.53701449134</v>
      </c>
    </row>
    <row r="685" spans="1:49" ht="16" hidden="1" x14ac:dyDescent="0.2">
      <c r="A685" t="s">
        <v>49</v>
      </c>
      <c r="B685">
        <v>11662</v>
      </c>
      <c r="C685">
        <v>13289</v>
      </c>
      <c r="D685" t="s">
        <v>111</v>
      </c>
      <c r="E685" t="s">
        <v>403</v>
      </c>
      <c r="F685">
        <v>271405</v>
      </c>
      <c r="G685" t="s">
        <v>879</v>
      </c>
      <c r="H685">
        <v>594333</v>
      </c>
      <c r="I685" t="s">
        <v>1722</v>
      </c>
      <c r="J685">
        <v>594334</v>
      </c>
      <c r="K685" t="s">
        <v>1846</v>
      </c>
      <c r="L685" t="s">
        <v>1851</v>
      </c>
      <c r="M685" s="1">
        <v>275667</v>
      </c>
      <c r="N685" t="s">
        <v>1858</v>
      </c>
      <c r="O685">
        <v>0</v>
      </c>
      <c r="P685" s="1">
        <v>58474.82</v>
      </c>
      <c r="S685" s="6" t="str">
        <f t="shared" si="10"/>
        <v xml:space="preserve"> </v>
      </c>
      <c r="T685" s="6">
        <f>IF(IF(COUNTIF(H$2:$H685,H685)=1,1,"")=1,SUMIF($H$2:$H$7997,H685,$S$2:$S$7997),"")</f>
        <v>0</v>
      </c>
      <c r="W685">
        <v>0</v>
      </c>
      <c r="X685">
        <v>0</v>
      </c>
      <c r="Y685">
        <v>0</v>
      </c>
      <c r="Z685">
        <v>0</v>
      </c>
      <c r="AA685" s="2">
        <v>1</v>
      </c>
      <c r="AB685" s="2">
        <v>0</v>
      </c>
      <c r="AC685" s="2">
        <v>0</v>
      </c>
      <c r="AD685">
        <v>0</v>
      </c>
      <c r="AE685" t="s">
        <v>1863</v>
      </c>
      <c r="AF685">
        <v>58474.82</v>
      </c>
      <c r="AG685">
        <v>1</v>
      </c>
      <c r="AH685">
        <v>275667</v>
      </c>
      <c r="AI685" s="1" t="s">
        <v>403</v>
      </c>
      <c r="AJ685">
        <v>271405</v>
      </c>
      <c r="AK685" s="1" t="s">
        <v>1867</v>
      </c>
      <c r="AL685" t="s">
        <v>2011</v>
      </c>
      <c r="AN685" t="s">
        <v>2039</v>
      </c>
      <c r="AO685" t="s">
        <v>2067</v>
      </c>
      <c r="AP685" t="s">
        <v>2110</v>
      </c>
      <c r="AQ685">
        <v>132948</v>
      </c>
      <c r="AR685" s="3">
        <v>46203</v>
      </c>
      <c r="AS685" s="3">
        <v>46190</v>
      </c>
      <c r="AT685" s="3">
        <v>46222</v>
      </c>
      <c r="AU685" t="s">
        <v>2128</v>
      </c>
      <c r="AW685" s="3">
        <v>46208.53701449134</v>
      </c>
    </row>
    <row r="686" spans="1:49" ht="16" hidden="1" x14ac:dyDescent="0.2">
      <c r="A686" t="s">
        <v>49</v>
      </c>
      <c r="B686">
        <v>11662</v>
      </c>
      <c r="C686">
        <v>13289</v>
      </c>
      <c r="D686" t="s">
        <v>111</v>
      </c>
      <c r="E686" t="s">
        <v>403</v>
      </c>
      <c r="F686">
        <v>271405</v>
      </c>
      <c r="G686" t="s">
        <v>879</v>
      </c>
      <c r="H686">
        <v>594333</v>
      </c>
      <c r="I686" t="s">
        <v>1798</v>
      </c>
      <c r="J686">
        <v>594337</v>
      </c>
      <c r="K686" t="s">
        <v>1844</v>
      </c>
      <c r="L686" t="s">
        <v>1851</v>
      </c>
      <c r="M686" s="1">
        <v>275667</v>
      </c>
      <c r="N686" t="s">
        <v>1858</v>
      </c>
      <c r="O686">
        <v>0</v>
      </c>
      <c r="P686" s="1">
        <v>58474.82</v>
      </c>
      <c r="S686" s="6" t="str">
        <f t="shared" si="10"/>
        <v xml:space="preserve"> </v>
      </c>
      <c r="T686" s="6" t="str">
        <f>IF(IF(COUNTIF(H$2:$H686,H686)=1,1,"")=1,SUMIF($H$2:$H$7997,H686,$S$2:$S$7997),"")</f>
        <v/>
      </c>
      <c r="W686">
        <v>0</v>
      </c>
      <c r="X686">
        <v>0</v>
      </c>
      <c r="Y686">
        <v>0</v>
      </c>
      <c r="Z686">
        <v>0</v>
      </c>
      <c r="AA686" s="2">
        <v>1</v>
      </c>
      <c r="AB686" s="2">
        <v>0</v>
      </c>
      <c r="AC686" s="2">
        <v>0</v>
      </c>
      <c r="AD686">
        <v>0</v>
      </c>
      <c r="AE686" t="s">
        <v>1863</v>
      </c>
      <c r="AF686">
        <v>58474.82</v>
      </c>
      <c r="AG686">
        <v>1</v>
      </c>
      <c r="AH686">
        <v>275667</v>
      </c>
      <c r="AI686" s="1" t="s">
        <v>403</v>
      </c>
      <c r="AJ686">
        <v>271405</v>
      </c>
      <c r="AK686" s="1" t="s">
        <v>1867</v>
      </c>
      <c r="AL686" t="s">
        <v>2011</v>
      </c>
      <c r="AN686" t="s">
        <v>2039</v>
      </c>
      <c r="AO686" t="s">
        <v>2067</v>
      </c>
      <c r="AP686" t="s">
        <v>2107</v>
      </c>
      <c r="AQ686">
        <v>132948</v>
      </c>
      <c r="AR686" s="3">
        <v>46203</v>
      </c>
      <c r="AS686" s="3">
        <v>46190</v>
      </c>
      <c r="AT686" s="3">
        <v>46222</v>
      </c>
      <c r="AU686" t="s">
        <v>2127</v>
      </c>
      <c r="AW686" s="3">
        <v>46208.53701449134</v>
      </c>
    </row>
    <row r="687" spans="1:49" ht="16" hidden="1" x14ac:dyDescent="0.2">
      <c r="A687" t="s">
        <v>49</v>
      </c>
      <c r="B687">
        <v>11662</v>
      </c>
      <c r="C687">
        <v>13289</v>
      </c>
      <c r="D687" t="s">
        <v>111</v>
      </c>
      <c r="E687" t="s">
        <v>403</v>
      </c>
      <c r="F687">
        <v>271405</v>
      </c>
      <c r="G687" t="s">
        <v>879</v>
      </c>
      <c r="H687">
        <v>594333</v>
      </c>
      <c r="I687" t="s">
        <v>1687</v>
      </c>
      <c r="J687">
        <v>594336</v>
      </c>
      <c r="K687" t="s">
        <v>1835</v>
      </c>
      <c r="L687" t="s">
        <v>1851</v>
      </c>
      <c r="M687" s="1">
        <v>275667</v>
      </c>
      <c r="N687" t="s">
        <v>1858</v>
      </c>
      <c r="O687">
        <v>0</v>
      </c>
      <c r="P687" s="1">
        <v>58474.82</v>
      </c>
      <c r="S687" s="6" t="str">
        <f t="shared" si="10"/>
        <v xml:space="preserve"> </v>
      </c>
      <c r="T687" s="6" t="str">
        <f>IF(IF(COUNTIF(H$2:$H687,H687)=1,1,"")=1,SUMIF($H$2:$H$7997,H687,$S$2:$S$7997),"")</f>
        <v/>
      </c>
      <c r="W687">
        <v>0</v>
      </c>
      <c r="X687">
        <v>0</v>
      </c>
      <c r="Y687">
        <v>0</v>
      </c>
      <c r="Z687">
        <v>0</v>
      </c>
      <c r="AA687" s="2">
        <v>1</v>
      </c>
      <c r="AB687" s="2">
        <v>0</v>
      </c>
      <c r="AC687" s="2">
        <v>0</v>
      </c>
      <c r="AD687">
        <v>0</v>
      </c>
      <c r="AE687" t="s">
        <v>1863</v>
      </c>
      <c r="AF687">
        <v>58474.82</v>
      </c>
      <c r="AG687">
        <v>1</v>
      </c>
      <c r="AH687">
        <v>275667</v>
      </c>
      <c r="AI687" s="1" t="s">
        <v>403</v>
      </c>
      <c r="AJ687">
        <v>271405</v>
      </c>
      <c r="AK687" s="1" t="s">
        <v>1867</v>
      </c>
      <c r="AL687" t="s">
        <v>2011</v>
      </c>
      <c r="AN687" t="s">
        <v>2039</v>
      </c>
      <c r="AO687" t="s">
        <v>2067</v>
      </c>
      <c r="AP687" t="s">
        <v>2109</v>
      </c>
      <c r="AQ687">
        <v>132948</v>
      </c>
      <c r="AR687" s="3">
        <v>46203</v>
      </c>
      <c r="AS687" s="3">
        <v>46190</v>
      </c>
      <c r="AT687" s="3">
        <v>46222</v>
      </c>
      <c r="AU687" t="s">
        <v>2129</v>
      </c>
      <c r="AW687" s="3">
        <v>46208.53701449134</v>
      </c>
    </row>
    <row r="688" spans="1:49" ht="16" hidden="1" x14ac:dyDescent="0.2">
      <c r="A688" t="s">
        <v>49</v>
      </c>
      <c r="B688">
        <v>11662</v>
      </c>
      <c r="C688">
        <v>13289</v>
      </c>
      <c r="D688" t="s">
        <v>111</v>
      </c>
      <c r="E688" t="s">
        <v>403</v>
      </c>
      <c r="F688">
        <v>271405</v>
      </c>
      <c r="G688" t="s">
        <v>907</v>
      </c>
      <c r="H688">
        <v>597861</v>
      </c>
      <c r="I688" t="s">
        <v>1766</v>
      </c>
      <c r="J688">
        <v>597869</v>
      </c>
      <c r="K688" t="s">
        <v>1835</v>
      </c>
      <c r="L688" t="s">
        <v>1851</v>
      </c>
      <c r="M688" s="1">
        <v>45000</v>
      </c>
      <c r="N688" t="s">
        <v>1858</v>
      </c>
      <c r="O688">
        <v>0</v>
      </c>
      <c r="P688" s="1">
        <v>9545.4500000000007</v>
      </c>
      <c r="S688" s="6" t="str">
        <f t="shared" si="10"/>
        <v xml:space="preserve"> </v>
      </c>
      <c r="T688" s="6">
        <f>IF(IF(COUNTIF(H$2:$H688,H688)=1,1,"")=1,SUMIF($H$2:$H$7997,H688,$S$2:$S$7997),"")</f>
        <v>0</v>
      </c>
      <c r="W688">
        <v>0</v>
      </c>
      <c r="X688">
        <v>0</v>
      </c>
      <c r="Y688">
        <v>0</v>
      </c>
      <c r="Z688">
        <v>0</v>
      </c>
      <c r="AA688" s="2">
        <v>1</v>
      </c>
      <c r="AB688" s="2">
        <v>0</v>
      </c>
      <c r="AC688" s="2">
        <v>0</v>
      </c>
      <c r="AD688">
        <v>0</v>
      </c>
      <c r="AE688" t="s">
        <v>1863</v>
      </c>
      <c r="AF688">
        <v>9545.4500000000007</v>
      </c>
      <c r="AG688">
        <v>0</v>
      </c>
      <c r="AH688">
        <v>45000</v>
      </c>
      <c r="AI688" s="1" t="s">
        <v>403</v>
      </c>
      <c r="AJ688">
        <v>271405</v>
      </c>
      <c r="AK688" s="1" t="s">
        <v>1867</v>
      </c>
      <c r="AL688" t="s">
        <v>2011</v>
      </c>
      <c r="AN688" t="s">
        <v>2039</v>
      </c>
      <c r="AO688" t="s">
        <v>2067</v>
      </c>
      <c r="AP688" t="s">
        <v>2117</v>
      </c>
      <c r="AQ688">
        <v>132948</v>
      </c>
      <c r="AR688" s="3">
        <v>46203</v>
      </c>
      <c r="AS688" s="3">
        <v>46190</v>
      </c>
      <c r="AT688" s="3">
        <v>46222</v>
      </c>
      <c r="AU688" t="s">
        <v>2131</v>
      </c>
      <c r="AW688" s="3">
        <v>46208.53701449134</v>
      </c>
    </row>
    <row r="689" spans="1:49" ht="16" hidden="1" x14ac:dyDescent="0.2">
      <c r="A689" t="s">
        <v>49</v>
      </c>
      <c r="B689">
        <v>11662</v>
      </c>
      <c r="C689">
        <v>6081</v>
      </c>
      <c r="D689" t="s">
        <v>189</v>
      </c>
      <c r="E689" t="s">
        <v>352</v>
      </c>
      <c r="F689">
        <v>259125</v>
      </c>
      <c r="G689" t="s">
        <v>833</v>
      </c>
      <c r="H689">
        <v>582320</v>
      </c>
      <c r="I689" t="s">
        <v>1732</v>
      </c>
      <c r="J689">
        <v>582321</v>
      </c>
      <c r="K689" t="s">
        <v>1846</v>
      </c>
      <c r="L689" t="s">
        <v>1851</v>
      </c>
      <c r="M689" s="1">
        <v>33234</v>
      </c>
      <c r="N689" t="s">
        <v>1858</v>
      </c>
      <c r="O689">
        <v>0</v>
      </c>
      <c r="P689" s="1">
        <v>16617</v>
      </c>
      <c r="S689" s="6" t="str">
        <f t="shared" si="10"/>
        <v xml:space="preserve"> </v>
      </c>
      <c r="T689" s="6">
        <f>IF(IF(COUNTIF(H$2:$H689,H689)=1,1,"")=1,SUMIF($H$2:$H$7997,H689,$S$2:$S$7997),"")</f>
        <v>0</v>
      </c>
      <c r="W689">
        <v>0</v>
      </c>
      <c r="X689">
        <v>0</v>
      </c>
      <c r="Y689">
        <v>0</v>
      </c>
      <c r="Z689">
        <v>0</v>
      </c>
      <c r="AA689" s="2">
        <v>1</v>
      </c>
      <c r="AB689" s="2">
        <v>0</v>
      </c>
      <c r="AC689" s="2">
        <v>0</v>
      </c>
      <c r="AD689">
        <v>0</v>
      </c>
      <c r="AE689" t="s">
        <v>1863</v>
      </c>
      <c r="AF689">
        <v>16617</v>
      </c>
      <c r="AG689">
        <v>1</v>
      </c>
      <c r="AH689">
        <v>33234</v>
      </c>
      <c r="AI689" s="1" t="s">
        <v>352</v>
      </c>
      <c r="AJ689">
        <v>259125</v>
      </c>
      <c r="AK689" s="1" t="s">
        <v>1867</v>
      </c>
      <c r="AL689" t="s">
        <v>1974</v>
      </c>
      <c r="AN689" t="s">
        <v>2039</v>
      </c>
      <c r="AO689" t="s">
        <v>2067</v>
      </c>
      <c r="AP689" t="s">
        <v>2110</v>
      </c>
      <c r="AQ689">
        <v>129149</v>
      </c>
      <c r="AR689" s="3">
        <v>46203</v>
      </c>
      <c r="AS689" s="3">
        <v>46174</v>
      </c>
      <c r="AT689" s="3">
        <v>46201</v>
      </c>
      <c r="AU689" t="s">
        <v>2128</v>
      </c>
      <c r="AW689" s="3">
        <v>46208.53701449134</v>
      </c>
    </row>
    <row r="690" spans="1:49" ht="16" hidden="1" x14ac:dyDescent="0.2">
      <c r="A690" t="s">
        <v>49</v>
      </c>
      <c r="B690">
        <v>11662</v>
      </c>
      <c r="C690">
        <v>6081</v>
      </c>
      <c r="D690" t="s">
        <v>189</v>
      </c>
      <c r="E690" t="s">
        <v>352</v>
      </c>
      <c r="F690">
        <v>259125</v>
      </c>
      <c r="G690" t="s">
        <v>833</v>
      </c>
      <c r="H690">
        <v>582320</v>
      </c>
      <c r="I690" t="s">
        <v>1700</v>
      </c>
      <c r="J690">
        <v>582324</v>
      </c>
      <c r="K690" t="s">
        <v>1844</v>
      </c>
      <c r="L690" t="s">
        <v>1851</v>
      </c>
      <c r="M690" s="1">
        <v>33233</v>
      </c>
      <c r="N690" t="s">
        <v>1858</v>
      </c>
      <c r="O690">
        <v>0</v>
      </c>
      <c r="P690" s="1">
        <v>16616.5</v>
      </c>
      <c r="S690" s="6" t="str">
        <f t="shared" si="10"/>
        <v xml:space="preserve"> </v>
      </c>
      <c r="T690" s="6" t="str">
        <f>IF(IF(COUNTIF(H$2:$H690,H690)=1,1,"")=1,SUMIF($H$2:$H$7997,H690,$S$2:$S$7997),"")</f>
        <v/>
      </c>
      <c r="W690">
        <v>0</v>
      </c>
      <c r="X690">
        <v>0</v>
      </c>
      <c r="Y690">
        <v>0</v>
      </c>
      <c r="Z690">
        <v>0</v>
      </c>
      <c r="AA690" s="2">
        <v>1</v>
      </c>
      <c r="AB690" s="2">
        <v>0</v>
      </c>
      <c r="AC690" s="2">
        <v>0</v>
      </c>
      <c r="AD690">
        <v>0</v>
      </c>
      <c r="AE690" t="s">
        <v>1863</v>
      </c>
      <c r="AF690">
        <v>16616.5</v>
      </c>
      <c r="AG690">
        <v>1</v>
      </c>
      <c r="AH690">
        <v>33233</v>
      </c>
      <c r="AI690" s="1" t="s">
        <v>352</v>
      </c>
      <c r="AJ690">
        <v>259125</v>
      </c>
      <c r="AK690" s="1" t="s">
        <v>1867</v>
      </c>
      <c r="AL690" t="s">
        <v>1974</v>
      </c>
      <c r="AN690" t="s">
        <v>2039</v>
      </c>
      <c r="AO690" t="s">
        <v>2067</v>
      </c>
      <c r="AP690" t="s">
        <v>2107</v>
      </c>
      <c r="AQ690">
        <v>129149</v>
      </c>
      <c r="AR690" s="3">
        <v>46203</v>
      </c>
      <c r="AS690" s="3">
        <v>46174</v>
      </c>
      <c r="AT690" s="3">
        <v>46201</v>
      </c>
      <c r="AU690" t="s">
        <v>2127</v>
      </c>
      <c r="AW690" s="3">
        <v>46208.53701449134</v>
      </c>
    </row>
    <row r="691" spans="1:49" ht="16" hidden="1" x14ac:dyDescent="0.2">
      <c r="A691" t="s">
        <v>49</v>
      </c>
      <c r="B691">
        <v>11662</v>
      </c>
      <c r="C691">
        <v>6081</v>
      </c>
      <c r="D691" t="s">
        <v>189</v>
      </c>
      <c r="E691" t="s">
        <v>352</v>
      </c>
      <c r="F691">
        <v>259125</v>
      </c>
      <c r="G691" t="s">
        <v>833</v>
      </c>
      <c r="H691">
        <v>582320</v>
      </c>
      <c r="I691" t="s">
        <v>1627</v>
      </c>
      <c r="J691">
        <v>582323</v>
      </c>
      <c r="K691" t="s">
        <v>1835</v>
      </c>
      <c r="L691" t="s">
        <v>1851</v>
      </c>
      <c r="M691" s="1">
        <v>33233</v>
      </c>
      <c r="N691" t="s">
        <v>1858</v>
      </c>
      <c r="O691">
        <v>0</v>
      </c>
      <c r="P691" s="1">
        <v>16616.5</v>
      </c>
      <c r="S691" s="6" t="str">
        <f t="shared" si="10"/>
        <v xml:space="preserve"> </v>
      </c>
      <c r="T691" s="6" t="str">
        <f>IF(IF(COUNTIF(H$2:$H691,H691)=1,1,"")=1,SUMIF($H$2:$H$7997,H691,$S$2:$S$7997),"")</f>
        <v/>
      </c>
      <c r="W691">
        <v>0</v>
      </c>
      <c r="X691">
        <v>0</v>
      </c>
      <c r="Y691">
        <v>0</v>
      </c>
      <c r="Z691">
        <v>0</v>
      </c>
      <c r="AA691" s="2">
        <v>1</v>
      </c>
      <c r="AB691" s="2">
        <v>0</v>
      </c>
      <c r="AC691" s="2">
        <v>0</v>
      </c>
      <c r="AD691">
        <v>0</v>
      </c>
      <c r="AE691" t="s">
        <v>1863</v>
      </c>
      <c r="AF691">
        <v>16616.5</v>
      </c>
      <c r="AG691">
        <v>1</v>
      </c>
      <c r="AH691">
        <v>33233</v>
      </c>
      <c r="AI691" s="1" t="s">
        <v>352</v>
      </c>
      <c r="AJ691">
        <v>259125</v>
      </c>
      <c r="AK691" s="1" t="s">
        <v>1867</v>
      </c>
      <c r="AL691" t="s">
        <v>1974</v>
      </c>
      <c r="AN691" t="s">
        <v>2039</v>
      </c>
      <c r="AO691" t="s">
        <v>2067</v>
      </c>
      <c r="AP691" t="s">
        <v>2109</v>
      </c>
      <c r="AQ691">
        <v>129149</v>
      </c>
      <c r="AR691" s="3">
        <v>46203</v>
      </c>
      <c r="AS691" s="3">
        <v>46174</v>
      </c>
      <c r="AT691" s="3">
        <v>46201</v>
      </c>
      <c r="AU691" t="s">
        <v>2129</v>
      </c>
      <c r="AW691" s="3">
        <v>46208.53701449134</v>
      </c>
    </row>
    <row r="692" spans="1:49" ht="16" hidden="1" x14ac:dyDescent="0.2">
      <c r="A692" t="s">
        <v>49</v>
      </c>
      <c r="B692">
        <v>11662</v>
      </c>
      <c r="C692">
        <v>6081</v>
      </c>
      <c r="D692" t="s">
        <v>189</v>
      </c>
      <c r="E692" t="s">
        <v>352</v>
      </c>
      <c r="F692">
        <v>259125</v>
      </c>
      <c r="G692" t="s">
        <v>652</v>
      </c>
      <c r="H692">
        <v>582328</v>
      </c>
      <c r="I692" t="s">
        <v>1271</v>
      </c>
      <c r="J692">
        <v>94270345</v>
      </c>
      <c r="K692" t="s">
        <v>1839</v>
      </c>
      <c r="L692" t="s">
        <v>1850</v>
      </c>
      <c r="M692" s="1">
        <v>40</v>
      </c>
      <c r="N692" t="s">
        <v>23</v>
      </c>
      <c r="O692">
        <v>5403787</v>
      </c>
      <c r="P692" s="1">
        <v>210000</v>
      </c>
      <c r="S692" s="6" t="str">
        <f t="shared" si="10"/>
        <v xml:space="preserve"> </v>
      </c>
      <c r="T692" s="6">
        <f>IF(IF(COUNTIF(H$2:$H692,H692)=1,1,"")=1,SUMIF($H$2:$H$7997,H692,$S$2:$S$7997),"")</f>
        <v>0</v>
      </c>
      <c r="W692">
        <v>5403787</v>
      </c>
      <c r="X692">
        <v>5403787</v>
      </c>
      <c r="Y692">
        <v>0</v>
      </c>
      <c r="Z692">
        <v>0</v>
      </c>
      <c r="AA692" s="2">
        <v>1</v>
      </c>
      <c r="AB692" s="2">
        <v>0</v>
      </c>
      <c r="AC692" s="2">
        <v>0</v>
      </c>
      <c r="AD692">
        <v>0</v>
      </c>
      <c r="AE692" t="s">
        <v>1862</v>
      </c>
      <c r="AF692">
        <v>105000</v>
      </c>
      <c r="AG692">
        <v>5250000</v>
      </c>
      <c r="AH692">
        <v>210000</v>
      </c>
      <c r="AI692" s="1" t="s">
        <v>352</v>
      </c>
      <c r="AJ692">
        <v>94270338</v>
      </c>
      <c r="AK692" s="1" t="s">
        <v>1867</v>
      </c>
      <c r="AL692" t="s">
        <v>1974</v>
      </c>
      <c r="AN692" t="s">
        <v>2039</v>
      </c>
      <c r="AO692" t="s">
        <v>2067</v>
      </c>
      <c r="AP692" t="s">
        <v>2094</v>
      </c>
      <c r="AQ692">
        <v>129149</v>
      </c>
      <c r="AR692" s="3">
        <v>46203</v>
      </c>
      <c r="AS692" s="3">
        <v>46174</v>
      </c>
      <c r="AT692" s="3">
        <v>46201</v>
      </c>
      <c r="AU692" t="s">
        <v>2124</v>
      </c>
      <c r="AW692" s="3">
        <v>46208.53701449134</v>
      </c>
    </row>
    <row r="693" spans="1:49" ht="16" hidden="1" x14ac:dyDescent="0.2">
      <c r="A693" t="s">
        <v>49</v>
      </c>
      <c r="B693">
        <v>11662</v>
      </c>
      <c r="C693">
        <v>6081</v>
      </c>
      <c r="D693" t="s">
        <v>189</v>
      </c>
      <c r="E693" t="s">
        <v>352</v>
      </c>
      <c r="F693">
        <v>259125</v>
      </c>
      <c r="G693" t="s">
        <v>652</v>
      </c>
      <c r="H693">
        <v>582328</v>
      </c>
      <c r="I693" t="s">
        <v>1270</v>
      </c>
      <c r="J693">
        <v>94270341</v>
      </c>
      <c r="K693" t="s">
        <v>1835</v>
      </c>
      <c r="L693" t="s">
        <v>1850</v>
      </c>
      <c r="M693" s="1">
        <v>40</v>
      </c>
      <c r="N693" t="s">
        <v>23</v>
      </c>
      <c r="O693">
        <v>2304046</v>
      </c>
      <c r="P693" s="1">
        <v>90000</v>
      </c>
      <c r="S693" s="6" t="str">
        <f t="shared" si="10"/>
        <v xml:space="preserve"> </v>
      </c>
      <c r="T693" s="6" t="str">
        <f>IF(IF(COUNTIF(H$2:$H693,H693)=1,1,"")=1,SUMIF($H$2:$H$7997,H693,$S$2:$S$7997),"")</f>
        <v/>
      </c>
      <c r="W693">
        <v>2304046</v>
      </c>
      <c r="X693">
        <v>2304046</v>
      </c>
      <c r="Y693">
        <v>0</v>
      </c>
      <c r="Z693">
        <v>0</v>
      </c>
      <c r="AA693" s="2">
        <v>1</v>
      </c>
      <c r="AB693" s="2">
        <v>0</v>
      </c>
      <c r="AC693" s="2">
        <v>0</v>
      </c>
      <c r="AD693">
        <v>0</v>
      </c>
      <c r="AE693" t="s">
        <v>1862</v>
      </c>
      <c r="AF693">
        <v>45000</v>
      </c>
      <c r="AG693">
        <v>2250000</v>
      </c>
      <c r="AH693">
        <v>90000</v>
      </c>
      <c r="AI693" s="1" t="s">
        <v>352</v>
      </c>
      <c r="AJ693">
        <v>94270338</v>
      </c>
      <c r="AK693" s="1" t="s">
        <v>1867</v>
      </c>
      <c r="AL693" t="s">
        <v>1974</v>
      </c>
      <c r="AN693" t="s">
        <v>2039</v>
      </c>
      <c r="AO693" t="s">
        <v>2067</v>
      </c>
      <c r="AP693" t="s">
        <v>2092</v>
      </c>
      <c r="AQ693">
        <v>129149</v>
      </c>
      <c r="AR693" s="3">
        <v>46203</v>
      </c>
      <c r="AS693" s="3">
        <v>46174</v>
      </c>
      <c r="AT693" s="3">
        <v>46201</v>
      </c>
      <c r="AU693" t="s">
        <v>2123</v>
      </c>
      <c r="AW693" s="3">
        <v>46208.53701449134</v>
      </c>
    </row>
    <row r="694" spans="1:49" ht="16" hidden="1" x14ac:dyDescent="0.2">
      <c r="A694" t="s">
        <v>49</v>
      </c>
      <c r="B694">
        <v>11662</v>
      </c>
      <c r="C694">
        <v>6081</v>
      </c>
      <c r="D694" t="s">
        <v>189</v>
      </c>
      <c r="E694" t="s">
        <v>352</v>
      </c>
      <c r="F694">
        <v>259125</v>
      </c>
      <c r="G694" t="s">
        <v>653</v>
      </c>
      <c r="H694">
        <v>582346</v>
      </c>
      <c r="I694" t="s">
        <v>1272</v>
      </c>
      <c r="J694">
        <v>94270348</v>
      </c>
      <c r="K694" t="s">
        <v>1835</v>
      </c>
      <c r="L694" t="s">
        <v>1850</v>
      </c>
      <c r="M694" s="1">
        <v>25</v>
      </c>
      <c r="N694" t="s">
        <v>1853</v>
      </c>
      <c r="O694">
        <v>5381197</v>
      </c>
      <c r="P694" s="1">
        <v>133782</v>
      </c>
      <c r="S694" s="6" t="str">
        <f t="shared" si="10"/>
        <v xml:space="preserve"> </v>
      </c>
      <c r="T694" s="6">
        <f>IF(IF(COUNTIF(H$2:$H694,H694)=1,1,"")=1,SUMIF($H$2:$H$7997,H694,$S$2:$S$7997),"")</f>
        <v>0</v>
      </c>
      <c r="W694">
        <v>4740884</v>
      </c>
      <c r="X694">
        <v>4740884</v>
      </c>
      <c r="Y694">
        <v>5381197</v>
      </c>
      <c r="Z694">
        <v>5381197</v>
      </c>
      <c r="AA694" s="2">
        <v>1</v>
      </c>
      <c r="AB694" s="2">
        <v>1.135062074257233</v>
      </c>
      <c r="AC694" s="2">
        <v>0</v>
      </c>
      <c r="AD694">
        <v>0</v>
      </c>
      <c r="AE694" t="s">
        <v>1862</v>
      </c>
      <c r="AF694">
        <v>45636.86</v>
      </c>
      <c r="AG694">
        <v>5351280</v>
      </c>
      <c r="AH694">
        <v>133782</v>
      </c>
      <c r="AI694" s="1" t="s">
        <v>352</v>
      </c>
      <c r="AJ694">
        <v>94270338</v>
      </c>
      <c r="AK694" s="1" t="s">
        <v>1867</v>
      </c>
      <c r="AL694" t="s">
        <v>1974</v>
      </c>
      <c r="AN694" t="s">
        <v>2039</v>
      </c>
      <c r="AO694" t="s">
        <v>2067</v>
      </c>
      <c r="AP694" t="s">
        <v>2091</v>
      </c>
      <c r="AQ694">
        <v>129149</v>
      </c>
      <c r="AR694" s="3">
        <v>46203</v>
      </c>
      <c r="AS694" s="3">
        <v>46174</v>
      </c>
      <c r="AT694" s="3">
        <v>46201</v>
      </c>
      <c r="AU694" t="s">
        <v>2123</v>
      </c>
      <c r="AW694" s="3">
        <v>46208.53701449134</v>
      </c>
    </row>
    <row r="695" spans="1:49" ht="16" hidden="1" x14ac:dyDescent="0.2">
      <c r="A695" t="s">
        <v>49</v>
      </c>
      <c r="B695">
        <v>11662</v>
      </c>
      <c r="C695">
        <v>6081</v>
      </c>
      <c r="D695" t="s">
        <v>189</v>
      </c>
      <c r="E695" t="s">
        <v>352</v>
      </c>
      <c r="F695">
        <v>259125</v>
      </c>
      <c r="G695" t="s">
        <v>653</v>
      </c>
      <c r="H695">
        <v>582346</v>
      </c>
      <c r="I695" t="s">
        <v>1470</v>
      </c>
      <c r="J695">
        <v>94968420</v>
      </c>
      <c r="K695" t="s">
        <v>1843</v>
      </c>
      <c r="L695" t="s">
        <v>1850</v>
      </c>
      <c r="M695" s="1">
        <v>25</v>
      </c>
      <c r="N695" t="s">
        <v>23</v>
      </c>
      <c r="O695">
        <v>2594961</v>
      </c>
      <c r="P695" s="1">
        <v>64874.03</v>
      </c>
      <c r="S695" s="6" t="str">
        <f t="shared" si="10"/>
        <v xml:space="preserve"> </v>
      </c>
      <c r="T695" s="6" t="str">
        <f>IF(IF(COUNTIF(H$2:$H695,H695)=1,1,"")=1,SUMIF($H$2:$H$7997,H695,$S$2:$S$7997),"")</f>
        <v/>
      </c>
      <c r="W695">
        <v>2594961</v>
      </c>
      <c r="X695">
        <v>2594961</v>
      </c>
      <c r="Y695">
        <v>0</v>
      </c>
      <c r="Z695">
        <v>0</v>
      </c>
      <c r="AA695" s="2">
        <v>1</v>
      </c>
      <c r="AB695" s="2">
        <v>0</v>
      </c>
      <c r="AC695" s="2">
        <v>0</v>
      </c>
      <c r="AD695">
        <v>0</v>
      </c>
      <c r="AE695" t="s">
        <v>1862</v>
      </c>
      <c r="AF695">
        <v>22173.35</v>
      </c>
      <c r="AG695">
        <v>2600000</v>
      </c>
      <c r="AH695">
        <v>65000</v>
      </c>
      <c r="AI695" s="1" t="s">
        <v>352</v>
      </c>
      <c r="AJ695">
        <v>94270338</v>
      </c>
      <c r="AK695" s="1" t="s">
        <v>1867</v>
      </c>
      <c r="AL695" t="s">
        <v>1974</v>
      </c>
      <c r="AN695" t="s">
        <v>2039</v>
      </c>
      <c r="AO695" t="s">
        <v>2067</v>
      </c>
      <c r="AP695" t="s">
        <v>2099</v>
      </c>
      <c r="AQ695">
        <v>129149</v>
      </c>
      <c r="AR695" s="3">
        <v>46203</v>
      </c>
      <c r="AS695" s="3">
        <v>46174</v>
      </c>
      <c r="AT695" s="3">
        <v>46201</v>
      </c>
      <c r="AU695" t="s">
        <v>2125</v>
      </c>
      <c r="AW695" s="3">
        <v>46208.53701449134</v>
      </c>
    </row>
    <row r="696" spans="1:49" ht="16" hidden="1" x14ac:dyDescent="0.2">
      <c r="A696" t="s">
        <v>49</v>
      </c>
      <c r="B696">
        <v>11662</v>
      </c>
      <c r="C696">
        <v>6081</v>
      </c>
      <c r="D696" t="s">
        <v>189</v>
      </c>
      <c r="E696" t="s">
        <v>358</v>
      </c>
      <c r="F696">
        <v>269943</v>
      </c>
      <c r="G696" t="s">
        <v>833</v>
      </c>
      <c r="H696">
        <v>589938</v>
      </c>
      <c r="I696" t="s">
        <v>1732</v>
      </c>
      <c r="J696">
        <v>589939</v>
      </c>
      <c r="K696" t="s">
        <v>1846</v>
      </c>
      <c r="L696" t="s">
        <v>1851</v>
      </c>
      <c r="M696" s="1">
        <v>33265</v>
      </c>
      <c r="N696" t="s">
        <v>1858</v>
      </c>
      <c r="O696">
        <v>0</v>
      </c>
      <c r="P696" s="1">
        <v>1584.05</v>
      </c>
      <c r="S696" s="6" t="str">
        <f t="shared" si="10"/>
        <v xml:space="preserve"> </v>
      </c>
      <c r="T696" s="6">
        <f>IF(IF(COUNTIF(H$2:$H696,H696)=1,1,"")=1,SUMIF($H$2:$H$7997,H696,$S$2:$S$7997),"")</f>
        <v>0</v>
      </c>
      <c r="W696">
        <v>0</v>
      </c>
      <c r="X696">
        <v>0</v>
      </c>
      <c r="Y696">
        <v>0</v>
      </c>
      <c r="Z696">
        <v>0</v>
      </c>
      <c r="AA696" s="2">
        <v>1</v>
      </c>
      <c r="AB696" s="2">
        <v>0</v>
      </c>
      <c r="AC696" s="2">
        <v>0</v>
      </c>
      <c r="AD696">
        <v>0</v>
      </c>
      <c r="AE696" t="s">
        <v>1863</v>
      </c>
      <c r="AF696">
        <v>1584.05</v>
      </c>
      <c r="AG696">
        <v>1</v>
      </c>
      <c r="AH696">
        <v>33265</v>
      </c>
      <c r="AI696" s="1" t="s">
        <v>358</v>
      </c>
      <c r="AJ696">
        <v>269943</v>
      </c>
      <c r="AK696" s="1" t="s">
        <v>1867</v>
      </c>
      <c r="AL696" t="s">
        <v>1978</v>
      </c>
      <c r="AN696" t="s">
        <v>2039</v>
      </c>
      <c r="AO696" t="s">
        <v>2067</v>
      </c>
      <c r="AP696" t="s">
        <v>2110</v>
      </c>
      <c r="AQ696">
        <v>129462</v>
      </c>
      <c r="AR696" s="3">
        <v>46203</v>
      </c>
      <c r="AS696" s="3">
        <v>46202</v>
      </c>
      <c r="AT696" s="3">
        <v>46222</v>
      </c>
      <c r="AU696" t="s">
        <v>2128</v>
      </c>
      <c r="AW696" s="3">
        <v>46208.53701449134</v>
      </c>
    </row>
    <row r="697" spans="1:49" ht="16" hidden="1" x14ac:dyDescent="0.2">
      <c r="A697" t="s">
        <v>49</v>
      </c>
      <c r="B697">
        <v>11662</v>
      </c>
      <c r="C697">
        <v>6081</v>
      </c>
      <c r="D697" t="s">
        <v>189</v>
      </c>
      <c r="E697" t="s">
        <v>358</v>
      </c>
      <c r="F697">
        <v>269943</v>
      </c>
      <c r="G697" t="s">
        <v>833</v>
      </c>
      <c r="H697">
        <v>589938</v>
      </c>
      <c r="I697" t="s">
        <v>1790</v>
      </c>
      <c r="J697">
        <v>589941</v>
      </c>
      <c r="K697" t="s">
        <v>1844</v>
      </c>
      <c r="L697" t="s">
        <v>1851</v>
      </c>
      <c r="M697" s="1">
        <v>33264</v>
      </c>
      <c r="N697" t="s">
        <v>1858</v>
      </c>
      <c r="O697">
        <v>0</v>
      </c>
      <c r="P697" s="1">
        <v>1584</v>
      </c>
      <c r="S697" s="6" t="str">
        <f t="shared" si="10"/>
        <v xml:space="preserve"> </v>
      </c>
      <c r="T697" s="6" t="str">
        <f>IF(IF(COUNTIF(H$2:$H697,H697)=1,1,"")=1,SUMIF($H$2:$H$7997,H697,$S$2:$S$7997),"")</f>
        <v/>
      </c>
      <c r="W697">
        <v>0</v>
      </c>
      <c r="X697">
        <v>0</v>
      </c>
      <c r="Y697">
        <v>0</v>
      </c>
      <c r="Z697">
        <v>0</v>
      </c>
      <c r="AA697" s="2">
        <v>1</v>
      </c>
      <c r="AB697" s="2">
        <v>0</v>
      </c>
      <c r="AC697" s="2">
        <v>0</v>
      </c>
      <c r="AD697">
        <v>0</v>
      </c>
      <c r="AE697" t="s">
        <v>1863</v>
      </c>
      <c r="AF697">
        <v>1584</v>
      </c>
      <c r="AG697">
        <v>1</v>
      </c>
      <c r="AH697">
        <v>33264</v>
      </c>
      <c r="AI697" s="1" t="s">
        <v>358</v>
      </c>
      <c r="AJ697">
        <v>269943</v>
      </c>
      <c r="AK697" s="1" t="s">
        <v>1867</v>
      </c>
      <c r="AL697" t="s">
        <v>1978</v>
      </c>
      <c r="AN697" t="s">
        <v>2039</v>
      </c>
      <c r="AO697" t="s">
        <v>2067</v>
      </c>
      <c r="AP697" t="s">
        <v>2107</v>
      </c>
      <c r="AQ697">
        <v>129462</v>
      </c>
      <c r="AR697" s="3">
        <v>46203</v>
      </c>
      <c r="AS697" s="3">
        <v>46202</v>
      </c>
      <c r="AT697" s="3">
        <v>46222</v>
      </c>
      <c r="AU697" t="s">
        <v>2127</v>
      </c>
      <c r="AW697" s="3">
        <v>46208.53701449134</v>
      </c>
    </row>
    <row r="698" spans="1:49" ht="16" hidden="1" x14ac:dyDescent="0.2">
      <c r="A698" t="s">
        <v>49</v>
      </c>
      <c r="B698">
        <v>11662</v>
      </c>
      <c r="C698">
        <v>6081</v>
      </c>
      <c r="D698" t="s">
        <v>189</v>
      </c>
      <c r="E698" t="s">
        <v>358</v>
      </c>
      <c r="F698">
        <v>269943</v>
      </c>
      <c r="G698" t="s">
        <v>833</v>
      </c>
      <c r="H698">
        <v>589938</v>
      </c>
      <c r="I698" t="s">
        <v>1627</v>
      </c>
      <c r="J698">
        <v>589940</v>
      </c>
      <c r="K698" t="s">
        <v>1835</v>
      </c>
      <c r="L698" t="s">
        <v>1851</v>
      </c>
      <c r="M698" s="1">
        <v>33265</v>
      </c>
      <c r="N698" t="s">
        <v>1858</v>
      </c>
      <c r="O698">
        <v>0</v>
      </c>
      <c r="P698" s="1">
        <v>1584.05</v>
      </c>
      <c r="S698" s="6" t="str">
        <f t="shared" si="10"/>
        <v xml:space="preserve"> </v>
      </c>
      <c r="T698" s="6" t="str">
        <f>IF(IF(COUNTIF(H$2:$H698,H698)=1,1,"")=1,SUMIF($H$2:$H$7997,H698,$S$2:$S$7997),"")</f>
        <v/>
      </c>
      <c r="W698">
        <v>0</v>
      </c>
      <c r="X698">
        <v>0</v>
      </c>
      <c r="Y698">
        <v>0</v>
      </c>
      <c r="Z698">
        <v>0</v>
      </c>
      <c r="AA698" s="2">
        <v>1</v>
      </c>
      <c r="AB698" s="2">
        <v>0</v>
      </c>
      <c r="AC698" s="2">
        <v>0</v>
      </c>
      <c r="AD698">
        <v>0</v>
      </c>
      <c r="AE698" t="s">
        <v>1863</v>
      </c>
      <c r="AF698">
        <v>1584.05</v>
      </c>
      <c r="AG698">
        <v>1</v>
      </c>
      <c r="AH698">
        <v>33265</v>
      </c>
      <c r="AI698" s="1" t="s">
        <v>358</v>
      </c>
      <c r="AJ698">
        <v>269943</v>
      </c>
      <c r="AK698" s="1" t="s">
        <v>1867</v>
      </c>
      <c r="AL698" t="s">
        <v>1978</v>
      </c>
      <c r="AN698" t="s">
        <v>2039</v>
      </c>
      <c r="AO698" t="s">
        <v>2067</v>
      </c>
      <c r="AP698" t="s">
        <v>2109</v>
      </c>
      <c r="AQ698">
        <v>129462</v>
      </c>
      <c r="AR698" s="3">
        <v>46203</v>
      </c>
      <c r="AS698" s="3">
        <v>46202</v>
      </c>
      <c r="AT698" s="3">
        <v>46222</v>
      </c>
      <c r="AU698" t="s">
        <v>2129</v>
      </c>
      <c r="AW698" s="3">
        <v>46208.53701449134</v>
      </c>
    </row>
    <row r="699" spans="1:49" ht="16" hidden="1" x14ac:dyDescent="0.2">
      <c r="A699" t="s">
        <v>49</v>
      </c>
      <c r="B699">
        <v>11662</v>
      </c>
      <c r="C699">
        <v>6081</v>
      </c>
      <c r="D699" t="s">
        <v>189</v>
      </c>
      <c r="E699" t="s">
        <v>358</v>
      </c>
      <c r="F699">
        <v>269943</v>
      </c>
      <c r="G699" t="s">
        <v>652</v>
      </c>
      <c r="H699">
        <v>589942</v>
      </c>
      <c r="I699" t="s">
        <v>1271</v>
      </c>
      <c r="J699">
        <v>94295384</v>
      </c>
      <c r="K699" t="s">
        <v>1839</v>
      </c>
      <c r="L699" t="s">
        <v>1850</v>
      </c>
      <c r="M699" s="1">
        <v>40</v>
      </c>
      <c r="N699" t="s">
        <v>23</v>
      </c>
      <c r="O699">
        <v>371639</v>
      </c>
      <c r="P699" s="1">
        <v>14865.56</v>
      </c>
      <c r="S699" s="6" t="str">
        <f t="shared" si="10"/>
        <v xml:space="preserve"> </v>
      </c>
      <c r="T699" s="6">
        <f>IF(IF(COUNTIF(H$2:$H699,H699)=1,1,"")=1,SUMIF($H$2:$H$7997,H699,$S$2:$S$7997),"")</f>
        <v>0</v>
      </c>
      <c r="W699">
        <v>371639</v>
      </c>
      <c r="X699">
        <v>371639</v>
      </c>
      <c r="Y699">
        <v>0</v>
      </c>
      <c r="Z699">
        <v>0</v>
      </c>
      <c r="AA699" s="2">
        <v>1</v>
      </c>
      <c r="AB699" s="2">
        <v>0</v>
      </c>
      <c r="AC699" s="2">
        <v>0</v>
      </c>
      <c r="AD699">
        <v>0</v>
      </c>
      <c r="AE699" t="s">
        <v>1862</v>
      </c>
      <c r="AF699">
        <v>7176.41</v>
      </c>
      <c r="AG699">
        <v>3500000</v>
      </c>
      <c r="AH699">
        <v>140000</v>
      </c>
      <c r="AI699" s="1" t="s">
        <v>358</v>
      </c>
      <c r="AJ699">
        <v>94295377</v>
      </c>
      <c r="AK699" s="1" t="s">
        <v>1867</v>
      </c>
      <c r="AL699" t="s">
        <v>1978</v>
      </c>
      <c r="AN699" t="s">
        <v>2039</v>
      </c>
      <c r="AO699" t="s">
        <v>2067</v>
      </c>
      <c r="AP699" t="s">
        <v>2094</v>
      </c>
      <c r="AQ699">
        <v>129462</v>
      </c>
      <c r="AR699" s="3">
        <v>46203</v>
      </c>
      <c r="AS699" s="3">
        <v>46202</v>
      </c>
      <c r="AT699" s="3">
        <v>46222</v>
      </c>
      <c r="AU699" t="s">
        <v>2124</v>
      </c>
      <c r="AW699" s="3">
        <v>46208.53701449134</v>
      </c>
    </row>
    <row r="700" spans="1:49" ht="16" hidden="1" x14ac:dyDescent="0.2">
      <c r="A700" t="s">
        <v>49</v>
      </c>
      <c r="B700">
        <v>11662</v>
      </c>
      <c r="C700">
        <v>6081</v>
      </c>
      <c r="D700" t="s">
        <v>189</v>
      </c>
      <c r="E700" t="s">
        <v>358</v>
      </c>
      <c r="F700">
        <v>269943</v>
      </c>
      <c r="G700" t="s">
        <v>652</v>
      </c>
      <c r="H700">
        <v>589942</v>
      </c>
      <c r="I700" t="s">
        <v>1270</v>
      </c>
      <c r="J700">
        <v>94295387</v>
      </c>
      <c r="K700" t="s">
        <v>1835</v>
      </c>
      <c r="L700" t="s">
        <v>1850</v>
      </c>
      <c r="M700" s="1">
        <v>40</v>
      </c>
      <c r="N700" t="s">
        <v>23</v>
      </c>
      <c r="O700">
        <v>138019</v>
      </c>
      <c r="P700" s="1">
        <v>5520.76</v>
      </c>
      <c r="S700" s="6" t="str">
        <f t="shared" si="10"/>
        <v xml:space="preserve"> </v>
      </c>
      <c r="T700" s="6" t="str">
        <f>IF(IF(COUNTIF(H$2:$H700,H700)=1,1,"")=1,SUMIF($H$2:$H$7997,H700,$S$2:$S$7997),"")</f>
        <v/>
      </c>
      <c r="W700">
        <v>138019</v>
      </c>
      <c r="X700">
        <v>138019</v>
      </c>
      <c r="Y700">
        <v>0</v>
      </c>
      <c r="Z700">
        <v>0</v>
      </c>
      <c r="AA700" s="2">
        <v>1</v>
      </c>
      <c r="AB700" s="2">
        <v>0</v>
      </c>
      <c r="AC700" s="2">
        <v>0</v>
      </c>
      <c r="AD700">
        <v>0</v>
      </c>
      <c r="AE700" t="s">
        <v>1862</v>
      </c>
      <c r="AF700">
        <v>3075.61</v>
      </c>
      <c r="AG700">
        <v>1500000</v>
      </c>
      <c r="AH700">
        <v>60000</v>
      </c>
      <c r="AI700" s="1" t="s">
        <v>358</v>
      </c>
      <c r="AJ700">
        <v>94295377</v>
      </c>
      <c r="AK700" s="1" t="s">
        <v>1867</v>
      </c>
      <c r="AL700" t="s">
        <v>1978</v>
      </c>
      <c r="AN700" t="s">
        <v>2039</v>
      </c>
      <c r="AO700" t="s">
        <v>2067</v>
      </c>
      <c r="AP700" t="s">
        <v>2092</v>
      </c>
      <c r="AQ700">
        <v>129462</v>
      </c>
      <c r="AR700" s="3">
        <v>46203</v>
      </c>
      <c r="AS700" s="3">
        <v>46202</v>
      </c>
      <c r="AT700" s="3">
        <v>46222</v>
      </c>
      <c r="AU700" t="s">
        <v>2123</v>
      </c>
      <c r="AW700" s="3">
        <v>46208.53701449134</v>
      </c>
    </row>
    <row r="701" spans="1:49" ht="16" hidden="1" x14ac:dyDescent="0.2">
      <c r="A701" t="s">
        <v>49</v>
      </c>
      <c r="B701">
        <v>11662</v>
      </c>
      <c r="C701">
        <v>6081</v>
      </c>
      <c r="D701" t="s">
        <v>189</v>
      </c>
      <c r="E701" t="s">
        <v>358</v>
      </c>
      <c r="F701">
        <v>269943</v>
      </c>
      <c r="G701" t="s">
        <v>653</v>
      </c>
      <c r="H701">
        <v>589945</v>
      </c>
      <c r="I701" t="s">
        <v>1272</v>
      </c>
      <c r="J701">
        <v>94295380</v>
      </c>
      <c r="K701" t="s">
        <v>1835</v>
      </c>
      <c r="L701" t="s">
        <v>1850</v>
      </c>
      <c r="M701" s="1">
        <v>25</v>
      </c>
      <c r="N701" t="s">
        <v>1853</v>
      </c>
      <c r="O701">
        <v>283771</v>
      </c>
      <c r="P701" s="1">
        <v>7094.27</v>
      </c>
      <c r="S701" s="6" t="str">
        <f t="shared" si="10"/>
        <v xml:space="preserve"> </v>
      </c>
      <c r="T701" s="6">
        <f>IF(IF(COUNTIF(H$2:$H701,H701)=1,1,"")=1,SUMIF($H$2:$H$7997,H701,$S$2:$S$7997),"")</f>
        <v>0</v>
      </c>
      <c r="W701">
        <v>263875</v>
      </c>
      <c r="X701">
        <v>263875</v>
      </c>
      <c r="Y701">
        <v>283771</v>
      </c>
      <c r="Z701">
        <v>283771</v>
      </c>
      <c r="AA701" s="2">
        <v>1</v>
      </c>
      <c r="AB701" s="2">
        <v>1.0754002911208149</v>
      </c>
      <c r="AC701" s="2">
        <v>0</v>
      </c>
      <c r="AD701">
        <v>0</v>
      </c>
      <c r="AE701" t="s">
        <v>1862</v>
      </c>
      <c r="AF701">
        <v>3574.98</v>
      </c>
      <c r="AG701">
        <v>3967800</v>
      </c>
      <c r="AH701">
        <v>99195</v>
      </c>
      <c r="AI701" s="1" t="s">
        <v>358</v>
      </c>
      <c r="AJ701">
        <v>94295377</v>
      </c>
      <c r="AK701" s="1" t="s">
        <v>1867</v>
      </c>
      <c r="AL701" t="s">
        <v>1978</v>
      </c>
      <c r="AN701" t="s">
        <v>2039</v>
      </c>
      <c r="AO701" t="s">
        <v>2067</v>
      </c>
      <c r="AP701" t="s">
        <v>2091</v>
      </c>
      <c r="AQ701">
        <v>129462</v>
      </c>
      <c r="AR701" s="3">
        <v>46203</v>
      </c>
      <c r="AS701" s="3">
        <v>46202</v>
      </c>
      <c r="AT701" s="3">
        <v>46222</v>
      </c>
      <c r="AU701" t="s">
        <v>2123</v>
      </c>
      <c r="AW701" s="3">
        <v>46208.53701449134</v>
      </c>
    </row>
    <row r="702" spans="1:49" ht="16" hidden="1" x14ac:dyDescent="0.2">
      <c r="A702" t="s">
        <v>49</v>
      </c>
      <c r="B702">
        <v>11662</v>
      </c>
      <c r="C702">
        <v>3706</v>
      </c>
      <c r="D702" t="s">
        <v>222</v>
      </c>
      <c r="E702" t="s">
        <v>433</v>
      </c>
      <c r="F702">
        <v>264707</v>
      </c>
      <c r="G702" t="s">
        <v>911</v>
      </c>
      <c r="H702">
        <v>573139</v>
      </c>
      <c r="I702" t="s">
        <v>1796</v>
      </c>
      <c r="J702">
        <v>573141</v>
      </c>
      <c r="K702" t="s">
        <v>1847</v>
      </c>
      <c r="L702" t="s">
        <v>1851</v>
      </c>
      <c r="M702" s="1">
        <v>500000</v>
      </c>
      <c r="N702" t="s">
        <v>1858</v>
      </c>
      <c r="O702">
        <v>0</v>
      </c>
      <c r="P702" s="1">
        <v>76923.08</v>
      </c>
      <c r="S702" s="6" t="str">
        <f t="shared" si="10"/>
        <v xml:space="preserve"> </v>
      </c>
      <c r="T702" s="6">
        <f>IF(IF(COUNTIF(H$2:$H702,H702)=1,1,"")=1,SUMIF($H$2:$H$7997,H702,$S$2:$S$7997),"")</f>
        <v>0</v>
      </c>
      <c r="W702">
        <v>0</v>
      </c>
      <c r="X702">
        <v>0</v>
      </c>
      <c r="Y702">
        <v>0</v>
      </c>
      <c r="Z702">
        <v>0</v>
      </c>
      <c r="AA702" s="2">
        <v>1</v>
      </c>
      <c r="AB702" s="2">
        <v>0</v>
      </c>
      <c r="AC702" s="2">
        <v>0</v>
      </c>
      <c r="AD702">
        <v>0</v>
      </c>
      <c r="AE702" t="s">
        <v>1863</v>
      </c>
      <c r="AF702">
        <v>76923.08</v>
      </c>
      <c r="AG702">
        <v>1</v>
      </c>
      <c r="AH702">
        <v>500000</v>
      </c>
      <c r="AI702" s="1" t="s">
        <v>433</v>
      </c>
      <c r="AJ702">
        <v>264707</v>
      </c>
      <c r="AK702" s="1" t="s">
        <v>1867</v>
      </c>
      <c r="AL702" t="s">
        <v>2038</v>
      </c>
      <c r="AN702" t="s">
        <v>2039</v>
      </c>
      <c r="AO702" t="s">
        <v>2067</v>
      </c>
      <c r="AP702" t="s">
        <v>2116</v>
      </c>
      <c r="AQ702">
        <v>120117</v>
      </c>
      <c r="AR702" s="3">
        <v>46203</v>
      </c>
      <c r="AS702" s="3">
        <v>46111</v>
      </c>
      <c r="AT702" s="3">
        <v>46201</v>
      </c>
      <c r="AU702" t="s">
        <v>2130</v>
      </c>
      <c r="AW702" s="3">
        <v>46208.53701449134</v>
      </c>
    </row>
    <row r="703" spans="1:49" ht="16" hidden="1" x14ac:dyDescent="0.2">
      <c r="A703" t="s">
        <v>49</v>
      </c>
      <c r="B703">
        <v>11662</v>
      </c>
      <c r="C703">
        <v>3706</v>
      </c>
      <c r="D703" t="s">
        <v>222</v>
      </c>
      <c r="E703" t="s">
        <v>429</v>
      </c>
      <c r="F703">
        <v>271544</v>
      </c>
      <c r="G703" t="s">
        <v>884</v>
      </c>
      <c r="H703">
        <v>594755</v>
      </c>
      <c r="I703" t="s">
        <v>1694</v>
      </c>
      <c r="J703">
        <v>594766</v>
      </c>
      <c r="K703" t="s">
        <v>1847</v>
      </c>
      <c r="L703" t="s">
        <v>1851</v>
      </c>
      <c r="M703" s="1">
        <v>250000</v>
      </c>
      <c r="N703" t="s">
        <v>1858</v>
      </c>
      <c r="O703">
        <v>0</v>
      </c>
      <c r="P703" s="1">
        <v>2747.25</v>
      </c>
      <c r="S703" s="6" t="str">
        <f t="shared" si="10"/>
        <v xml:space="preserve"> </v>
      </c>
      <c r="T703" s="6">
        <f>IF(IF(COUNTIF(H$2:$H703,H703)=1,1,"")=1,SUMIF($H$2:$H$7997,H703,$S$2:$S$7997),"")</f>
        <v>0</v>
      </c>
      <c r="W703">
        <v>0</v>
      </c>
      <c r="X703">
        <v>0</v>
      </c>
      <c r="Y703">
        <v>0</v>
      </c>
      <c r="Z703">
        <v>0</v>
      </c>
      <c r="AA703" s="2">
        <v>1</v>
      </c>
      <c r="AB703" s="2">
        <v>0</v>
      </c>
      <c r="AC703" s="2">
        <v>0</v>
      </c>
      <c r="AD703">
        <v>0</v>
      </c>
      <c r="AE703" t="s">
        <v>1863</v>
      </c>
      <c r="AF703">
        <v>2747.25</v>
      </c>
      <c r="AG703">
        <v>1</v>
      </c>
      <c r="AH703">
        <v>250000</v>
      </c>
      <c r="AI703" s="1" t="s">
        <v>429</v>
      </c>
      <c r="AJ703">
        <v>271544</v>
      </c>
      <c r="AK703" s="1" t="s">
        <v>1867</v>
      </c>
      <c r="AL703" t="s">
        <v>2034</v>
      </c>
      <c r="AN703" t="s">
        <v>2039</v>
      </c>
      <c r="AO703" t="s">
        <v>2067</v>
      </c>
      <c r="AP703" t="s">
        <v>2116</v>
      </c>
      <c r="AQ703">
        <v>132891</v>
      </c>
      <c r="AR703" s="3">
        <v>46203</v>
      </c>
      <c r="AS703" s="3">
        <v>46202</v>
      </c>
      <c r="AT703" s="3">
        <v>46292</v>
      </c>
      <c r="AU703" t="s">
        <v>2130</v>
      </c>
      <c r="AW703" s="3">
        <v>46208.53701449134</v>
      </c>
    </row>
    <row r="704" spans="1:49" ht="16" hidden="1" x14ac:dyDescent="0.2">
      <c r="A704" t="s">
        <v>49</v>
      </c>
      <c r="B704">
        <v>11662</v>
      </c>
      <c r="C704">
        <v>5098</v>
      </c>
      <c r="D704" t="s">
        <v>113</v>
      </c>
      <c r="E704" t="s">
        <v>256</v>
      </c>
      <c r="F704">
        <v>265769</v>
      </c>
      <c r="G704" t="s">
        <v>498</v>
      </c>
      <c r="H704">
        <v>576699</v>
      </c>
      <c r="I704" t="s">
        <v>995</v>
      </c>
      <c r="J704">
        <v>93500843</v>
      </c>
      <c r="K704" t="s">
        <v>1835</v>
      </c>
      <c r="L704" t="s">
        <v>1850</v>
      </c>
      <c r="M704" s="1">
        <v>14.61</v>
      </c>
      <c r="N704" t="s">
        <v>1853</v>
      </c>
      <c r="O704">
        <v>34621</v>
      </c>
      <c r="P704" s="1">
        <v>429.81</v>
      </c>
      <c r="S704" s="6" t="str">
        <f t="shared" si="10"/>
        <v xml:space="preserve"> </v>
      </c>
      <c r="T704" s="6">
        <f>IF(IF(COUNTIF(H$2:$H704,H704)=1,1,"")=1,SUMIF($H$2:$H$7997,H704,$S$2:$S$7997),"")</f>
        <v>0</v>
      </c>
      <c r="W704">
        <v>57041</v>
      </c>
      <c r="X704">
        <v>57041</v>
      </c>
      <c r="Y704">
        <v>34621</v>
      </c>
      <c r="Z704">
        <v>34621</v>
      </c>
      <c r="AA704" s="2">
        <v>1</v>
      </c>
      <c r="AB704" s="2">
        <v>0.6069565521828939</v>
      </c>
      <c r="AC704" s="2">
        <v>0</v>
      </c>
      <c r="AD704">
        <v>0</v>
      </c>
      <c r="AE704" t="s">
        <v>1862</v>
      </c>
      <c r="AF704">
        <v>429.81</v>
      </c>
      <c r="AG704">
        <v>29419</v>
      </c>
      <c r="AH704">
        <v>429.81</v>
      </c>
      <c r="AI704" s="1" t="s">
        <v>256</v>
      </c>
      <c r="AJ704">
        <v>93014102</v>
      </c>
      <c r="AK704" s="1" t="s">
        <v>1870</v>
      </c>
      <c r="AL704" t="s">
        <v>1895</v>
      </c>
      <c r="AN704" t="s">
        <v>2041</v>
      </c>
      <c r="AO704" t="s">
        <v>2067</v>
      </c>
      <c r="AP704" t="s">
        <v>2091</v>
      </c>
      <c r="AQ704">
        <v>123831</v>
      </c>
      <c r="AR704" s="3">
        <v>46203</v>
      </c>
      <c r="AS704" s="3">
        <v>46111</v>
      </c>
      <c r="AT704" s="3">
        <v>46201</v>
      </c>
      <c r="AU704" t="s">
        <v>2123</v>
      </c>
      <c r="AW704" s="3">
        <v>46208.53701449134</v>
      </c>
    </row>
    <row r="705" spans="1:49" ht="16" hidden="1" x14ac:dyDescent="0.2">
      <c r="A705" t="s">
        <v>49</v>
      </c>
      <c r="B705">
        <v>11662</v>
      </c>
      <c r="C705">
        <v>5098</v>
      </c>
      <c r="D705" t="s">
        <v>113</v>
      </c>
      <c r="E705" t="s">
        <v>256</v>
      </c>
      <c r="F705">
        <v>265769</v>
      </c>
      <c r="G705" t="s">
        <v>474</v>
      </c>
      <c r="H705">
        <v>576705</v>
      </c>
      <c r="I705" t="s">
        <v>966</v>
      </c>
      <c r="J705">
        <v>93014105</v>
      </c>
      <c r="K705" t="s">
        <v>1840</v>
      </c>
      <c r="L705" t="s">
        <v>1850</v>
      </c>
      <c r="M705" s="1">
        <v>14.61</v>
      </c>
      <c r="N705" t="s">
        <v>1855</v>
      </c>
      <c r="O705">
        <v>1294947</v>
      </c>
      <c r="P705" s="1">
        <v>18919.18</v>
      </c>
      <c r="S705" s="6" t="str">
        <f t="shared" si="10"/>
        <v xml:space="preserve"> </v>
      </c>
      <c r="T705" s="6">
        <f>IF(IF(COUNTIF(H$2:$H705,H705)=1,1,"")=1,SUMIF($H$2:$H$7997,H705,$S$2:$S$7997),"")</f>
        <v>0</v>
      </c>
      <c r="W705">
        <v>2819849</v>
      </c>
      <c r="X705">
        <v>1294947</v>
      </c>
      <c r="Y705">
        <v>0</v>
      </c>
      <c r="Z705">
        <v>0</v>
      </c>
      <c r="AA705" s="2">
        <v>1</v>
      </c>
      <c r="AB705" s="2">
        <v>0</v>
      </c>
      <c r="AC705" s="2">
        <v>0</v>
      </c>
      <c r="AD705">
        <v>0</v>
      </c>
      <c r="AE705" t="s">
        <v>1862</v>
      </c>
      <c r="AF705">
        <v>20057.689999999999</v>
      </c>
      <c r="AG705">
        <v>4400001</v>
      </c>
      <c r="AH705">
        <v>64284.01</v>
      </c>
      <c r="AI705" s="1" t="s">
        <v>256</v>
      </c>
      <c r="AJ705">
        <v>93014102</v>
      </c>
      <c r="AK705" s="1" t="s">
        <v>1868</v>
      </c>
      <c r="AL705" t="s">
        <v>1895</v>
      </c>
      <c r="AN705" t="s">
        <v>2041</v>
      </c>
      <c r="AO705" t="s">
        <v>2067</v>
      </c>
      <c r="AP705" t="s">
        <v>2089</v>
      </c>
      <c r="AQ705">
        <v>123831</v>
      </c>
      <c r="AR705" s="3">
        <v>46203</v>
      </c>
      <c r="AS705" s="3">
        <v>46111</v>
      </c>
      <c r="AT705" s="3">
        <v>46201</v>
      </c>
      <c r="AU705" t="s">
        <v>2124</v>
      </c>
      <c r="AW705" s="3">
        <v>46208.53701449134</v>
      </c>
    </row>
    <row r="706" spans="1:49" ht="16" hidden="1" x14ac:dyDescent="0.2">
      <c r="A706" t="s">
        <v>49</v>
      </c>
      <c r="B706">
        <v>11662</v>
      </c>
      <c r="C706">
        <v>5098</v>
      </c>
      <c r="D706" t="s">
        <v>113</v>
      </c>
      <c r="E706" t="s">
        <v>256</v>
      </c>
      <c r="F706">
        <v>265769</v>
      </c>
      <c r="G706" t="s">
        <v>474</v>
      </c>
      <c r="H706">
        <v>576705</v>
      </c>
      <c r="I706" t="s">
        <v>967</v>
      </c>
      <c r="J706">
        <v>93014111</v>
      </c>
      <c r="K706" t="s">
        <v>1840</v>
      </c>
      <c r="L706" t="s">
        <v>1850</v>
      </c>
      <c r="M706" s="1">
        <v>14.61</v>
      </c>
      <c r="N706" t="s">
        <v>1855</v>
      </c>
      <c r="O706">
        <v>59430</v>
      </c>
      <c r="P706" s="1">
        <v>868.27</v>
      </c>
      <c r="S706" s="6" t="str">
        <f t="shared" si="10"/>
        <v xml:space="preserve"> </v>
      </c>
      <c r="T706" s="6" t="str">
        <f>IF(IF(COUNTIF(H$2:$H706,H706)=1,1,"")=1,SUMIF($H$2:$H$7997,H706,$S$2:$S$7997),"")</f>
        <v/>
      </c>
      <c r="W706">
        <v>43363</v>
      </c>
      <c r="X706">
        <v>59430</v>
      </c>
      <c r="Y706">
        <v>0</v>
      </c>
      <c r="Z706">
        <v>0</v>
      </c>
      <c r="AA706" s="2">
        <v>1</v>
      </c>
      <c r="AB706" s="2">
        <v>0</v>
      </c>
      <c r="AC706" s="2">
        <v>0</v>
      </c>
      <c r="AD706">
        <v>0</v>
      </c>
      <c r="AE706" t="s">
        <v>1862</v>
      </c>
      <c r="AF706">
        <v>798.76</v>
      </c>
      <c r="AG706">
        <v>175222</v>
      </c>
      <c r="AH706">
        <v>2559.9899999999998</v>
      </c>
      <c r="AI706" s="1" t="s">
        <v>256</v>
      </c>
      <c r="AJ706">
        <v>93014102</v>
      </c>
      <c r="AK706" s="1" t="s">
        <v>1868</v>
      </c>
      <c r="AL706" t="s">
        <v>1895</v>
      </c>
      <c r="AN706" t="s">
        <v>2041</v>
      </c>
      <c r="AO706" t="s">
        <v>2067</v>
      </c>
      <c r="AP706" t="s">
        <v>2090</v>
      </c>
      <c r="AQ706">
        <v>123831</v>
      </c>
      <c r="AR706" s="3">
        <v>46203</v>
      </c>
      <c r="AS706" s="3">
        <v>46111</v>
      </c>
      <c r="AT706" s="3">
        <v>46201</v>
      </c>
      <c r="AU706" t="s">
        <v>2123</v>
      </c>
      <c r="AW706" s="3">
        <v>46208.53701449134</v>
      </c>
    </row>
    <row r="707" spans="1:49" ht="16" hidden="1" x14ac:dyDescent="0.2">
      <c r="A707" t="s">
        <v>49</v>
      </c>
      <c r="B707">
        <v>11662</v>
      </c>
      <c r="C707">
        <v>5098</v>
      </c>
      <c r="D707" t="s">
        <v>113</v>
      </c>
      <c r="E707" t="s">
        <v>256</v>
      </c>
      <c r="F707">
        <v>265769</v>
      </c>
      <c r="G707" t="s">
        <v>475</v>
      </c>
      <c r="H707">
        <v>576851</v>
      </c>
      <c r="I707" t="s">
        <v>968</v>
      </c>
      <c r="J707">
        <v>93014195</v>
      </c>
      <c r="K707" t="s">
        <v>1840</v>
      </c>
      <c r="L707" t="s">
        <v>1850</v>
      </c>
      <c r="M707" s="1">
        <v>14.61</v>
      </c>
      <c r="N707" t="s">
        <v>1855</v>
      </c>
      <c r="O707">
        <v>4851060</v>
      </c>
      <c r="P707" s="1">
        <v>69800.820000000007</v>
      </c>
      <c r="S707" s="6" t="str">
        <f t="shared" ref="S707:S770" si="11">IF(ISBLANK(R707)," ",ROUND(R707*(IF(ISBLANK(Q707),(M707/1000),(Q707/1000))),2))</f>
        <v xml:space="preserve"> </v>
      </c>
      <c r="T707" s="6">
        <f>IF(IF(COUNTIF(H$2:$H707,H707)=1,1,"")=1,SUMIF($H$2:$H$7997,H707,$S$2:$S$7997),"")</f>
        <v>0</v>
      </c>
      <c r="W707">
        <v>4851060</v>
      </c>
      <c r="X707">
        <v>4851060</v>
      </c>
      <c r="Y707">
        <v>0</v>
      </c>
      <c r="Z707">
        <v>0</v>
      </c>
      <c r="AA707" s="2">
        <v>1</v>
      </c>
      <c r="AB707" s="2">
        <v>0</v>
      </c>
      <c r="AC707" s="2">
        <v>0</v>
      </c>
      <c r="AD707">
        <v>0</v>
      </c>
      <c r="AE707" t="s">
        <v>1862</v>
      </c>
      <c r="AF707">
        <v>34900.410000000003</v>
      </c>
      <c r="AG707">
        <v>4777606</v>
      </c>
      <c r="AH707">
        <v>69800.820000000007</v>
      </c>
      <c r="AI707" s="1" t="s">
        <v>256</v>
      </c>
      <c r="AJ707">
        <v>93014102</v>
      </c>
      <c r="AK707" s="1" t="s">
        <v>1868</v>
      </c>
      <c r="AL707" t="s">
        <v>1895</v>
      </c>
      <c r="AN707" t="s">
        <v>2041</v>
      </c>
      <c r="AO707" t="s">
        <v>2067</v>
      </c>
      <c r="AP707" t="s">
        <v>2089</v>
      </c>
      <c r="AQ707">
        <v>123831</v>
      </c>
      <c r="AR707" s="3">
        <v>46203</v>
      </c>
      <c r="AS707" s="3">
        <v>46188</v>
      </c>
      <c r="AT707" s="3">
        <v>46201</v>
      </c>
      <c r="AU707" t="s">
        <v>2124</v>
      </c>
      <c r="AW707" s="3">
        <v>46208.53701449134</v>
      </c>
    </row>
    <row r="708" spans="1:49" ht="16" hidden="1" x14ac:dyDescent="0.2">
      <c r="A708" t="s">
        <v>49</v>
      </c>
      <c r="B708">
        <v>11662</v>
      </c>
      <c r="C708">
        <v>5098</v>
      </c>
      <c r="D708" t="s">
        <v>113</v>
      </c>
      <c r="E708" t="s">
        <v>256</v>
      </c>
      <c r="F708">
        <v>265769</v>
      </c>
      <c r="G708" t="s">
        <v>475</v>
      </c>
      <c r="H708">
        <v>576851</v>
      </c>
      <c r="I708" t="s">
        <v>969</v>
      </c>
      <c r="J708">
        <v>93014198</v>
      </c>
      <c r="K708" t="s">
        <v>1840</v>
      </c>
      <c r="L708" t="s">
        <v>1850</v>
      </c>
      <c r="M708" s="1">
        <v>14.61</v>
      </c>
      <c r="N708" t="s">
        <v>1855</v>
      </c>
      <c r="O708">
        <v>20420</v>
      </c>
      <c r="P708" s="1">
        <v>298.33999999999997</v>
      </c>
      <c r="S708" s="6" t="str">
        <f t="shared" si="11"/>
        <v xml:space="preserve"> </v>
      </c>
      <c r="T708" s="6" t="str">
        <f>IF(IF(COUNTIF(H$2:$H708,H708)=1,1,"")=1,SUMIF($H$2:$H$7997,H708,$S$2:$S$7997),"")</f>
        <v/>
      </c>
      <c r="W708">
        <v>20420</v>
      </c>
      <c r="X708">
        <v>20420</v>
      </c>
      <c r="Y708">
        <v>0</v>
      </c>
      <c r="Z708">
        <v>0</v>
      </c>
      <c r="AA708" s="2">
        <v>1</v>
      </c>
      <c r="AB708" s="2">
        <v>0</v>
      </c>
      <c r="AC708" s="2">
        <v>0</v>
      </c>
      <c r="AD708">
        <v>0</v>
      </c>
      <c r="AE708" t="s">
        <v>1862</v>
      </c>
      <c r="AF708">
        <v>365.25</v>
      </c>
      <c r="AG708">
        <v>50000</v>
      </c>
      <c r="AH708">
        <v>730.5</v>
      </c>
      <c r="AI708" s="1" t="s">
        <v>256</v>
      </c>
      <c r="AJ708">
        <v>93014102</v>
      </c>
      <c r="AK708" s="1" t="s">
        <v>1868</v>
      </c>
      <c r="AL708" t="s">
        <v>1895</v>
      </c>
      <c r="AN708" t="s">
        <v>2041</v>
      </c>
      <c r="AO708" t="s">
        <v>2067</v>
      </c>
      <c r="AP708" t="s">
        <v>2090</v>
      </c>
      <c r="AQ708">
        <v>123831</v>
      </c>
      <c r="AR708" s="3">
        <v>46203</v>
      </c>
      <c r="AS708" s="3">
        <v>46188</v>
      </c>
      <c r="AT708" s="3">
        <v>46201</v>
      </c>
      <c r="AU708" t="s">
        <v>2123</v>
      </c>
      <c r="AW708" s="3">
        <v>46208.53701449134</v>
      </c>
    </row>
    <row r="709" spans="1:49" ht="16" hidden="1" x14ac:dyDescent="0.2">
      <c r="A709" t="s">
        <v>49</v>
      </c>
      <c r="B709">
        <v>11662</v>
      </c>
      <c r="C709">
        <v>5098</v>
      </c>
      <c r="D709" t="s">
        <v>113</v>
      </c>
      <c r="E709" t="s">
        <v>225</v>
      </c>
      <c r="F709">
        <v>252135</v>
      </c>
      <c r="G709" t="s">
        <v>436</v>
      </c>
      <c r="H709">
        <v>536602</v>
      </c>
      <c r="I709" t="s">
        <v>918</v>
      </c>
      <c r="J709">
        <v>88192821</v>
      </c>
      <c r="K709" t="s">
        <v>1835</v>
      </c>
      <c r="L709" t="s">
        <v>1850</v>
      </c>
      <c r="M709" s="1">
        <v>14.61</v>
      </c>
      <c r="N709" t="s">
        <v>1853</v>
      </c>
      <c r="O709">
        <v>0</v>
      </c>
      <c r="P709" s="1">
        <v>0</v>
      </c>
      <c r="S709" s="6" t="str">
        <f t="shared" si="11"/>
        <v xml:space="preserve"> </v>
      </c>
      <c r="T709" s="6">
        <f>IF(IF(COUNTIF(H$2:$H709,H709)=1,1,"")=1,SUMIF($H$2:$H$7997,H709,$S$2:$S$7997),"")</f>
        <v>0</v>
      </c>
      <c r="W709">
        <v>0</v>
      </c>
      <c r="X709">
        <v>0</v>
      </c>
      <c r="Y709">
        <v>0</v>
      </c>
      <c r="Z709">
        <v>0</v>
      </c>
      <c r="AA709" s="2">
        <v>1</v>
      </c>
      <c r="AB709" s="2">
        <v>0</v>
      </c>
      <c r="AC709" s="2">
        <v>0</v>
      </c>
      <c r="AD709">
        <v>0</v>
      </c>
      <c r="AE709" t="s">
        <v>1862</v>
      </c>
      <c r="AF709">
        <v>0</v>
      </c>
      <c r="AG709">
        <v>18572622</v>
      </c>
      <c r="AH709">
        <v>271346.01</v>
      </c>
      <c r="AI709" s="1" t="s">
        <v>225</v>
      </c>
      <c r="AJ709">
        <v>252135</v>
      </c>
      <c r="AK709" s="1" t="s">
        <v>1867</v>
      </c>
      <c r="AL709" t="s">
        <v>1875</v>
      </c>
      <c r="AN709" t="s">
        <v>2041</v>
      </c>
      <c r="AO709" t="s">
        <v>2067</v>
      </c>
      <c r="AP709" t="s">
        <v>2071</v>
      </c>
      <c r="AQ709">
        <v>91198</v>
      </c>
      <c r="AR709" s="3">
        <v>46203</v>
      </c>
      <c r="AS709" s="3">
        <v>46202</v>
      </c>
      <c r="AT709" s="3">
        <v>46292</v>
      </c>
      <c r="AU709" t="s">
        <v>2123</v>
      </c>
      <c r="AW709" s="3">
        <v>46208.53701449134</v>
      </c>
    </row>
    <row r="710" spans="1:49" ht="16" hidden="1" x14ac:dyDescent="0.2">
      <c r="A710" t="s">
        <v>50</v>
      </c>
      <c r="B710">
        <v>11023</v>
      </c>
      <c r="C710">
        <v>5567</v>
      </c>
      <c r="D710" t="s">
        <v>158</v>
      </c>
      <c r="E710" t="s">
        <v>295</v>
      </c>
      <c r="F710">
        <v>259301</v>
      </c>
      <c r="G710" t="s">
        <v>898</v>
      </c>
      <c r="H710">
        <v>582215</v>
      </c>
      <c r="I710" t="s">
        <v>1800</v>
      </c>
      <c r="J710">
        <v>582216</v>
      </c>
      <c r="K710" t="s">
        <v>1846</v>
      </c>
      <c r="L710" t="s">
        <v>1851</v>
      </c>
      <c r="M710" s="1">
        <v>0.15</v>
      </c>
      <c r="N710" t="s">
        <v>1858</v>
      </c>
      <c r="O710">
        <v>166666533</v>
      </c>
      <c r="P710" s="1">
        <v>24999.98</v>
      </c>
      <c r="S710" s="6" t="str">
        <f t="shared" si="11"/>
        <v xml:space="preserve"> </v>
      </c>
      <c r="T710" s="6">
        <f>IF(IF(COUNTIF(H$2:$H710,H710)=1,1,"")=1,SUMIF($H$2:$H$7997,H710,$S$2:$S$7997),"")</f>
        <v>0</v>
      </c>
      <c r="W710">
        <v>0</v>
      </c>
      <c r="X710">
        <v>0</v>
      </c>
      <c r="Y710">
        <v>0</v>
      </c>
      <c r="Z710">
        <v>0</v>
      </c>
      <c r="AA710" s="2">
        <v>1</v>
      </c>
      <c r="AB710" s="2">
        <v>0</v>
      </c>
      <c r="AC710" s="2">
        <v>0</v>
      </c>
      <c r="AD710">
        <v>0</v>
      </c>
      <c r="AE710" t="s">
        <v>1864</v>
      </c>
      <c r="AF710">
        <v>24999.98</v>
      </c>
      <c r="AG710">
        <v>666666</v>
      </c>
      <c r="AH710">
        <v>99999.9</v>
      </c>
      <c r="AI710" s="1" t="s">
        <v>295</v>
      </c>
      <c r="AJ710">
        <v>259301</v>
      </c>
      <c r="AK710" s="1" t="s">
        <v>1867</v>
      </c>
      <c r="AL710" t="s">
        <v>1929</v>
      </c>
      <c r="AN710" t="s">
        <v>2040</v>
      </c>
      <c r="AO710" t="s">
        <v>2067</v>
      </c>
      <c r="AP710" t="s">
        <v>2110</v>
      </c>
      <c r="AQ710">
        <v>127695</v>
      </c>
      <c r="AR710" s="3">
        <v>46203</v>
      </c>
      <c r="AS710" s="3">
        <v>46174</v>
      </c>
      <c r="AT710" s="3">
        <v>46222</v>
      </c>
      <c r="AU710" t="s">
        <v>2128</v>
      </c>
      <c r="AW710" s="3">
        <v>46208.53701449134</v>
      </c>
    </row>
    <row r="711" spans="1:49" ht="16" hidden="1" x14ac:dyDescent="0.2">
      <c r="A711" t="s">
        <v>50</v>
      </c>
      <c r="B711">
        <v>11023</v>
      </c>
      <c r="C711">
        <v>5567</v>
      </c>
      <c r="D711" t="s">
        <v>158</v>
      </c>
      <c r="E711" t="s">
        <v>295</v>
      </c>
      <c r="F711">
        <v>259301</v>
      </c>
      <c r="G711" t="s">
        <v>898</v>
      </c>
      <c r="H711">
        <v>582215</v>
      </c>
      <c r="I711" t="s">
        <v>1750</v>
      </c>
      <c r="J711">
        <v>582219</v>
      </c>
      <c r="K711" t="s">
        <v>1844</v>
      </c>
      <c r="L711" t="s">
        <v>1851</v>
      </c>
      <c r="M711" s="1">
        <v>0.15</v>
      </c>
      <c r="N711" t="s">
        <v>1858</v>
      </c>
      <c r="O711">
        <v>166666733</v>
      </c>
      <c r="P711" s="1">
        <v>25000.01</v>
      </c>
      <c r="S711" s="6" t="str">
        <f t="shared" si="11"/>
        <v xml:space="preserve"> </v>
      </c>
      <c r="T711" s="6" t="str">
        <f>IF(IF(COUNTIF(H$2:$H711,H711)=1,1,"")=1,SUMIF($H$2:$H$7997,H711,$S$2:$S$7997),"")</f>
        <v/>
      </c>
      <c r="W711">
        <v>0</v>
      </c>
      <c r="X711">
        <v>0</v>
      </c>
      <c r="Y711">
        <v>0</v>
      </c>
      <c r="Z711">
        <v>0</v>
      </c>
      <c r="AA711" s="2">
        <v>1</v>
      </c>
      <c r="AB711" s="2">
        <v>0</v>
      </c>
      <c r="AC711" s="2">
        <v>0</v>
      </c>
      <c r="AD711">
        <v>0</v>
      </c>
      <c r="AE711" t="s">
        <v>1864</v>
      </c>
      <c r="AF711">
        <v>25000.01</v>
      </c>
      <c r="AG711">
        <v>666667</v>
      </c>
      <c r="AH711">
        <v>100000.05</v>
      </c>
      <c r="AI711" s="1" t="s">
        <v>295</v>
      </c>
      <c r="AJ711">
        <v>259301</v>
      </c>
      <c r="AK711" s="1" t="s">
        <v>1867</v>
      </c>
      <c r="AL711" t="s">
        <v>1929</v>
      </c>
      <c r="AN711" t="s">
        <v>2040</v>
      </c>
      <c r="AO711" t="s">
        <v>2067</v>
      </c>
      <c r="AP711" t="s">
        <v>2107</v>
      </c>
      <c r="AQ711">
        <v>127695</v>
      </c>
      <c r="AR711" s="3">
        <v>46203</v>
      </c>
      <c r="AS711" s="3">
        <v>46174</v>
      </c>
      <c r="AT711" s="3">
        <v>46222</v>
      </c>
      <c r="AU711" t="s">
        <v>2127</v>
      </c>
      <c r="AW711" s="3">
        <v>46208.53701449134</v>
      </c>
    </row>
    <row r="712" spans="1:49" ht="16" hidden="1" x14ac:dyDescent="0.2">
      <c r="A712" t="s">
        <v>50</v>
      </c>
      <c r="B712">
        <v>11023</v>
      </c>
      <c r="C712">
        <v>5567</v>
      </c>
      <c r="D712" t="s">
        <v>158</v>
      </c>
      <c r="E712" t="s">
        <v>295</v>
      </c>
      <c r="F712">
        <v>259301</v>
      </c>
      <c r="G712" t="s">
        <v>898</v>
      </c>
      <c r="H712">
        <v>582215</v>
      </c>
      <c r="I712" t="s">
        <v>1729</v>
      </c>
      <c r="J712">
        <v>582218</v>
      </c>
      <c r="K712" t="s">
        <v>1835</v>
      </c>
      <c r="L712" t="s">
        <v>1851</v>
      </c>
      <c r="M712" s="1">
        <v>0.15</v>
      </c>
      <c r="N712" t="s">
        <v>1858</v>
      </c>
      <c r="O712">
        <v>166666733</v>
      </c>
      <c r="P712" s="1">
        <v>25000.01</v>
      </c>
      <c r="S712" s="6" t="str">
        <f t="shared" si="11"/>
        <v xml:space="preserve"> </v>
      </c>
      <c r="T712" s="6" t="str">
        <f>IF(IF(COUNTIF(H$2:$H712,H712)=1,1,"")=1,SUMIF($H$2:$H$7997,H712,$S$2:$S$7997),"")</f>
        <v/>
      </c>
      <c r="W712">
        <v>0</v>
      </c>
      <c r="X712">
        <v>0</v>
      </c>
      <c r="Y712">
        <v>0</v>
      </c>
      <c r="Z712">
        <v>0</v>
      </c>
      <c r="AA712" s="2">
        <v>1</v>
      </c>
      <c r="AB712" s="2">
        <v>0</v>
      </c>
      <c r="AC712" s="2">
        <v>0</v>
      </c>
      <c r="AD712">
        <v>0</v>
      </c>
      <c r="AE712" t="s">
        <v>1864</v>
      </c>
      <c r="AF712">
        <v>25000.01</v>
      </c>
      <c r="AG712">
        <v>666667</v>
      </c>
      <c r="AH712">
        <v>100000.05</v>
      </c>
      <c r="AI712" s="1" t="s">
        <v>295</v>
      </c>
      <c r="AJ712">
        <v>259301</v>
      </c>
      <c r="AK712" s="1" t="s">
        <v>1867</v>
      </c>
      <c r="AL712" t="s">
        <v>1929</v>
      </c>
      <c r="AN712" t="s">
        <v>2040</v>
      </c>
      <c r="AO712" t="s">
        <v>2067</v>
      </c>
      <c r="AP712" t="s">
        <v>2109</v>
      </c>
      <c r="AQ712">
        <v>127695</v>
      </c>
      <c r="AR712" s="3">
        <v>46203</v>
      </c>
      <c r="AS712" s="3">
        <v>46174</v>
      </c>
      <c r="AT712" s="3">
        <v>46222</v>
      </c>
      <c r="AU712" t="s">
        <v>2129</v>
      </c>
      <c r="AW712" s="3">
        <v>46208.53701449134</v>
      </c>
    </row>
    <row r="713" spans="1:49" ht="16" hidden="1" x14ac:dyDescent="0.2">
      <c r="A713" t="s">
        <v>50</v>
      </c>
      <c r="B713">
        <v>11023</v>
      </c>
      <c r="C713">
        <v>5567</v>
      </c>
      <c r="D713" t="s">
        <v>158</v>
      </c>
      <c r="E713" t="s">
        <v>295</v>
      </c>
      <c r="F713">
        <v>259301</v>
      </c>
      <c r="G713" t="s">
        <v>540</v>
      </c>
      <c r="H713">
        <v>582226</v>
      </c>
      <c r="I713" t="s">
        <v>1064</v>
      </c>
      <c r="J713">
        <v>93830250</v>
      </c>
      <c r="K713" t="s">
        <v>1839</v>
      </c>
      <c r="L713" t="s">
        <v>1850</v>
      </c>
      <c r="M713" s="1">
        <v>40</v>
      </c>
      <c r="N713" t="s">
        <v>23</v>
      </c>
      <c r="O713">
        <v>5786056</v>
      </c>
      <c r="P713" s="1">
        <v>231442.24</v>
      </c>
      <c r="S713" s="6" t="str">
        <f t="shared" si="11"/>
        <v xml:space="preserve"> </v>
      </c>
      <c r="T713" s="6">
        <f>IF(IF(COUNTIF(H$2:$H713,H713)=1,1,"")=1,SUMIF($H$2:$H$7997,H713,$S$2:$S$7997),"")</f>
        <v>0</v>
      </c>
      <c r="W713">
        <v>5786056</v>
      </c>
      <c r="X713">
        <v>5786056</v>
      </c>
      <c r="Y713">
        <v>0</v>
      </c>
      <c r="Z713">
        <v>0</v>
      </c>
      <c r="AA713" s="2">
        <v>1</v>
      </c>
      <c r="AB713" s="2">
        <v>0</v>
      </c>
      <c r="AC713" s="2">
        <v>0</v>
      </c>
      <c r="AD713">
        <v>0</v>
      </c>
      <c r="AE713" t="s">
        <v>1862</v>
      </c>
      <c r="AF713">
        <v>96862.36</v>
      </c>
      <c r="AG713">
        <v>8750000</v>
      </c>
      <c r="AH713">
        <v>350000</v>
      </c>
      <c r="AI713" s="1" t="s">
        <v>295</v>
      </c>
      <c r="AJ713">
        <v>93830247</v>
      </c>
      <c r="AK713" s="1" t="s">
        <v>1867</v>
      </c>
      <c r="AL713" t="s">
        <v>1929</v>
      </c>
      <c r="AN713" t="s">
        <v>2040</v>
      </c>
      <c r="AO713" t="s">
        <v>2067</v>
      </c>
      <c r="AP713" t="s">
        <v>2094</v>
      </c>
      <c r="AQ713">
        <v>127695</v>
      </c>
      <c r="AR713" s="3">
        <v>46203</v>
      </c>
      <c r="AS713" s="3">
        <v>46174</v>
      </c>
      <c r="AT713" s="3">
        <v>46222</v>
      </c>
      <c r="AU713" t="s">
        <v>2124</v>
      </c>
      <c r="AW713" s="3">
        <v>46208.53701449134</v>
      </c>
    </row>
    <row r="714" spans="1:49" ht="16" hidden="1" x14ac:dyDescent="0.2">
      <c r="A714" t="s">
        <v>50</v>
      </c>
      <c r="B714">
        <v>11023</v>
      </c>
      <c r="C714">
        <v>5567</v>
      </c>
      <c r="D714" t="s">
        <v>158</v>
      </c>
      <c r="E714" t="s">
        <v>295</v>
      </c>
      <c r="F714">
        <v>259301</v>
      </c>
      <c r="G714" t="s">
        <v>540</v>
      </c>
      <c r="H714">
        <v>582226</v>
      </c>
      <c r="I714" t="s">
        <v>1065</v>
      </c>
      <c r="J714">
        <v>93830253</v>
      </c>
      <c r="K714" t="s">
        <v>1835</v>
      </c>
      <c r="L714" t="s">
        <v>1850</v>
      </c>
      <c r="M714" s="1">
        <v>40</v>
      </c>
      <c r="N714" t="s">
        <v>23</v>
      </c>
      <c r="O714">
        <v>2527113</v>
      </c>
      <c r="P714" s="1">
        <v>101084.52</v>
      </c>
      <c r="S714" s="6" t="str">
        <f t="shared" si="11"/>
        <v xml:space="preserve"> </v>
      </c>
      <c r="T714" s="6" t="str">
        <f>IF(IF(COUNTIF(H$2:$H714,H714)=1,1,"")=1,SUMIF($H$2:$H$7997,H714,$S$2:$S$7997),"")</f>
        <v/>
      </c>
      <c r="W714">
        <v>2527113</v>
      </c>
      <c r="X714">
        <v>2527113</v>
      </c>
      <c r="Y714">
        <v>0</v>
      </c>
      <c r="Z714">
        <v>0</v>
      </c>
      <c r="AA714" s="2">
        <v>1</v>
      </c>
      <c r="AB714" s="2">
        <v>0</v>
      </c>
      <c r="AC714" s="2">
        <v>0</v>
      </c>
      <c r="AD714">
        <v>0</v>
      </c>
      <c r="AE714" t="s">
        <v>1862</v>
      </c>
      <c r="AF714">
        <v>69187.399999999994</v>
      </c>
      <c r="AG714">
        <v>6250000</v>
      </c>
      <c r="AH714">
        <v>250000</v>
      </c>
      <c r="AI714" s="1" t="s">
        <v>295</v>
      </c>
      <c r="AJ714">
        <v>93830247</v>
      </c>
      <c r="AK714" s="1" t="s">
        <v>1867</v>
      </c>
      <c r="AL714" t="s">
        <v>1929</v>
      </c>
      <c r="AN714" t="s">
        <v>2040</v>
      </c>
      <c r="AO714" t="s">
        <v>2067</v>
      </c>
      <c r="AP714" t="s">
        <v>2092</v>
      </c>
      <c r="AQ714">
        <v>127695</v>
      </c>
      <c r="AR714" s="3">
        <v>46203</v>
      </c>
      <c r="AS714" s="3">
        <v>46174</v>
      </c>
      <c r="AT714" s="3">
        <v>46222</v>
      </c>
      <c r="AU714" t="s">
        <v>2123</v>
      </c>
      <c r="AW714" s="3">
        <v>46208.53701449134</v>
      </c>
    </row>
    <row r="715" spans="1:49" ht="16" hidden="1" x14ac:dyDescent="0.2">
      <c r="A715" t="s">
        <v>50</v>
      </c>
      <c r="B715">
        <v>11023</v>
      </c>
      <c r="C715">
        <v>5567</v>
      </c>
      <c r="D715" t="s">
        <v>158</v>
      </c>
      <c r="E715" t="s">
        <v>295</v>
      </c>
      <c r="F715">
        <v>259301</v>
      </c>
      <c r="G715" t="s">
        <v>782</v>
      </c>
      <c r="H715">
        <v>582237</v>
      </c>
      <c r="I715" t="s">
        <v>1523</v>
      </c>
      <c r="J715">
        <v>7301849685</v>
      </c>
      <c r="K715" t="s">
        <v>1835</v>
      </c>
      <c r="L715" t="s">
        <v>1851</v>
      </c>
      <c r="M715" s="1">
        <v>6</v>
      </c>
      <c r="N715" t="s">
        <v>1858</v>
      </c>
      <c r="O715">
        <v>4166667</v>
      </c>
      <c r="P715" s="1">
        <v>25000</v>
      </c>
      <c r="S715" s="6" t="str">
        <f t="shared" si="11"/>
        <v xml:space="preserve"> </v>
      </c>
      <c r="T715" s="6">
        <f>IF(IF(COUNTIF(H$2:$H715,H715)=1,1,"")=1,SUMIF($H$2:$H$7997,H715,$S$2:$S$7997),"")</f>
        <v>0</v>
      </c>
      <c r="W715">
        <v>0</v>
      </c>
      <c r="X715">
        <v>0</v>
      </c>
      <c r="Y715">
        <v>0</v>
      </c>
      <c r="Z715">
        <v>0</v>
      </c>
      <c r="AA715" s="2">
        <v>1</v>
      </c>
      <c r="AB715" s="2">
        <v>0</v>
      </c>
      <c r="AC715" s="2">
        <v>0</v>
      </c>
      <c r="AD715">
        <v>0</v>
      </c>
      <c r="AE715" t="s">
        <v>1864</v>
      </c>
      <c r="AF715">
        <v>25000</v>
      </c>
      <c r="AG715">
        <v>16666667</v>
      </c>
      <c r="AH715">
        <v>100000</v>
      </c>
      <c r="AI715" s="1" t="s">
        <v>295</v>
      </c>
      <c r="AJ715">
        <v>259301</v>
      </c>
      <c r="AK715" s="1" t="s">
        <v>1867</v>
      </c>
      <c r="AL715" t="s">
        <v>1929</v>
      </c>
      <c r="AN715" t="s">
        <v>2040</v>
      </c>
      <c r="AO715" t="s">
        <v>2067</v>
      </c>
      <c r="AP715" t="s">
        <v>2103</v>
      </c>
      <c r="AQ715">
        <v>127695</v>
      </c>
      <c r="AR715" s="3">
        <v>46203</v>
      </c>
      <c r="AS715" s="3">
        <v>46174</v>
      </c>
      <c r="AT715" s="3">
        <v>46222</v>
      </c>
      <c r="AU715" t="s">
        <v>2126</v>
      </c>
      <c r="AW715" s="3">
        <v>46208.53701449134</v>
      </c>
    </row>
    <row r="716" spans="1:49" ht="16" hidden="1" x14ac:dyDescent="0.2">
      <c r="A716" t="s">
        <v>50</v>
      </c>
      <c r="B716">
        <v>11023</v>
      </c>
      <c r="C716">
        <v>8419</v>
      </c>
      <c r="D716" t="s">
        <v>112</v>
      </c>
      <c r="E716" t="s">
        <v>371</v>
      </c>
      <c r="F716">
        <v>266666</v>
      </c>
      <c r="G716" t="s">
        <v>691</v>
      </c>
      <c r="H716">
        <v>588479</v>
      </c>
      <c r="I716" t="s">
        <v>1338</v>
      </c>
      <c r="J716">
        <v>94373363</v>
      </c>
      <c r="K716" t="s">
        <v>1835</v>
      </c>
      <c r="L716" t="s">
        <v>1850</v>
      </c>
      <c r="M716" s="1">
        <v>23.76</v>
      </c>
      <c r="N716" t="s">
        <v>1853</v>
      </c>
      <c r="O716">
        <v>7086</v>
      </c>
      <c r="P716" s="1">
        <v>168.36</v>
      </c>
      <c r="S716" s="6" t="str">
        <f t="shared" si="11"/>
        <v xml:space="preserve"> </v>
      </c>
      <c r="T716" s="6">
        <f>IF(IF(COUNTIF(H$2:$H716,H716)=1,1,"")=1,SUMIF($H$2:$H$7997,H716,$S$2:$S$7997),"")</f>
        <v>0</v>
      </c>
      <c r="W716">
        <v>6146</v>
      </c>
      <c r="X716">
        <v>6146</v>
      </c>
      <c r="Y716">
        <v>7086</v>
      </c>
      <c r="Z716">
        <v>7086</v>
      </c>
      <c r="AA716" s="2">
        <v>1</v>
      </c>
      <c r="AB716" s="2">
        <v>1.1530579050097589</v>
      </c>
      <c r="AC716" s="2">
        <v>0</v>
      </c>
      <c r="AD716">
        <v>0</v>
      </c>
      <c r="AE716" t="s">
        <v>1862</v>
      </c>
      <c r="AF716">
        <v>17.55</v>
      </c>
      <c r="AG716">
        <v>17676768</v>
      </c>
      <c r="AH716">
        <v>420000.01</v>
      </c>
      <c r="AI716" s="1" t="s">
        <v>371</v>
      </c>
      <c r="AJ716">
        <v>94373360</v>
      </c>
      <c r="AK716" s="1" t="s">
        <v>1867</v>
      </c>
      <c r="AL716" t="s">
        <v>1988</v>
      </c>
      <c r="AN716" t="s">
        <v>2040</v>
      </c>
      <c r="AO716" t="s">
        <v>2067</v>
      </c>
      <c r="AP716" t="s">
        <v>2091</v>
      </c>
      <c r="AQ716">
        <v>129915</v>
      </c>
      <c r="AR716" s="3">
        <v>46203</v>
      </c>
      <c r="AS716" s="3">
        <v>46170</v>
      </c>
      <c r="AT716" s="3">
        <v>46355</v>
      </c>
      <c r="AU716" t="s">
        <v>2123</v>
      </c>
      <c r="AW716" s="3">
        <v>46208.53701449134</v>
      </c>
    </row>
    <row r="717" spans="1:49" ht="16" hidden="1" x14ac:dyDescent="0.2">
      <c r="A717" t="s">
        <v>50</v>
      </c>
      <c r="B717">
        <v>11023</v>
      </c>
      <c r="C717">
        <v>8419</v>
      </c>
      <c r="D717" t="s">
        <v>112</v>
      </c>
      <c r="E717" t="s">
        <v>224</v>
      </c>
      <c r="F717">
        <v>269931</v>
      </c>
      <c r="G717" t="s">
        <v>435</v>
      </c>
      <c r="H717">
        <v>590640</v>
      </c>
      <c r="I717" t="s">
        <v>917</v>
      </c>
      <c r="J717">
        <v>104117</v>
      </c>
      <c r="K717" t="s">
        <v>1834</v>
      </c>
      <c r="L717" t="s">
        <v>1850</v>
      </c>
      <c r="M717" s="1">
        <v>12</v>
      </c>
      <c r="N717" t="s">
        <v>23</v>
      </c>
      <c r="O717">
        <v>0</v>
      </c>
      <c r="P717" s="1">
        <v>0</v>
      </c>
      <c r="S717" s="6" t="str">
        <f t="shared" si="11"/>
        <v xml:space="preserve"> </v>
      </c>
      <c r="T717" s="6">
        <f>IF(IF(COUNTIF(H$2:$H717,H717)=1,1,"")=1,SUMIF($H$2:$H$7997,H717,$S$2:$S$7997),"")</f>
        <v>0</v>
      </c>
      <c r="W717">
        <v>0</v>
      </c>
      <c r="X717">
        <v>0</v>
      </c>
      <c r="Y717">
        <v>0</v>
      </c>
      <c r="Z717">
        <v>0</v>
      </c>
      <c r="AA717" s="2">
        <v>1</v>
      </c>
      <c r="AB717" s="2">
        <v>0</v>
      </c>
      <c r="AC717" s="2">
        <v>0</v>
      </c>
      <c r="AD717">
        <v>0</v>
      </c>
      <c r="AE717" t="s">
        <v>1862</v>
      </c>
      <c r="AF717">
        <v>156.88</v>
      </c>
      <c r="AG717">
        <v>20416667</v>
      </c>
      <c r="AH717">
        <v>245000</v>
      </c>
      <c r="AI717" s="1" t="s">
        <v>224</v>
      </c>
      <c r="AJ717">
        <v>269931</v>
      </c>
      <c r="AK717" s="1" t="s">
        <v>1867</v>
      </c>
      <c r="AL717" t="s">
        <v>1874</v>
      </c>
      <c r="AN717" t="s">
        <v>2040</v>
      </c>
      <c r="AO717" t="s">
        <v>2067</v>
      </c>
      <c r="AP717" t="s">
        <v>2070</v>
      </c>
      <c r="AQ717">
        <v>130464</v>
      </c>
      <c r="AR717" s="3">
        <v>46203</v>
      </c>
      <c r="AS717" s="3">
        <v>46195</v>
      </c>
      <c r="AT717" s="3">
        <v>46222</v>
      </c>
      <c r="AU717" t="s">
        <v>2122</v>
      </c>
      <c r="AW717" s="3">
        <v>46208.53701449134</v>
      </c>
    </row>
    <row r="718" spans="1:49" ht="16" hidden="1" x14ac:dyDescent="0.2">
      <c r="A718" t="s">
        <v>50</v>
      </c>
      <c r="B718">
        <v>11023</v>
      </c>
      <c r="C718">
        <v>8419</v>
      </c>
      <c r="D718" t="s">
        <v>112</v>
      </c>
      <c r="E718" t="s">
        <v>224</v>
      </c>
      <c r="F718">
        <v>269931</v>
      </c>
      <c r="G718" t="s">
        <v>435</v>
      </c>
      <c r="H718">
        <v>590640</v>
      </c>
      <c r="I718" t="s">
        <v>1338</v>
      </c>
      <c r="J718">
        <v>94484984</v>
      </c>
      <c r="K718" t="s">
        <v>1835</v>
      </c>
      <c r="L718" t="s">
        <v>1850</v>
      </c>
      <c r="M718" s="1">
        <v>12</v>
      </c>
      <c r="N718" t="s">
        <v>1853</v>
      </c>
      <c r="O718">
        <v>33954</v>
      </c>
      <c r="P718" s="1">
        <v>407.45</v>
      </c>
      <c r="S718" s="6" t="str">
        <f t="shared" si="11"/>
        <v xml:space="preserve"> </v>
      </c>
      <c r="T718" s="6" t="str">
        <f>IF(IF(COUNTIF(H$2:$H718,H718)=1,1,"")=1,SUMIF($H$2:$H$7997,H718,$S$2:$S$7997),"")</f>
        <v/>
      </c>
      <c r="W718">
        <v>26680</v>
      </c>
      <c r="X718">
        <v>26680</v>
      </c>
      <c r="Y718">
        <v>33954</v>
      </c>
      <c r="Z718">
        <v>33954</v>
      </c>
      <c r="AA718" s="2">
        <v>1</v>
      </c>
      <c r="AB718" s="2">
        <v>1.2726386806596699</v>
      </c>
      <c r="AC718" s="2">
        <v>0</v>
      </c>
      <c r="AD718">
        <v>0</v>
      </c>
      <c r="AE718" t="s">
        <v>1862</v>
      </c>
      <c r="AF718">
        <v>3.2</v>
      </c>
      <c r="AG718">
        <v>416667</v>
      </c>
      <c r="AH718">
        <v>5000</v>
      </c>
      <c r="AI718" s="1" t="s">
        <v>224</v>
      </c>
      <c r="AJ718">
        <v>94484979</v>
      </c>
      <c r="AK718" s="1" t="s">
        <v>1867</v>
      </c>
      <c r="AL718" t="s">
        <v>1874</v>
      </c>
      <c r="AN718" t="s">
        <v>2040</v>
      </c>
      <c r="AO718" t="s">
        <v>2067</v>
      </c>
      <c r="AP718" t="s">
        <v>2091</v>
      </c>
      <c r="AQ718">
        <v>130464</v>
      </c>
      <c r="AR718" s="3">
        <v>46203</v>
      </c>
      <c r="AS718" s="3">
        <v>46195</v>
      </c>
      <c r="AT718" s="3">
        <v>46222</v>
      </c>
      <c r="AU718" t="s">
        <v>2123</v>
      </c>
      <c r="AW718" s="3">
        <v>46208.53701449134</v>
      </c>
    </row>
    <row r="719" spans="1:49" ht="16" hidden="1" x14ac:dyDescent="0.2">
      <c r="A719" t="s">
        <v>50</v>
      </c>
      <c r="B719">
        <v>11023</v>
      </c>
      <c r="C719">
        <v>8419</v>
      </c>
      <c r="D719" t="s">
        <v>112</v>
      </c>
      <c r="E719" t="s">
        <v>224</v>
      </c>
      <c r="F719">
        <v>269931</v>
      </c>
      <c r="G719" t="s">
        <v>715</v>
      </c>
      <c r="H719">
        <v>592087</v>
      </c>
      <c r="I719" t="s">
        <v>1385</v>
      </c>
      <c r="J719">
        <v>94484991</v>
      </c>
      <c r="K719" t="s">
        <v>1839</v>
      </c>
      <c r="L719" t="s">
        <v>1850</v>
      </c>
      <c r="M719" s="1">
        <v>19.25</v>
      </c>
      <c r="N719" t="s">
        <v>23</v>
      </c>
      <c r="O719">
        <v>930477</v>
      </c>
      <c r="P719" s="1">
        <v>17911.68</v>
      </c>
      <c r="S719" s="6" t="str">
        <f t="shared" si="11"/>
        <v xml:space="preserve"> </v>
      </c>
      <c r="T719" s="6">
        <f>IF(IF(COUNTIF(H$2:$H719,H719)=1,1,"")=1,SUMIF($H$2:$H$7997,H719,$S$2:$S$7997),"")</f>
        <v>0</v>
      </c>
      <c r="W719">
        <v>930477</v>
      </c>
      <c r="X719">
        <v>930477</v>
      </c>
      <c r="Y719">
        <v>0</v>
      </c>
      <c r="Z719">
        <v>0</v>
      </c>
      <c r="AA719" s="2">
        <v>1</v>
      </c>
      <c r="AB719" s="2">
        <v>0</v>
      </c>
      <c r="AC719" s="2">
        <v>0</v>
      </c>
      <c r="AD719">
        <v>0</v>
      </c>
      <c r="AE719" t="s">
        <v>1862</v>
      </c>
      <c r="AF719">
        <v>8955.84</v>
      </c>
      <c r="AG719">
        <v>10389611</v>
      </c>
      <c r="AH719">
        <v>200000.01</v>
      </c>
      <c r="AI719" s="1" t="s">
        <v>224</v>
      </c>
      <c r="AJ719">
        <v>94484979</v>
      </c>
      <c r="AK719" s="1" t="s">
        <v>1867</v>
      </c>
      <c r="AL719" t="s">
        <v>1874</v>
      </c>
      <c r="AN719" t="s">
        <v>2040</v>
      </c>
      <c r="AO719" t="s">
        <v>2067</v>
      </c>
      <c r="AP719" t="s">
        <v>2094</v>
      </c>
      <c r="AQ719">
        <v>130464</v>
      </c>
      <c r="AR719" s="3">
        <v>46203</v>
      </c>
      <c r="AS719" s="3">
        <v>46195</v>
      </c>
      <c r="AT719" s="3">
        <v>46222</v>
      </c>
      <c r="AU719" t="s">
        <v>2124</v>
      </c>
      <c r="AW719" s="3">
        <v>46208.53701449134</v>
      </c>
    </row>
    <row r="720" spans="1:49" ht="16" hidden="1" x14ac:dyDescent="0.2">
      <c r="A720" t="s">
        <v>50</v>
      </c>
      <c r="B720">
        <v>11023</v>
      </c>
      <c r="C720">
        <v>7877</v>
      </c>
      <c r="D720" t="s">
        <v>206</v>
      </c>
      <c r="E720" t="s">
        <v>390</v>
      </c>
      <c r="F720">
        <v>269719</v>
      </c>
      <c r="G720" t="s">
        <v>723</v>
      </c>
      <c r="H720">
        <v>589891</v>
      </c>
      <c r="I720" t="s">
        <v>1402</v>
      </c>
      <c r="J720">
        <v>94517992</v>
      </c>
      <c r="K720" t="s">
        <v>1839</v>
      </c>
      <c r="L720" t="s">
        <v>1850</v>
      </c>
      <c r="M720" s="1">
        <v>40</v>
      </c>
      <c r="N720" t="s">
        <v>23</v>
      </c>
      <c r="O720">
        <v>828997</v>
      </c>
      <c r="P720" s="1">
        <v>33159.879999999997</v>
      </c>
      <c r="S720" s="6" t="str">
        <f t="shared" si="11"/>
        <v xml:space="preserve"> </v>
      </c>
      <c r="T720" s="6">
        <f>IF(IF(COUNTIF(H$2:$H720,H720)=1,1,"")=1,SUMIF($H$2:$H$7997,H720,$S$2:$S$7997),"")</f>
        <v>0</v>
      </c>
      <c r="W720">
        <v>828997</v>
      </c>
      <c r="X720">
        <v>828997</v>
      </c>
      <c r="Y720">
        <v>0</v>
      </c>
      <c r="Z720">
        <v>0</v>
      </c>
      <c r="AA720" s="2">
        <v>1</v>
      </c>
      <c r="AB720" s="2">
        <v>0</v>
      </c>
      <c r="AC720" s="2">
        <v>0</v>
      </c>
      <c r="AD720">
        <v>0</v>
      </c>
      <c r="AE720" t="s">
        <v>1862</v>
      </c>
      <c r="AF720">
        <v>16204.47</v>
      </c>
      <c r="AG720">
        <v>1250000</v>
      </c>
      <c r="AH720">
        <v>50000</v>
      </c>
      <c r="AI720" s="1" t="s">
        <v>390</v>
      </c>
      <c r="AJ720">
        <v>94517989</v>
      </c>
      <c r="AK720" s="1" t="s">
        <v>1867</v>
      </c>
      <c r="AL720" t="s">
        <v>2004</v>
      </c>
      <c r="AN720" t="s">
        <v>2053</v>
      </c>
      <c r="AO720" t="s">
        <v>2067</v>
      </c>
      <c r="AP720" t="s">
        <v>2094</v>
      </c>
      <c r="AQ720">
        <v>130553</v>
      </c>
      <c r="AR720" s="3">
        <v>46203</v>
      </c>
      <c r="AS720" s="3">
        <v>46188</v>
      </c>
      <c r="AT720" s="3">
        <v>46222</v>
      </c>
      <c r="AU720" t="s">
        <v>2124</v>
      </c>
      <c r="AW720" s="3">
        <v>46208.53701449134</v>
      </c>
    </row>
    <row r="721" spans="1:49" ht="16" hidden="1" x14ac:dyDescent="0.2">
      <c r="A721" t="s">
        <v>50</v>
      </c>
      <c r="B721">
        <v>11023</v>
      </c>
      <c r="C721">
        <v>7877</v>
      </c>
      <c r="D721" t="s">
        <v>206</v>
      </c>
      <c r="E721" t="s">
        <v>390</v>
      </c>
      <c r="F721">
        <v>269719</v>
      </c>
      <c r="G721" t="s">
        <v>723</v>
      </c>
      <c r="H721">
        <v>589891</v>
      </c>
      <c r="I721" t="s">
        <v>1403</v>
      </c>
      <c r="J721">
        <v>94517995</v>
      </c>
      <c r="K721" t="s">
        <v>1835</v>
      </c>
      <c r="L721" t="s">
        <v>1850</v>
      </c>
      <c r="M721" s="1">
        <v>40</v>
      </c>
      <c r="N721" t="s">
        <v>23</v>
      </c>
      <c r="O721">
        <v>841699</v>
      </c>
      <c r="P721" s="1">
        <v>33667.96</v>
      </c>
      <c r="S721" s="6" t="str">
        <f t="shared" si="11"/>
        <v xml:space="preserve"> </v>
      </c>
      <c r="T721" s="6" t="str">
        <f>IF(IF(COUNTIF(H$2:$H721,H721)=1,1,"")=1,SUMIF($H$2:$H$7997,H721,$S$2:$S$7997),"")</f>
        <v/>
      </c>
      <c r="W721">
        <v>841699</v>
      </c>
      <c r="X721">
        <v>841699</v>
      </c>
      <c r="Y721">
        <v>0</v>
      </c>
      <c r="Z721">
        <v>0</v>
      </c>
      <c r="AA721" s="2">
        <v>1</v>
      </c>
      <c r="AB721" s="2">
        <v>0</v>
      </c>
      <c r="AC721" s="2">
        <v>0</v>
      </c>
      <c r="AD721">
        <v>0</v>
      </c>
      <c r="AE721" t="s">
        <v>1862</v>
      </c>
      <c r="AF721">
        <v>16204.47</v>
      </c>
      <c r="AG721">
        <v>1250000</v>
      </c>
      <c r="AH721">
        <v>50000</v>
      </c>
      <c r="AI721" s="1" t="s">
        <v>390</v>
      </c>
      <c r="AJ721">
        <v>94517989</v>
      </c>
      <c r="AK721" s="1" t="s">
        <v>1867</v>
      </c>
      <c r="AL721" t="s">
        <v>2004</v>
      </c>
      <c r="AN721" t="s">
        <v>2053</v>
      </c>
      <c r="AO721" t="s">
        <v>2067</v>
      </c>
      <c r="AP721" t="s">
        <v>2092</v>
      </c>
      <c r="AQ721">
        <v>130553</v>
      </c>
      <c r="AR721" s="3">
        <v>46203</v>
      </c>
      <c r="AS721" s="3">
        <v>46188</v>
      </c>
      <c r="AT721" s="3">
        <v>46222</v>
      </c>
      <c r="AU721" t="s">
        <v>2123</v>
      </c>
      <c r="AW721" s="3">
        <v>46208.53701449134</v>
      </c>
    </row>
    <row r="722" spans="1:49" ht="16" hidden="1" x14ac:dyDescent="0.2">
      <c r="A722" t="s">
        <v>50</v>
      </c>
      <c r="B722">
        <v>11023</v>
      </c>
      <c r="C722">
        <v>7877</v>
      </c>
      <c r="D722" t="s">
        <v>206</v>
      </c>
      <c r="E722" t="s">
        <v>390</v>
      </c>
      <c r="F722">
        <v>269719</v>
      </c>
      <c r="G722" t="s">
        <v>724</v>
      </c>
      <c r="H722">
        <v>590703</v>
      </c>
      <c r="I722" t="s">
        <v>724</v>
      </c>
      <c r="J722">
        <v>94517999</v>
      </c>
      <c r="K722" t="s">
        <v>1839</v>
      </c>
      <c r="L722" t="s">
        <v>1850</v>
      </c>
      <c r="M722" s="1">
        <v>16.73</v>
      </c>
      <c r="N722" t="s">
        <v>1855</v>
      </c>
      <c r="O722">
        <v>2501020</v>
      </c>
      <c r="P722" s="1">
        <v>41842.06</v>
      </c>
      <c r="S722" s="6" t="str">
        <f t="shared" si="11"/>
        <v xml:space="preserve"> </v>
      </c>
      <c r="T722" s="6">
        <f>IF(IF(COUNTIF(H$2:$H722,H722)=1,1,"")=1,SUMIF($H$2:$H$7997,H722,$S$2:$S$7997),"")</f>
        <v>0</v>
      </c>
      <c r="W722">
        <v>2501020</v>
      </c>
      <c r="X722">
        <v>2501020</v>
      </c>
      <c r="Y722">
        <v>0</v>
      </c>
      <c r="Z722">
        <v>0</v>
      </c>
      <c r="AA722" s="2">
        <v>1</v>
      </c>
      <c r="AB722" s="2">
        <v>0</v>
      </c>
      <c r="AC722" s="2">
        <v>0</v>
      </c>
      <c r="AD722">
        <v>0</v>
      </c>
      <c r="AE722" t="s">
        <v>1862</v>
      </c>
      <c r="AF722">
        <v>41785.67</v>
      </c>
      <c r="AG722">
        <v>5977287</v>
      </c>
      <c r="AH722">
        <v>100000.01</v>
      </c>
      <c r="AI722" s="1" t="s">
        <v>390</v>
      </c>
      <c r="AJ722">
        <v>94517989</v>
      </c>
      <c r="AK722" s="1" t="s">
        <v>1868</v>
      </c>
      <c r="AL722" t="s">
        <v>2004</v>
      </c>
      <c r="AN722" t="s">
        <v>2053</v>
      </c>
      <c r="AO722" t="s">
        <v>2067</v>
      </c>
      <c r="AP722" t="s">
        <v>2101</v>
      </c>
      <c r="AQ722">
        <v>130553</v>
      </c>
      <c r="AR722" s="3">
        <v>46203</v>
      </c>
      <c r="AS722" s="3">
        <v>46188</v>
      </c>
      <c r="AT722" s="3">
        <v>46229</v>
      </c>
      <c r="AU722" t="s">
        <v>2124</v>
      </c>
      <c r="AW722" s="3">
        <v>46208.53701449134</v>
      </c>
    </row>
    <row r="723" spans="1:49" ht="16" hidden="1" x14ac:dyDescent="0.2">
      <c r="A723" t="s">
        <v>50</v>
      </c>
      <c r="B723">
        <v>11023</v>
      </c>
      <c r="C723">
        <v>3709</v>
      </c>
      <c r="D723" t="s">
        <v>219</v>
      </c>
      <c r="E723" t="s">
        <v>424</v>
      </c>
      <c r="F723">
        <v>265069</v>
      </c>
      <c r="G723" t="s">
        <v>845</v>
      </c>
      <c r="H723">
        <v>583235</v>
      </c>
      <c r="I723" t="s">
        <v>1641</v>
      </c>
      <c r="J723">
        <v>583237</v>
      </c>
      <c r="K723" t="s">
        <v>1847</v>
      </c>
      <c r="L723" t="s">
        <v>1851</v>
      </c>
      <c r="M723" s="1">
        <v>833333.5</v>
      </c>
      <c r="N723" t="s">
        <v>1858</v>
      </c>
      <c r="O723">
        <v>0</v>
      </c>
      <c r="P723" s="1">
        <v>153061.22</v>
      </c>
      <c r="S723" s="6" t="str">
        <f t="shared" si="11"/>
        <v xml:space="preserve"> </v>
      </c>
      <c r="T723" s="6">
        <f>IF(IF(COUNTIF(H$2:$H723,H723)=1,1,"")=1,SUMIF($H$2:$H$7997,H723,$S$2:$S$7997),"")</f>
        <v>0</v>
      </c>
      <c r="W723">
        <v>0</v>
      </c>
      <c r="X723">
        <v>0</v>
      </c>
      <c r="Y723">
        <v>0</v>
      </c>
      <c r="Z723">
        <v>0</v>
      </c>
      <c r="AA723" s="2">
        <v>1</v>
      </c>
      <c r="AB723" s="2">
        <v>0</v>
      </c>
      <c r="AC723" s="2">
        <v>0</v>
      </c>
      <c r="AD723">
        <v>0</v>
      </c>
      <c r="AE723" t="s">
        <v>1863</v>
      </c>
      <c r="AF723">
        <v>153061.22</v>
      </c>
      <c r="AG723">
        <v>1</v>
      </c>
      <c r="AH723">
        <v>833333.5</v>
      </c>
      <c r="AI723" s="1" t="s">
        <v>424</v>
      </c>
      <c r="AJ723">
        <v>265069</v>
      </c>
      <c r="AK723" s="1" t="s">
        <v>1867</v>
      </c>
      <c r="AL723" t="s">
        <v>2030</v>
      </c>
      <c r="AN723" t="s">
        <v>2064</v>
      </c>
      <c r="AO723" t="s">
        <v>2067</v>
      </c>
      <c r="AP723" t="s">
        <v>2112</v>
      </c>
      <c r="AQ723">
        <v>120776</v>
      </c>
      <c r="AR723" s="3">
        <v>46203</v>
      </c>
      <c r="AS723" s="3">
        <v>46181</v>
      </c>
      <c r="AT723" s="3">
        <v>46203</v>
      </c>
      <c r="AU723" t="s">
        <v>2130</v>
      </c>
      <c r="AW723" s="3">
        <v>46208.53701449134</v>
      </c>
    </row>
    <row r="724" spans="1:49" ht="16" hidden="1" x14ac:dyDescent="0.2">
      <c r="A724" t="s">
        <v>50</v>
      </c>
      <c r="B724">
        <v>11023</v>
      </c>
      <c r="C724">
        <v>3709</v>
      </c>
      <c r="D724" t="s">
        <v>219</v>
      </c>
      <c r="E724" t="s">
        <v>424</v>
      </c>
      <c r="F724">
        <v>265069</v>
      </c>
      <c r="G724" t="s">
        <v>866</v>
      </c>
      <c r="H724">
        <v>592494</v>
      </c>
      <c r="I724" t="s">
        <v>1663</v>
      </c>
      <c r="J724">
        <v>592495</v>
      </c>
      <c r="K724" t="s">
        <v>1846</v>
      </c>
      <c r="L724" t="s">
        <v>1852</v>
      </c>
      <c r="M724" s="1">
        <v>0.15</v>
      </c>
      <c r="N724" t="s">
        <v>22</v>
      </c>
      <c r="O724">
        <v>0</v>
      </c>
      <c r="P724" s="1">
        <v>0</v>
      </c>
      <c r="S724" s="6" t="str">
        <f t="shared" si="11"/>
        <v xml:space="preserve"> </v>
      </c>
      <c r="T724" s="6">
        <f>IF(IF(COUNTIF(H$2:$H724,H724)=1,1,"")=1,SUMIF($H$2:$H$7997,H724,$S$2:$S$7997),"")</f>
        <v>0</v>
      </c>
      <c r="W724">
        <v>0</v>
      </c>
      <c r="X724">
        <v>0</v>
      </c>
      <c r="Y724">
        <v>0</v>
      </c>
      <c r="Z724">
        <v>0</v>
      </c>
      <c r="AA724" s="2">
        <v>1</v>
      </c>
      <c r="AB724" s="2">
        <v>0</v>
      </c>
      <c r="AC724" s="2">
        <v>0</v>
      </c>
      <c r="AD724">
        <v>0</v>
      </c>
      <c r="AE724" t="s">
        <v>1862</v>
      </c>
      <c r="AF724">
        <v>0</v>
      </c>
      <c r="AG724">
        <v>555555</v>
      </c>
      <c r="AH724">
        <v>83333.25</v>
      </c>
      <c r="AI724" s="1" t="s">
        <v>424</v>
      </c>
      <c r="AJ724">
        <v>265069</v>
      </c>
      <c r="AK724" s="1" t="s">
        <v>1867</v>
      </c>
      <c r="AL724" t="s">
        <v>2030</v>
      </c>
      <c r="AN724" t="s">
        <v>2064</v>
      </c>
      <c r="AO724" t="s">
        <v>2067</v>
      </c>
      <c r="AP724" t="s">
        <v>2110</v>
      </c>
      <c r="AR724" s="3">
        <v>46203</v>
      </c>
      <c r="AS724" s="3">
        <v>46181</v>
      </c>
      <c r="AT724" s="3">
        <v>46203</v>
      </c>
      <c r="AU724" t="s">
        <v>2128</v>
      </c>
      <c r="AW724" s="3">
        <v>46208.53701449134</v>
      </c>
    </row>
    <row r="725" spans="1:49" ht="16" hidden="1" x14ac:dyDescent="0.2">
      <c r="A725" t="s">
        <v>50</v>
      </c>
      <c r="B725">
        <v>11023</v>
      </c>
      <c r="C725">
        <v>3709</v>
      </c>
      <c r="D725" t="s">
        <v>219</v>
      </c>
      <c r="E725" t="s">
        <v>424</v>
      </c>
      <c r="F725">
        <v>265069</v>
      </c>
      <c r="G725" t="s">
        <v>866</v>
      </c>
      <c r="H725">
        <v>592494</v>
      </c>
      <c r="I725" t="s">
        <v>1811</v>
      </c>
      <c r="J725">
        <v>592498</v>
      </c>
      <c r="K725" t="s">
        <v>1844</v>
      </c>
      <c r="L725" t="s">
        <v>1852</v>
      </c>
      <c r="M725" s="1">
        <v>0.15</v>
      </c>
      <c r="N725" t="s">
        <v>22</v>
      </c>
      <c r="O725">
        <v>0</v>
      </c>
      <c r="P725" s="1">
        <v>0</v>
      </c>
      <c r="S725" s="6" t="str">
        <f t="shared" si="11"/>
        <v xml:space="preserve"> </v>
      </c>
      <c r="T725" s="6" t="str">
        <f>IF(IF(COUNTIF(H$2:$H725,H725)=1,1,"")=1,SUMIF($H$2:$H$7997,H725,$S$2:$S$7997),"")</f>
        <v/>
      </c>
      <c r="W725">
        <v>0</v>
      </c>
      <c r="X725">
        <v>0</v>
      </c>
      <c r="Y725">
        <v>0</v>
      </c>
      <c r="Z725">
        <v>0</v>
      </c>
      <c r="AA725" s="2">
        <v>1</v>
      </c>
      <c r="AB725" s="2">
        <v>0</v>
      </c>
      <c r="AC725" s="2">
        <v>0</v>
      </c>
      <c r="AD725">
        <v>0</v>
      </c>
      <c r="AE725" t="s">
        <v>1862</v>
      </c>
      <c r="AF725">
        <v>0</v>
      </c>
      <c r="AG725">
        <v>555555</v>
      </c>
      <c r="AH725">
        <v>83333.25</v>
      </c>
      <c r="AI725" s="1" t="s">
        <v>424</v>
      </c>
      <c r="AJ725">
        <v>265069</v>
      </c>
      <c r="AK725" s="1" t="s">
        <v>1867</v>
      </c>
      <c r="AL725" t="s">
        <v>2030</v>
      </c>
      <c r="AN725" t="s">
        <v>2064</v>
      </c>
      <c r="AO725" t="s">
        <v>2067</v>
      </c>
      <c r="AP725" t="s">
        <v>2107</v>
      </c>
      <c r="AR725" s="3">
        <v>46203</v>
      </c>
      <c r="AS725" s="3">
        <v>46181</v>
      </c>
      <c r="AT725" s="3">
        <v>46203</v>
      </c>
      <c r="AU725" t="s">
        <v>2127</v>
      </c>
      <c r="AW725" s="3">
        <v>46208.53701449134</v>
      </c>
    </row>
    <row r="726" spans="1:49" ht="16" hidden="1" x14ac:dyDescent="0.2">
      <c r="A726" t="s">
        <v>50</v>
      </c>
      <c r="B726">
        <v>11023</v>
      </c>
      <c r="C726">
        <v>3709</v>
      </c>
      <c r="D726" t="s">
        <v>219</v>
      </c>
      <c r="E726" t="s">
        <v>425</v>
      </c>
      <c r="F726">
        <v>265056</v>
      </c>
      <c r="G726" t="s">
        <v>852</v>
      </c>
      <c r="H726">
        <v>587884</v>
      </c>
      <c r="I726" t="s">
        <v>852</v>
      </c>
      <c r="J726">
        <v>587884</v>
      </c>
      <c r="K726" t="s">
        <v>1848</v>
      </c>
      <c r="L726" t="s">
        <v>1851</v>
      </c>
      <c r="M726" s="1">
        <v>250000.5</v>
      </c>
      <c r="N726" t="s">
        <v>1858</v>
      </c>
      <c r="O726">
        <v>0</v>
      </c>
      <c r="P726" s="1">
        <v>49019.71</v>
      </c>
      <c r="S726" s="6" t="str">
        <f t="shared" si="11"/>
        <v xml:space="preserve"> </v>
      </c>
      <c r="T726" s="6">
        <f>IF(IF(COUNTIF(H$2:$H726,H726)=1,1,"")=1,SUMIF($H$2:$H$7997,H726,$S$2:$S$7997),"")</f>
        <v>0</v>
      </c>
      <c r="W726">
        <v>0</v>
      </c>
      <c r="X726">
        <v>0</v>
      </c>
      <c r="Y726">
        <v>0</v>
      </c>
      <c r="Z726">
        <v>0</v>
      </c>
      <c r="AA726" s="2">
        <v>1</v>
      </c>
      <c r="AB726" s="2">
        <v>0</v>
      </c>
      <c r="AC726" s="2">
        <v>0</v>
      </c>
      <c r="AD726">
        <v>0</v>
      </c>
      <c r="AE726" t="s">
        <v>1863</v>
      </c>
      <c r="AF726">
        <v>49019.71</v>
      </c>
      <c r="AG726">
        <v>0</v>
      </c>
      <c r="AH726">
        <v>250000.5</v>
      </c>
      <c r="AI726" s="1" t="s">
        <v>425</v>
      </c>
      <c r="AJ726">
        <v>265056</v>
      </c>
      <c r="AK726" s="1" t="s">
        <v>1867</v>
      </c>
      <c r="AL726" t="s">
        <v>2031</v>
      </c>
      <c r="AN726" t="s">
        <v>2066</v>
      </c>
      <c r="AO726" t="s">
        <v>2067</v>
      </c>
      <c r="AP726" t="s">
        <v>2113</v>
      </c>
      <c r="AQ726">
        <v>121539</v>
      </c>
      <c r="AR726" s="3">
        <v>46203</v>
      </c>
      <c r="AS726" s="3">
        <v>46113</v>
      </c>
      <c r="AT726" s="3">
        <v>46326</v>
      </c>
      <c r="AU726" t="s">
        <v>2130</v>
      </c>
      <c r="AW726" s="3">
        <v>46208.53701449134</v>
      </c>
    </row>
    <row r="727" spans="1:49" ht="16" hidden="1" x14ac:dyDescent="0.2">
      <c r="A727" t="s">
        <v>50</v>
      </c>
      <c r="B727">
        <v>11023</v>
      </c>
      <c r="C727">
        <v>6130</v>
      </c>
      <c r="D727" t="s">
        <v>183</v>
      </c>
      <c r="E727" t="s">
        <v>342</v>
      </c>
      <c r="F727">
        <v>259726</v>
      </c>
      <c r="G727" t="s">
        <v>813</v>
      </c>
      <c r="H727">
        <v>579585</v>
      </c>
      <c r="I727" t="s">
        <v>1586</v>
      </c>
      <c r="J727">
        <v>7318704120</v>
      </c>
      <c r="K727" t="s">
        <v>1835</v>
      </c>
      <c r="L727" t="s">
        <v>1851</v>
      </c>
      <c r="M727" s="1">
        <v>75000</v>
      </c>
      <c r="N727" t="s">
        <v>1858</v>
      </c>
      <c r="O727">
        <v>500</v>
      </c>
      <c r="P727" s="1">
        <v>37500</v>
      </c>
      <c r="S727" s="6" t="str">
        <f t="shared" si="11"/>
        <v xml:space="preserve"> </v>
      </c>
      <c r="T727" s="6">
        <f>IF(IF(COUNTIF(H$2:$H727,H727)=1,1,"")=1,SUMIF($H$2:$H$7997,H727,$S$2:$S$7997),"")</f>
        <v>0</v>
      </c>
      <c r="W727">
        <v>0</v>
      </c>
      <c r="X727">
        <v>0</v>
      </c>
      <c r="Y727">
        <v>0</v>
      </c>
      <c r="Z727">
        <v>0</v>
      </c>
      <c r="AA727" s="2">
        <v>1</v>
      </c>
      <c r="AB727" s="2">
        <v>0</v>
      </c>
      <c r="AC727" s="2">
        <v>0</v>
      </c>
      <c r="AD727">
        <v>0</v>
      </c>
      <c r="AE727" t="s">
        <v>1863</v>
      </c>
      <c r="AF727">
        <v>37500</v>
      </c>
      <c r="AG727">
        <v>1</v>
      </c>
      <c r="AH727">
        <v>75000</v>
      </c>
      <c r="AI727" s="1" t="s">
        <v>342</v>
      </c>
      <c r="AJ727">
        <v>259726</v>
      </c>
      <c r="AK727" s="1" t="s">
        <v>1867</v>
      </c>
      <c r="AL727" t="s">
        <v>1966</v>
      </c>
      <c r="AN727" t="s">
        <v>2064</v>
      </c>
      <c r="AO727" t="s">
        <v>2067</v>
      </c>
      <c r="AP727" t="s">
        <v>2104</v>
      </c>
      <c r="AQ727">
        <v>129276</v>
      </c>
      <c r="AR727" s="3">
        <v>46203</v>
      </c>
      <c r="AS727" s="3">
        <v>46184</v>
      </c>
      <c r="AT727" s="3">
        <v>46184</v>
      </c>
      <c r="AU727" t="s">
        <v>2126</v>
      </c>
      <c r="AW727" s="3">
        <v>46208.53701449134</v>
      </c>
    </row>
    <row r="728" spans="1:49" ht="16" hidden="1" x14ac:dyDescent="0.2">
      <c r="A728" t="s">
        <v>50</v>
      </c>
      <c r="B728">
        <v>11023</v>
      </c>
      <c r="C728">
        <v>6130</v>
      </c>
      <c r="D728" t="s">
        <v>183</v>
      </c>
      <c r="E728" t="s">
        <v>342</v>
      </c>
      <c r="F728">
        <v>259726</v>
      </c>
      <c r="G728" t="s">
        <v>813</v>
      </c>
      <c r="H728">
        <v>579585</v>
      </c>
      <c r="I728" t="s">
        <v>1585</v>
      </c>
      <c r="J728">
        <v>7318703997</v>
      </c>
      <c r="K728" t="s">
        <v>1835</v>
      </c>
      <c r="L728" t="s">
        <v>1851</v>
      </c>
      <c r="M728" s="1">
        <v>75000</v>
      </c>
      <c r="N728" t="s">
        <v>1858</v>
      </c>
      <c r="O728">
        <v>500</v>
      </c>
      <c r="P728" s="1">
        <v>37500</v>
      </c>
      <c r="S728" s="6" t="str">
        <f t="shared" si="11"/>
        <v xml:space="preserve"> </v>
      </c>
      <c r="T728" s="6" t="str">
        <f>IF(IF(COUNTIF(H$2:$H728,H728)=1,1,"")=1,SUMIF($H$2:$H$7997,H728,$S$2:$S$7997),"")</f>
        <v/>
      </c>
      <c r="W728">
        <v>0</v>
      </c>
      <c r="X728">
        <v>0</v>
      </c>
      <c r="Y728">
        <v>0</v>
      </c>
      <c r="Z728">
        <v>0</v>
      </c>
      <c r="AA728" s="2">
        <v>1</v>
      </c>
      <c r="AB728" s="2">
        <v>0</v>
      </c>
      <c r="AC728" s="2">
        <v>0</v>
      </c>
      <c r="AD728">
        <v>0</v>
      </c>
      <c r="AE728" t="s">
        <v>1863</v>
      </c>
      <c r="AF728">
        <v>37500</v>
      </c>
      <c r="AG728">
        <v>1</v>
      </c>
      <c r="AH728">
        <v>75000</v>
      </c>
      <c r="AI728" s="1" t="s">
        <v>342</v>
      </c>
      <c r="AJ728">
        <v>259726</v>
      </c>
      <c r="AK728" s="1" t="s">
        <v>1867</v>
      </c>
      <c r="AL728" t="s">
        <v>1966</v>
      </c>
      <c r="AN728" t="s">
        <v>2064</v>
      </c>
      <c r="AO728" t="s">
        <v>2067</v>
      </c>
      <c r="AP728" t="s">
        <v>2104</v>
      </c>
      <c r="AQ728">
        <v>129276</v>
      </c>
      <c r="AR728" s="3">
        <v>46203</v>
      </c>
      <c r="AS728" s="3">
        <v>46184</v>
      </c>
      <c r="AT728" s="3">
        <v>46184</v>
      </c>
      <c r="AU728" t="s">
        <v>2126</v>
      </c>
      <c r="AW728" s="3">
        <v>46208.53701449134</v>
      </c>
    </row>
    <row r="729" spans="1:49" ht="16" hidden="1" x14ac:dyDescent="0.2">
      <c r="A729" t="s">
        <v>50</v>
      </c>
      <c r="B729">
        <v>11023</v>
      </c>
      <c r="C729">
        <v>6130</v>
      </c>
      <c r="D729" t="s">
        <v>183</v>
      </c>
      <c r="E729" t="s">
        <v>342</v>
      </c>
      <c r="F729">
        <v>259726</v>
      </c>
      <c r="G729" t="s">
        <v>813</v>
      </c>
      <c r="H729">
        <v>579585</v>
      </c>
      <c r="I729" t="s">
        <v>1600</v>
      </c>
      <c r="J729">
        <v>7322601986</v>
      </c>
      <c r="K729" t="s">
        <v>1835</v>
      </c>
      <c r="L729" t="s">
        <v>1851</v>
      </c>
      <c r="M729" s="1">
        <v>75000</v>
      </c>
      <c r="N729" t="s">
        <v>1858</v>
      </c>
      <c r="O729">
        <v>500</v>
      </c>
      <c r="P729" s="1">
        <v>37500</v>
      </c>
      <c r="S729" s="6" t="str">
        <f t="shared" si="11"/>
        <v xml:space="preserve"> </v>
      </c>
      <c r="T729" s="6" t="str">
        <f>IF(IF(COUNTIF(H$2:$H729,H729)=1,1,"")=1,SUMIF($H$2:$H$7997,H729,$S$2:$S$7997),"")</f>
        <v/>
      </c>
      <c r="W729">
        <v>0</v>
      </c>
      <c r="X729">
        <v>0</v>
      </c>
      <c r="Y729">
        <v>0</v>
      </c>
      <c r="Z729">
        <v>0</v>
      </c>
      <c r="AA729" s="2">
        <v>1</v>
      </c>
      <c r="AB729" s="2">
        <v>0</v>
      </c>
      <c r="AC729" s="2">
        <v>0</v>
      </c>
      <c r="AD729">
        <v>0</v>
      </c>
      <c r="AE729" t="s">
        <v>1863</v>
      </c>
      <c r="AF729">
        <v>37500</v>
      </c>
      <c r="AG729">
        <v>1</v>
      </c>
      <c r="AH729">
        <v>75000</v>
      </c>
      <c r="AI729" s="1" t="s">
        <v>342</v>
      </c>
      <c r="AJ729">
        <v>259726</v>
      </c>
      <c r="AK729" s="1" t="s">
        <v>1867</v>
      </c>
      <c r="AL729" t="s">
        <v>1966</v>
      </c>
      <c r="AN729" t="s">
        <v>2064</v>
      </c>
      <c r="AO729" t="s">
        <v>2067</v>
      </c>
      <c r="AP729" t="s">
        <v>2104</v>
      </c>
      <c r="AQ729">
        <v>129276</v>
      </c>
      <c r="AR729" s="3">
        <v>46203</v>
      </c>
      <c r="AS729" s="3">
        <v>46184</v>
      </c>
      <c r="AT729" s="3">
        <v>46184</v>
      </c>
      <c r="AU729" t="s">
        <v>2126</v>
      </c>
      <c r="AW729" s="3">
        <v>46208.53701449134</v>
      </c>
    </row>
    <row r="730" spans="1:49" ht="16" hidden="1" x14ac:dyDescent="0.2">
      <c r="A730" t="s">
        <v>50</v>
      </c>
      <c r="B730">
        <v>11023</v>
      </c>
      <c r="C730">
        <v>6130</v>
      </c>
      <c r="D730" t="s">
        <v>183</v>
      </c>
      <c r="E730" t="s">
        <v>342</v>
      </c>
      <c r="F730">
        <v>259726</v>
      </c>
      <c r="G730" t="s">
        <v>813</v>
      </c>
      <c r="H730">
        <v>579585</v>
      </c>
      <c r="I730" t="s">
        <v>1584</v>
      </c>
      <c r="J730">
        <v>7318703937</v>
      </c>
      <c r="K730" t="s">
        <v>1835</v>
      </c>
      <c r="L730" t="s">
        <v>1851</v>
      </c>
      <c r="M730" s="1">
        <v>75000</v>
      </c>
      <c r="N730" t="s">
        <v>1858</v>
      </c>
      <c r="O730">
        <v>500</v>
      </c>
      <c r="P730" s="1">
        <v>37500</v>
      </c>
      <c r="S730" s="6" t="str">
        <f t="shared" si="11"/>
        <v xml:space="preserve"> </v>
      </c>
      <c r="T730" s="6" t="str">
        <f>IF(IF(COUNTIF(H$2:$H730,H730)=1,1,"")=1,SUMIF($H$2:$H$7997,H730,$S$2:$S$7997),"")</f>
        <v/>
      </c>
      <c r="W730">
        <v>0</v>
      </c>
      <c r="X730">
        <v>0</v>
      </c>
      <c r="Y730">
        <v>0</v>
      </c>
      <c r="Z730">
        <v>0</v>
      </c>
      <c r="AA730" s="2">
        <v>1</v>
      </c>
      <c r="AB730" s="2">
        <v>0</v>
      </c>
      <c r="AC730" s="2">
        <v>0</v>
      </c>
      <c r="AD730">
        <v>0</v>
      </c>
      <c r="AE730" t="s">
        <v>1863</v>
      </c>
      <c r="AF730">
        <v>37500</v>
      </c>
      <c r="AG730">
        <v>1</v>
      </c>
      <c r="AH730">
        <v>75000</v>
      </c>
      <c r="AI730" s="1" t="s">
        <v>342</v>
      </c>
      <c r="AJ730">
        <v>259726</v>
      </c>
      <c r="AK730" s="1" t="s">
        <v>1867</v>
      </c>
      <c r="AL730" t="s">
        <v>1966</v>
      </c>
      <c r="AN730" t="s">
        <v>2064</v>
      </c>
      <c r="AO730" t="s">
        <v>2067</v>
      </c>
      <c r="AP730" t="s">
        <v>2104</v>
      </c>
      <c r="AQ730">
        <v>129276</v>
      </c>
      <c r="AR730" s="3">
        <v>46203</v>
      </c>
      <c r="AS730" s="3">
        <v>46184</v>
      </c>
      <c r="AT730" s="3">
        <v>46184</v>
      </c>
      <c r="AU730" t="s">
        <v>2126</v>
      </c>
      <c r="AW730" s="3">
        <v>46208.53701449134</v>
      </c>
    </row>
    <row r="731" spans="1:49" ht="16" hidden="1" x14ac:dyDescent="0.2">
      <c r="A731" t="s">
        <v>50</v>
      </c>
      <c r="B731">
        <v>11023</v>
      </c>
      <c r="C731">
        <v>6130</v>
      </c>
      <c r="D731" t="s">
        <v>183</v>
      </c>
      <c r="E731" t="s">
        <v>342</v>
      </c>
      <c r="F731">
        <v>259726</v>
      </c>
      <c r="G731" t="s">
        <v>638</v>
      </c>
      <c r="H731">
        <v>581035</v>
      </c>
      <c r="I731" t="s">
        <v>1243</v>
      </c>
      <c r="J731">
        <v>94257760</v>
      </c>
      <c r="K731" t="s">
        <v>1839</v>
      </c>
      <c r="L731" t="s">
        <v>1850</v>
      </c>
      <c r="M731" s="1">
        <v>40</v>
      </c>
      <c r="N731" t="s">
        <v>23</v>
      </c>
      <c r="O731">
        <v>6343107</v>
      </c>
      <c r="P731" s="1">
        <v>253724.28</v>
      </c>
      <c r="S731" s="6" t="str">
        <f t="shared" si="11"/>
        <v xml:space="preserve"> </v>
      </c>
      <c r="T731" s="6">
        <f>IF(IF(COUNTIF(H$2:$H731,H731)=1,1,"")=1,SUMIF($H$2:$H$7997,H731,$S$2:$S$7997),"")</f>
        <v>0</v>
      </c>
      <c r="W731">
        <v>6343107</v>
      </c>
      <c r="X731">
        <v>6343107</v>
      </c>
      <c r="Y731">
        <v>0</v>
      </c>
      <c r="Z731">
        <v>0</v>
      </c>
      <c r="AA731" s="2">
        <v>1</v>
      </c>
      <c r="AB731" s="2">
        <v>0</v>
      </c>
      <c r="AC731" s="2">
        <v>0</v>
      </c>
      <c r="AD731">
        <v>0</v>
      </c>
      <c r="AE731" t="s">
        <v>1862</v>
      </c>
      <c r="AF731">
        <v>127569.65</v>
      </c>
      <c r="AG731">
        <v>9625000</v>
      </c>
      <c r="AH731">
        <v>385000</v>
      </c>
      <c r="AI731" s="1" t="s">
        <v>342</v>
      </c>
      <c r="AJ731">
        <v>94257757</v>
      </c>
      <c r="AK731" s="1" t="s">
        <v>1867</v>
      </c>
      <c r="AL731" t="s">
        <v>1966</v>
      </c>
      <c r="AN731" t="s">
        <v>2064</v>
      </c>
      <c r="AO731" t="s">
        <v>2067</v>
      </c>
      <c r="AP731" t="s">
        <v>2094</v>
      </c>
      <c r="AQ731">
        <v>129276</v>
      </c>
      <c r="AR731" s="3">
        <v>46203</v>
      </c>
      <c r="AS731" s="3">
        <v>46182</v>
      </c>
      <c r="AT731" s="3">
        <v>46222</v>
      </c>
      <c r="AU731" t="s">
        <v>2124</v>
      </c>
      <c r="AW731" s="3">
        <v>46208.53701449134</v>
      </c>
    </row>
    <row r="732" spans="1:49" ht="16" hidden="1" x14ac:dyDescent="0.2">
      <c r="A732" t="s">
        <v>50</v>
      </c>
      <c r="B732">
        <v>11023</v>
      </c>
      <c r="C732">
        <v>6130</v>
      </c>
      <c r="D732" t="s">
        <v>183</v>
      </c>
      <c r="E732" t="s">
        <v>342</v>
      </c>
      <c r="F732">
        <v>259726</v>
      </c>
      <c r="G732" t="s">
        <v>638</v>
      </c>
      <c r="H732">
        <v>581035</v>
      </c>
      <c r="I732" t="s">
        <v>1244</v>
      </c>
      <c r="J732">
        <v>94257763</v>
      </c>
      <c r="K732" t="s">
        <v>1835</v>
      </c>
      <c r="L732" t="s">
        <v>1850</v>
      </c>
      <c r="M732" s="1">
        <v>40</v>
      </c>
      <c r="N732" t="s">
        <v>23</v>
      </c>
      <c r="O732">
        <v>2778576</v>
      </c>
      <c r="P732" s="1">
        <v>111143.03999999999</v>
      </c>
      <c r="S732" s="6" t="str">
        <f t="shared" si="11"/>
        <v xml:space="preserve"> </v>
      </c>
      <c r="T732" s="6" t="str">
        <f>IF(IF(COUNTIF(H$2:$H732,H732)=1,1,"")=1,SUMIF($H$2:$H$7997,H732,$S$2:$S$7997),"")</f>
        <v/>
      </c>
      <c r="W732">
        <v>2778576</v>
      </c>
      <c r="X732">
        <v>2778576</v>
      </c>
      <c r="Y732">
        <v>0</v>
      </c>
      <c r="Z732">
        <v>0</v>
      </c>
      <c r="AA732" s="2">
        <v>1</v>
      </c>
      <c r="AB732" s="2">
        <v>0</v>
      </c>
      <c r="AC732" s="2">
        <v>0</v>
      </c>
      <c r="AD732">
        <v>0</v>
      </c>
      <c r="AE732" t="s">
        <v>1862</v>
      </c>
      <c r="AF732">
        <v>54672.71</v>
      </c>
      <c r="AG732">
        <v>4125000</v>
      </c>
      <c r="AH732">
        <v>165000</v>
      </c>
      <c r="AI732" s="1" t="s">
        <v>342</v>
      </c>
      <c r="AJ732">
        <v>94257757</v>
      </c>
      <c r="AK732" s="1" t="s">
        <v>1867</v>
      </c>
      <c r="AL732" t="s">
        <v>1966</v>
      </c>
      <c r="AN732" t="s">
        <v>2064</v>
      </c>
      <c r="AO732" t="s">
        <v>2067</v>
      </c>
      <c r="AP732" t="s">
        <v>2092</v>
      </c>
      <c r="AQ732">
        <v>129276</v>
      </c>
      <c r="AR732" s="3">
        <v>46203</v>
      </c>
      <c r="AS732" s="3">
        <v>46182</v>
      </c>
      <c r="AT732" s="3">
        <v>46222</v>
      </c>
      <c r="AU732" t="s">
        <v>2123</v>
      </c>
      <c r="AW732" s="3">
        <v>46208.53701449134</v>
      </c>
    </row>
    <row r="733" spans="1:49" ht="16" hidden="1" x14ac:dyDescent="0.2">
      <c r="A733" t="s">
        <v>50</v>
      </c>
      <c r="B733">
        <v>11023</v>
      </c>
      <c r="C733">
        <v>6130</v>
      </c>
      <c r="D733" t="s">
        <v>183</v>
      </c>
      <c r="E733" t="s">
        <v>342</v>
      </c>
      <c r="F733">
        <v>259726</v>
      </c>
      <c r="G733" t="s">
        <v>826</v>
      </c>
      <c r="H733">
        <v>596271</v>
      </c>
      <c r="I733" t="s">
        <v>1620</v>
      </c>
      <c r="J733">
        <v>7351517428</v>
      </c>
      <c r="K733" t="s">
        <v>1835</v>
      </c>
      <c r="L733" t="s">
        <v>1851</v>
      </c>
      <c r="M733" s="1">
        <v>75000</v>
      </c>
      <c r="N733" t="s">
        <v>1858</v>
      </c>
      <c r="O733">
        <v>0</v>
      </c>
      <c r="P733" s="1">
        <v>0</v>
      </c>
      <c r="S733" s="6" t="str">
        <f t="shared" si="11"/>
        <v xml:space="preserve"> </v>
      </c>
      <c r="T733" s="6">
        <f>IF(IF(COUNTIF(H$2:$H733,H733)=1,1,"")=1,SUMIF($H$2:$H$7997,H733,$S$2:$S$7997),"")</f>
        <v>0</v>
      </c>
      <c r="W733">
        <v>0</v>
      </c>
      <c r="X733">
        <v>0</v>
      </c>
      <c r="Y733">
        <v>0</v>
      </c>
      <c r="Z733">
        <v>0</v>
      </c>
      <c r="AA733" s="2">
        <v>1</v>
      </c>
      <c r="AB733" s="2">
        <v>0</v>
      </c>
      <c r="AC733" s="2">
        <v>0</v>
      </c>
      <c r="AD733">
        <v>0</v>
      </c>
      <c r="AE733" t="s">
        <v>1863</v>
      </c>
      <c r="AF733">
        <v>0</v>
      </c>
      <c r="AG733">
        <v>1</v>
      </c>
      <c r="AH733">
        <v>0</v>
      </c>
      <c r="AI733" s="1" t="s">
        <v>342</v>
      </c>
      <c r="AJ733">
        <v>259726</v>
      </c>
      <c r="AK733" s="1" t="s">
        <v>1867</v>
      </c>
      <c r="AL733" t="s">
        <v>1966</v>
      </c>
      <c r="AN733" t="s">
        <v>2064</v>
      </c>
      <c r="AO733" t="s">
        <v>2068</v>
      </c>
      <c r="AP733" t="s">
        <v>2104</v>
      </c>
      <c r="AQ733">
        <v>129276</v>
      </c>
      <c r="AR733" s="3">
        <v>46203</v>
      </c>
      <c r="AS733" s="3">
        <v>46203</v>
      </c>
      <c r="AT733" s="3">
        <v>46203</v>
      </c>
      <c r="AU733" t="s">
        <v>2126</v>
      </c>
      <c r="AW733" s="3">
        <v>46208.53701449134</v>
      </c>
    </row>
    <row r="734" spans="1:49" ht="16" hidden="1" x14ac:dyDescent="0.2">
      <c r="A734" t="s">
        <v>50</v>
      </c>
      <c r="B734">
        <v>11023</v>
      </c>
      <c r="C734">
        <v>6130</v>
      </c>
      <c r="D734" t="s">
        <v>183</v>
      </c>
      <c r="E734" t="s">
        <v>342</v>
      </c>
      <c r="F734">
        <v>259726</v>
      </c>
      <c r="G734" t="s">
        <v>826</v>
      </c>
      <c r="H734">
        <v>596271</v>
      </c>
      <c r="I734" t="s">
        <v>1619</v>
      </c>
      <c r="J734">
        <v>7348936533</v>
      </c>
      <c r="K734" t="s">
        <v>1835</v>
      </c>
      <c r="L734" t="s">
        <v>1851</v>
      </c>
      <c r="M734" s="1">
        <v>75000</v>
      </c>
      <c r="N734" t="s">
        <v>1858</v>
      </c>
      <c r="O734">
        <v>0</v>
      </c>
      <c r="P734" s="1">
        <v>0</v>
      </c>
      <c r="S734" s="6" t="str">
        <f t="shared" si="11"/>
        <v xml:space="preserve"> </v>
      </c>
      <c r="T734" s="6" t="str">
        <f>IF(IF(COUNTIF(H$2:$H734,H734)=1,1,"")=1,SUMIF($H$2:$H$7997,H734,$S$2:$S$7997),"")</f>
        <v/>
      </c>
      <c r="W734">
        <v>0</v>
      </c>
      <c r="X734">
        <v>0</v>
      </c>
      <c r="Y734">
        <v>0</v>
      </c>
      <c r="Z734">
        <v>0</v>
      </c>
      <c r="AA734" s="2">
        <v>1</v>
      </c>
      <c r="AB734" s="2">
        <v>0</v>
      </c>
      <c r="AC734" s="2">
        <v>0</v>
      </c>
      <c r="AD734">
        <v>0</v>
      </c>
      <c r="AE734" t="s">
        <v>1863</v>
      </c>
      <c r="AF734">
        <v>0</v>
      </c>
      <c r="AG734">
        <v>1</v>
      </c>
      <c r="AH734">
        <v>0</v>
      </c>
      <c r="AI734" s="1" t="s">
        <v>342</v>
      </c>
      <c r="AJ734">
        <v>259726</v>
      </c>
      <c r="AK734" s="1" t="s">
        <v>1867</v>
      </c>
      <c r="AL734" t="s">
        <v>1966</v>
      </c>
      <c r="AN734" t="s">
        <v>2064</v>
      </c>
      <c r="AO734" t="s">
        <v>2068</v>
      </c>
      <c r="AP734" t="s">
        <v>2104</v>
      </c>
      <c r="AQ734">
        <v>129276</v>
      </c>
      <c r="AR734" s="3">
        <v>46203</v>
      </c>
      <c r="AS734" s="3">
        <v>46203</v>
      </c>
      <c r="AT734" s="3">
        <v>46203</v>
      </c>
      <c r="AU734" t="s">
        <v>2126</v>
      </c>
      <c r="AW734" s="3">
        <v>46208.53701449134</v>
      </c>
    </row>
    <row r="735" spans="1:49" ht="16" hidden="1" x14ac:dyDescent="0.2">
      <c r="A735" t="s">
        <v>50</v>
      </c>
      <c r="B735">
        <v>11023</v>
      </c>
      <c r="C735">
        <v>6130</v>
      </c>
      <c r="D735" t="s">
        <v>183</v>
      </c>
      <c r="E735" t="s">
        <v>342</v>
      </c>
      <c r="F735">
        <v>259726</v>
      </c>
      <c r="G735" t="s">
        <v>826</v>
      </c>
      <c r="H735">
        <v>596271</v>
      </c>
      <c r="I735" t="s">
        <v>1618</v>
      </c>
      <c r="J735">
        <v>7348935291</v>
      </c>
      <c r="K735" t="s">
        <v>1835</v>
      </c>
      <c r="L735" t="s">
        <v>1851</v>
      </c>
      <c r="M735" s="1">
        <v>75000</v>
      </c>
      <c r="N735" t="s">
        <v>1858</v>
      </c>
      <c r="O735">
        <v>0</v>
      </c>
      <c r="P735" s="1">
        <v>0</v>
      </c>
      <c r="S735" s="6" t="str">
        <f t="shared" si="11"/>
        <v xml:space="preserve"> </v>
      </c>
      <c r="T735" s="6" t="str">
        <f>IF(IF(COUNTIF(H$2:$H735,H735)=1,1,"")=1,SUMIF($H$2:$H$7997,H735,$S$2:$S$7997),"")</f>
        <v/>
      </c>
      <c r="W735">
        <v>0</v>
      </c>
      <c r="X735">
        <v>0</v>
      </c>
      <c r="Y735">
        <v>0</v>
      </c>
      <c r="Z735">
        <v>0</v>
      </c>
      <c r="AA735" s="2">
        <v>1</v>
      </c>
      <c r="AB735" s="2">
        <v>0</v>
      </c>
      <c r="AC735" s="2">
        <v>0</v>
      </c>
      <c r="AD735">
        <v>0</v>
      </c>
      <c r="AE735" t="s">
        <v>1863</v>
      </c>
      <c r="AF735">
        <v>0</v>
      </c>
      <c r="AG735">
        <v>1</v>
      </c>
      <c r="AH735">
        <v>0</v>
      </c>
      <c r="AI735" s="1" t="s">
        <v>342</v>
      </c>
      <c r="AJ735">
        <v>259726</v>
      </c>
      <c r="AK735" s="1" t="s">
        <v>1867</v>
      </c>
      <c r="AL735" t="s">
        <v>1966</v>
      </c>
      <c r="AN735" t="s">
        <v>2064</v>
      </c>
      <c r="AO735" t="s">
        <v>2068</v>
      </c>
      <c r="AP735" t="s">
        <v>2104</v>
      </c>
      <c r="AQ735">
        <v>129276</v>
      </c>
      <c r="AR735" s="3">
        <v>46203</v>
      </c>
      <c r="AS735" s="3">
        <v>46203</v>
      </c>
      <c r="AT735" s="3">
        <v>46203</v>
      </c>
      <c r="AU735" t="s">
        <v>2126</v>
      </c>
      <c r="AW735" s="3">
        <v>46208.53701449134</v>
      </c>
    </row>
    <row r="736" spans="1:49" ht="16" hidden="1" x14ac:dyDescent="0.2">
      <c r="A736" t="s">
        <v>50</v>
      </c>
      <c r="B736">
        <v>11023</v>
      </c>
      <c r="C736">
        <v>6130</v>
      </c>
      <c r="D736" t="s">
        <v>183</v>
      </c>
      <c r="E736" t="s">
        <v>342</v>
      </c>
      <c r="F736">
        <v>259726</v>
      </c>
      <c r="G736" t="s">
        <v>826</v>
      </c>
      <c r="H736">
        <v>596271</v>
      </c>
      <c r="I736" t="s">
        <v>1621</v>
      </c>
      <c r="J736">
        <v>7351517434</v>
      </c>
      <c r="K736" t="s">
        <v>1835</v>
      </c>
      <c r="L736" t="s">
        <v>1851</v>
      </c>
      <c r="M736" s="1">
        <v>75000</v>
      </c>
      <c r="N736" t="s">
        <v>1858</v>
      </c>
      <c r="O736">
        <v>0</v>
      </c>
      <c r="P736" s="1">
        <v>0</v>
      </c>
      <c r="S736" s="6" t="str">
        <f t="shared" si="11"/>
        <v xml:space="preserve"> </v>
      </c>
      <c r="T736" s="6" t="str">
        <f>IF(IF(COUNTIF(H$2:$H736,H736)=1,1,"")=1,SUMIF($H$2:$H$7997,H736,$S$2:$S$7997),"")</f>
        <v/>
      </c>
      <c r="W736">
        <v>0</v>
      </c>
      <c r="X736">
        <v>0</v>
      </c>
      <c r="Y736">
        <v>0</v>
      </c>
      <c r="Z736">
        <v>0</v>
      </c>
      <c r="AA736" s="2">
        <v>1</v>
      </c>
      <c r="AB736" s="2">
        <v>0</v>
      </c>
      <c r="AC736" s="2">
        <v>0</v>
      </c>
      <c r="AD736">
        <v>0</v>
      </c>
      <c r="AE736" t="s">
        <v>1863</v>
      </c>
      <c r="AF736">
        <v>0</v>
      </c>
      <c r="AG736">
        <v>1</v>
      </c>
      <c r="AH736">
        <v>0</v>
      </c>
      <c r="AI736" s="1" t="s">
        <v>342</v>
      </c>
      <c r="AJ736">
        <v>259726</v>
      </c>
      <c r="AK736" s="1" t="s">
        <v>1867</v>
      </c>
      <c r="AL736" t="s">
        <v>1966</v>
      </c>
      <c r="AN736" t="s">
        <v>2064</v>
      </c>
      <c r="AO736" t="s">
        <v>2068</v>
      </c>
      <c r="AP736" t="s">
        <v>2104</v>
      </c>
      <c r="AQ736">
        <v>129276</v>
      </c>
      <c r="AR736" s="3">
        <v>46203</v>
      </c>
      <c r="AS736" s="3">
        <v>46203</v>
      </c>
      <c r="AT736" s="3">
        <v>46203</v>
      </c>
      <c r="AU736" t="s">
        <v>2126</v>
      </c>
      <c r="AW736" s="3">
        <v>46208.53701449134</v>
      </c>
    </row>
    <row r="737" spans="1:49" ht="16" hidden="1" x14ac:dyDescent="0.2">
      <c r="A737" t="s">
        <v>76</v>
      </c>
      <c r="B737">
        <v>11565</v>
      </c>
      <c r="C737">
        <v>7664</v>
      </c>
      <c r="D737" t="s">
        <v>221</v>
      </c>
      <c r="E737" t="s">
        <v>427</v>
      </c>
      <c r="F737">
        <v>259270</v>
      </c>
      <c r="G737" t="s">
        <v>871</v>
      </c>
      <c r="H737">
        <v>581380</v>
      </c>
      <c r="I737" t="s">
        <v>1751</v>
      </c>
      <c r="J737">
        <v>581381</v>
      </c>
      <c r="K737" t="s">
        <v>1846</v>
      </c>
      <c r="L737" t="s">
        <v>1851</v>
      </c>
      <c r="M737" s="1">
        <v>484708</v>
      </c>
      <c r="N737" t="s">
        <v>1858</v>
      </c>
      <c r="O737">
        <v>0</v>
      </c>
      <c r="P737" s="1">
        <v>148380</v>
      </c>
      <c r="S737" s="6" t="str">
        <f t="shared" si="11"/>
        <v xml:space="preserve"> </v>
      </c>
      <c r="T737" s="6">
        <f>IF(IF(COUNTIF(H$2:$H737,H737)=1,1,"")=1,SUMIF($H$2:$H$7997,H737,$S$2:$S$7997),"")</f>
        <v>0</v>
      </c>
      <c r="W737">
        <v>0</v>
      </c>
      <c r="X737">
        <v>0</v>
      </c>
      <c r="Y737">
        <v>0</v>
      </c>
      <c r="Z737">
        <v>0</v>
      </c>
      <c r="AA737" s="2">
        <v>1</v>
      </c>
      <c r="AB737" s="2">
        <v>0</v>
      </c>
      <c r="AC737" s="2">
        <v>0</v>
      </c>
      <c r="AD737">
        <v>0</v>
      </c>
      <c r="AE737" t="s">
        <v>1863</v>
      </c>
      <c r="AF737">
        <v>148380</v>
      </c>
      <c r="AG737">
        <v>1</v>
      </c>
      <c r="AH737">
        <v>484708</v>
      </c>
      <c r="AI737" s="1" t="s">
        <v>427</v>
      </c>
      <c r="AJ737">
        <v>259270</v>
      </c>
      <c r="AK737" s="1" t="s">
        <v>1867</v>
      </c>
      <c r="AL737" t="s">
        <v>2032</v>
      </c>
      <c r="AN737" t="s">
        <v>2039</v>
      </c>
      <c r="AO737" t="s">
        <v>2067</v>
      </c>
      <c r="AP737" t="s">
        <v>2110</v>
      </c>
      <c r="AQ737">
        <v>128025</v>
      </c>
      <c r="AR737" s="3">
        <v>46203</v>
      </c>
      <c r="AS737" s="3">
        <v>46174</v>
      </c>
      <c r="AT737" s="3">
        <v>46222</v>
      </c>
      <c r="AU737" t="s">
        <v>2128</v>
      </c>
      <c r="AW737" s="3">
        <v>46208.53701449134</v>
      </c>
    </row>
    <row r="738" spans="1:49" ht="16" hidden="1" x14ac:dyDescent="0.2">
      <c r="A738" t="s">
        <v>76</v>
      </c>
      <c r="B738">
        <v>11565</v>
      </c>
      <c r="C738">
        <v>7664</v>
      </c>
      <c r="D738" t="s">
        <v>221</v>
      </c>
      <c r="E738" t="s">
        <v>427</v>
      </c>
      <c r="F738">
        <v>259270</v>
      </c>
      <c r="G738" t="s">
        <v>871</v>
      </c>
      <c r="H738">
        <v>581380</v>
      </c>
      <c r="I738" t="s">
        <v>1740</v>
      </c>
      <c r="J738">
        <v>581384</v>
      </c>
      <c r="K738" t="s">
        <v>1844</v>
      </c>
      <c r="L738" t="s">
        <v>1851</v>
      </c>
      <c r="M738" s="1">
        <v>484708</v>
      </c>
      <c r="N738" t="s">
        <v>1858</v>
      </c>
      <c r="O738">
        <v>0</v>
      </c>
      <c r="P738" s="1">
        <v>148380</v>
      </c>
      <c r="S738" s="6" t="str">
        <f t="shared" si="11"/>
        <v xml:space="preserve"> </v>
      </c>
      <c r="T738" s="6" t="str">
        <f>IF(IF(COUNTIF(H$2:$H738,H738)=1,1,"")=1,SUMIF($H$2:$H$7997,H738,$S$2:$S$7997),"")</f>
        <v/>
      </c>
      <c r="W738">
        <v>0</v>
      </c>
      <c r="X738">
        <v>0</v>
      </c>
      <c r="Y738">
        <v>0</v>
      </c>
      <c r="Z738">
        <v>0</v>
      </c>
      <c r="AA738" s="2">
        <v>1</v>
      </c>
      <c r="AB738" s="2">
        <v>0</v>
      </c>
      <c r="AC738" s="2">
        <v>0</v>
      </c>
      <c r="AD738">
        <v>0</v>
      </c>
      <c r="AE738" t="s">
        <v>1863</v>
      </c>
      <c r="AF738">
        <v>148380</v>
      </c>
      <c r="AG738">
        <v>1</v>
      </c>
      <c r="AH738">
        <v>484708</v>
      </c>
      <c r="AI738" s="1" t="s">
        <v>427</v>
      </c>
      <c r="AJ738">
        <v>259270</v>
      </c>
      <c r="AK738" s="1" t="s">
        <v>1867</v>
      </c>
      <c r="AL738" t="s">
        <v>2032</v>
      </c>
      <c r="AN738" t="s">
        <v>2039</v>
      </c>
      <c r="AO738" t="s">
        <v>2067</v>
      </c>
      <c r="AP738" t="s">
        <v>2107</v>
      </c>
      <c r="AQ738">
        <v>128025</v>
      </c>
      <c r="AR738" s="3">
        <v>46203</v>
      </c>
      <c r="AS738" s="3">
        <v>46174</v>
      </c>
      <c r="AT738" s="3">
        <v>46222</v>
      </c>
      <c r="AU738" t="s">
        <v>2127</v>
      </c>
      <c r="AW738" s="3">
        <v>46208.53701449134</v>
      </c>
    </row>
    <row r="739" spans="1:49" ht="16" hidden="1" x14ac:dyDescent="0.2">
      <c r="A739" t="s">
        <v>76</v>
      </c>
      <c r="B739">
        <v>11565</v>
      </c>
      <c r="C739">
        <v>7664</v>
      </c>
      <c r="D739" t="s">
        <v>221</v>
      </c>
      <c r="E739" t="s">
        <v>427</v>
      </c>
      <c r="F739">
        <v>259270</v>
      </c>
      <c r="G739" t="s">
        <v>871</v>
      </c>
      <c r="H739">
        <v>581380</v>
      </c>
      <c r="I739" t="s">
        <v>1674</v>
      </c>
      <c r="J739">
        <v>581383</v>
      </c>
      <c r="K739" t="s">
        <v>1835</v>
      </c>
      <c r="L739" t="s">
        <v>1851</v>
      </c>
      <c r="M739" s="1">
        <v>484708</v>
      </c>
      <c r="N739" t="s">
        <v>1858</v>
      </c>
      <c r="O739">
        <v>0</v>
      </c>
      <c r="P739" s="1">
        <v>148380</v>
      </c>
      <c r="S739" s="6" t="str">
        <f t="shared" si="11"/>
        <v xml:space="preserve"> </v>
      </c>
      <c r="T739" s="6" t="str">
        <f>IF(IF(COUNTIF(H$2:$H739,H739)=1,1,"")=1,SUMIF($H$2:$H$7997,H739,$S$2:$S$7997),"")</f>
        <v/>
      </c>
      <c r="W739">
        <v>0</v>
      </c>
      <c r="X739">
        <v>0</v>
      </c>
      <c r="Y739">
        <v>0</v>
      </c>
      <c r="Z739">
        <v>0</v>
      </c>
      <c r="AA739" s="2">
        <v>1</v>
      </c>
      <c r="AB739" s="2">
        <v>0</v>
      </c>
      <c r="AC739" s="2">
        <v>0</v>
      </c>
      <c r="AD739">
        <v>0</v>
      </c>
      <c r="AE739" t="s">
        <v>1863</v>
      </c>
      <c r="AF739">
        <v>148380</v>
      </c>
      <c r="AG739">
        <v>1</v>
      </c>
      <c r="AH739">
        <v>484708</v>
      </c>
      <c r="AI739" s="1" t="s">
        <v>427</v>
      </c>
      <c r="AJ739">
        <v>259270</v>
      </c>
      <c r="AK739" s="1" t="s">
        <v>1867</v>
      </c>
      <c r="AL739" t="s">
        <v>2032</v>
      </c>
      <c r="AN739" t="s">
        <v>2039</v>
      </c>
      <c r="AO739" t="s">
        <v>2067</v>
      </c>
      <c r="AP739" t="s">
        <v>2109</v>
      </c>
      <c r="AQ739">
        <v>128025</v>
      </c>
      <c r="AR739" s="3">
        <v>46203</v>
      </c>
      <c r="AS739" s="3">
        <v>46174</v>
      </c>
      <c r="AT739" s="3">
        <v>46222</v>
      </c>
      <c r="AU739" t="s">
        <v>2129</v>
      </c>
      <c r="AW739" s="3">
        <v>46208.53701449134</v>
      </c>
    </row>
    <row r="740" spans="1:49" ht="16" hidden="1" x14ac:dyDescent="0.2">
      <c r="A740" t="s">
        <v>76</v>
      </c>
      <c r="B740">
        <v>11565</v>
      </c>
      <c r="C740">
        <v>7664</v>
      </c>
      <c r="D740" t="s">
        <v>221</v>
      </c>
      <c r="E740" t="s">
        <v>431</v>
      </c>
      <c r="F740">
        <v>266911</v>
      </c>
      <c r="G740" t="s">
        <v>908</v>
      </c>
      <c r="H740">
        <v>581387</v>
      </c>
      <c r="I740" t="s">
        <v>1771</v>
      </c>
      <c r="J740">
        <v>581389</v>
      </c>
      <c r="K740" t="s">
        <v>1847</v>
      </c>
      <c r="L740" t="s">
        <v>1851</v>
      </c>
      <c r="M740" s="1">
        <v>500000</v>
      </c>
      <c r="N740" t="s">
        <v>1858</v>
      </c>
      <c r="O740">
        <v>0</v>
      </c>
      <c r="P740" s="1">
        <v>153061.22</v>
      </c>
      <c r="S740" s="6" t="str">
        <f t="shared" si="11"/>
        <v xml:space="preserve"> </v>
      </c>
      <c r="T740" s="6">
        <f>IF(IF(COUNTIF(H$2:$H740,H740)=1,1,"")=1,SUMIF($H$2:$H$7997,H740,$S$2:$S$7997),"")</f>
        <v>0</v>
      </c>
      <c r="W740">
        <v>0</v>
      </c>
      <c r="X740">
        <v>0</v>
      </c>
      <c r="Y740">
        <v>0</v>
      </c>
      <c r="Z740">
        <v>0</v>
      </c>
      <c r="AA740" s="2">
        <v>1</v>
      </c>
      <c r="AB740" s="2">
        <v>0</v>
      </c>
      <c r="AC740" s="2">
        <v>0</v>
      </c>
      <c r="AD740">
        <v>0</v>
      </c>
      <c r="AE740" t="s">
        <v>1863</v>
      </c>
      <c r="AF740">
        <v>153061.22</v>
      </c>
      <c r="AG740">
        <v>1</v>
      </c>
      <c r="AH740">
        <v>500000</v>
      </c>
      <c r="AI740" s="1" t="s">
        <v>431</v>
      </c>
      <c r="AJ740">
        <v>266911</v>
      </c>
      <c r="AK740" s="1" t="s">
        <v>1867</v>
      </c>
      <c r="AL740" t="s">
        <v>2036</v>
      </c>
      <c r="AN740" t="s">
        <v>2039</v>
      </c>
      <c r="AO740" t="s">
        <v>2067</v>
      </c>
      <c r="AP740" t="s">
        <v>2112</v>
      </c>
      <c r="AQ740">
        <v>125698</v>
      </c>
      <c r="AR740" s="3">
        <v>46203</v>
      </c>
      <c r="AS740" s="3">
        <v>46174</v>
      </c>
      <c r="AT740" s="3">
        <v>46222</v>
      </c>
      <c r="AU740" t="s">
        <v>2130</v>
      </c>
      <c r="AW740" s="3">
        <v>46208.53701449134</v>
      </c>
    </row>
    <row r="741" spans="1:49" ht="16" hidden="1" x14ac:dyDescent="0.2">
      <c r="A741" t="s">
        <v>76</v>
      </c>
      <c r="B741">
        <v>11565</v>
      </c>
      <c r="C741">
        <v>9050</v>
      </c>
      <c r="D741" t="s">
        <v>142</v>
      </c>
      <c r="E741" t="s">
        <v>271</v>
      </c>
      <c r="F741">
        <v>259149</v>
      </c>
      <c r="G741" t="s">
        <v>502</v>
      </c>
      <c r="H741">
        <v>582769</v>
      </c>
      <c r="I741" t="s">
        <v>1000</v>
      </c>
      <c r="J741">
        <v>93502261</v>
      </c>
      <c r="K741" t="s">
        <v>1839</v>
      </c>
      <c r="L741" t="s">
        <v>1850</v>
      </c>
      <c r="M741" s="1">
        <v>40</v>
      </c>
      <c r="N741" t="s">
        <v>23</v>
      </c>
      <c r="O741">
        <v>8072217</v>
      </c>
      <c r="P741" s="1">
        <v>322888.68</v>
      </c>
      <c r="S741" s="6" t="str">
        <f t="shared" si="11"/>
        <v xml:space="preserve"> </v>
      </c>
      <c r="T741" s="6">
        <f>IF(IF(COUNTIF(H$2:$H741,H741)=1,1,"")=1,SUMIF($H$2:$H$7997,H741,$S$2:$S$7997),"")</f>
        <v>0</v>
      </c>
      <c r="W741">
        <v>8072217</v>
      </c>
      <c r="X741">
        <v>8072217</v>
      </c>
      <c r="Y741">
        <v>0</v>
      </c>
      <c r="Z741">
        <v>0</v>
      </c>
      <c r="AA741" s="2">
        <v>1</v>
      </c>
      <c r="AB741" s="2">
        <v>0</v>
      </c>
      <c r="AC741" s="2">
        <v>0</v>
      </c>
      <c r="AD741">
        <v>0</v>
      </c>
      <c r="AE741" t="s">
        <v>1862</v>
      </c>
      <c r="AF741">
        <v>162803.49</v>
      </c>
      <c r="AG741">
        <v>12250000</v>
      </c>
      <c r="AH741">
        <v>490000</v>
      </c>
      <c r="AI741" s="1" t="s">
        <v>271</v>
      </c>
      <c r="AJ741">
        <v>93502245</v>
      </c>
      <c r="AK741" s="1" t="s">
        <v>1867</v>
      </c>
      <c r="AL741" t="s">
        <v>1909</v>
      </c>
      <c r="AN741" t="s">
        <v>2039</v>
      </c>
      <c r="AO741" t="s">
        <v>2067</v>
      </c>
      <c r="AP741" t="s">
        <v>2094</v>
      </c>
      <c r="AQ741">
        <v>126262</v>
      </c>
      <c r="AR741" s="3">
        <v>46203</v>
      </c>
      <c r="AS741" s="3">
        <v>46174</v>
      </c>
      <c r="AT741" s="3">
        <v>46222</v>
      </c>
      <c r="AU741" t="s">
        <v>2124</v>
      </c>
      <c r="AW741" s="3">
        <v>46208.53701449134</v>
      </c>
    </row>
    <row r="742" spans="1:49" ht="16" hidden="1" x14ac:dyDescent="0.2">
      <c r="A742" t="s">
        <v>76</v>
      </c>
      <c r="B742">
        <v>11565</v>
      </c>
      <c r="C742">
        <v>9050</v>
      </c>
      <c r="D742" t="s">
        <v>142</v>
      </c>
      <c r="E742" t="s">
        <v>271</v>
      </c>
      <c r="F742">
        <v>259149</v>
      </c>
      <c r="G742" t="s">
        <v>502</v>
      </c>
      <c r="H742">
        <v>582769</v>
      </c>
      <c r="I742" t="s">
        <v>1001</v>
      </c>
      <c r="J742">
        <v>93502264</v>
      </c>
      <c r="K742" t="s">
        <v>1835</v>
      </c>
      <c r="L742" t="s">
        <v>1850</v>
      </c>
      <c r="M742" s="1">
        <v>40</v>
      </c>
      <c r="N742" t="s">
        <v>23</v>
      </c>
      <c r="O742">
        <v>3535076</v>
      </c>
      <c r="P742" s="1">
        <v>141403.04</v>
      </c>
      <c r="S742" s="6" t="str">
        <f t="shared" si="11"/>
        <v xml:space="preserve"> </v>
      </c>
      <c r="T742" s="6" t="str">
        <f>IF(IF(COUNTIF(H$2:$H742,H742)=1,1,"")=1,SUMIF($H$2:$H$7997,H742,$S$2:$S$7997),"")</f>
        <v/>
      </c>
      <c r="W742">
        <v>3535076</v>
      </c>
      <c r="X742">
        <v>3535076</v>
      </c>
      <c r="Y742">
        <v>0</v>
      </c>
      <c r="Z742">
        <v>0</v>
      </c>
      <c r="AA742" s="2">
        <v>1</v>
      </c>
      <c r="AB742" s="2">
        <v>0</v>
      </c>
      <c r="AC742" s="2">
        <v>0</v>
      </c>
      <c r="AD742">
        <v>0</v>
      </c>
      <c r="AE742" t="s">
        <v>1862</v>
      </c>
      <c r="AF742">
        <v>69772.929999999993</v>
      </c>
      <c r="AG742">
        <v>5250000</v>
      </c>
      <c r="AH742">
        <v>210000</v>
      </c>
      <c r="AI742" s="1" t="s">
        <v>271</v>
      </c>
      <c r="AJ742">
        <v>93502245</v>
      </c>
      <c r="AK742" s="1" t="s">
        <v>1867</v>
      </c>
      <c r="AL742" t="s">
        <v>1909</v>
      </c>
      <c r="AN742" t="s">
        <v>2039</v>
      </c>
      <c r="AO742" t="s">
        <v>2067</v>
      </c>
      <c r="AP742" t="s">
        <v>2092</v>
      </c>
      <c r="AQ742">
        <v>126262</v>
      </c>
      <c r="AR742" s="3">
        <v>46203</v>
      </c>
      <c r="AS742" s="3">
        <v>46174</v>
      </c>
      <c r="AT742" s="3">
        <v>46222</v>
      </c>
      <c r="AU742" t="s">
        <v>2123</v>
      </c>
      <c r="AW742" s="3">
        <v>46208.53701449134</v>
      </c>
    </row>
    <row r="743" spans="1:49" ht="16" hidden="1" x14ac:dyDescent="0.2">
      <c r="A743" t="s">
        <v>76</v>
      </c>
      <c r="B743">
        <v>11565</v>
      </c>
      <c r="C743">
        <v>9050</v>
      </c>
      <c r="D743" t="s">
        <v>142</v>
      </c>
      <c r="E743" t="s">
        <v>271</v>
      </c>
      <c r="F743">
        <v>259149</v>
      </c>
      <c r="G743" t="s">
        <v>501</v>
      </c>
      <c r="H743">
        <v>582772</v>
      </c>
      <c r="I743" t="s">
        <v>999</v>
      </c>
      <c r="J743">
        <v>93502258</v>
      </c>
      <c r="K743" t="s">
        <v>1839</v>
      </c>
      <c r="L743" t="s">
        <v>1850</v>
      </c>
      <c r="M743" s="1">
        <v>18.25</v>
      </c>
      <c r="N743" t="s">
        <v>1855</v>
      </c>
      <c r="O743">
        <v>7303071</v>
      </c>
      <c r="P743" s="1">
        <v>133281.04999999999</v>
      </c>
      <c r="S743" s="6" t="str">
        <f t="shared" si="11"/>
        <v xml:space="preserve"> </v>
      </c>
      <c r="T743" s="6">
        <f>IF(IF(COUNTIF(H$2:$H743,H743)=1,1,"")=1,SUMIF($H$2:$H$7997,H743,$S$2:$S$7997),"")</f>
        <v>0</v>
      </c>
      <c r="W743">
        <v>7303071</v>
      </c>
      <c r="X743">
        <v>7303071</v>
      </c>
      <c r="Y743">
        <v>0</v>
      </c>
      <c r="Z743">
        <v>0</v>
      </c>
      <c r="AA743" s="2">
        <v>1</v>
      </c>
      <c r="AB743" s="2">
        <v>0</v>
      </c>
      <c r="AC743" s="2">
        <v>0</v>
      </c>
      <c r="AD743">
        <v>0</v>
      </c>
      <c r="AE743" t="s">
        <v>1862</v>
      </c>
      <c r="AF743">
        <v>66298.27</v>
      </c>
      <c r="AG743">
        <v>10684932</v>
      </c>
      <c r="AH743">
        <v>195000.01</v>
      </c>
      <c r="AI743" s="1" t="s">
        <v>271</v>
      </c>
      <c r="AJ743">
        <v>93502245</v>
      </c>
      <c r="AK743" s="1" t="s">
        <v>1868</v>
      </c>
      <c r="AL743" t="s">
        <v>1909</v>
      </c>
      <c r="AN743" t="s">
        <v>2039</v>
      </c>
      <c r="AO743" t="s">
        <v>2067</v>
      </c>
      <c r="AP743" t="s">
        <v>2093</v>
      </c>
      <c r="AQ743">
        <v>126262</v>
      </c>
      <c r="AR743" s="3">
        <v>46203</v>
      </c>
      <c r="AS743" s="3">
        <v>46174</v>
      </c>
      <c r="AT743" s="3">
        <v>46222</v>
      </c>
      <c r="AU743" t="s">
        <v>2124</v>
      </c>
      <c r="AW743" s="3">
        <v>46208.53701449134</v>
      </c>
    </row>
    <row r="744" spans="1:49" ht="16" hidden="1" x14ac:dyDescent="0.2">
      <c r="A744" t="s">
        <v>76</v>
      </c>
      <c r="B744">
        <v>11565</v>
      </c>
      <c r="C744">
        <v>9050</v>
      </c>
      <c r="D744" t="s">
        <v>142</v>
      </c>
      <c r="E744" t="s">
        <v>271</v>
      </c>
      <c r="F744">
        <v>259149</v>
      </c>
      <c r="G744" t="s">
        <v>501</v>
      </c>
      <c r="H744">
        <v>582772</v>
      </c>
      <c r="I744" t="s">
        <v>998</v>
      </c>
      <c r="J744">
        <v>93502250</v>
      </c>
      <c r="K744" t="s">
        <v>1840</v>
      </c>
      <c r="L744" t="s">
        <v>1850</v>
      </c>
      <c r="M744" s="1">
        <v>18.25</v>
      </c>
      <c r="N744" t="s">
        <v>1855</v>
      </c>
      <c r="O744">
        <v>4821190</v>
      </c>
      <c r="P744" s="1">
        <v>87986.72</v>
      </c>
      <c r="S744" s="6" t="str">
        <f t="shared" si="11"/>
        <v xml:space="preserve"> </v>
      </c>
      <c r="T744" s="6" t="str">
        <f>IF(IF(COUNTIF(H$2:$H744,H744)=1,1,"")=1,SUMIF($H$2:$H$7997,H744,$S$2:$S$7997),"")</f>
        <v/>
      </c>
      <c r="W744">
        <v>4821190</v>
      </c>
      <c r="X744">
        <v>4821190</v>
      </c>
      <c r="Y744">
        <v>0</v>
      </c>
      <c r="Z744">
        <v>0</v>
      </c>
      <c r="AA744" s="2">
        <v>1</v>
      </c>
      <c r="AB744" s="2">
        <v>0</v>
      </c>
      <c r="AC744" s="2">
        <v>0</v>
      </c>
      <c r="AD744">
        <v>0</v>
      </c>
      <c r="AE744" t="s">
        <v>1862</v>
      </c>
      <c r="AF744">
        <v>44198.85</v>
      </c>
      <c r="AG744">
        <v>7123288</v>
      </c>
      <c r="AH744">
        <v>130000.01</v>
      </c>
      <c r="AI744" s="1" t="s">
        <v>271</v>
      </c>
      <c r="AJ744">
        <v>93502245</v>
      </c>
      <c r="AK744" s="1" t="s">
        <v>1868</v>
      </c>
      <c r="AL744" t="s">
        <v>1909</v>
      </c>
      <c r="AN744" t="s">
        <v>2039</v>
      </c>
      <c r="AO744" t="s">
        <v>2067</v>
      </c>
      <c r="AP744" t="s">
        <v>2083</v>
      </c>
      <c r="AQ744">
        <v>126262</v>
      </c>
      <c r="AR744" s="3">
        <v>46203</v>
      </c>
      <c r="AS744" s="3">
        <v>46174</v>
      </c>
      <c r="AT744" s="3">
        <v>46222</v>
      </c>
      <c r="AU744" t="s">
        <v>2123</v>
      </c>
      <c r="AW744" s="3">
        <v>46208.53701449134</v>
      </c>
    </row>
    <row r="745" spans="1:49" ht="16" hidden="1" x14ac:dyDescent="0.2">
      <c r="A745" t="s">
        <v>76</v>
      </c>
      <c r="B745">
        <v>11565</v>
      </c>
      <c r="C745">
        <v>9050</v>
      </c>
      <c r="D745" t="s">
        <v>142</v>
      </c>
      <c r="E745" t="s">
        <v>271</v>
      </c>
      <c r="F745">
        <v>259149</v>
      </c>
      <c r="G745" t="s">
        <v>916</v>
      </c>
      <c r="H745">
        <v>582785</v>
      </c>
      <c r="I745" t="s">
        <v>1824</v>
      </c>
      <c r="J745">
        <v>582787</v>
      </c>
      <c r="K745" t="s">
        <v>1847</v>
      </c>
      <c r="L745" t="s">
        <v>1851</v>
      </c>
      <c r="M745" s="1">
        <v>250000</v>
      </c>
      <c r="N745" t="s">
        <v>1858</v>
      </c>
      <c r="O745">
        <v>0</v>
      </c>
      <c r="P745" s="1">
        <v>76530.61</v>
      </c>
      <c r="S745" s="6" t="str">
        <f t="shared" si="11"/>
        <v xml:space="preserve"> </v>
      </c>
      <c r="T745" s="6">
        <f>IF(IF(COUNTIF(H$2:$H745,H745)=1,1,"")=1,SUMIF($H$2:$H$7997,H745,$S$2:$S$7997),"")</f>
        <v>0</v>
      </c>
      <c r="W745">
        <v>0</v>
      </c>
      <c r="X745">
        <v>0</v>
      </c>
      <c r="Y745">
        <v>0</v>
      </c>
      <c r="Z745">
        <v>0</v>
      </c>
      <c r="AA745" s="2">
        <v>1</v>
      </c>
      <c r="AB745" s="2">
        <v>0</v>
      </c>
      <c r="AC745" s="2">
        <v>0</v>
      </c>
      <c r="AD745">
        <v>0</v>
      </c>
      <c r="AE745" t="s">
        <v>1863</v>
      </c>
      <c r="AF745">
        <v>76530.61</v>
      </c>
      <c r="AG745">
        <v>1</v>
      </c>
      <c r="AH745">
        <v>250000</v>
      </c>
      <c r="AI745" s="1" t="s">
        <v>271</v>
      </c>
      <c r="AJ745">
        <v>259149</v>
      </c>
      <c r="AK745" s="1" t="s">
        <v>1867</v>
      </c>
      <c r="AL745" t="s">
        <v>1909</v>
      </c>
      <c r="AN745" t="s">
        <v>2039</v>
      </c>
      <c r="AO745" t="s">
        <v>2067</v>
      </c>
      <c r="AP745" t="s">
        <v>2112</v>
      </c>
      <c r="AQ745">
        <v>126262</v>
      </c>
      <c r="AR745" s="3">
        <v>46203</v>
      </c>
      <c r="AS745" s="3">
        <v>46174</v>
      </c>
      <c r="AT745" s="3">
        <v>46222</v>
      </c>
      <c r="AU745" t="s">
        <v>2130</v>
      </c>
      <c r="AW745" s="3">
        <v>46208.53701449134</v>
      </c>
    </row>
    <row r="746" spans="1:49" ht="16" hidden="1" x14ac:dyDescent="0.2">
      <c r="A746" t="s">
        <v>76</v>
      </c>
      <c r="B746">
        <v>11565</v>
      </c>
      <c r="C746">
        <v>6503</v>
      </c>
      <c r="D746" t="s">
        <v>215</v>
      </c>
      <c r="E746" t="s">
        <v>417</v>
      </c>
      <c r="F746">
        <v>272062</v>
      </c>
      <c r="G746" t="s">
        <v>772</v>
      </c>
      <c r="H746">
        <v>595803</v>
      </c>
      <c r="I746" t="s">
        <v>1506</v>
      </c>
      <c r="J746">
        <v>95105745</v>
      </c>
      <c r="K746" t="s">
        <v>1839</v>
      </c>
      <c r="L746" t="s">
        <v>1850</v>
      </c>
      <c r="M746" s="1">
        <v>14.46</v>
      </c>
      <c r="N746" t="s">
        <v>23</v>
      </c>
      <c r="O746">
        <v>84567</v>
      </c>
      <c r="P746" s="1">
        <v>1222.8399999999999</v>
      </c>
      <c r="S746" s="6" t="str">
        <f t="shared" si="11"/>
        <v xml:space="preserve"> </v>
      </c>
      <c r="T746" s="6">
        <f>IF(IF(COUNTIF(H$2:$H746,H746)=1,1,"")=1,SUMIF($H$2:$H$7997,H746,$S$2:$S$7997),"")</f>
        <v>0</v>
      </c>
      <c r="W746">
        <v>84567</v>
      </c>
      <c r="X746">
        <v>84567</v>
      </c>
      <c r="Y746">
        <v>0</v>
      </c>
      <c r="Z746">
        <v>0</v>
      </c>
      <c r="AA746" s="2">
        <v>1</v>
      </c>
      <c r="AB746" s="2">
        <v>0</v>
      </c>
      <c r="AC746" s="2">
        <v>0</v>
      </c>
      <c r="AD746">
        <v>0</v>
      </c>
      <c r="AE746" t="s">
        <v>1862</v>
      </c>
      <c r="AF746">
        <v>558.49</v>
      </c>
      <c r="AG746">
        <v>736832</v>
      </c>
      <c r="AH746">
        <v>10654.59</v>
      </c>
      <c r="AI746" s="1" t="s">
        <v>417</v>
      </c>
      <c r="AJ746">
        <v>95105742</v>
      </c>
      <c r="AK746" s="1" t="s">
        <v>1867</v>
      </c>
      <c r="AL746" t="s">
        <v>2024</v>
      </c>
      <c r="AN746" t="s">
        <v>2065</v>
      </c>
      <c r="AO746" t="s">
        <v>2067</v>
      </c>
      <c r="AP746" t="s">
        <v>2093</v>
      </c>
      <c r="AQ746">
        <v>134065</v>
      </c>
      <c r="AR746" s="3">
        <v>46203</v>
      </c>
      <c r="AS746" s="3">
        <v>46202</v>
      </c>
      <c r="AT746" s="3">
        <v>46250</v>
      </c>
      <c r="AU746" t="s">
        <v>2124</v>
      </c>
      <c r="AW746" s="3">
        <v>46208.53701449134</v>
      </c>
    </row>
    <row r="747" spans="1:49" ht="16" hidden="1" x14ac:dyDescent="0.2">
      <c r="A747" t="s">
        <v>76</v>
      </c>
      <c r="B747">
        <v>11565</v>
      </c>
      <c r="C747">
        <v>6503</v>
      </c>
      <c r="D747" t="s">
        <v>215</v>
      </c>
      <c r="E747" t="s">
        <v>417</v>
      </c>
      <c r="F747">
        <v>272062</v>
      </c>
      <c r="G747" t="s">
        <v>772</v>
      </c>
      <c r="H747">
        <v>595803</v>
      </c>
      <c r="I747" t="s">
        <v>1507</v>
      </c>
      <c r="J747">
        <v>95105751</v>
      </c>
      <c r="K747" t="s">
        <v>1840</v>
      </c>
      <c r="L747" t="s">
        <v>1850</v>
      </c>
      <c r="M747" s="1">
        <v>14.46</v>
      </c>
      <c r="N747" t="s">
        <v>23</v>
      </c>
      <c r="O747">
        <v>107756</v>
      </c>
      <c r="P747" s="1">
        <v>1558.15</v>
      </c>
      <c r="S747" s="6" t="str">
        <f t="shared" si="11"/>
        <v xml:space="preserve"> </v>
      </c>
      <c r="T747" s="6" t="str">
        <f>IF(IF(COUNTIF(H$2:$H747,H747)=1,1,"")=1,SUMIF($H$2:$H$7997,H747,$S$2:$S$7997),"")</f>
        <v/>
      </c>
      <c r="W747">
        <v>107756</v>
      </c>
      <c r="X747">
        <v>107756</v>
      </c>
      <c r="Y747">
        <v>0</v>
      </c>
      <c r="Z747">
        <v>0</v>
      </c>
      <c r="AA747" s="2">
        <v>1</v>
      </c>
      <c r="AB747" s="2">
        <v>0</v>
      </c>
      <c r="AC747" s="2">
        <v>0</v>
      </c>
      <c r="AD747">
        <v>0</v>
      </c>
      <c r="AE747" t="s">
        <v>1862</v>
      </c>
      <c r="AF747">
        <v>837.73</v>
      </c>
      <c r="AG747">
        <v>1105248</v>
      </c>
      <c r="AH747">
        <v>15981.89</v>
      </c>
      <c r="AI747" s="1" t="s">
        <v>417</v>
      </c>
      <c r="AJ747">
        <v>95105742</v>
      </c>
      <c r="AK747" s="1" t="s">
        <v>1867</v>
      </c>
      <c r="AL747" t="s">
        <v>2024</v>
      </c>
      <c r="AN747" t="s">
        <v>2065</v>
      </c>
      <c r="AO747" t="s">
        <v>2067</v>
      </c>
      <c r="AP747" t="s">
        <v>2083</v>
      </c>
      <c r="AQ747">
        <v>134065</v>
      </c>
      <c r="AR747" s="3">
        <v>46203</v>
      </c>
      <c r="AS747" s="3">
        <v>46202</v>
      </c>
      <c r="AT747" s="3">
        <v>46250</v>
      </c>
      <c r="AU747" t="s">
        <v>2123</v>
      </c>
      <c r="AW747" s="3">
        <v>46208.53701449134</v>
      </c>
    </row>
    <row r="748" spans="1:49" ht="16" hidden="1" x14ac:dyDescent="0.2">
      <c r="A748" t="s">
        <v>76</v>
      </c>
      <c r="B748">
        <v>11565</v>
      </c>
      <c r="C748">
        <v>6503</v>
      </c>
      <c r="D748" t="s">
        <v>215</v>
      </c>
      <c r="E748" t="s">
        <v>413</v>
      </c>
      <c r="F748">
        <v>271861</v>
      </c>
      <c r="G748" t="s">
        <v>768</v>
      </c>
      <c r="H748">
        <v>595247</v>
      </c>
      <c r="I748" t="s">
        <v>1499</v>
      </c>
      <c r="J748">
        <v>95051884</v>
      </c>
      <c r="K748" t="s">
        <v>1839</v>
      </c>
      <c r="L748" t="s">
        <v>1850</v>
      </c>
      <c r="M748" s="1">
        <v>14.46</v>
      </c>
      <c r="N748" t="s">
        <v>23</v>
      </c>
      <c r="O748">
        <v>219515</v>
      </c>
      <c r="P748" s="1">
        <v>3174.19</v>
      </c>
      <c r="S748" s="6" t="str">
        <f t="shared" si="11"/>
        <v xml:space="preserve"> </v>
      </c>
      <c r="T748" s="6">
        <f>IF(IF(COUNTIF(H$2:$H748,H748)=1,1,"")=1,SUMIF($H$2:$H$7997,H748,$S$2:$S$7997),"")</f>
        <v>0</v>
      </c>
      <c r="W748">
        <v>219515</v>
      </c>
      <c r="X748">
        <v>219515</v>
      </c>
      <c r="Y748">
        <v>0</v>
      </c>
      <c r="Z748">
        <v>0</v>
      </c>
      <c r="AA748" s="2">
        <v>1</v>
      </c>
      <c r="AB748" s="2">
        <v>0</v>
      </c>
      <c r="AC748" s="2">
        <v>0</v>
      </c>
      <c r="AD748">
        <v>0</v>
      </c>
      <c r="AE748" t="s">
        <v>1862</v>
      </c>
      <c r="AF748">
        <v>558.30999999999995</v>
      </c>
      <c r="AG748">
        <v>2443016</v>
      </c>
      <c r="AH748">
        <v>35326.01</v>
      </c>
      <c r="AI748" s="1" t="s">
        <v>413</v>
      </c>
      <c r="AJ748">
        <v>95051881</v>
      </c>
      <c r="AK748" s="1" t="s">
        <v>1867</v>
      </c>
      <c r="AL748" t="s">
        <v>2021</v>
      </c>
      <c r="AN748" t="s">
        <v>2065</v>
      </c>
      <c r="AO748" t="s">
        <v>2067</v>
      </c>
      <c r="AP748" t="s">
        <v>2093</v>
      </c>
      <c r="AQ748">
        <v>133645</v>
      </c>
      <c r="AR748" s="3">
        <v>46203</v>
      </c>
      <c r="AS748" s="3">
        <v>46202</v>
      </c>
      <c r="AT748" s="3">
        <v>46278</v>
      </c>
      <c r="AU748" t="s">
        <v>2124</v>
      </c>
      <c r="AW748" s="3">
        <v>46208.53701449134</v>
      </c>
    </row>
    <row r="749" spans="1:49" ht="16" hidden="1" x14ac:dyDescent="0.2">
      <c r="A749" t="s">
        <v>76</v>
      </c>
      <c r="B749">
        <v>11565</v>
      </c>
      <c r="C749">
        <v>6503</v>
      </c>
      <c r="D749" t="s">
        <v>215</v>
      </c>
      <c r="E749" t="s">
        <v>413</v>
      </c>
      <c r="F749">
        <v>271861</v>
      </c>
      <c r="G749" t="s">
        <v>768</v>
      </c>
      <c r="H749">
        <v>595247</v>
      </c>
      <c r="I749" t="s">
        <v>1500</v>
      </c>
      <c r="J749">
        <v>95051887</v>
      </c>
      <c r="K749" t="s">
        <v>1840</v>
      </c>
      <c r="L749" t="s">
        <v>1850</v>
      </c>
      <c r="M749" s="1">
        <v>14.46</v>
      </c>
      <c r="N749" t="s">
        <v>23</v>
      </c>
      <c r="O749">
        <v>297890</v>
      </c>
      <c r="P749" s="1">
        <v>4307.49</v>
      </c>
      <c r="S749" s="6" t="str">
        <f t="shared" si="11"/>
        <v xml:space="preserve"> </v>
      </c>
      <c r="T749" s="6" t="str">
        <f>IF(IF(COUNTIF(H$2:$H749,H749)=1,1,"")=1,SUMIF($H$2:$H$7997,H749,$S$2:$S$7997),"")</f>
        <v/>
      </c>
      <c r="W749">
        <v>297890</v>
      </c>
      <c r="X749">
        <v>297890</v>
      </c>
      <c r="Y749">
        <v>0</v>
      </c>
      <c r="Z749">
        <v>0</v>
      </c>
      <c r="AA749" s="2">
        <v>1</v>
      </c>
      <c r="AB749" s="2">
        <v>0</v>
      </c>
      <c r="AC749" s="2">
        <v>0</v>
      </c>
      <c r="AD749">
        <v>0</v>
      </c>
      <c r="AE749" t="s">
        <v>1862</v>
      </c>
      <c r="AF749">
        <v>837.47</v>
      </c>
      <c r="AG749">
        <v>3664524</v>
      </c>
      <c r="AH749">
        <v>52989.02</v>
      </c>
      <c r="AI749" s="1" t="s">
        <v>413</v>
      </c>
      <c r="AJ749">
        <v>95051881</v>
      </c>
      <c r="AK749" s="1" t="s">
        <v>1867</v>
      </c>
      <c r="AL749" t="s">
        <v>2021</v>
      </c>
      <c r="AN749" t="s">
        <v>2065</v>
      </c>
      <c r="AO749" t="s">
        <v>2067</v>
      </c>
      <c r="AP749" t="s">
        <v>2083</v>
      </c>
      <c r="AQ749">
        <v>133645</v>
      </c>
      <c r="AR749" s="3">
        <v>46203</v>
      </c>
      <c r="AS749" s="3">
        <v>46202</v>
      </c>
      <c r="AT749" s="3">
        <v>46278</v>
      </c>
      <c r="AU749" t="s">
        <v>2123</v>
      </c>
      <c r="AW749" s="3">
        <v>46208.53701449134</v>
      </c>
    </row>
    <row r="750" spans="1:49" ht="16" hidden="1" x14ac:dyDescent="0.2">
      <c r="A750" t="s">
        <v>76</v>
      </c>
      <c r="B750">
        <v>11565</v>
      </c>
      <c r="C750">
        <v>6503</v>
      </c>
      <c r="D750" t="s">
        <v>215</v>
      </c>
      <c r="E750" t="s">
        <v>412</v>
      </c>
      <c r="F750">
        <v>271496</v>
      </c>
      <c r="G750" t="s">
        <v>767</v>
      </c>
      <c r="H750">
        <v>595017</v>
      </c>
      <c r="I750" t="s">
        <v>1498</v>
      </c>
      <c r="J750">
        <v>95050422</v>
      </c>
      <c r="K750" t="s">
        <v>1839</v>
      </c>
      <c r="L750" t="s">
        <v>1850</v>
      </c>
      <c r="M750" s="1">
        <v>14.46</v>
      </c>
      <c r="N750" t="s">
        <v>23</v>
      </c>
      <c r="O750">
        <v>225773</v>
      </c>
      <c r="P750" s="1">
        <v>3264.68</v>
      </c>
      <c r="S750" s="6" t="str">
        <f t="shared" si="11"/>
        <v xml:space="preserve"> </v>
      </c>
      <c r="T750" s="6">
        <f>IF(IF(COUNTIF(H$2:$H750,H750)=1,1,"")=1,SUMIF($H$2:$H$7997,H750,$S$2:$S$7997),"")</f>
        <v>0</v>
      </c>
      <c r="W750">
        <v>225773</v>
      </c>
      <c r="X750">
        <v>225773</v>
      </c>
      <c r="Y750">
        <v>0</v>
      </c>
      <c r="Z750">
        <v>0</v>
      </c>
      <c r="AA750" s="2">
        <v>1</v>
      </c>
      <c r="AB750" s="2">
        <v>0</v>
      </c>
      <c r="AC750" s="2">
        <v>0</v>
      </c>
      <c r="AD750">
        <v>0</v>
      </c>
      <c r="AE750" t="s">
        <v>1862</v>
      </c>
      <c r="AF750">
        <v>725.07</v>
      </c>
      <c r="AG750">
        <v>2525201</v>
      </c>
      <c r="AH750">
        <v>36514.410000000003</v>
      </c>
      <c r="AI750" s="1" t="s">
        <v>412</v>
      </c>
      <c r="AJ750">
        <v>95050415</v>
      </c>
      <c r="AK750" s="1" t="s">
        <v>1867</v>
      </c>
      <c r="AL750" t="s">
        <v>2020</v>
      </c>
      <c r="AN750" t="s">
        <v>2065</v>
      </c>
      <c r="AO750" t="s">
        <v>2067</v>
      </c>
      <c r="AP750" t="s">
        <v>2093</v>
      </c>
      <c r="AQ750">
        <v>133623</v>
      </c>
      <c r="AR750" s="3">
        <v>46203</v>
      </c>
      <c r="AS750" s="3">
        <v>46202</v>
      </c>
      <c r="AT750" s="3">
        <v>46278</v>
      </c>
      <c r="AU750" t="s">
        <v>2124</v>
      </c>
      <c r="AW750" s="3">
        <v>46208.53701449134</v>
      </c>
    </row>
    <row r="751" spans="1:49" ht="16" hidden="1" x14ac:dyDescent="0.2">
      <c r="A751" t="s">
        <v>76</v>
      </c>
      <c r="B751">
        <v>11565</v>
      </c>
      <c r="C751">
        <v>6503</v>
      </c>
      <c r="D751" t="s">
        <v>215</v>
      </c>
      <c r="E751" t="s">
        <v>412</v>
      </c>
      <c r="F751">
        <v>271496</v>
      </c>
      <c r="G751" t="s">
        <v>767</v>
      </c>
      <c r="H751">
        <v>595017</v>
      </c>
      <c r="I751" t="s">
        <v>1497</v>
      </c>
      <c r="J751">
        <v>95050418</v>
      </c>
      <c r="K751" t="s">
        <v>1840</v>
      </c>
      <c r="L751" t="s">
        <v>1850</v>
      </c>
      <c r="M751" s="1">
        <v>14.46</v>
      </c>
      <c r="N751" t="s">
        <v>23</v>
      </c>
      <c r="O751">
        <v>283614</v>
      </c>
      <c r="P751" s="1">
        <v>4101.0600000000004</v>
      </c>
      <c r="S751" s="6" t="str">
        <f t="shared" si="11"/>
        <v xml:space="preserve"> </v>
      </c>
      <c r="T751" s="6" t="str">
        <f>IF(IF(COUNTIF(H$2:$H751,H751)=1,1,"")=1,SUMIF($H$2:$H$7997,H751,$S$2:$S$7997),"")</f>
        <v/>
      </c>
      <c r="W751">
        <v>283614</v>
      </c>
      <c r="X751">
        <v>283614</v>
      </c>
      <c r="Y751">
        <v>0</v>
      </c>
      <c r="Z751">
        <v>0</v>
      </c>
      <c r="AA751" s="2">
        <v>1</v>
      </c>
      <c r="AB751" s="2">
        <v>0</v>
      </c>
      <c r="AC751" s="2">
        <v>0</v>
      </c>
      <c r="AD751">
        <v>0</v>
      </c>
      <c r="AE751" t="s">
        <v>1862</v>
      </c>
      <c r="AF751">
        <v>1087.5999999999999</v>
      </c>
      <c r="AG751">
        <v>3787802</v>
      </c>
      <c r="AH751">
        <v>54771.62</v>
      </c>
      <c r="AI751" s="1" t="s">
        <v>412</v>
      </c>
      <c r="AJ751">
        <v>95050415</v>
      </c>
      <c r="AK751" s="1" t="s">
        <v>1867</v>
      </c>
      <c r="AL751" t="s">
        <v>2020</v>
      </c>
      <c r="AN751" t="s">
        <v>2065</v>
      </c>
      <c r="AO751" t="s">
        <v>2067</v>
      </c>
      <c r="AP751" t="s">
        <v>2083</v>
      </c>
      <c r="AQ751">
        <v>133623</v>
      </c>
      <c r="AR751" s="3">
        <v>46203</v>
      </c>
      <c r="AS751" s="3">
        <v>46202</v>
      </c>
      <c r="AT751" s="3">
        <v>46278</v>
      </c>
      <c r="AU751" t="s">
        <v>2123</v>
      </c>
      <c r="AW751" s="3">
        <v>46208.53701449134</v>
      </c>
    </row>
    <row r="752" spans="1:49" ht="16" hidden="1" x14ac:dyDescent="0.2">
      <c r="A752" t="s">
        <v>76</v>
      </c>
      <c r="B752">
        <v>11565</v>
      </c>
      <c r="C752">
        <v>6503</v>
      </c>
      <c r="D752" t="s">
        <v>215</v>
      </c>
      <c r="E752" t="s">
        <v>410</v>
      </c>
      <c r="F752">
        <v>272063</v>
      </c>
      <c r="G752" t="s">
        <v>764</v>
      </c>
      <c r="H752">
        <v>595806</v>
      </c>
      <c r="I752" t="s">
        <v>1494</v>
      </c>
      <c r="J752">
        <v>95042792</v>
      </c>
      <c r="K752" t="s">
        <v>1839</v>
      </c>
      <c r="L752" t="s">
        <v>1850</v>
      </c>
      <c r="M752" s="1">
        <v>14.46</v>
      </c>
      <c r="N752" t="s">
        <v>23</v>
      </c>
      <c r="O752">
        <v>306510</v>
      </c>
      <c r="P752" s="1">
        <v>4432.13</v>
      </c>
      <c r="S752" s="6" t="str">
        <f t="shared" si="11"/>
        <v xml:space="preserve"> </v>
      </c>
      <c r="T752" s="6">
        <f>IF(IF(COUNTIF(H$2:$H752,H752)=1,1,"")=1,SUMIF($H$2:$H$7997,H752,$S$2:$S$7997),"")</f>
        <v>0</v>
      </c>
      <c r="W752">
        <v>306510</v>
      </c>
      <c r="X752">
        <v>306510</v>
      </c>
      <c r="Y752">
        <v>0</v>
      </c>
      <c r="Z752">
        <v>0</v>
      </c>
      <c r="AA752" s="2">
        <v>1</v>
      </c>
      <c r="AB752" s="2">
        <v>0</v>
      </c>
      <c r="AC752" s="2">
        <v>0</v>
      </c>
      <c r="AD752">
        <v>0</v>
      </c>
      <c r="AE752" t="s">
        <v>1862</v>
      </c>
      <c r="AF752">
        <v>1110.99</v>
      </c>
      <c r="AG752">
        <v>2266054</v>
      </c>
      <c r="AH752">
        <v>32767.14</v>
      </c>
      <c r="AI752" s="1" t="s">
        <v>410</v>
      </c>
      <c r="AJ752">
        <v>95042775</v>
      </c>
      <c r="AK752" s="1" t="s">
        <v>1867</v>
      </c>
      <c r="AL752" t="s">
        <v>2018</v>
      </c>
      <c r="AN752" t="s">
        <v>2065</v>
      </c>
      <c r="AO752" t="s">
        <v>2067</v>
      </c>
      <c r="AP752" t="s">
        <v>2093</v>
      </c>
      <c r="AQ752">
        <v>133499</v>
      </c>
      <c r="AR752" s="3">
        <v>46203</v>
      </c>
      <c r="AS752" s="3">
        <v>46202</v>
      </c>
      <c r="AT752" s="3">
        <v>46229</v>
      </c>
      <c r="AU752" t="s">
        <v>2124</v>
      </c>
      <c r="AW752" s="3">
        <v>46208.53701449134</v>
      </c>
    </row>
    <row r="753" spans="1:49" ht="16" hidden="1" x14ac:dyDescent="0.2">
      <c r="A753" t="s">
        <v>76</v>
      </c>
      <c r="B753">
        <v>11565</v>
      </c>
      <c r="C753">
        <v>6503</v>
      </c>
      <c r="D753" t="s">
        <v>215</v>
      </c>
      <c r="E753" t="s">
        <v>410</v>
      </c>
      <c r="F753">
        <v>272063</v>
      </c>
      <c r="G753" t="s">
        <v>764</v>
      </c>
      <c r="H753">
        <v>595806</v>
      </c>
      <c r="I753" t="s">
        <v>1493</v>
      </c>
      <c r="J753">
        <v>95042778</v>
      </c>
      <c r="K753" t="s">
        <v>1840</v>
      </c>
      <c r="L753" t="s">
        <v>1850</v>
      </c>
      <c r="M753" s="1">
        <v>14.46</v>
      </c>
      <c r="N753" t="s">
        <v>23</v>
      </c>
      <c r="O753">
        <v>445813</v>
      </c>
      <c r="P753" s="1">
        <v>6446.46</v>
      </c>
      <c r="S753" s="6" t="str">
        <f t="shared" si="11"/>
        <v xml:space="preserve"> </v>
      </c>
      <c r="T753" s="6" t="str">
        <f>IF(IF(COUNTIF(H$2:$H753,H753)=1,1,"")=1,SUMIF($H$2:$H$7997,H753,$S$2:$S$7997),"")</f>
        <v/>
      </c>
      <c r="W753">
        <v>445813</v>
      </c>
      <c r="X753">
        <v>445813</v>
      </c>
      <c r="Y753">
        <v>0</v>
      </c>
      <c r="Z753">
        <v>0</v>
      </c>
      <c r="AA753" s="2">
        <v>1</v>
      </c>
      <c r="AB753" s="2">
        <v>0</v>
      </c>
      <c r="AC753" s="2">
        <v>0</v>
      </c>
      <c r="AD753">
        <v>0</v>
      </c>
      <c r="AE753" t="s">
        <v>1862</v>
      </c>
      <c r="AF753">
        <v>1666.49</v>
      </c>
      <c r="AG753">
        <v>3399082</v>
      </c>
      <c r="AH753">
        <v>49150.73</v>
      </c>
      <c r="AI753" s="1" t="s">
        <v>410</v>
      </c>
      <c r="AJ753">
        <v>95042775</v>
      </c>
      <c r="AK753" s="1" t="s">
        <v>1867</v>
      </c>
      <c r="AL753" t="s">
        <v>2018</v>
      </c>
      <c r="AN753" t="s">
        <v>2065</v>
      </c>
      <c r="AO753" t="s">
        <v>2067</v>
      </c>
      <c r="AP753" t="s">
        <v>2083</v>
      </c>
      <c r="AQ753">
        <v>133499</v>
      </c>
      <c r="AR753" s="3">
        <v>46203</v>
      </c>
      <c r="AS753" s="3">
        <v>46202</v>
      </c>
      <c r="AT753" s="3">
        <v>46229</v>
      </c>
      <c r="AU753" t="s">
        <v>2123</v>
      </c>
      <c r="AW753" s="3">
        <v>46208.53701449134</v>
      </c>
    </row>
    <row r="754" spans="1:49" ht="16" hidden="1" x14ac:dyDescent="0.2">
      <c r="A754" t="s">
        <v>76</v>
      </c>
      <c r="B754">
        <v>11565</v>
      </c>
      <c r="C754">
        <v>5665</v>
      </c>
      <c r="D754" t="s">
        <v>153</v>
      </c>
      <c r="E754" t="s">
        <v>305</v>
      </c>
      <c r="F754">
        <v>267432</v>
      </c>
      <c r="G754" t="s">
        <v>558</v>
      </c>
      <c r="H754">
        <v>586040</v>
      </c>
      <c r="I754" t="s">
        <v>1098</v>
      </c>
      <c r="J754">
        <v>93944616</v>
      </c>
      <c r="K754" t="s">
        <v>1839</v>
      </c>
      <c r="L754" t="s">
        <v>1850</v>
      </c>
      <c r="M754" s="1">
        <v>20</v>
      </c>
      <c r="N754" t="s">
        <v>1855</v>
      </c>
      <c r="O754">
        <v>1991582</v>
      </c>
      <c r="P754" s="1">
        <v>39831.64</v>
      </c>
      <c r="S754" s="6" t="str">
        <f t="shared" si="11"/>
        <v xml:space="preserve"> </v>
      </c>
      <c r="T754" s="6">
        <f>IF(IF(COUNTIF(H$2:$H754,H754)=1,1,"")=1,SUMIF($H$2:$H$7997,H754,$S$2:$S$7997),"")</f>
        <v>0</v>
      </c>
      <c r="W754">
        <v>2477106</v>
      </c>
      <c r="X754">
        <v>1991582</v>
      </c>
      <c r="Y754">
        <v>0</v>
      </c>
      <c r="Z754">
        <v>0</v>
      </c>
      <c r="AA754" s="2">
        <v>1</v>
      </c>
      <c r="AB754" s="2">
        <v>0</v>
      </c>
      <c r="AC754" s="2">
        <v>0</v>
      </c>
      <c r="AD754">
        <v>0</v>
      </c>
      <c r="AE754" t="s">
        <v>1862</v>
      </c>
      <c r="AF754">
        <v>23663.29</v>
      </c>
      <c r="AG754">
        <v>4500000</v>
      </c>
      <c r="AH754">
        <v>90000</v>
      </c>
      <c r="AI754" s="1" t="s">
        <v>305</v>
      </c>
      <c r="AJ754">
        <v>93944613</v>
      </c>
      <c r="AK754" s="1" t="s">
        <v>1868</v>
      </c>
      <c r="AL754" t="s">
        <v>1938</v>
      </c>
      <c r="AN754" t="s">
        <v>2039</v>
      </c>
      <c r="AO754" t="s">
        <v>2067</v>
      </c>
      <c r="AP754" t="s">
        <v>2093</v>
      </c>
      <c r="AQ754">
        <v>128142</v>
      </c>
      <c r="AR754" s="3">
        <v>46203</v>
      </c>
      <c r="AS754" s="3">
        <v>46168</v>
      </c>
      <c r="AT754" s="3">
        <v>46183</v>
      </c>
      <c r="AU754" t="s">
        <v>2124</v>
      </c>
      <c r="AW754" s="3">
        <v>46208.53701449134</v>
      </c>
    </row>
    <row r="755" spans="1:49" ht="16" hidden="1" x14ac:dyDescent="0.2">
      <c r="A755" t="s">
        <v>76</v>
      </c>
      <c r="B755">
        <v>11565</v>
      </c>
      <c r="C755">
        <v>5665</v>
      </c>
      <c r="D755" t="s">
        <v>153</v>
      </c>
      <c r="E755" t="s">
        <v>305</v>
      </c>
      <c r="F755">
        <v>267432</v>
      </c>
      <c r="G755" t="s">
        <v>558</v>
      </c>
      <c r="H755">
        <v>586040</v>
      </c>
      <c r="I755" t="s">
        <v>1099</v>
      </c>
      <c r="J755">
        <v>93944619</v>
      </c>
      <c r="K755" t="s">
        <v>1840</v>
      </c>
      <c r="L755" t="s">
        <v>1850</v>
      </c>
      <c r="M755" s="1">
        <v>20</v>
      </c>
      <c r="N755" t="s">
        <v>1855</v>
      </c>
      <c r="O755">
        <v>1310498</v>
      </c>
      <c r="P755" s="1">
        <v>26209.96</v>
      </c>
      <c r="S755" s="6" t="str">
        <f t="shared" si="11"/>
        <v xml:space="preserve"> </v>
      </c>
      <c r="T755" s="6" t="str">
        <f>IF(IF(COUNTIF(H$2:$H755,H755)=1,1,"")=1,SUMIF($H$2:$H$7997,H755,$S$2:$S$7997),"")</f>
        <v/>
      </c>
      <c r="W755">
        <v>1617326</v>
      </c>
      <c r="X755">
        <v>1310498</v>
      </c>
      <c r="Y755">
        <v>0</v>
      </c>
      <c r="Z755">
        <v>0</v>
      </c>
      <c r="AA755" s="2">
        <v>1</v>
      </c>
      <c r="AB755" s="2">
        <v>0</v>
      </c>
      <c r="AC755" s="2">
        <v>0</v>
      </c>
      <c r="AD755">
        <v>0</v>
      </c>
      <c r="AE755" t="s">
        <v>1862</v>
      </c>
      <c r="AF755">
        <v>15775.53</v>
      </c>
      <c r="AG755">
        <v>3000000</v>
      </c>
      <c r="AH755">
        <v>60000</v>
      </c>
      <c r="AI755" s="1" t="s">
        <v>305</v>
      </c>
      <c r="AJ755">
        <v>93944613</v>
      </c>
      <c r="AK755" s="1" t="s">
        <v>1868</v>
      </c>
      <c r="AL755" t="s">
        <v>1938</v>
      </c>
      <c r="AN755" t="s">
        <v>2039</v>
      </c>
      <c r="AO755" t="s">
        <v>2067</v>
      </c>
      <c r="AP755" t="s">
        <v>2083</v>
      </c>
      <c r="AQ755">
        <v>128142</v>
      </c>
      <c r="AR755" s="3">
        <v>46203</v>
      </c>
      <c r="AS755" s="3">
        <v>46168</v>
      </c>
      <c r="AT755" s="3">
        <v>46183</v>
      </c>
      <c r="AU755" t="s">
        <v>2123</v>
      </c>
      <c r="AW755" s="3">
        <v>46208.53701449134</v>
      </c>
    </row>
    <row r="756" spans="1:49" ht="16" hidden="1" x14ac:dyDescent="0.2">
      <c r="A756" t="s">
        <v>76</v>
      </c>
      <c r="B756">
        <v>11565</v>
      </c>
      <c r="C756">
        <v>5665</v>
      </c>
      <c r="D756" t="s">
        <v>153</v>
      </c>
      <c r="E756" t="s">
        <v>305</v>
      </c>
      <c r="F756">
        <v>267432</v>
      </c>
      <c r="G756" t="s">
        <v>900</v>
      </c>
      <c r="H756">
        <v>586087</v>
      </c>
      <c r="I756" t="s">
        <v>1762</v>
      </c>
      <c r="J756">
        <v>586091</v>
      </c>
      <c r="K756" t="s">
        <v>1844</v>
      </c>
      <c r="L756" t="s">
        <v>1851</v>
      </c>
      <c r="M756" s="1">
        <v>50000</v>
      </c>
      <c r="N756" t="s">
        <v>1858</v>
      </c>
      <c r="O756">
        <v>0</v>
      </c>
      <c r="P756" s="1">
        <v>12500</v>
      </c>
      <c r="S756" s="6" t="str">
        <f t="shared" si="11"/>
        <v xml:space="preserve"> </v>
      </c>
      <c r="T756" s="6">
        <f>IF(IF(COUNTIF(H$2:$H756,H756)=1,1,"")=1,SUMIF($H$2:$H$7997,H756,$S$2:$S$7997),"")</f>
        <v>0</v>
      </c>
      <c r="W756">
        <v>0</v>
      </c>
      <c r="X756">
        <v>0</v>
      </c>
      <c r="Y756">
        <v>0</v>
      </c>
      <c r="Z756">
        <v>0</v>
      </c>
      <c r="AA756" s="2">
        <v>1</v>
      </c>
      <c r="AB756" s="2">
        <v>0</v>
      </c>
      <c r="AC756" s="2">
        <v>0</v>
      </c>
      <c r="AD756">
        <v>0</v>
      </c>
      <c r="AE756" t="s">
        <v>1863</v>
      </c>
      <c r="AF756">
        <v>12500</v>
      </c>
      <c r="AG756">
        <v>1</v>
      </c>
      <c r="AH756">
        <v>50000</v>
      </c>
      <c r="AI756" s="1" t="s">
        <v>305</v>
      </c>
      <c r="AJ756">
        <v>267432</v>
      </c>
      <c r="AK756" s="1" t="s">
        <v>1867</v>
      </c>
      <c r="AL756" t="s">
        <v>1938</v>
      </c>
      <c r="AN756" t="s">
        <v>2039</v>
      </c>
      <c r="AO756" t="s">
        <v>2067</v>
      </c>
      <c r="AP756" t="s">
        <v>2107</v>
      </c>
      <c r="AQ756">
        <v>128142</v>
      </c>
      <c r="AR756" s="3">
        <v>46203</v>
      </c>
      <c r="AS756" s="3">
        <v>46168</v>
      </c>
      <c r="AT756" s="3">
        <v>46183</v>
      </c>
      <c r="AU756" t="s">
        <v>2127</v>
      </c>
      <c r="AW756" s="3">
        <v>46208.53701449134</v>
      </c>
    </row>
    <row r="757" spans="1:49" ht="16" hidden="1" x14ac:dyDescent="0.2">
      <c r="A757" t="s">
        <v>76</v>
      </c>
      <c r="B757">
        <v>11565</v>
      </c>
      <c r="C757">
        <v>5665</v>
      </c>
      <c r="D757" t="s">
        <v>153</v>
      </c>
      <c r="E757" t="s">
        <v>305</v>
      </c>
      <c r="F757">
        <v>267432</v>
      </c>
      <c r="G757" t="s">
        <v>900</v>
      </c>
      <c r="H757">
        <v>586087</v>
      </c>
      <c r="I757" t="s">
        <v>1802</v>
      </c>
      <c r="J757">
        <v>586088</v>
      </c>
      <c r="K757" t="s">
        <v>1846</v>
      </c>
      <c r="L757" t="s">
        <v>1851</v>
      </c>
      <c r="M757" s="1">
        <v>50000</v>
      </c>
      <c r="N757" t="s">
        <v>1858</v>
      </c>
      <c r="O757">
        <v>0</v>
      </c>
      <c r="P757" s="1">
        <v>12500</v>
      </c>
      <c r="S757" s="6" t="str">
        <f t="shared" si="11"/>
        <v xml:space="preserve"> </v>
      </c>
      <c r="T757" s="6" t="str">
        <f>IF(IF(COUNTIF(H$2:$H757,H757)=1,1,"")=1,SUMIF($H$2:$H$7997,H757,$S$2:$S$7997),"")</f>
        <v/>
      </c>
      <c r="W757">
        <v>0</v>
      </c>
      <c r="X757">
        <v>0</v>
      </c>
      <c r="Y757">
        <v>0</v>
      </c>
      <c r="Z757">
        <v>0</v>
      </c>
      <c r="AA757" s="2">
        <v>1</v>
      </c>
      <c r="AB757" s="2">
        <v>0</v>
      </c>
      <c r="AC757" s="2">
        <v>0</v>
      </c>
      <c r="AD757">
        <v>0</v>
      </c>
      <c r="AE757" t="s">
        <v>1863</v>
      </c>
      <c r="AF757">
        <v>12500</v>
      </c>
      <c r="AG757">
        <v>1</v>
      </c>
      <c r="AH757">
        <v>50000</v>
      </c>
      <c r="AI757" s="1" t="s">
        <v>305</v>
      </c>
      <c r="AJ757">
        <v>267432</v>
      </c>
      <c r="AK757" s="1" t="s">
        <v>1867</v>
      </c>
      <c r="AL757" t="s">
        <v>1938</v>
      </c>
      <c r="AN757" t="s">
        <v>2039</v>
      </c>
      <c r="AO757" t="s">
        <v>2067</v>
      </c>
      <c r="AP757" t="s">
        <v>2110</v>
      </c>
      <c r="AQ757">
        <v>128142</v>
      </c>
      <c r="AR757" s="3">
        <v>46203</v>
      </c>
      <c r="AS757" s="3">
        <v>46168</v>
      </c>
      <c r="AT757" s="3">
        <v>46183</v>
      </c>
      <c r="AU757" t="s">
        <v>2128</v>
      </c>
      <c r="AW757" s="3">
        <v>46208.53701449134</v>
      </c>
    </row>
    <row r="758" spans="1:49" ht="16" hidden="1" x14ac:dyDescent="0.2">
      <c r="A758" t="s">
        <v>76</v>
      </c>
      <c r="B758">
        <v>11565</v>
      </c>
      <c r="C758">
        <v>5665</v>
      </c>
      <c r="D758" t="s">
        <v>153</v>
      </c>
      <c r="E758" t="s">
        <v>305</v>
      </c>
      <c r="F758">
        <v>267432</v>
      </c>
      <c r="G758" t="s">
        <v>900</v>
      </c>
      <c r="H758">
        <v>586087</v>
      </c>
      <c r="I758" t="s">
        <v>1744</v>
      </c>
      <c r="J758">
        <v>586090</v>
      </c>
      <c r="K758" t="s">
        <v>1835</v>
      </c>
      <c r="L758" t="s">
        <v>1851</v>
      </c>
      <c r="M758" s="1">
        <v>50000</v>
      </c>
      <c r="N758" t="s">
        <v>1858</v>
      </c>
      <c r="O758">
        <v>0</v>
      </c>
      <c r="P758" s="1">
        <v>12500</v>
      </c>
      <c r="S758" s="6" t="str">
        <f t="shared" si="11"/>
        <v xml:space="preserve"> </v>
      </c>
      <c r="T758" s="6" t="str">
        <f>IF(IF(COUNTIF(H$2:$H758,H758)=1,1,"")=1,SUMIF($H$2:$H$7997,H758,$S$2:$S$7997),"")</f>
        <v/>
      </c>
      <c r="W758">
        <v>0</v>
      </c>
      <c r="X758">
        <v>0</v>
      </c>
      <c r="Y758">
        <v>0</v>
      </c>
      <c r="Z758">
        <v>0</v>
      </c>
      <c r="AA758" s="2">
        <v>1</v>
      </c>
      <c r="AB758" s="2">
        <v>0</v>
      </c>
      <c r="AC758" s="2">
        <v>0</v>
      </c>
      <c r="AD758">
        <v>0</v>
      </c>
      <c r="AE758" t="s">
        <v>1863</v>
      </c>
      <c r="AF758">
        <v>12500</v>
      </c>
      <c r="AG758">
        <v>1</v>
      </c>
      <c r="AH758">
        <v>50000</v>
      </c>
      <c r="AI758" s="1" t="s">
        <v>305</v>
      </c>
      <c r="AJ758">
        <v>267432</v>
      </c>
      <c r="AK758" s="1" t="s">
        <v>1867</v>
      </c>
      <c r="AL758" t="s">
        <v>1938</v>
      </c>
      <c r="AN758" t="s">
        <v>2039</v>
      </c>
      <c r="AO758" t="s">
        <v>2067</v>
      </c>
      <c r="AP758" t="s">
        <v>2109</v>
      </c>
      <c r="AQ758">
        <v>128142</v>
      </c>
      <c r="AR758" s="3">
        <v>46203</v>
      </c>
      <c r="AS758" s="3">
        <v>46168</v>
      </c>
      <c r="AT758" s="3">
        <v>46183</v>
      </c>
      <c r="AU758" t="s">
        <v>2129</v>
      </c>
      <c r="AW758" s="3">
        <v>46208.53701449134</v>
      </c>
    </row>
    <row r="759" spans="1:49" ht="16" hidden="1" x14ac:dyDescent="0.2">
      <c r="A759" t="s">
        <v>76</v>
      </c>
      <c r="B759">
        <v>11565</v>
      </c>
      <c r="C759">
        <v>5665</v>
      </c>
      <c r="D759" t="s">
        <v>153</v>
      </c>
      <c r="E759" t="s">
        <v>290</v>
      </c>
      <c r="F759">
        <v>267395</v>
      </c>
      <c r="G759" t="s">
        <v>531</v>
      </c>
      <c r="H759">
        <v>583466</v>
      </c>
      <c r="I759" t="s">
        <v>1048</v>
      </c>
      <c r="J759">
        <v>93774992</v>
      </c>
      <c r="K759" t="s">
        <v>1839</v>
      </c>
      <c r="L759" t="s">
        <v>1850</v>
      </c>
      <c r="M759" s="1">
        <v>40</v>
      </c>
      <c r="N759" t="s">
        <v>23</v>
      </c>
      <c r="O759">
        <v>11533766</v>
      </c>
      <c r="P759" s="1">
        <v>461350.64</v>
      </c>
      <c r="S759" s="6" t="str">
        <f t="shared" si="11"/>
        <v xml:space="preserve"> </v>
      </c>
      <c r="T759" s="6">
        <f>IF(IF(COUNTIF(H$2:$H759,H759)=1,1,"")=1,SUMIF($H$2:$H$7997,H759,$S$2:$S$7997),"")</f>
        <v>0</v>
      </c>
      <c r="W759">
        <v>11533766</v>
      </c>
      <c r="X759">
        <v>11533766</v>
      </c>
      <c r="Y759">
        <v>0</v>
      </c>
      <c r="Z759">
        <v>0</v>
      </c>
      <c r="AA759" s="2">
        <v>1</v>
      </c>
      <c r="AB759" s="2">
        <v>0</v>
      </c>
      <c r="AC759" s="2">
        <v>0</v>
      </c>
      <c r="AD759">
        <v>0</v>
      </c>
      <c r="AE759" t="s">
        <v>1862</v>
      </c>
      <c r="AF759">
        <v>231766.33</v>
      </c>
      <c r="AG759">
        <v>17500000</v>
      </c>
      <c r="AH759">
        <v>700000</v>
      </c>
      <c r="AI759" s="1" t="s">
        <v>290</v>
      </c>
      <c r="AJ759">
        <v>93774986</v>
      </c>
      <c r="AK759" s="1" t="s">
        <v>1867</v>
      </c>
      <c r="AL759" t="s">
        <v>1924</v>
      </c>
      <c r="AN759" t="s">
        <v>2039</v>
      </c>
      <c r="AO759" t="s">
        <v>2067</v>
      </c>
      <c r="AP759" t="s">
        <v>2094</v>
      </c>
      <c r="AQ759">
        <v>127415</v>
      </c>
      <c r="AR759" s="3">
        <v>46203</v>
      </c>
      <c r="AS759" s="3">
        <v>46174</v>
      </c>
      <c r="AT759" s="3">
        <v>46222</v>
      </c>
      <c r="AU759" t="s">
        <v>2124</v>
      </c>
      <c r="AW759" s="3">
        <v>46208.53701449134</v>
      </c>
    </row>
    <row r="760" spans="1:49" ht="16" hidden="1" x14ac:dyDescent="0.2">
      <c r="A760" t="s">
        <v>76</v>
      </c>
      <c r="B760">
        <v>11565</v>
      </c>
      <c r="C760">
        <v>5665</v>
      </c>
      <c r="D760" t="s">
        <v>153</v>
      </c>
      <c r="E760" t="s">
        <v>290</v>
      </c>
      <c r="F760">
        <v>267395</v>
      </c>
      <c r="G760" t="s">
        <v>531</v>
      </c>
      <c r="H760">
        <v>583466</v>
      </c>
      <c r="I760" t="s">
        <v>1047</v>
      </c>
      <c r="J760">
        <v>93774989</v>
      </c>
      <c r="K760" t="s">
        <v>1835</v>
      </c>
      <c r="L760" t="s">
        <v>1850</v>
      </c>
      <c r="M760" s="1">
        <v>40</v>
      </c>
      <c r="N760" t="s">
        <v>23</v>
      </c>
      <c r="O760">
        <v>5048042</v>
      </c>
      <c r="P760" s="1">
        <v>201921.68</v>
      </c>
      <c r="S760" s="6" t="str">
        <f t="shared" si="11"/>
        <v xml:space="preserve"> </v>
      </c>
      <c r="T760" s="6" t="str">
        <f>IF(IF(COUNTIF(H$2:$H760,H760)=1,1,"")=1,SUMIF($H$2:$H$7997,H760,$S$2:$S$7997),"")</f>
        <v/>
      </c>
      <c r="W760">
        <v>5048042</v>
      </c>
      <c r="X760">
        <v>5048042</v>
      </c>
      <c r="Y760">
        <v>0</v>
      </c>
      <c r="Z760">
        <v>0</v>
      </c>
      <c r="AA760" s="2">
        <v>1</v>
      </c>
      <c r="AB760" s="2">
        <v>0</v>
      </c>
      <c r="AC760" s="2">
        <v>0</v>
      </c>
      <c r="AD760">
        <v>0</v>
      </c>
      <c r="AE760" t="s">
        <v>1862</v>
      </c>
      <c r="AF760">
        <v>99328.43</v>
      </c>
      <c r="AG760">
        <v>7500000</v>
      </c>
      <c r="AH760">
        <v>300000</v>
      </c>
      <c r="AI760" s="1" t="s">
        <v>290</v>
      </c>
      <c r="AJ760">
        <v>93774986</v>
      </c>
      <c r="AK760" s="1" t="s">
        <v>1867</v>
      </c>
      <c r="AL760" t="s">
        <v>1924</v>
      </c>
      <c r="AN760" t="s">
        <v>2039</v>
      </c>
      <c r="AO760" t="s">
        <v>2067</v>
      </c>
      <c r="AP760" t="s">
        <v>2092</v>
      </c>
      <c r="AQ760">
        <v>127415</v>
      </c>
      <c r="AR760" s="3">
        <v>46203</v>
      </c>
      <c r="AS760" s="3">
        <v>46174</v>
      </c>
      <c r="AT760" s="3">
        <v>46222</v>
      </c>
      <c r="AU760" t="s">
        <v>2123</v>
      </c>
      <c r="AW760" s="3">
        <v>46208.53701449134</v>
      </c>
    </row>
    <row r="761" spans="1:49" ht="16" hidden="1" x14ac:dyDescent="0.2">
      <c r="A761" t="s">
        <v>76</v>
      </c>
      <c r="B761">
        <v>11565</v>
      </c>
      <c r="C761">
        <v>5665</v>
      </c>
      <c r="D761" t="s">
        <v>153</v>
      </c>
      <c r="E761" t="s">
        <v>290</v>
      </c>
      <c r="F761">
        <v>267395</v>
      </c>
      <c r="G761" t="s">
        <v>748</v>
      </c>
      <c r="H761">
        <v>593778</v>
      </c>
      <c r="I761" t="s">
        <v>1453</v>
      </c>
      <c r="J761">
        <v>94805543</v>
      </c>
      <c r="K761" t="s">
        <v>1839</v>
      </c>
      <c r="L761" t="s">
        <v>1850</v>
      </c>
      <c r="M761" s="1">
        <v>40</v>
      </c>
      <c r="N761" t="s">
        <v>23</v>
      </c>
      <c r="O761">
        <v>321004</v>
      </c>
      <c r="P761" s="1">
        <v>0</v>
      </c>
      <c r="S761" s="6" t="str">
        <f t="shared" si="11"/>
        <v xml:space="preserve"> </v>
      </c>
      <c r="T761" s="6">
        <f>IF(IF(COUNTIF(H$2:$H761,H761)=1,1,"")=1,SUMIF($H$2:$H$7997,H761,$S$2:$S$7997),"")</f>
        <v>0</v>
      </c>
      <c r="W761">
        <v>321004</v>
      </c>
      <c r="X761">
        <v>321004</v>
      </c>
      <c r="Y761">
        <v>0</v>
      </c>
      <c r="Z761">
        <v>0</v>
      </c>
      <c r="AA761" s="2">
        <v>1</v>
      </c>
      <c r="AB761" s="2">
        <v>0</v>
      </c>
      <c r="AC761" s="2">
        <v>0</v>
      </c>
      <c r="AD761">
        <v>0</v>
      </c>
      <c r="AE761" t="s">
        <v>1862</v>
      </c>
      <c r="AF761">
        <v>0</v>
      </c>
      <c r="AG761">
        <v>490794</v>
      </c>
      <c r="AH761">
        <v>0</v>
      </c>
      <c r="AI761" s="1" t="s">
        <v>290</v>
      </c>
      <c r="AJ761">
        <v>93774986</v>
      </c>
      <c r="AK761" s="1" t="s">
        <v>1867</v>
      </c>
      <c r="AL761" t="s">
        <v>1924</v>
      </c>
      <c r="AN761" t="s">
        <v>2039</v>
      </c>
      <c r="AO761" t="s">
        <v>2068</v>
      </c>
      <c r="AP761" t="s">
        <v>2094</v>
      </c>
      <c r="AQ761">
        <v>127415</v>
      </c>
      <c r="AR761" s="3">
        <v>46203</v>
      </c>
      <c r="AS761" s="3">
        <v>46189</v>
      </c>
      <c r="AT761" s="3">
        <v>46234</v>
      </c>
      <c r="AU761" t="s">
        <v>2124</v>
      </c>
      <c r="AW761" s="3">
        <v>46208.53701449134</v>
      </c>
    </row>
    <row r="762" spans="1:49" ht="16" hidden="1" x14ac:dyDescent="0.2">
      <c r="A762" t="s">
        <v>76</v>
      </c>
      <c r="B762">
        <v>11565</v>
      </c>
      <c r="C762">
        <v>5665</v>
      </c>
      <c r="D762" t="s">
        <v>153</v>
      </c>
      <c r="E762" t="s">
        <v>290</v>
      </c>
      <c r="F762">
        <v>267395</v>
      </c>
      <c r="G762" t="s">
        <v>748</v>
      </c>
      <c r="H762">
        <v>593778</v>
      </c>
      <c r="I762" t="s">
        <v>1452</v>
      </c>
      <c r="J762">
        <v>94805540</v>
      </c>
      <c r="K762" t="s">
        <v>1835</v>
      </c>
      <c r="L762" t="s">
        <v>1850</v>
      </c>
      <c r="M762" s="1">
        <v>40</v>
      </c>
      <c r="N762" t="s">
        <v>23</v>
      </c>
      <c r="O762">
        <v>142264</v>
      </c>
      <c r="P762" s="1">
        <v>0</v>
      </c>
      <c r="S762" s="6" t="str">
        <f t="shared" si="11"/>
        <v xml:space="preserve"> </v>
      </c>
      <c r="T762" s="6" t="str">
        <f>IF(IF(COUNTIF(H$2:$H762,H762)=1,1,"")=1,SUMIF($H$2:$H$7997,H762,$S$2:$S$7997),"")</f>
        <v/>
      </c>
      <c r="W762">
        <v>142264</v>
      </c>
      <c r="X762">
        <v>142264</v>
      </c>
      <c r="Y762">
        <v>0</v>
      </c>
      <c r="Z762">
        <v>0</v>
      </c>
      <c r="AA762" s="2">
        <v>1</v>
      </c>
      <c r="AB762" s="2">
        <v>0</v>
      </c>
      <c r="AC762" s="2">
        <v>0</v>
      </c>
      <c r="AD762">
        <v>0</v>
      </c>
      <c r="AE762" t="s">
        <v>1862</v>
      </c>
      <c r="AF762">
        <v>0</v>
      </c>
      <c r="AG762">
        <v>210338</v>
      </c>
      <c r="AH762">
        <v>0</v>
      </c>
      <c r="AI762" s="1" t="s">
        <v>290</v>
      </c>
      <c r="AJ762">
        <v>93774986</v>
      </c>
      <c r="AK762" s="1" t="s">
        <v>1867</v>
      </c>
      <c r="AL762" t="s">
        <v>1924</v>
      </c>
      <c r="AN762" t="s">
        <v>2039</v>
      </c>
      <c r="AO762" t="s">
        <v>2068</v>
      </c>
      <c r="AP762" t="s">
        <v>2092</v>
      </c>
      <c r="AQ762">
        <v>127415</v>
      </c>
      <c r="AR762" s="3">
        <v>46203</v>
      </c>
      <c r="AS762" s="3">
        <v>46189</v>
      </c>
      <c r="AT762" s="3">
        <v>46234</v>
      </c>
      <c r="AU762" t="s">
        <v>2123</v>
      </c>
      <c r="AW762" s="3">
        <v>46208.53701449134</v>
      </c>
    </row>
    <row r="763" spans="1:49" ht="16" hidden="1" x14ac:dyDescent="0.2">
      <c r="A763" t="s">
        <v>76</v>
      </c>
      <c r="B763">
        <v>11565</v>
      </c>
      <c r="C763">
        <v>5665</v>
      </c>
      <c r="D763" t="s">
        <v>153</v>
      </c>
      <c r="E763" t="s">
        <v>423</v>
      </c>
      <c r="F763">
        <v>259155</v>
      </c>
      <c r="G763" t="s">
        <v>844</v>
      </c>
      <c r="H763">
        <v>581608</v>
      </c>
      <c r="I763" t="s">
        <v>1699</v>
      </c>
      <c r="J763">
        <v>581612</v>
      </c>
      <c r="K763" t="s">
        <v>1844</v>
      </c>
      <c r="L763" t="s">
        <v>1851</v>
      </c>
      <c r="M763" s="1">
        <v>333334</v>
      </c>
      <c r="N763" t="s">
        <v>1858</v>
      </c>
      <c r="O763">
        <v>0</v>
      </c>
      <c r="P763" s="1">
        <v>102041.02</v>
      </c>
      <c r="S763" s="6" t="str">
        <f t="shared" si="11"/>
        <v xml:space="preserve"> </v>
      </c>
      <c r="T763" s="6">
        <f>IF(IF(COUNTIF(H$2:$H763,H763)=1,1,"")=1,SUMIF($H$2:$H$7997,H763,$S$2:$S$7997),"")</f>
        <v>0</v>
      </c>
      <c r="W763">
        <v>0</v>
      </c>
      <c r="X763">
        <v>0</v>
      </c>
      <c r="Y763">
        <v>0</v>
      </c>
      <c r="Z763">
        <v>0</v>
      </c>
      <c r="AA763" s="2">
        <v>1</v>
      </c>
      <c r="AB763" s="2">
        <v>0</v>
      </c>
      <c r="AC763" s="2">
        <v>0</v>
      </c>
      <c r="AD763">
        <v>0</v>
      </c>
      <c r="AE763" t="s">
        <v>1863</v>
      </c>
      <c r="AF763">
        <v>102041.02</v>
      </c>
      <c r="AG763">
        <v>1</v>
      </c>
      <c r="AH763">
        <v>333334</v>
      </c>
      <c r="AI763" s="1" t="s">
        <v>423</v>
      </c>
      <c r="AJ763">
        <v>259155</v>
      </c>
      <c r="AK763" s="1" t="s">
        <v>1867</v>
      </c>
      <c r="AL763" t="s">
        <v>2029</v>
      </c>
      <c r="AN763" t="s">
        <v>2039</v>
      </c>
      <c r="AO763" t="s">
        <v>2067</v>
      </c>
      <c r="AP763" t="s">
        <v>2107</v>
      </c>
      <c r="AQ763">
        <v>127440</v>
      </c>
      <c r="AR763" s="3">
        <v>46203</v>
      </c>
      <c r="AS763" s="3">
        <v>46174</v>
      </c>
      <c r="AT763" s="3">
        <v>46222</v>
      </c>
      <c r="AU763" t="s">
        <v>2127</v>
      </c>
      <c r="AW763" s="3">
        <v>46208.53701449134</v>
      </c>
    </row>
    <row r="764" spans="1:49" ht="16" hidden="1" x14ac:dyDescent="0.2">
      <c r="A764" t="s">
        <v>76</v>
      </c>
      <c r="B764">
        <v>11565</v>
      </c>
      <c r="C764">
        <v>5665</v>
      </c>
      <c r="D764" t="s">
        <v>153</v>
      </c>
      <c r="E764" t="s">
        <v>423</v>
      </c>
      <c r="F764">
        <v>259155</v>
      </c>
      <c r="G764" t="s">
        <v>844</v>
      </c>
      <c r="H764">
        <v>581608</v>
      </c>
      <c r="I764" t="s">
        <v>1673</v>
      </c>
      <c r="J764">
        <v>581611</v>
      </c>
      <c r="K764" t="s">
        <v>1835</v>
      </c>
      <c r="L764" t="s">
        <v>1851</v>
      </c>
      <c r="M764" s="1">
        <v>333333</v>
      </c>
      <c r="N764" t="s">
        <v>1858</v>
      </c>
      <c r="O764">
        <v>0</v>
      </c>
      <c r="P764" s="1">
        <v>102040.71</v>
      </c>
      <c r="S764" s="6" t="str">
        <f t="shared" si="11"/>
        <v xml:space="preserve"> </v>
      </c>
      <c r="T764" s="6" t="str">
        <f>IF(IF(COUNTIF(H$2:$H764,H764)=1,1,"")=1,SUMIF($H$2:$H$7997,H764,$S$2:$S$7997),"")</f>
        <v/>
      </c>
      <c r="W764">
        <v>0</v>
      </c>
      <c r="X764">
        <v>0</v>
      </c>
      <c r="Y764">
        <v>0</v>
      </c>
      <c r="Z764">
        <v>0</v>
      </c>
      <c r="AA764" s="2">
        <v>1</v>
      </c>
      <c r="AB764" s="2">
        <v>0</v>
      </c>
      <c r="AC764" s="2">
        <v>0</v>
      </c>
      <c r="AD764">
        <v>0</v>
      </c>
      <c r="AE764" t="s">
        <v>1863</v>
      </c>
      <c r="AF764">
        <v>102040.71</v>
      </c>
      <c r="AG764">
        <v>1</v>
      </c>
      <c r="AH764">
        <v>333333</v>
      </c>
      <c r="AI764" s="1" t="s">
        <v>423</v>
      </c>
      <c r="AJ764">
        <v>259155</v>
      </c>
      <c r="AK764" s="1" t="s">
        <v>1867</v>
      </c>
      <c r="AL764" t="s">
        <v>2029</v>
      </c>
      <c r="AN764" t="s">
        <v>2039</v>
      </c>
      <c r="AO764" t="s">
        <v>2067</v>
      </c>
      <c r="AP764" t="s">
        <v>2109</v>
      </c>
      <c r="AQ764">
        <v>127440</v>
      </c>
      <c r="AR764" s="3">
        <v>46203</v>
      </c>
      <c r="AS764" s="3">
        <v>46174</v>
      </c>
      <c r="AT764" s="3">
        <v>46222</v>
      </c>
      <c r="AU764" t="s">
        <v>2129</v>
      </c>
      <c r="AW764" s="3">
        <v>46208.53701449134</v>
      </c>
    </row>
    <row r="765" spans="1:49" ht="16" hidden="1" x14ac:dyDescent="0.2">
      <c r="A765" t="s">
        <v>76</v>
      </c>
      <c r="B765">
        <v>11565</v>
      </c>
      <c r="C765">
        <v>5665</v>
      </c>
      <c r="D765" t="s">
        <v>153</v>
      </c>
      <c r="E765" t="s">
        <v>423</v>
      </c>
      <c r="F765">
        <v>259155</v>
      </c>
      <c r="G765" t="s">
        <v>844</v>
      </c>
      <c r="H765">
        <v>581608</v>
      </c>
      <c r="I765" t="s">
        <v>1640</v>
      </c>
      <c r="J765">
        <v>581609</v>
      </c>
      <c r="K765" t="s">
        <v>1846</v>
      </c>
      <c r="L765" t="s">
        <v>1851</v>
      </c>
      <c r="M765" s="1">
        <v>333333</v>
      </c>
      <c r="N765" t="s">
        <v>1858</v>
      </c>
      <c r="O765">
        <v>0</v>
      </c>
      <c r="P765" s="1">
        <v>102040.71</v>
      </c>
      <c r="S765" s="6" t="str">
        <f t="shared" si="11"/>
        <v xml:space="preserve"> </v>
      </c>
      <c r="T765" s="6" t="str">
        <f>IF(IF(COUNTIF(H$2:$H765,H765)=1,1,"")=1,SUMIF($H$2:$H$7997,H765,$S$2:$S$7997),"")</f>
        <v/>
      </c>
      <c r="W765">
        <v>0</v>
      </c>
      <c r="X765">
        <v>0</v>
      </c>
      <c r="Y765">
        <v>0</v>
      </c>
      <c r="Z765">
        <v>0</v>
      </c>
      <c r="AA765" s="2">
        <v>1</v>
      </c>
      <c r="AB765" s="2">
        <v>0</v>
      </c>
      <c r="AC765" s="2">
        <v>0</v>
      </c>
      <c r="AD765">
        <v>0</v>
      </c>
      <c r="AE765" t="s">
        <v>1863</v>
      </c>
      <c r="AF765">
        <v>102040.71</v>
      </c>
      <c r="AG765">
        <v>1</v>
      </c>
      <c r="AH765">
        <v>333333</v>
      </c>
      <c r="AI765" s="1" t="s">
        <v>423</v>
      </c>
      <c r="AJ765">
        <v>259155</v>
      </c>
      <c r="AK765" s="1" t="s">
        <v>1867</v>
      </c>
      <c r="AL765" t="s">
        <v>2029</v>
      </c>
      <c r="AN765" t="s">
        <v>2039</v>
      </c>
      <c r="AO765" t="s">
        <v>2067</v>
      </c>
      <c r="AP765" t="s">
        <v>2110</v>
      </c>
      <c r="AQ765">
        <v>127440</v>
      </c>
      <c r="AR765" s="3">
        <v>46203</v>
      </c>
      <c r="AS765" s="3">
        <v>46174</v>
      </c>
      <c r="AT765" s="3">
        <v>46222</v>
      </c>
      <c r="AU765" t="s">
        <v>2128</v>
      </c>
      <c r="AW765" s="3">
        <v>46208.53701449134</v>
      </c>
    </row>
    <row r="766" spans="1:49" ht="16" hidden="1" x14ac:dyDescent="0.2">
      <c r="A766" t="s">
        <v>75</v>
      </c>
      <c r="B766">
        <v>10773</v>
      </c>
      <c r="C766">
        <v>9189</v>
      </c>
      <c r="D766" t="s">
        <v>140</v>
      </c>
      <c r="E766" t="s">
        <v>269</v>
      </c>
      <c r="F766">
        <v>266368</v>
      </c>
      <c r="G766" t="s">
        <v>499</v>
      </c>
      <c r="H766">
        <v>578617</v>
      </c>
      <c r="I766" t="s">
        <v>1074</v>
      </c>
      <c r="J766">
        <v>93853352</v>
      </c>
      <c r="K766" t="s">
        <v>1843</v>
      </c>
      <c r="L766" t="s">
        <v>1850</v>
      </c>
      <c r="M766" s="1">
        <v>21.79</v>
      </c>
      <c r="N766" t="s">
        <v>23</v>
      </c>
      <c r="O766">
        <v>2119314</v>
      </c>
      <c r="P766" s="1">
        <v>46179.85</v>
      </c>
      <c r="S766" s="6" t="str">
        <f t="shared" si="11"/>
        <v xml:space="preserve"> </v>
      </c>
      <c r="T766" s="6">
        <f>IF(IF(COUNTIF(H$2:$H766,H766)=1,1,"")=1,SUMIF($H$2:$H$7997,H766,$S$2:$S$7997),"")</f>
        <v>0</v>
      </c>
      <c r="W766">
        <v>3461386</v>
      </c>
      <c r="X766">
        <v>2119314</v>
      </c>
      <c r="Y766">
        <v>0</v>
      </c>
      <c r="Z766">
        <v>0</v>
      </c>
      <c r="AA766" s="2">
        <v>1</v>
      </c>
      <c r="AB766" s="2">
        <v>0</v>
      </c>
      <c r="AC766" s="2">
        <v>0</v>
      </c>
      <c r="AD766">
        <v>0</v>
      </c>
      <c r="AE766" t="s">
        <v>1862</v>
      </c>
      <c r="AF766">
        <v>23854.82</v>
      </c>
      <c r="AG766">
        <v>5644791</v>
      </c>
      <c r="AH766">
        <v>123000</v>
      </c>
      <c r="AI766" s="1" t="s">
        <v>269</v>
      </c>
      <c r="AJ766">
        <v>93028885</v>
      </c>
      <c r="AK766" s="1" t="s">
        <v>1867</v>
      </c>
      <c r="AL766" t="s">
        <v>1907</v>
      </c>
      <c r="AN766" t="s">
        <v>2054</v>
      </c>
      <c r="AO766" t="s">
        <v>2067</v>
      </c>
      <c r="AP766" t="s">
        <v>2099</v>
      </c>
      <c r="AQ766">
        <v>123974</v>
      </c>
      <c r="AR766" s="3">
        <v>46203</v>
      </c>
      <c r="AS766" s="3">
        <v>46113</v>
      </c>
      <c r="AT766" s="3">
        <v>46203</v>
      </c>
      <c r="AU766" t="s">
        <v>2125</v>
      </c>
      <c r="AW766" s="3">
        <v>46208.53701449134</v>
      </c>
    </row>
    <row r="767" spans="1:49" ht="16" hidden="1" x14ac:dyDescent="0.2">
      <c r="A767" t="s">
        <v>75</v>
      </c>
      <c r="B767">
        <v>10773</v>
      </c>
      <c r="C767">
        <v>9189</v>
      </c>
      <c r="D767" t="s">
        <v>140</v>
      </c>
      <c r="E767" t="s">
        <v>269</v>
      </c>
      <c r="F767">
        <v>266368</v>
      </c>
      <c r="G767" t="s">
        <v>499</v>
      </c>
      <c r="H767">
        <v>578617</v>
      </c>
      <c r="I767" t="s">
        <v>996</v>
      </c>
      <c r="J767">
        <v>93500977</v>
      </c>
      <c r="K767" t="s">
        <v>1835</v>
      </c>
      <c r="L767" t="s">
        <v>1850</v>
      </c>
      <c r="M767" s="1">
        <v>21.79</v>
      </c>
      <c r="N767" t="s">
        <v>1853</v>
      </c>
      <c r="O767">
        <v>188328</v>
      </c>
      <c r="P767" s="1">
        <v>4103.67</v>
      </c>
      <c r="S767" s="6" t="str">
        <f t="shared" si="11"/>
        <v xml:space="preserve"> </v>
      </c>
      <c r="T767" s="6" t="str">
        <f>IF(IF(COUNTIF(H$2:$H767,H767)=1,1,"")=1,SUMIF($H$2:$H$7997,H767,$S$2:$S$7997),"")</f>
        <v/>
      </c>
      <c r="W767">
        <v>149089</v>
      </c>
      <c r="X767">
        <v>149089</v>
      </c>
      <c r="Y767">
        <v>188328</v>
      </c>
      <c r="Z767">
        <v>188328</v>
      </c>
      <c r="AA767" s="2">
        <v>1</v>
      </c>
      <c r="AB767" s="2">
        <v>1.26319529165717</v>
      </c>
      <c r="AC767" s="2">
        <v>0</v>
      </c>
      <c r="AD767">
        <v>0</v>
      </c>
      <c r="AE767" t="s">
        <v>1862</v>
      </c>
      <c r="AF767">
        <v>1974.4</v>
      </c>
      <c r="AG767">
        <v>467205</v>
      </c>
      <c r="AH767">
        <v>10180.4</v>
      </c>
      <c r="AI767" s="1" t="s">
        <v>269</v>
      </c>
      <c r="AJ767">
        <v>93028885</v>
      </c>
      <c r="AK767" s="1" t="s">
        <v>1867</v>
      </c>
      <c r="AL767" t="s">
        <v>1907</v>
      </c>
      <c r="AN767" t="s">
        <v>2054</v>
      </c>
      <c r="AO767" t="s">
        <v>2067</v>
      </c>
      <c r="AP767" t="s">
        <v>2071</v>
      </c>
      <c r="AQ767">
        <v>123974</v>
      </c>
      <c r="AR767" s="3">
        <v>46203</v>
      </c>
      <c r="AS767" s="3">
        <v>46113</v>
      </c>
      <c r="AT767" s="3">
        <v>46203</v>
      </c>
      <c r="AU767" t="s">
        <v>2123</v>
      </c>
      <c r="AW767" s="3">
        <v>46208.53701449134</v>
      </c>
    </row>
    <row r="768" spans="1:49" ht="16" hidden="1" x14ac:dyDescent="0.2">
      <c r="A768" t="s">
        <v>59</v>
      </c>
      <c r="B768">
        <v>10417</v>
      </c>
      <c r="C768">
        <v>19472</v>
      </c>
      <c r="D768" t="s">
        <v>202</v>
      </c>
      <c r="E768" t="s">
        <v>383</v>
      </c>
      <c r="F768">
        <v>268274</v>
      </c>
      <c r="G768" t="s">
        <v>708</v>
      </c>
      <c r="H768">
        <v>586943</v>
      </c>
      <c r="I768" t="s">
        <v>1461</v>
      </c>
      <c r="J768">
        <v>94899328</v>
      </c>
      <c r="K768" t="s">
        <v>1837</v>
      </c>
      <c r="L768" t="s">
        <v>1850</v>
      </c>
      <c r="M768" s="1">
        <v>15</v>
      </c>
      <c r="N768" t="s">
        <v>23</v>
      </c>
      <c r="O768">
        <v>904</v>
      </c>
      <c r="P768" s="1">
        <v>13.56</v>
      </c>
      <c r="S768" s="6" t="str">
        <f t="shared" si="11"/>
        <v xml:space="preserve"> </v>
      </c>
      <c r="T768" s="6">
        <f>IF(IF(COUNTIF(H$2:$H768,H768)=1,1,"")=1,SUMIF($H$2:$H$7997,H768,$S$2:$S$7997),"")</f>
        <v>0</v>
      </c>
      <c r="W768">
        <v>904</v>
      </c>
      <c r="X768">
        <v>904</v>
      </c>
      <c r="Y768">
        <v>0</v>
      </c>
      <c r="Z768">
        <v>0</v>
      </c>
      <c r="AA768" s="2">
        <v>1</v>
      </c>
      <c r="AB768" s="2">
        <v>0</v>
      </c>
      <c r="AC768" s="2">
        <v>0</v>
      </c>
      <c r="AD768">
        <v>0</v>
      </c>
      <c r="AE768" t="s">
        <v>1862</v>
      </c>
      <c r="AF768">
        <v>0.05</v>
      </c>
      <c r="AG768">
        <v>166667</v>
      </c>
      <c r="AH768">
        <v>2500.0100000000002</v>
      </c>
      <c r="AI768" s="1" t="s">
        <v>383</v>
      </c>
      <c r="AJ768">
        <v>93744074</v>
      </c>
      <c r="AK768" s="1" t="s">
        <v>1867</v>
      </c>
      <c r="AL768">
        <v>1661198</v>
      </c>
      <c r="AN768" t="s">
        <v>2058</v>
      </c>
      <c r="AO768" t="s">
        <v>2067</v>
      </c>
      <c r="AP768" t="s">
        <v>2100</v>
      </c>
      <c r="AQ768">
        <v>130332</v>
      </c>
      <c r="AR768" s="3">
        <v>46203</v>
      </c>
      <c r="AS768" s="3">
        <v>46143</v>
      </c>
      <c r="AT768" s="3">
        <v>46203</v>
      </c>
      <c r="AU768" t="s">
        <v>2124</v>
      </c>
      <c r="AW768" s="3">
        <v>46208.53701449134</v>
      </c>
    </row>
    <row r="769" spans="1:49" ht="16" hidden="1" x14ac:dyDescent="0.2">
      <c r="A769" t="s">
        <v>59</v>
      </c>
      <c r="B769">
        <v>10417</v>
      </c>
      <c r="C769">
        <v>19472</v>
      </c>
      <c r="D769" t="s">
        <v>202</v>
      </c>
      <c r="E769" t="s">
        <v>383</v>
      </c>
      <c r="F769">
        <v>268274</v>
      </c>
      <c r="G769" t="s">
        <v>708</v>
      </c>
      <c r="H769">
        <v>586943</v>
      </c>
      <c r="I769" t="s">
        <v>1371</v>
      </c>
      <c r="J769">
        <v>94463028</v>
      </c>
      <c r="K769" t="s">
        <v>1837</v>
      </c>
      <c r="L769" t="s">
        <v>1850</v>
      </c>
      <c r="M769" s="1">
        <v>15</v>
      </c>
      <c r="N769" t="s">
        <v>23</v>
      </c>
      <c r="O769">
        <v>91</v>
      </c>
      <c r="P769" s="1">
        <v>1.36</v>
      </c>
      <c r="S769" s="6" t="str">
        <f t="shared" si="11"/>
        <v xml:space="preserve"> </v>
      </c>
      <c r="T769" s="6" t="str">
        <f>IF(IF(COUNTIF(H$2:$H769,H769)=1,1,"")=1,SUMIF($H$2:$H$7997,H769,$S$2:$S$7997),"")</f>
        <v/>
      </c>
      <c r="W769">
        <v>91</v>
      </c>
      <c r="X769">
        <v>91</v>
      </c>
      <c r="Y769">
        <v>0</v>
      </c>
      <c r="Z769">
        <v>0</v>
      </c>
      <c r="AA769" s="2">
        <v>1</v>
      </c>
      <c r="AB769" s="2">
        <v>0</v>
      </c>
      <c r="AC769" s="2">
        <v>0</v>
      </c>
      <c r="AD769">
        <v>0</v>
      </c>
      <c r="AE769" t="s">
        <v>1862</v>
      </c>
      <c r="AF769">
        <v>0.05</v>
      </c>
      <c r="AG769">
        <v>166666</v>
      </c>
      <c r="AH769">
        <v>2499.9899999999998</v>
      </c>
      <c r="AI769" s="1" t="s">
        <v>383</v>
      </c>
      <c r="AJ769">
        <v>93744074</v>
      </c>
      <c r="AK769" s="1" t="s">
        <v>1867</v>
      </c>
      <c r="AL769">
        <v>1661198</v>
      </c>
      <c r="AN769" t="s">
        <v>2058</v>
      </c>
      <c r="AO769" t="s">
        <v>2067</v>
      </c>
      <c r="AP769" t="s">
        <v>2100</v>
      </c>
      <c r="AQ769">
        <v>130332</v>
      </c>
      <c r="AR769" s="3">
        <v>46203</v>
      </c>
      <c r="AS769" s="3">
        <v>46143</v>
      </c>
      <c r="AT769" s="3">
        <v>46203</v>
      </c>
      <c r="AU769" t="s">
        <v>2124</v>
      </c>
      <c r="AW769" s="3">
        <v>46208.53701449134</v>
      </c>
    </row>
    <row r="770" spans="1:49" ht="16" hidden="1" x14ac:dyDescent="0.2">
      <c r="A770" t="s">
        <v>59</v>
      </c>
      <c r="B770">
        <v>10417</v>
      </c>
      <c r="C770">
        <v>19472</v>
      </c>
      <c r="D770" t="s">
        <v>202</v>
      </c>
      <c r="E770" t="s">
        <v>383</v>
      </c>
      <c r="F770">
        <v>268274</v>
      </c>
      <c r="G770" t="s">
        <v>708</v>
      </c>
      <c r="H770">
        <v>586943</v>
      </c>
      <c r="I770" t="s">
        <v>1370</v>
      </c>
      <c r="J770">
        <v>94463025</v>
      </c>
      <c r="K770" t="s">
        <v>1837</v>
      </c>
      <c r="L770" t="s">
        <v>1850</v>
      </c>
      <c r="M770" s="1">
        <v>15</v>
      </c>
      <c r="N770" t="s">
        <v>23</v>
      </c>
      <c r="O770">
        <v>335</v>
      </c>
      <c r="P770" s="1">
        <v>5.03</v>
      </c>
      <c r="S770" s="6" t="str">
        <f t="shared" si="11"/>
        <v xml:space="preserve"> </v>
      </c>
      <c r="T770" s="6" t="str">
        <f>IF(IF(COUNTIF(H$2:$H770,H770)=1,1,"")=1,SUMIF($H$2:$H$7997,H770,$S$2:$S$7997),"")</f>
        <v/>
      </c>
      <c r="W770">
        <v>335</v>
      </c>
      <c r="X770">
        <v>335</v>
      </c>
      <c r="Y770">
        <v>0</v>
      </c>
      <c r="Z770">
        <v>0</v>
      </c>
      <c r="AA770" s="2">
        <v>1</v>
      </c>
      <c r="AB770" s="2">
        <v>0</v>
      </c>
      <c r="AC770" s="2">
        <v>0</v>
      </c>
      <c r="AD770">
        <v>0</v>
      </c>
      <c r="AE770" t="s">
        <v>1862</v>
      </c>
      <c r="AF770">
        <v>0.05</v>
      </c>
      <c r="AG770">
        <v>166666</v>
      </c>
      <c r="AH770">
        <v>2499.9899999999998</v>
      </c>
      <c r="AI770" s="1" t="s">
        <v>383</v>
      </c>
      <c r="AJ770">
        <v>93744074</v>
      </c>
      <c r="AK770" s="1" t="s">
        <v>1867</v>
      </c>
      <c r="AL770">
        <v>1661198</v>
      </c>
      <c r="AN770" t="s">
        <v>2058</v>
      </c>
      <c r="AO770" t="s">
        <v>2067</v>
      </c>
      <c r="AP770" t="s">
        <v>2100</v>
      </c>
      <c r="AQ770">
        <v>130332</v>
      </c>
      <c r="AR770" s="3">
        <v>46203</v>
      </c>
      <c r="AS770" s="3">
        <v>46143</v>
      </c>
      <c r="AT770" s="3">
        <v>46203</v>
      </c>
      <c r="AU770" t="s">
        <v>2124</v>
      </c>
      <c r="AW770" s="3">
        <v>46208.53701449134</v>
      </c>
    </row>
    <row r="771" spans="1:49" ht="16" hidden="1" x14ac:dyDescent="0.2">
      <c r="A771" t="s">
        <v>59</v>
      </c>
      <c r="B771">
        <v>10417</v>
      </c>
      <c r="C771">
        <v>19472</v>
      </c>
      <c r="D771" t="s">
        <v>202</v>
      </c>
      <c r="E771" t="s">
        <v>383</v>
      </c>
      <c r="F771">
        <v>268274</v>
      </c>
      <c r="G771" t="s">
        <v>708</v>
      </c>
      <c r="H771">
        <v>586943</v>
      </c>
      <c r="I771" t="s">
        <v>1440</v>
      </c>
      <c r="J771">
        <v>94744675</v>
      </c>
      <c r="K771" t="s">
        <v>1837</v>
      </c>
      <c r="L771" t="s">
        <v>1850</v>
      </c>
      <c r="M771" s="1">
        <v>15</v>
      </c>
      <c r="N771" t="s">
        <v>23</v>
      </c>
      <c r="O771">
        <v>2016</v>
      </c>
      <c r="P771" s="1">
        <v>30.24</v>
      </c>
      <c r="S771" s="6" t="str">
        <f t="shared" ref="S771:S834" si="12">IF(ISBLANK(R771)," ",ROUND(R771*(IF(ISBLANK(Q771),(M771/1000),(Q771/1000))),2))</f>
        <v xml:space="preserve"> </v>
      </c>
      <c r="T771" s="6" t="str">
        <f>IF(IF(COUNTIF(H$2:$H771,H771)=1,1,"")=1,SUMIF($H$2:$H$7997,H771,$S$2:$S$7997),"")</f>
        <v/>
      </c>
      <c r="W771">
        <v>2016</v>
      </c>
      <c r="X771">
        <v>2016</v>
      </c>
      <c r="Y771">
        <v>0</v>
      </c>
      <c r="Z771">
        <v>0</v>
      </c>
      <c r="AA771" s="2">
        <v>1</v>
      </c>
      <c r="AB771" s="2">
        <v>0</v>
      </c>
      <c r="AC771" s="2">
        <v>0</v>
      </c>
      <c r="AD771">
        <v>0</v>
      </c>
      <c r="AE771" t="s">
        <v>1862</v>
      </c>
      <c r="AF771">
        <v>0.1</v>
      </c>
      <c r="AG771">
        <v>333334</v>
      </c>
      <c r="AH771">
        <v>5000.01</v>
      </c>
      <c r="AI771" s="1" t="s">
        <v>383</v>
      </c>
      <c r="AJ771">
        <v>93744074</v>
      </c>
      <c r="AK771" s="1" t="s">
        <v>1867</v>
      </c>
      <c r="AL771">
        <v>1661198</v>
      </c>
      <c r="AN771" t="s">
        <v>2058</v>
      </c>
      <c r="AO771" t="s">
        <v>2067</v>
      </c>
      <c r="AP771" t="s">
        <v>2100</v>
      </c>
      <c r="AQ771">
        <v>130332</v>
      </c>
      <c r="AR771" s="3">
        <v>46203</v>
      </c>
      <c r="AS771" s="3">
        <v>46143</v>
      </c>
      <c r="AT771" s="3">
        <v>46203</v>
      </c>
      <c r="AU771" t="s">
        <v>2124</v>
      </c>
      <c r="AW771" s="3">
        <v>46208.53701449134</v>
      </c>
    </row>
    <row r="772" spans="1:49" ht="16" hidden="1" x14ac:dyDescent="0.2">
      <c r="A772" t="s">
        <v>59</v>
      </c>
      <c r="B772">
        <v>10417</v>
      </c>
      <c r="C772">
        <v>19472</v>
      </c>
      <c r="D772" t="s">
        <v>202</v>
      </c>
      <c r="E772" t="s">
        <v>383</v>
      </c>
      <c r="F772">
        <v>268274</v>
      </c>
      <c r="G772" t="s">
        <v>708</v>
      </c>
      <c r="H772">
        <v>586943</v>
      </c>
      <c r="I772" t="s">
        <v>1462</v>
      </c>
      <c r="J772">
        <v>94899332</v>
      </c>
      <c r="K772" t="s">
        <v>1837</v>
      </c>
      <c r="L772" t="s">
        <v>1850</v>
      </c>
      <c r="M772" s="1">
        <v>15</v>
      </c>
      <c r="N772" t="s">
        <v>23</v>
      </c>
      <c r="O772">
        <v>2419</v>
      </c>
      <c r="P772" s="1">
        <v>36.28</v>
      </c>
      <c r="S772" s="6" t="str">
        <f t="shared" si="12"/>
        <v xml:space="preserve"> </v>
      </c>
      <c r="T772" s="6" t="str">
        <f>IF(IF(COUNTIF(H$2:$H772,H772)=1,1,"")=1,SUMIF($H$2:$H$7997,H772,$S$2:$S$7997),"")</f>
        <v/>
      </c>
      <c r="W772">
        <v>2419</v>
      </c>
      <c r="X772">
        <v>2419</v>
      </c>
      <c r="Y772">
        <v>0</v>
      </c>
      <c r="Z772">
        <v>0</v>
      </c>
      <c r="AA772" s="2">
        <v>1</v>
      </c>
      <c r="AB772" s="2">
        <v>0</v>
      </c>
      <c r="AC772" s="2">
        <v>0</v>
      </c>
      <c r="AD772">
        <v>0</v>
      </c>
      <c r="AE772" t="s">
        <v>1862</v>
      </c>
      <c r="AF772">
        <v>0.05</v>
      </c>
      <c r="AG772">
        <v>166667</v>
      </c>
      <c r="AH772">
        <v>2500.0100000000002</v>
      </c>
      <c r="AI772" s="1" t="s">
        <v>383</v>
      </c>
      <c r="AJ772">
        <v>93744074</v>
      </c>
      <c r="AK772" s="1" t="s">
        <v>1867</v>
      </c>
      <c r="AL772">
        <v>1661198</v>
      </c>
      <c r="AN772" t="s">
        <v>2058</v>
      </c>
      <c r="AO772" t="s">
        <v>2067</v>
      </c>
      <c r="AP772" t="s">
        <v>2100</v>
      </c>
      <c r="AQ772">
        <v>130332</v>
      </c>
      <c r="AR772" s="3">
        <v>46203</v>
      </c>
      <c r="AS772" s="3">
        <v>46143</v>
      </c>
      <c r="AT772" s="3">
        <v>46203</v>
      </c>
      <c r="AU772" t="s">
        <v>2124</v>
      </c>
      <c r="AW772" s="3">
        <v>46208.53701449134</v>
      </c>
    </row>
    <row r="773" spans="1:49" ht="16" hidden="1" x14ac:dyDescent="0.2">
      <c r="A773" t="s">
        <v>59</v>
      </c>
      <c r="B773">
        <v>10417</v>
      </c>
      <c r="C773">
        <v>7157</v>
      </c>
      <c r="D773" t="s">
        <v>201</v>
      </c>
      <c r="E773" t="s">
        <v>381</v>
      </c>
      <c r="F773">
        <v>266929</v>
      </c>
      <c r="G773" t="s">
        <v>705</v>
      </c>
      <c r="H773">
        <v>581417</v>
      </c>
      <c r="I773" t="s">
        <v>1365</v>
      </c>
      <c r="J773">
        <v>94456010</v>
      </c>
      <c r="K773" t="s">
        <v>1836</v>
      </c>
      <c r="L773" t="s">
        <v>1851</v>
      </c>
      <c r="M773" s="1">
        <v>12.5</v>
      </c>
      <c r="N773" t="s">
        <v>1858</v>
      </c>
      <c r="O773">
        <v>138757</v>
      </c>
      <c r="P773" s="1">
        <v>1734.46</v>
      </c>
      <c r="S773" s="6" t="str">
        <f t="shared" si="12"/>
        <v xml:space="preserve"> </v>
      </c>
      <c r="T773" s="6">
        <f>IF(IF(COUNTIF(H$2:$H773,H773)=1,1,"")=1,SUMIF($H$2:$H$7997,H773,$S$2:$S$7997),"")</f>
        <v>0</v>
      </c>
      <c r="W773">
        <v>413413</v>
      </c>
      <c r="X773">
        <v>413413</v>
      </c>
      <c r="Y773">
        <v>0</v>
      </c>
      <c r="Z773">
        <v>0</v>
      </c>
      <c r="AA773" s="2">
        <v>1</v>
      </c>
      <c r="AB773" s="2">
        <v>0</v>
      </c>
      <c r="AC773" s="2">
        <v>0</v>
      </c>
      <c r="AD773">
        <v>0</v>
      </c>
      <c r="AE773" t="s">
        <v>1866</v>
      </c>
      <c r="AF773">
        <v>1734.46</v>
      </c>
      <c r="AG773">
        <v>400000</v>
      </c>
      <c r="AH773">
        <v>5000</v>
      </c>
      <c r="AI773" s="1" t="s">
        <v>381</v>
      </c>
      <c r="AJ773">
        <v>93097837</v>
      </c>
      <c r="AK773" s="1" t="s">
        <v>1867</v>
      </c>
      <c r="AL773">
        <v>1646457</v>
      </c>
      <c r="AN773" t="s">
        <v>2059</v>
      </c>
      <c r="AO773" t="s">
        <v>2067</v>
      </c>
      <c r="AP773" t="s">
        <v>2098</v>
      </c>
      <c r="AQ773">
        <v>130276</v>
      </c>
      <c r="AR773" s="3">
        <v>46203</v>
      </c>
      <c r="AS773" s="3">
        <v>46118</v>
      </c>
      <c r="AT773" s="3">
        <v>46201</v>
      </c>
      <c r="AU773" t="s">
        <v>2124</v>
      </c>
      <c r="AW773" s="3">
        <v>46208.53701449134</v>
      </c>
    </row>
    <row r="774" spans="1:49" ht="16" hidden="1" x14ac:dyDescent="0.2">
      <c r="A774" t="s">
        <v>59</v>
      </c>
      <c r="B774">
        <v>10417</v>
      </c>
      <c r="C774">
        <v>7157</v>
      </c>
      <c r="D774" t="s">
        <v>201</v>
      </c>
      <c r="E774" t="s">
        <v>381</v>
      </c>
      <c r="F774">
        <v>266929</v>
      </c>
      <c r="G774" t="s">
        <v>705</v>
      </c>
      <c r="H774">
        <v>581417</v>
      </c>
      <c r="I774" t="s">
        <v>1415</v>
      </c>
      <c r="J774">
        <v>94664351</v>
      </c>
      <c r="K774" t="s">
        <v>1836</v>
      </c>
      <c r="L774" t="s">
        <v>1851</v>
      </c>
      <c r="M774" s="1">
        <v>12.5</v>
      </c>
      <c r="N774" t="s">
        <v>1858</v>
      </c>
      <c r="O774">
        <v>138757</v>
      </c>
      <c r="P774" s="1">
        <v>1734.46</v>
      </c>
      <c r="S774" s="6" t="str">
        <f t="shared" si="12"/>
        <v xml:space="preserve"> </v>
      </c>
      <c r="T774" s="6" t="str">
        <f>IF(IF(COUNTIF(H$2:$H774,H774)=1,1,"")=1,SUMIF($H$2:$H$7997,H774,$S$2:$S$7997),"")</f>
        <v/>
      </c>
      <c r="W774">
        <v>100014</v>
      </c>
      <c r="X774">
        <v>100014</v>
      </c>
      <c r="Y774">
        <v>0</v>
      </c>
      <c r="Z774">
        <v>0</v>
      </c>
      <c r="AA774" s="2">
        <v>1</v>
      </c>
      <c r="AB774" s="2">
        <v>0</v>
      </c>
      <c r="AC774" s="2">
        <v>0</v>
      </c>
      <c r="AD774">
        <v>0</v>
      </c>
      <c r="AE774" t="s">
        <v>1866</v>
      </c>
      <c r="AF774">
        <v>1734.46</v>
      </c>
      <c r="AG774">
        <v>400000</v>
      </c>
      <c r="AH774">
        <v>5000</v>
      </c>
      <c r="AI774" s="1" t="s">
        <v>381</v>
      </c>
      <c r="AJ774">
        <v>93097837</v>
      </c>
      <c r="AK774" s="1" t="s">
        <v>1867</v>
      </c>
      <c r="AL774">
        <v>1646457</v>
      </c>
      <c r="AN774" t="s">
        <v>2059</v>
      </c>
      <c r="AO774" t="s">
        <v>2067</v>
      </c>
      <c r="AP774" t="s">
        <v>2098</v>
      </c>
      <c r="AQ774">
        <v>130276</v>
      </c>
      <c r="AR774" s="3">
        <v>46203</v>
      </c>
      <c r="AS774" s="3">
        <v>46118</v>
      </c>
      <c r="AT774" s="3">
        <v>46201</v>
      </c>
      <c r="AU774" t="s">
        <v>2124</v>
      </c>
      <c r="AW774" s="3">
        <v>46208.53701449134</v>
      </c>
    </row>
    <row r="775" spans="1:49" ht="16" hidden="1" x14ac:dyDescent="0.2">
      <c r="A775" t="s">
        <v>59</v>
      </c>
      <c r="B775">
        <v>10417</v>
      </c>
      <c r="C775">
        <v>7157</v>
      </c>
      <c r="D775" t="s">
        <v>201</v>
      </c>
      <c r="E775" t="s">
        <v>381</v>
      </c>
      <c r="F775">
        <v>266929</v>
      </c>
      <c r="G775" t="s">
        <v>705</v>
      </c>
      <c r="H775">
        <v>581417</v>
      </c>
      <c r="I775" t="s">
        <v>1455</v>
      </c>
      <c r="J775">
        <v>94824860</v>
      </c>
      <c r="K775" t="s">
        <v>1836</v>
      </c>
      <c r="L775" t="s">
        <v>1851</v>
      </c>
      <c r="M775" s="1">
        <v>12.5</v>
      </c>
      <c r="N775" t="s">
        <v>1858</v>
      </c>
      <c r="O775">
        <v>416270</v>
      </c>
      <c r="P775" s="1">
        <v>5203.38</v>
      </c>
      <c r="S775" s="6" t="str">
        <f t="shared" si="12"/>
        <v xml:space="preserve"> </v>
      </c>
      <c r="T775" s="6" t="str">
        <f>IF(IF(COUNTIF(H$2:$H775,H775)=1,1,"")=1,SUMIF($H$2:$H$7997,H775,$S$2:$S$7997),"")</f>
        <v/>
      </c>
      <c r="W775">
        <v>180656</v>
      </c>
      <c r="X775">
        <v>180656</v>
      </c>
      <c r="Y775">
        <v>0</v>
      </c>
      <c r="Z775">
        <v>0</v>
      </c>
      <c r="AA775" s="2">
        <v>1</v>
      </c>
      <c r="AB775" s="2">
        <v>0</v>
      </c>
      <c r="AC775" s="2">
        <v>0</v>
      </c>
      <c r="AD775">
        <v>0</v>
      </c>
      <c r="AE775" t="s">
        <v>1866</v>
      </c>
      <c r="AF775">
        <v>5203.38</v>
      </c>
      <c r="AG775">
        <v>1200000</v>
      </c>
      <c r="AH775">
        <v>15000</v>
      </c>
      <c r="AI775" s="1" t="s">
        <v>381</v>
      </c>
      <c r="AJ775">
        <v>93097837</v>
      </c>
      <c r="AK775" s="1" t="s">
        <v>1867</v>
      </c>
      <c r="AL775">
        <v>1646457</v>
      </c>
      <c r="AN775" t="s">
        <v>2059</v>
      </c>
      <c r="AO775" t="s">
        <v>2067</v>
      </c>
      <c r="AP775" t="s">
        <v>2098</v>
      </c>
      <c r="AQ775">
        <v>130276</v>
      </c>
      <c r="AR775" s="3">
        <v>46203</v>
      </c>
      <c r="AS775" s="3">
        <v>46118</v>
      </c>
      <c r="AT775" s="3">
        <v>46201</v>
      </c>
      <c r="AU775" t="s">
        <v>2124</v>
      </c>
      <c r="AW775" s="3">
        <v>46208.53701449134</v>
      </c>
    </row>
    <row r="776" spans="1:49" ht="16" hidden="1" x14ac:dyDescent="0.2">
      <c r="A776" t="s">
        <v>59</v>
      </c>
      <c r="B776">
        <v>10417</v>
      </c>
      <c r="C776">
        <v>21686</v>
      </c>
      <c r="D776" t="s">
        <v>172</v>
      </c>
      <c r="E776" t="s">
        <v>318</v>
      </c>
      <c r="F776">
        <v>265754</v>
      </c>
      <c r="G776" t="s">
        <v>590</v>
      </c>
      <c r="H776">
        <v>576695</v>
      </c>
      <c r="I776" t="s">
        <v>1156</v>
      </c>
      <c r="J776">
        <v>94009601</v>
      </c>
      <c r="K776" t="s">
        <v>1836</v>
      </c>
      <c r="L776" t="s">
        <v>1850</v>
      </c>
      <c r="M776" s="1">
        <v>12.5</v>
      </c>
      <c r="N776" t="s">
        <v>23</v>
      </c>
      <c r="O776">
        <v>494517</v>
      </c>
      <c r="P776" s="1">
        <v>6000</v>
      </c>
      <c r="S776" s="6" t="str">
        <f t="shared" si="12"/>
        <v xml:space="preserve"> </v>
      </c>
      <c r="T776" s="6">
        <f>IF(IF(COUNTIF(H$2:$H776,H776)=1,1,"")=1,SUMIF($H$2:$H$7997,H776,$S$2:$S$7997),"")</f>
        <v>0</v>
      </c>
      <c r="W776">
        <v>494517</v>
      </c>
      <c r="X776">
        <v>494517</v>
      </c>
      <c r="Y776">
        <v>0</v>
      </c>
      <c r="Z776">
        <v>0</v>
      </c>
      <c r="AA776" s="2">
        <v>1</v>
      </c>
      <c r="AB776" s="2">
        <v>0</v>
      </c>
      <c r="AC776" s="2">
        <v>0</v>
      </c>
      <c r="AD776">
        <v>0</v>
      </c>
      <c r="AE776" t="s">
        <v>1862</v>
      </c>
      <c r="AF776">
        <v>464.58</v>
      </c>
      <c r="AG776">
        <v>480000</v>
      </c>
      <c r="AH776">
        <v>6000</v>
      </c>
      <c r="AI776" s="1" t="s">
        <v>318</v>
      </c>
      <c r="AJ776">
        <v>92822936</v>
      </c>
      <c r="AK776" s="1" t="s">
        <v>1867</v>
      </c>
      <c r="AL776">
        <v>1640163</v>
      </c>
      <c r="AN776" t="s">
        <v>2059</v>
      </c>
      <c r="AO776" t="s">
        <v>2067</v>
      </c>
      <c r="AP776" t="s">
        <v>2098</v>
      </c>
      <c r="AQ776">
        <v>128399</v>
      </c>
      <c r="AR776" s="3">
        <v>46203</v>
      </c>
      <c r="AS776" s="3">
        <v>46113</v>
      </c>
      <c r="AT776" s="3">
        <v>46201</v>
      </c>
      <c r="AU776" t="s">
        <v>2124</v>
      </c>
      <c r="AW776" s="3">
        <v>46208.53701449134</v>
      </c>
    </row>
    <row r="777" spans="1:49" ht="16" hidden="1" x14ac:dyDescent="0.2">
      <c r="A777" t="s">
        <v>59</v>
      </c>
      <c r="B777">
        <v>10417</v>
      </c>
      <c r="C777">
        <v>21686</v>
      </c>
      <c r="D777" t="s">
        <v>172</v>
      </c>
      <c r="E777" t="s">
        <v>318</v>
      </c>
      <c r="F777">
        <v>265754</v>
      </c>
      <c r="G777" t="s">
        <v>590</v>
      </c>
      <c r="H777">
        <v>576695</v>
      </c>
      <c r="I777" t="s">
        <v>1435</v>
      </c>
      <c r="J777">
        <v>94720573</v>
      </c>
      <c r="K777" t="s">
        <v>1836</v>
      </c>
      <c r="L777" t="s">
        <v>1850</v>
      </c>
      <c r="M777" s="1">
        <v>12.5</v>
      </c>
      <c r="N777" t="s">
        <v>23</v>
      </c>
      <c r="O777">
        <v>411074</v>
      </c>
      <c r="P777" s="1">
        <v>5000</v>
      </c>
      <c r="S777" s="6" t="str">
        <f t="shared" si="12"/>
        <v xml:space="preserve"> </v>
      </c>
      <c r="T777" s="6" t="str">
        <f>IF(IF(COUNTIF(H$2:$H777,H777)=1,1,"")=1,SUMIF($H$2:$H$7997,H777,$S$2:$S$7997),"")</f>
        <v/>
      </c>
      <c r="W777">
        <v>411074</v>
      </c>
      <c r="X777">
        <v>411074</v>
      </c>
      <c r="Y777">
        <v>0</v>
      </c>
      <c r="Z777">
        <v>0</v>
      </c>
      <c r="AA777" s="2">
        <v>1</v>
      </c>
      <c r="AB777" s="2">
        <v>0</v>
      </c>
      <c r="AC777" s="2">
        <v>0</v>
      </c>
      <c r="AD777">
        <v>0</v>
      </c>
      <c r="AE777" t="s">
        <v>1862</v>
      </c>
      <c r="AF777">
        <v>387.15</v>
      </c>
      <c r="AG777">
        <v>400000</v>
      </c>
      <c r="AH777">
        <v>5000</v>
      </c>
      <c r="AI777" s="1" t="s">
        <v>318</v>
      </c>
      <c r="AJ777">
        <v>92822936</v>
      </c>
      <c r="AK777" s="1" t="s">
        <v>1867</v>
      </c>
      <c r="AL777">
        <v>1640163</v>
      </c>
      <c r="AN777" t="s">
        <v>2059</v>
      </c>
      <c r="AO777" t="s">
        <v>2067</v>
      </c>
      <c r="AP777" t="s">
        <v>2098</v>
      </c>
      <c r="AQ777">
        <v>128399</v>
      </c>
      <c r="AR777" s="3">
        <v>46203</v>
      </c>
      <c r="AS777" s="3">
        <v>46113</v>
      </c>
      <c r="AT777" s="3">
        <v>46201</v>
      </c>
      <c r="AU777" t="s">
        <v>2124</v>
      </c>
      <c r="AW777" s="3">
        <v>46208.53701449134</v>
      </c>
    </row>
    <row r="778" spans="1:49" ht="16" hidden="1" x14ac:dyDescent="0.2">
      <c r="A778" t="s">
        <v>59</v>
      </c>
      <c r="B778">
        <v>10417</v>
      </c>
      <c r="C778">
        <v>21686</v>
      </c>
      <c r="D778" t="s">
        <v>172</v>
      </c>
      <c r="E778" t="s">
        <v>318</v>
      </c>
      <c r="F778">
        <v>265754</v>
      </c>
      <c r="G778" t="s">
        <v>590</v>
      </c>
      <c r="H778">
        <v>576695</v>
      </c>
      <c r="I778" t="s">
        <v>1434</v>
      </c>
      <c r="J778">
        <v>94720570</v>
      </c>
      <c r="K778" t="s">
        <v>1836</v>
      </c>
      <c r="L778" t="s">
        <v>1850</v>
      </c>
      <c r="M778" s="1">
        <v>12.5</v>
      </c>
      <c r="N778" t="s">
        <v>23</v>
      </c>
      <c r="O778">
        <v>410782</v>
      </c>
      <c r="P778" s="1">
        <v>5000</v>
      </c>
      <c r="S778" s="6" t="str">
        <f t="shared" si="12"/>
        <v xml:space="preserve"> </v>
      </c>
      <c r="T778" s="6" t="str">
        <f>IF(IF(COUNTIF(H$2:$H778,H778)=1,1,"")=1,SUMIF($H$2:$H$7997,H778,$S$2:$S$7997),"")</f>
        <v/>
      </c>
      <c r="W778">
        <v>410782</v>
      </c>
      <c r="X778">
        <v>410782</v>
      </c>
      <c r="Y778">
        <v>0</v>
      </c>
      <c r="Z778">
        <v>0</v>
      </c>
      <c r="AA778" s="2">
        <v>1</v>
      </c>
      <c r="AB778" s="2">
        <v>0</v>
      </c>
      <c r="AC778" s="2">
        <v>0</v>
      </c>
      <c r="AD778">
        <v>0</v>
      </c>
      <c r="AE778" t="s">
        <v>1862</v>
      </c>
      <c r="AF778">
        <v>387.15</v>
      </c>
      <c r="AG778">
        <v>400000</v>
      </c>
      <c r="AH778">
        <v>5000</v>
      </c>
      <c r="AI778" s="1" t="s">
        <v>318</v>
      </c>
      <c r="AJ778">
        <v>92822936</v>
      </c>
      <c r="AK778" s="1" t="s">
        <v>1867</v>
      </c>
      <c r="AL778">
        <v>1640163</v>
      </c>
      <c r="AN778" t="s">
        <v>2059</v>
      </c>
      <c r="AO778" t="s">
        <v>2067</v>
      </c>
      <c r="AP778" t="s">
        <v>2098</v>
      </c>
      <c r="AQ778">
        <v>128399</v>
      </c>
      <c r="AR778" s="3">
        <v>46203</v>
      </c>
      <c r="AS778" s="3">
        <v>46113</v>
      </c>
      <c r="AT778" s="3">
        <v>46201</v>
      </c>
      <c r="AU778" t="s">
        <v>2124</v>
      </c>
      <c r="AW778" s="3">
        <v>46208.53701449134</v>
      </c>
    </row>
    <row r="779" spans="1:49" ht="16" hidden="1" x14ac:dyDescent="0.2">
      <c r="A779" t="s">
        <v>59</v>
      </c>
      <c r="B779">
        <v>10417</v>
      </c>
      <c r="C779">
        <v>21686</v>
      </c>
      <c r="D779" t="s">
        <v>172</v>
      </c>
      <c r="E779" t="s">
        <v>318</v>
      </c>
      <c r="F779">
        <v>265754</v>
      </c>
      <c r="G779" t="s">
        <v>590</v>
      </c>
      <c r="H779">
        <v>576695</v>
      </c>
      <c r="I779" t="s">
        <v>1242</v>
      </c>
      <c r="J779">
        <v>94257676</v>
      </c>
      <c r="K779" t="s">
        <v>1836</v>
      </c>
      <c r="L779" t="s">
        <v>1850</v>
      </c>
      <c r="M779" s="1">
        <v>12.5</v>
      </c>
      <c r="N779" t="s">
        <v>23</v>
      </c>
      <c r="O779">
        <v>494137</v>
      </c>
      <c r="P779" s="1">
        <v>6000</v>
      </c>
      <c r="S779" s="6" t="str">
        <f t="shared" si="12"/>
        <v xml:space="preserve"> </v>
      </c>
      <c r="T779" s="6" t="str">
        <f>IF(IF(COUNTIF(H$2:$H779,H779)=1,1,"")=1,SUMIF($H$2:$H$7997,H779,$S$2:$S$7997),"")</f>
        <v/>
      </c>
      <c r="W779">
        <v>494137</v>
      </c>
      <c r="X779">
        <v>494137</v>
      </c>
      <c r="Y779">
        <v>0</v>
      </c>
      <c r="Z779">
        <v>0</v>
      </c>
      <c r="AA779" s="2">
        <v>1</v>
      </c>
      <c r="AB779" s="2">
        <v>0</v>
      </c>
      <c r="AC779" s="2">
        <v>0</v>
      </c>
      <c r="AD779">
        <v>0</v>
      </c>
      <c r="AE779" t="s">
        <v>1862</v>
      </c>
      <c r="AF779">
        <v>464.58</v>
      </c>
      <c r="AG779">
        <v>480000</v>
      </c>
      <c r="AH779">
        <v>6000</v>
      </c>
      <c r="AI779" s="1" t="s">
        <v>318</v>
      </c>
      <c r="AJ779">
        <v>92822936</v>
      </c>
      <c r="AK779" s="1" t="s">
        <v>1867</v>
      </c>
      <c r="AL779">
        <v>1640163</v>
      </c>
      <c r="AN779" t="s">
        <v>2059</v>
      </c>
      <c r="AO779" t="s">
        <v>2067</v>
      </c>
      <c r="AP779" t="s">
        <v>2098</v>
      </c>
      <c r="AQ779">
        <v>128399</v>
      </c>
      <c r="AR779" s="3">
        <v>46203</v>
      </c>
      <c r="AS779" s="3">
        <v>46113</v>
      </c>
      <c r="AT779" s="3">
        <v>46201</v>
      </c>
      <c r="AU779" t="s">
        <v>2124</v>
      </c>
      <c r="AW779" s="3">
        <v>46208.53701449134</v>
      </c>
    </row>
    <row r="780" spans="1:49" ht="16" hidden="1" x14ac:dyDescent="0.2">
      <c r="A780" t="s">
        <v>59</v>
      </c>
      <c r="B780">
        <v>10417</v>
      </c>
      <c r="C780">
        <v>5480</v>
      </c>
      <c r="D780" t="s">
        <v>122</v>
      </c>
      <c r="E780" t="s">
        <v>241</v>
      </c>
      <c r="F780">
        <v>259968</v>
      </c>
      <c r="G780" t="s">
        <v>454</v>
      </c>
      <c r="H780">
        <v>556835</v>
      </c>
      <c r="I780" t="s">
        <v>941</v>
      </c>
      <c r="J780">
        <v>92702580</v>
      </c>
      <c r="K780" t="s">
        <v>1837</v>
      </c>
      <c r="L780" t="s">
        <v>1850</v>
      </c>
      <c r="M780" s="1">
        <v>15</v>
      </c>
      <c r="N780" t="s">
        <v>23</v>
      </c>
      <c r="O780">
        <v>371</v>
      </c>
      <c r="P780" s="1">
        <v>5.57</v>
      </c>
      <c r="S780" s="6" t="str">
        <f t="shared" si="12"/>
        <v xml:space="preserve"> </v>
      </c>
      <c r="T780" s="6">
        <f>IF(IF(COUNTIF(H$2:$H780,H780)=1,1,"")=1,SUMIF($H$2:$H$7997,H780,$S$2:$S$7997),"")</f>
        <v>0</v>
      </c>
      <c r="V780" t="s">
        <v>1860</v>
      </c>
      <c r="W780">
        <v>371</v>
      </c>
      <c r="X780">
        <v>371</v>
      </c>
      <c r="Y780">
        <v>0</v>
      </c>
      <c r="Z780">
        <v>0</v>
      </c>
      <c r="AA780" s="2">
        <v>1</v>
      </c>
      <c r="AB780" s="2">
        <v>0</v>
      </c>
      <c r="AC780" s="2">
        <v>0</v>
      </c>
      <c r="AD780">
        <v>0</v>
      </c>
      <c r="AE780" t="s">
        <v>1862</v>
      </c>
      <c r="AF780">
        <v>0.18</v>
      </c>
      <c r="AG780">
        <v>694467</v>
      </c>
      <c r="AH780">
        <v>10417.01</v>
      </c>
      <c r="AI780" s="1" t="s">
        <v>241</v>
      </c>
      <c r="AJ780">
        <v>92702574</v>
      </c>
      <c r="AK780" s="1" t="s">
        <v>1867</v>
      </c>
      <c r="AL780">
        <v>1537016</v>
      </c>
      <c r="AN780" t="s">
        <v>2049</v>
      </c>
      <c r="AO780" t="s">
        <v>2067</v>
      </c>
      <c r="AP780" t="s">
        <v>2081</v>
      </c>
      <c r="AQ780">
        <v>121116</v>
      </c>
      <c r="AR780" s="3">
        <v>46203</v>
      </c>
      <c r="AS780" s="3">
        <v>46181</v>
      </c>
      <c r="AT780" s="3">
        <v>46203</v>
      </c>
      <c r="AU780" t="s">
        <v>2124</v>
      </c>
      <c r="AW780" s="3">
        <v>46208.53701449134</v>
      </c>
    </row>
    <row r="781" spans="1:49" ht="16" hidden="1" x14ac:dyDescent="0.2">
      <c r="A781" t="s">
        <v>59</v>
      </c>
      <c r="B781">
        <v>10417</v>
      </c>
      <c r="C781">
        <v>5480</v>
      </c>
      <c r="D781" t="s">
        <v>122</v>
      </c>
      <c r="E781" t="s">
        <v>241</v>
      </c>
      <c r="F781">
        <v>259968</v>
      </c>
      <c r="G781" t="s">
        <v>454</v>
      </c>
      <c r="H781">
        <v>556835</v>
      </c>
      <c r="I781" t="s">
        <v>943</v>
      </c>
      <c r="J781">
        <v>92702590</v>
      </c>
      <c r="K781" t="s">
        <v>1837</v>
      </c>
      <c r="L781" t="s">
        <v>1850</v>
      </c>
      <c r="M781" s="1">
        <v>15</v>
      </c>
      <c r="N781" t="s">
        <v>23</v>
      </c>
      <c r="O781">
        <v>2283</v>
      </c>
      <c r="P781" s="1">
        <v>34.24</v>
      </c>
      <c r="S781" s="6" t="str">
        <f t="shared" si="12"/>
        <v xml:space="preserve"> </v>
      </c>
      <c r="T781" s="6" t="str">
        <f>IF(IF(COUNTIF(H$2:$H781,H781)=1,1,"")=1,SUMIF($H$2:$H$7997,H781,$S$2:$S$7997),"")</f>
        <v/>
      </c>
      <c r="W781">
        <v>2283</v>
      </c>
      <c r="X781">
        <v>2283</v>
      </c>
      <c r="Y781">
        <v>0</v>
      </c>
      <c r="Z781">
        <v>0</v>
      </c>
      <c r="AA781" s="2">
        <v>1</v>
      </c>
      <c r="AB781" s="2">
        <v>0</v>
      </c>
      <c r="AC781" s="2">
        <v>0</v>
      </c>
      <c r="AD781">
        <v>0</v>
      </c>
      <c r="AE781" t="s">
        <v>1862</v>
      </c>
      <c r="AF781">
        <v>0.18</v>
      </c>
      <c r="AG781">
        <v>694467</v>
      </c>
      <c r="AH781">
        <v>10417.01</v>
      </c>
      <c r="AI781" s="1" t="s">
        <v>241</v>
      </c>
      <c r="AJ781">
        <v>92702574</v>
      </c>
      <c r="AK781" s="1" t="s">
        <v>1867</v>
      </c>
      <c r="AL781">
        <v>1537016</v>
      </c>
      <c r="AN781" t="s">
        <v>2049</v>
      </c>
      <c r="AO781" t="s">
        <v>2067</v>
      </c>
      <c r="AP781" t="s">
        <v>2081</v>
      </c>
      <c r="AQ781">
        <v>121116</v>
      </c>
      <c r="AR781" s="3">
        <v>46203</v>
      </c>
      <c r="AS781" s="3">
        <v>46181</v>
      </c>
      <c r="AT781" s="3">
        <v>46203</v>
      </c>
      <c r="AU781" t="s">
        <v>2124</v>
      </c>
      <c r="AW781" s="3">
        <v>46208.53701449134</v>
      </c>
    </row>
    <row r="782" spans="1:49" ht="16" hidden="1" x14ac:dyDescent="0.2">
      <c r="A782" t="s">
        <v>59</v>
      </c>
      <c r="B782">
        <v>10417</v>
      </c>
      <c r="C782">
        <v>5480</v>
      </c>
      <c r="D782" t="s">
        <v>122</v>
      </c>
      <c r="E782" t="s">
        <v>241</v>
      </c>
      <c r="F782">
        <v>259968</v>
      </c>
      <c r="G782" t="s">
        <v>454</v>
      </c>
      <c r="H782">
        <v>556835</v>
      </c>
      <c r="I782" t="s">
        <v>942</v>
      </c>
      <c r="J782">
        <v>92702587</v>
      </c>
      <c r="K782" t="s">
        <v>1837</v>
      </c>
      <c r="L782" t="s">
        <v>1850</v>
      </c>
      <c r="M782" s="1">
        <v>15</v>
      </c>
      <c r="N782" t="s">
        <v>23</v>
      </c>
      <c r="O782">
        <v>3837</v>
      </c>
      <c r="P782" s="1">
        <v>57.55</v>
      </c>
      <c r="S782" s="6" t="str">
        <f t="shared" si="12"/>
        <v xml:space="preserve"> </v>
      </c>
      <c r="T782" s="6" t="str">
        <f>IF(IF(COUNTIF(H$2:$H782,H782)=1,1,"")=1,SUMIF($H$2:$H$7997,H782,$S$2:$S$7997),"")</f>
        <v/>
      </c>
      <c r="W782">
        <v>3837</v>
      </c>
      <c r="X782">
        <v>3837</v>
      </c>
      <c r="Y782">
        <v>0</v>
      </c>
      <c r="Z782">
        <v>0</v>
      </c>
      <c r="AA782" s="2">
        <v>1</v>
      </c>
      <c r="AB782" s="2">
        <v>0</v>
      </c>
      <c r="AC782" s="2">
        <v>0</v>
      </c>
      <c r="AD782">
        <v>0</v>
      </c>
      <c r="AE782" t="s">
        <v>1862</v>
      </c>
      <c r="AF782">
        <v>0.18</v>
      </c>
      <c r="AG782">
        <v>694460</v>
      </c>
      <c r="AH782">
        <v>10416.9</v>
      </c>
      <c r="AI782" s="1" t="s">
        <v>241</v>
      </c>
      <c r="AJ782">
        <v>92702574</v>
      </c>
      <c r="AK782" s="1" t="s">
        <v>1867</v>
      </c>
      <c r="AL782">
        <v>1537016</v>
      </c>
      <c r="AN782" t="s">
        <v>2049</v>
      </c>
      <c r="AO782" t="s">
        <v>2067</v>
      </c>
      <c r="AP782" t="s">
        <v>2081</v>
      </c>
      <c r="AQ782">
        <v>121116</v>
      </c>
      <c r="AR782" s="3">
        <v>46203</v>
      </c>
      <c r="AS782" s="3">
        <v>46181</v>
      </c>
      <c r="AT782" s="3">
        <v>46203</v>
      </c>
      <c r="AU782" t="s">
        <v>2124</v>
      </c>
      <c r="AW782" s="3">
        <v>46208.53701449134</v>
      </c>
    </row>
    <row r="783" spans="1:49" ht="16" hidden="1" x14ac:dyDescent="0.2">
      <c r="A783" t="s">
        <v>59</v>
      </c>
      <c r="B783">
        <v>10417</v>
      </c>
      <c r="C783">
        <v>5480</v>
      </c>
      <c r="D783" t="s">
        <v>122</v>
      </c>
      <c r="E783" t="s">
        <v>330</v>
      </c>
      <c r="F783">
        <v>266130</v>
      </c>
      <c r="G783" t="s">
        <v>617</v>
      </c>
      <c r="H783">
        <v>577967</v>
      </c>
      <c r="I783" t="s">
        <v>1206</v>
      </c>
      <c r="J783">
        <v>94163858</v>
      </c>
      <c r="K783" t="s">
        <v>1836</v>
      </c>
      <c r="L783" t="s">
        <v>1850</v>
      </c>
      <c r="M783" s="1">
        <v>12.5</v>
      </c>
      <c r="N783" t="s">
        <v>23</v>
      </c>
      <c r="O783">
        <v>415622</v>
      </c>
      <c r="P783" s="1">
        <v>5000</v>
      </c>
      <c r="S783" s="6" t="str">
        <f t="shared" si="12"/>
        <v xml:space="preserve"> </v>
      </c>
      <c r="T783" s="6">
        <f>IF(IF(COUNTIF(H$2:$H783,H783)=1,1,"")=1,SUMIF($H$2:$H$7997,H783,$S$2:$S$7997),"")</f>
        <v>0</v>
      </c>
      <c r="W783">
        <v>415622</v>
      </c>
      <c r="X783">
        <v>415622</v>
      </c>
      <c r="Y783">
        <v>0</v>
      </c>
      <c r="Z783">
        <v>0</v>
      </c>
      <c r="AA783" s="2">
        <v>1</v>
      </c>
      <c r="AB783" s="2">
        <v>0</v>
      </c>
      <c r="AC783" s="2">
        <v>0</v>
      </c>
      <c r="AD783">
        <v>0</v>
      </c>
      <c r="AE783" t="s">
        <v>1862</v>
      </c>
      <c r="AF783">
        <v>152.56</v>
      </c>
      <c r="AG783">
        <v>400000</v>
      </c>
      <c r="AH783">
        <v>5000</v>
      </c>
      <c r="AI783" s="1" t="s">
        <v>330</v>
      </c>
      <c r="AJ783">
        <v>92905559</v>
      </c>
      <c r="AK783" s="1" t="s">
        <v>1867</v>
      </c>
      <c r="AL783">
        <v>1642018</v>
      </c>
      <c r="AN783" t="s">
        <v>2059</v>
      </c>
      <c r="AO783" t="s">
        <v>2067</v>
      </c>
      <c r="AP783" t="s">
        <v>2098</v>
      </c>
      <c r="AQ783">
        <v>128838</v>
      </c>
      <c r="AR783" s="3">
        <v>46203</v>
      </c>
      <c r="AS783" s="3">
        <v>46113</v>
      </c>
      <c r="AT783" s="3">
        <v>46180</v>
      </c>
      <c r="AU783" t="s">
        <v>2124</v>
      </c>
      <c r="AW783" s="3">
        <v>46208.53701449134</v>
      </c>
    </row>
    <row r="784" spans="1:49" ht="16" hidden="1" x14ac:dyDescent="0.2">
      <c r="A784" t="s">
        <v>59</v>
      </c>
      <c r="B784">
        <v>10417</v>
      </c>
      <c r="C784">
        <v>5480</v>
      </c>
      <c r="D784" t="s">
        <v>122</v>
      </c>
      <c r="E784" t="s">
        <v>240</v>
      </c>
      <c r="F784">
        <v>259933</v>
      </c>
      <c r="G784" t="s">
        <v>453</v>
      </c>
      <c r="H784">
        <v>556672</v>
      </c>
      <c r="I784" t="s">
        <v>938</v>
      </c>
      <c r="J784">
        <v>92687952</v>
      </c>
      <c r="K784" t="s">
        <v>1836</v>
      </c>
      <c r="L784" t="s">
        <v>1850</v>
      </c>
      <c r="M784" s="1">
        <v>12.5</v>
      </c>
      <c r="N784" t="s">
        <v>23</v>
      </c>
      <c r="O784">
        <v>744991</v>
      </c>
      <c r="P784" s="1">
        <v>9312.39</v>
      </c>
      <c r="S784" s="6" t="str">
        <f t="shared" si="12"/>
        <v xml:space="preserve"> </v>
      </c>
      <c r="T784" s="6">
        <f>IF(IF(COUNTIF(H$2:$H784,H784)=1,1,"")=1,SUMIF($H$2:$H$7997,H784,$S$2:$S$7997),"")</f>
        <v>0</v>
      </c>
      <c r="V784" t="s">
        <v>1860</v>
      </c>
      <c r="W784">
        <v>744991</v>
      </c>
      <c r="X784">
        <v>744991</v>
      </c>
      <c r="Y784">
        <v>0</v>
      </c>
      <c r="Z784">
        <v>0</v>
      </c>
      <c r="AA784" s="2">
        <v>1</v>
      </c>
      <c r="AB784" s="2">
        <v>0</v>
      </c>
      <c r="AC784" s="2">
        <v>0</v>
      </c>
      <c r="AD784">
        <v>0</v>
      </c>
      <c r="AE784" t="s">
        <v>1862</v>
      </c>
      <c r="AF784">
        <v>3124.57</v>
      </c>
      <c r="AG784">
        <v>833360</v>
      </c>
      <c r="AH784">
        <v>10417</v>
      </c>
      <c r="AI784" s="1" t="s">
        <v>240</v>
      </c>
      <c r="AJ784">
        <v>92687949</v>
      </c>
      <c r="AK784" s="1" t="s">
        <v>1867</v>
      </c>
      <c r="AL784">
        <v>1537017</v>
      </c>
      <c r="AN784" t="s">
        <v>2049</v>
      </c>
      <c r="AO784" t="s">
        <v>2067</v>
      </c>
      <c r="AP784" t="s">
        <v>2080</v>
      </c>
      <c r="AQ784">
        <v>120914</v>
      </c>
      <c r="AR784" s="3">
        <v>46203</v>
      </c>
      <c r="AS784" s="3">
        <v>46181</v>
      </c>
      <c r="AT784" s="3">
        <v>46203</v>
      </c>
      <c r="AU784" t="s">
        <v>2124</v>
      </c>
      <c r="AW784" s="3">
        <v>46208.53701449134</v>
      </c>
    </row>
    <row r="785" spans="1:49" ht="16" hidden="1" x14ac:dyDescent="0.2">
      <c r="A785" t="s">
        <v>59</v>
      </c>
      <c r="B785">
        <v>10417</v>
      </c>
      <c r="C785">
        <v>5480</v>
      </c>
      <c r="D785" t="s">
        <v>122</v>
      </c>
      <c r="E785" t="s">
        <v>240</v>
      </c>
      <c r="F785">
        <v>259933</v>
      </c>
      <c r="G785" t="s">
        <v>453</v>
      </c>
      <c r="H785">
        <v>556672</v>
      </c>
      <c r="I785" t="s">
        <v>939</v>
      </c>
      <c r="J785">
        <v>92687957</v>
      </c>
      <c r="K785" t="s">
        <v>1836</v>
      </c>
      <c r="L785" t="s">
        <v>1850</v>
      </c>
      <c r="M785" s="1">
        <v>12.5</v>
      </c>
      <c r="N785" t="s">
        <v>23</v>
      </c>
      <c r="O785">
        <v>114734</v>
      </c>
      <c r="P785" s="1">
        <v>1434.17</v>
      </c>
      <c r="S785" s="6" t="str">
        <f t="shared" si="12"/>
        <v xml:space="preserve"> </v>
      </c>
      <c r="T785" s="6" t="str">
        <f>IF(IF(COUNTIF(H$2:$H785,H785)=1,1,"")=1,SUMIF($H$2:$H$7997,H785,$S$2:$S$7997),"")</f>
        <v/>
      </c>
      <c r="W785">
        <v>114734</v>
      </c>
      <c r="X785">
        <v>114734</v>
      </c>
      <c r="Y785">
        <v>0</v>
      </c>
      <c r="Z785">
        <v>0</v>
      </c>
      <c r="AA785" s="2">
        <v>1</v>
      </c>
      <c r="AB785" s="2">
        <v>0</v>
      </c>
      <c r="AC785" s="2">
        <v>0</v>
      </c>
      <c r="AD785">
        <v>0</v>
      </c>
      <c r="AE785" t="s">
        <v>1862</v>
      </c>
      <c r="AF785">
        <v>3124.57</v>
      </c>
      <c r="AG785">
        <v>833360</v>
      </c>
      <c r="AH785">
        <v>10417</v>
      </c>
      <c r="AI785" s="1" t="s">
        <v>240</v>
      </c>
      <c r="AJ785">
        <v>92687949</v>
      </c>
      <c r="AK785" s="1" t="s">
        <v>1867</v>
      </c>
      <c r="AL785">
        <v>1537017</v>
      </c>
      <c r="AN785" t="s">
        <v>2049</v>
      </c>
      <c r="AO785" t="s">
        <v>2067</v>
      </c>
      <c r="AP785" t="s">
        <v>2080</v>
      </c>
      <c r="AQ785">
        <v>120914</v>
      </c>
      <c r="AR785" s="3">
        <v>46203</v>
      </c>
      <c r="AS785" s="3">
        <v>46181</v>
      </c>
      <c r="AT785" s="3">
        <v>46203</v>
      </c>
      <c r="AU785" t="s">
        <v>2124</v>
      </c>
      <c r="AW785" s="3">
        <v>46208.53701449134</v>
      </c>
    </row>
    <row r="786" spans="1:49" ht="16" hidden="1" x14ac:dyDescent="0.2">
      <c r="A786" t="s">
        <v>59</v>
      </c>
      <c r="B786">
        <v>10417</v>
      </c>
      <c r="C786">
        <v>5480</v>
      </c>
      <c r="D786" t="s">
        <v>122</v>
      </c>
      <c r="E786" t="s">
        <v>240</v>
      </c>
      <c r="F786">
        <v>259933</v>
      </c>
      <c r="G786" t="s">
        <v>453</v>
      </c>
      <c r="H786">
        <v>556672</v>
      </c>
      <c r="I786" t="s">
        <v>940</v>
      </c>
      <c r="J786">
        <v>92687968</v>
      </c>
      <c r="K786" t="s">
        <v>1836</v>
      </c>
      <c r="L786" t="s">
        <v>1850</v>
      </c>
      <c r="M786" s="1">
        <v>12.5</v>
      </c>
      <c r="N786" t="s">
        <v>23</v>
      </c>
      <c r="O786">
        <v>255200</v>
      </c>
      <c r="P786" s="1">
        <v>3190</v>
      </c>
      <c r="S786" s="6" t="str">
        <f t="shared" si="12"/>
        <v xml:space="preserve"> </v>
      </c>
      <c r="T786" s="6" t="str">
        <f>IF(IF(COUNTIF(H$2:$H786,H786)=1,1,"")=1,SUMIF($H$2:$H$7997,H786,$S$2:$S$7997),"")</f>
        <v/>
      </c>
      <c r="W786">
        <v>255200</v>
      </c>
      <c r="X786">
        <v>255200</v>
      </c>
      <c r="Y786">
        <v>0</v>
      </c>
      <c r="Z786">
        <v>0</v>
      </c>
      <c r="AA786" s="2">
        <v>1</v>
      </c>
      <c r="AB786" s="2">
        <v>0</v>
      </c>
      <c r="AC786" s="2">
        <v>0</v>
      </c>
      <c r="AD786">
        <v>0</v>
      </c>
      <c r="AE786" t="s">
        <v>1862</v>
      </c>
      <c r="AF786">
        <v>3124.57</v>
      </c>
      <c r="AG786">
        <v>833360</v>
      </c>
      <c r="AH786">
        <v>10417</v>
      </c>
      <c r="AI786" s="1" t="s">
        <v>240</v>
      </c>
      <c r="AJ786">
        <v>92687949</v>
      </c>
      <c r="AK786" s="1" t="s">
        <v>1867</v>
      </c>
      <c r="AL786">
        <v>1537017</v>
      </c>
      <c r="AN786" t="s">
        <v>2049</v>
      </c>
      <c r="AO786" t="s">
        <v>2067</v>
      </c>
      <c r="AP786" t="s">
        <v>2080</v>
      </c>
      <c r="AQ786">
        <v>120914</v>
      </c>
      <c r="AR786" s="3">
        <v>46203</v>
      </c>
      <c r="AS786" s="3">
        <v>46181</v>
      </c>
      <c r="AT786" s="3">
        <v>46203</v>
      </c>
      <c r="AU786" t="s">
        <v>2124</v>
      </c>
      <c r="AW786" s="3">
        <v>46208.53701449134</v>
      </c>
    </row>
    <row r="787" spans="1:49" ht="16" hidden="1" x14ac:dyDescent="0.2">
      <c r="A787" t="s">
        <v>59</v>
      </c>
      <c r="B787">
        <v>10417</v>
      </c>
      <c r="C787">
        <v>9028</v>
      </c>
      <c r="D787" t="s">
        <v>182</v>
      </c>
      <c r="E787" t="s">
        <v>338</v>
      </c>
      <c r="F787">
        <v>266630</v>
      </c>
      <c r="G787" t="s">
        <v>629</v>
      </c>
      <c r="H787">
        <v>579781</v>
      </c>
      <c r="I787" t="s">
        <v>1441</v>
      </c>
      <c r="J787">
        <v>94744742</v>
      </c>
      <c r="K787" t="s">
        <v>1836</v>
      </c>
      <c r="L787" t="s">
        <v>1850</v>
      </c>
      <c r="M787" s="1">
        <v>12.5</v>
      </c>
      <c r="N787" t="s">
        <v>23</v>
      </c>
      <c r="O787">
        <v>113329</v>
      </c>
      <c r="P787" s="1">
        <v>1416.61</v>
      </c>
      <c r="S787" s="6" t="str">
        <f t="shared" si="12"/>
        <v xml:space="preserve"> </v>
      </c>
      <c r="T787" s="6">
        <f>IF(IF(COUNTIF(H$2:$H787,H787)=1,1,"")=1,SUMIF($H$2:$H$7997,H787,$S$2:$S$7997),"")</f>
        <v>0</v>
      </c>
      <c r="W787">
        <v>113329</v>
      </c>
      <c r="X787">
        <v>113329</v>
      </c>
      <c r="Y787">
        <v>0</v>
      </c>
      <c r="Z787">
        <v>0</v>
      </c>
      <c r="AA787" s="2">
        <v>1</v>
      </c>
      <c r="AB787" s="2">
        <v>0</v>
      </c>
      <c r="AC787" s="2">
        <v>0</v>
      </c>
      <c r="AD787">
        <v>0</v>
      </c>
      <c r="AE787" t="s">
        <v>1862</v>
      </c>
      <c r="AF787">
        <v>436.37</v>
      </c>
      <c r="AG787">
        <v>1600000</v>
      </c>
      <c r="AH787">
        <v>20000</v>
      </c>
      <c r="AI787" s="1" t="s">
        <v>338</v>
      </c>
      <c r="AJ787">
        <v>92981872</v>
      </c>
      <c r="AK787" s="1" t="s">
        <v>1867</v>
      </c>
      <c r="AL787">
        <v>1644291</v>
      </c>
      <c r="AN787" t="s">
        <v>2059</v>
      </c>
      <c r="AO787" t="s">
        <v>2067</v>
      </c>
      <c r="AP787" t="s">
        <v>2098</v>
      </c>
      <c r="AQ787">
        <v>129174</v>
      </c>
      <c r="AR787" s="3">
        <v>46203</v>
      </c>
      <c r="AS787" s="3">
        <v>46113</v>
      </c>
      <c r="AT787" s="3">
        <v>46194</v>
      </c>
      <c r="AU787" t="s">
        <v>2124</v>
      </c>
      <c r="AW787" s="3">
        <v>46208.53701449134</v>
      </c>
    </row>
    <row r="788" spans="1:49" ht="16" hidden="1" x14ac:dyDescent="0.2">
      <c r="A788" t="s">
        <v>59</v>
      </c>
      <c r="B788">
        <v>10417</v>
      </c>
      <c r="C788">
        <v>9028</v>
      </c>
      <c r="D788" t="s">
        <v>182</v>
      </c>
      <c r="E788" t="s">
        <v>338</v>
      </c>
      <c r="F788">
        <v>266630</v>
      </c>
      <c r="G788" t="s">
        <v>629</v>
      </c>
      <c r="H788">
        <v>579781</v>
      </c>
      <c r="I788" t="s">
        <v>1228</v>
      </c>
      <c r="J788">
        <v>94238376</v>
      </c>
      <c r="K788" t="s">
        <v>1836</v>
      </c>
      <c r="L788" t="s">
        <v>1850</v>
      </c>
      <c r="M788" s="1">
        <v>12.5</v>
      </c>
      <c r="N788" t="s">
        <v>23</v>
      </c>
      <c r="O788">
        <v>415144</v>
      </c>
      <c r="P788" s="1">
        <v>5000</v>
      </c>
      <c r="S788" s="6" t="str">
        <f t="shared" si="12"/>
        <v xml:space="preserve"> </v>
      </c>
      <c r="T788" s="6" t="str">
        <f>IF(IF(COUNTIF(H$2:$H788,H788)=1,1,"")=1,SUMIF($H$2:$H$7997,H788,$S$2:$S$7997),"")</f>
        <v/>
      </c>
      <c r="W788">
        <v>415144</v>
      </c>
      <c r="X788">
        <v>415144</v>
      </c>
      <c r="Y788">
        <v>0</v>
      </c>
      <c r="Z788">
        <v>0</v>
      </c>
      <c r="AA788" s="2">
        <v>1</v>
      </c>
      <c r="AB788" s="2">
        <v>0</v>
      </c>
      <c r="AC788" s="2">
        <v>0</v>
      </c>
      <c r="AD788">
        <v>0</v>
      </c>
      <c r="AE788" t="s">
        <v>1862</v>
      </c>
      <c r="AF788">
        <v>109.09</v>
      </c>
      <c r="AG788">
        <v>400000</v>
      </c>
      <c r="AH788">
        <v>5000</v>
      </c>
      <c r="AI788" s="1" t="s">
        <v>338</v>
      </c>
      <c r="AJ788">
        <v>92981872</v>
      </c>
      <c r="AK788" s="1" t="s">
        <v>1867</v>
      </c>
      <c r="AL788">
        <v>1644291</v>
      </c>
      <c r="AN788" t="s">
        <v>2059</v>
      </c>
      <c r="AO788" t="s">
        <v>2067</v>
      </c>
      <c r="AP788" t="s">
        <v>2098</v>
      </c>
      <c r="AQ788">
        <v>129174</v>
      </c>
      <c r="AR788" s="3">
        <v>46203</v>
      </c>
      <c r="AS788" s="3">
        <v>46113</v>
      </c>
      <c r="AT788" s="3">
        <v>46194</v>
      </c>
      <c r="AU788" t="s">
        <v>2124</v>
      </c>
      <c r="AW788" s="3">
        <v>46208.53701449134</v>
      </c>
    </row>
    <row r="789" spans="1:49" ht="16" hidden="1" x14ac:dyDescent="0.2">
      <c r="A789" t="s">
        <v>59</v>
      </c>
      <c r="B789">
        <v>10417</v>
      </c>
      <c r="C789">
        <v>9028</v>
      </c>
      <c r="D789" t="s">
        <v>182</v>
      </c>
      <c r="E789" t="s">
        <v>338</v>
      </c>
      <c r="F789">
        <v>266630</v>
      </c>
      <c r="G789" t="s">
        <v>629</v>
      </c>
      <c r="H789">
        <v>579781</v>
      </c>
      <c r="I789" t="s">
        <v>1374</v>
      </c>
      <c r="J789">
        <v>94465402</v>
      </c>
      <c r="K789" t="s">
        <v>1836</v>
      </c>
      <c r="L789" t="s">
        <v>1850</v>
      </c>
      <c r="M789" s="1">
        <v>12.5</v>
      </c>
      <c r="N789" t="s">
        <v>23</v>
      </c>
      <c r="O789">
        <v>1014898</v>
      </c>
      <c r="P789" s="1">
        <v>12686.23</v>
      </c>
      <c r="S789" s="6" t="str">
        <f t="shared" si="12"/>
        <v xml:space="preserve"> </v>
      </c>
      <c r="T789" s="6" t="str">
        <f>IF(IF(COUNTIF(H$2:$H789,H789)=1,1,"")=1,SUMIF($H$2:$H$7997,H789,$S$2:$S$7997),"")</f>
        <v/>
      </c>
      <c r="W789">
        <v>1014898</v>
      </c>
      <c r="X789">
        <v>1014898</v>
      </c>
      <c r="Y789">
        <v>0</v>
      </c>
      <c r="Z789">
        <v>0</v>
      </c>
      <c r="AA789" s="2">
        <v>1</v>
      </c>
      <c r="AB789" s="2">
        <v>0</v>
      </c>
      <c r="AC789" s="2">
        <v>0</v>
      </c>
      <c r="AD789">
        <v>0</v>
      </c>
      <c r="AE789" t="s">
        <v>1862</v>
      </c>
      <c r="AF789">
        <v>327.27999999999997</v>
      </c>
      <c r="AG789">
        <v>1200000</v>
      </c>
      <c r="AH789">
        <v>15000</v>
      </c>
      <c r="AI789" s="1" t="s">
        <v>338</v>
      </c>
      <c r="AJ789">
        <v>92981872</v>
      </c>
      <c r="AK789" s="1" t="s">
        <v>1867</v>
      </c>
      <c r="AL789">
        <v>1644291</v>
      </c>
      <c r="AN789" t="s">
        <v>2059</v>
      </c>
      <c r="AO789" t="s">
        <v>2067</v>
      </c>
      <c r="AP789" t="s">
        <v>2098</v>
      </c>
      <c r="AQ789">
        <v>129174</v>
      </c>
      <c r="AR789" s="3">
        <v>46203</v>
      </c>
      <c r="AS789" s="3">
        <v>46113</v>
      </c>
      <c r="AT789" s="3">
        <v>46194</v>
      </c>
      <c r="AU789" t="s">
        <v>2124</v>
      </c>
      <c r="AW789" s="3">
        <v>46208.53701449134</v>
      </c>
    </row>
    <row r="790" spans="1:49" ht="16" hidden="1" x14ac:dyDescent="0.2">
      <c r="A790" t="s">
        <v>59</v>
      </c>
      <c r="B790">
        <v>10417</v>
      </c>
      <c r="C790">
        <v>20322</v>
      </c>
      <c r="D790" t="s">
        <v>180</v>
      </c>
      <c r="E790" t="s">
        <v>335</v>
      </c>
      <c r="F790">
        <v>268353</v>
      </c>
      <c r="G790" t="s">
        <v>624</v>
      </c>
      <c r="H790">
        <v>587030</v>
      </c>
      <c r="I790" t="s">
        <v>1219</v>
      </c>
      <c r="J790">
        <v>94230076</v>
      </c>
      <c r="K790" t="s">
        <v>1837</v>
      </c>
      <c r="L790" t="s">
        <v>1850</v>
      </c>
      <c r="M790" s="1">
        <v>15</v>
      </c>
      <c r="N790" t="s">
        <v>23</v>
      </c>
      <c r="O790">
        <v>177</v>
      </c>
      <c r="P790" s="1">
        <v>2.65</v>
      </c>
      <c r="S790" s="6" t="str">
        <f t="shared" si="12"/>
        <v xml:space="preserve"> </v>
      </c>
      <c r="T790" s="6">
        <f>IF(IF(COUNTIF(H$2:$H790,H790)=1,1,"")=1,SUMIF($H$2:$H$7997,H790,$S$2:$S$7997),"")</f>
        <v>0</v>
      </c>
      <c r="W790">
        <v>177</v>
      </c>
      <c r="X790">
        <v>177</v>
      </c>
      <c r="Y790">
        <v>0</v>
      </c>
      <c r="Z790">
        <v>0</v>
      </c>
      <c r="AA790" s="2">
        <v>1</v>
      </c>
      <c r="AB790" s="2">
        <v>0</v>
      </c>
      <c r="AC790" s="2">
        <v>0</v>
      </c>
      <c r="AD790">
        <v>0</v>
      </c>
      <c r="AE790" t="s">
        <v>1862</v>
      </c>
      <c r="AF790">
        <v>0.18</v>
      </c>
      <c r="AG790">
        <v>133333</v>
      </c>
      <c r="AH790">
        <v>2000</v>
      </c>
      <c r="AI790" s="1" t="s">
        <v>335</v>
      </c>
      <c r="AJ790">
        <v>93745387</v>
      </c>
      <c r="AK790" s="1" t="s">
        <v>1867</v>
      </c>
      <c r="AL790">
        <v>1663758</v>
      </c>
      <c r="AN790" t="s">
        <v>2058</v>
      </c>
      <c r="AO790" t="s">
        <v>2067</v>
      </c>
      <c r="AP790" t="s">
        <v>2100</v>
      </c>
      <c r="AQ790">
        <v>129139</v>
      </c>
      <c r="AR790" s="3">
        <v>46203</v>
      </c>
      <c r="AS790" s="3">
        <v>46146</v>
      </c>
      <c r="AT790" s="3">
        <v>46203</v>
      </c>
      <c r="AU790" t="s">
        <v>2124</v>
      </c>
      <c r="AW790" s="3">
        <v>46208.53701449134</v>
      </c>
    </row>
    <row r="791" spans="1:49" ht="16" hidden="1" x14ac:dyDescent="0.2">
      <c r="A791" t="s">
        <v>59</v>
      </c>
      <c r="B791">
        <v>10417</v>
      </c>
      <c r="C791">
        <v>20322</v>
      </c>
      <c r="D791" t="s">
        <v>180</v>
      </c>
      <c r="E791" t="s">
        <v>335</v>
      </c>
      <c r="F791">
        <v>268353</v>
      </c>
      <c r="G791" t="s">
        <v>624</v>
      </c>
      <c r="H791">
        <v>587030</v>
      </c>
      <c r="I791" t="s">
        <v>1401</v>
      </c>
      <c r="J791">
        <v>94517872</v>
      </c>
      <c r="K791" t="s">
        <v>1837</v>
      </c>
      <c r="L791" t="s">
        <v>1850</v>
      </c>
      <c r="M791" s="1">
        <v>15</v>
      </c>
      <c r="N791" t="s">
        <v>23</v>
      </c>
      <c r="O791">
        <v>304</v>
      </c>
      <c r="P791" s="1">
        <v>4.5599999999999996</v>
      </c>
      <c r="S791" s="6" t="str">
        <f t="shared" si="12"/>
        <v xml:space="preserve"> </v>
      </c>
      <c r="T791" s="6" t="str">
        <f>IF(IF(COUNTIF(H$2:$H791,H791)=1,1,"")=1,SUMIF($H$2:$H$7997,H791,$S$2:$S$7997),"")</f>
        <v/>
      </c>
      <c r="W791">
        <v>304</v>
      </c>
      <c r="X791">
        <v>304</v>
      </c>
      <c r="Y791">
        <v>0</v>
      </c>
      <c r="Z791">
        <v>0</v>
      </c>
      <c r="AA791" s="2">
        <v>1</v>
      </c>
      <c r="AB791" s="2">
        <v>0</v>
      </c>
      <c r="AC791" s="2">
        <v>0</v>
      </c>
      <c r="AD791">
        <v>0</v>
      </c>
      <c r="AE791" t="s">
        <v>1862</v>
      </c>
      <c r="AF791">
        <v>0.17</v>
      </c>
      <c r="AG791">
        <v>123067</v>
      </c>
      <c r="AH791">
        <v>1846.01</v>
      </c>
      <c r="AI791" s="1" t="s">
        <v>335</v>
      </c>
      <c r="AJ791">
        <v>93745387</v>
      </c>
      <c r="AK791" s="1" t="s">
        <v>1867</v>
      </c>
      <c r="AL791">
        <v>1663758</v>
      </c>
      <c r="AN791" t="s">
        <v>2058</v>
      </c>
      <c r="AO791" t="s">
        <v>2067</v>
      </c>
      <c r="AP791" t="s">
        <v>2100</v>
      </c>
      <c r="AQ791">
        <v>129139</v>
      </c>
      <c r="AR791" s="3">
        <v>46203</v>
      </c>
      <c r="AS791" s="3">
        <v>46146</v>
      </c>
      <c r="AT791" s="3">
        <v>46203</v>
      </c>
      <c r="AU791" t="s">
        <v>2124</v>
      </c>
      <c r="AW791" s="3">
        <v>46208.53701449134</v>
      </c>
    </row>
    <row r="792" spans="1:49" ht="16" hidden="1" x14ac:dyDescent="0.2">
      <c r="A792" t="s">
        <v>59</v>
      </c>
      <c r="B792">
        <v>10417</v>
      </c>
      <c r="C792">
        <v>20322</v>
      </c>
      <c r="D792" t="s">
        <v>180</v>
      </c>
      <c r="E792" t="s">
        <v>335</v>
      </c>
      <c r="F792">
        <v>268353</v>
      </c>
      <c r="G792" t="s">
        <v>624</v>
      </c>
      <c r="H792">
        <v>587030</v>
      </c>
      <c r="I792" t="s">
        <v>1400</v>
      </c>
      <c r="J792">
        <v>94517866</v>
      </c>
      <c r="K792" t="s">
        <v>1837</v>
      </c>
      <c r="L792" t="s">
        <v>1850</v>
      </c>
      <c r="M792" s="1">
        <v>15</v>
      </c>
      <c r="N792" t="s">
        <v>23</v>
      </c>
      <c r="O792">
        <v>2122</v>
      </c>
      <c r="P792" s="1">
        <v>31.83</v>
      </c>
      <c r="S792" s="6" t="str">
        <f t="shared" si="12"/>
        <v xml:space="preserve"> </v>
      </c>
      <c r="T792" s="6" t="str">
        <f>IF(IF(COUNTIF(H$2:$H792,H792)=1,1,"")=1,SUMIF($H$2:$H$7997,H792,$S$2:$S$7997),"")</f>
        <v/>
      </c>
      <c r="W792">
        <v>2122</v>
      </c>
      <c r="X792">
        <v>2122</v>
      </c>
      <c r="Y792">
        <v>0</v>
      </c>
      <c r="Z792">
        <v>0</v>
      </c>
      <c r="AA792" s="2">
        <v>1</v>
      </c>
      <c r="AB792" s="2">
        <v>0</v>
      </c>
      <c r="AC792" s="2">
        <v>0</v>
      </c>
      <c r="AD792">
        <v>0</v>
      </c>
      <c r="AE792" t="s">
        <v>1862</v>
      </c>
      <c r="AF792">
        <v>0.17</v>
      </c>
      <c r="AG792">
        <v>123067</v>
      </c>
      <c r="AH792">
        <v>1846.01</v>
      </c>
      <c r="AI792" s="1" t="s">
        <v>335</v>
      </c>
      <c r="AJ792">
        <v>93745387</v>
      </c>
      <c r="AK792" s="1" t="s">
        <v>1867</v>
      </c>
      <c r="AL792">
        <v>1663758</v>
      </c>
      <c r="AN792" t="s">
        <v>2058</v>
      </c>
      <c r="AO792" t="s">
        <v>2067</v>
      </c>
      <c r="AP792" t="s">
        <v>2100</v>
      </c>
      <c r="AQ792">
        <v>129139</v>
      </c>
      <c r="AR792" s="3">
        <v>46203</v>
      </c>
      <c r="AS792" s="3">
        <v>46146</v>
      </c>
      <c r="AT792" s="3">
        <v>46203</v>
      </c>
      <c r="AU792" t="s">
        <v>2124</v>
      </c>
      <c r="AW792" s="3">
        <v>46208.53701449134</v>
      </c>
    </row>
    <row r="793" spans="1:49" ht="16" hidden="1" x14ac:dyDescent="0.2">
      <c r="A793" t="s">
        <v>59</v>
      </c>
      <c r="B793">
        <v>10417</v>
      </c>
      <c r="C793">
        <v>20322</v>
      </c>
      <c r="D793" t="s">
        <v>180</v>
      </c>
      <c r="E793" t="s">
        <v>335</v>
      </c>
      <c r="F793">
        <v>268353</v>
      </c>
      <c r="G793" t="s">
        <v>624</v>
      </c>
      <c r="H793">
        <v>587030</v>
      </c>
      <c r="I793" t="s">
        <v>1454</v>
      </c>
      <c r="J793">
        <v>94817197</v>
      </c>
      <c r="K793" t="s">
        <v>1837</v>
      </c>
      <c r="L793" t="s">
        <v>1850</v>
      </c>
      <c r="M793" s="1">
        <v>15</v>
      </c>
      <c r="N793" t="s">
        <v>23</v>
      </c>
      <c r="O793">
        <v>2678</v>
      </c>
      <c r="P793" s="1">
        <v>40.17</v>
      </c>
      <c r="S793" s="6" t="str">
        <f t="shared" si="12"/>
        <v xml:space="preserve"> </v>
      </c>
      <c r="T793" s="6" t="str">
        <f>IF(IF(COUNTIF(H$2:$H793,H793)=1,1,"")=1,SUMIF($H$2:$H$7997,H793,$S$2:$S$7997),"")</f>
        <v/>
      </c>
      <c r="W793">
        <v>2678</v>
      </c>
      <c r="X793">
        <v>2678</v>
      </c>
      <c r="Y793">
        <v>0</v>
      </c>
      <c r="Z793">
        <v>0</v>
      </c>
      <c r="AA793" s="2">
        <v>1</v>
      </c>
      <c r="AB793" s="2">
        <v>0</v>
      </c>
      <c r="AC793" s="2">
        <v>0</v>
      </c>
      <c r="AD793">
        <v>0</v>
      </c>
      <c r="AE793" t="s">
        <v>1862</v>
      </c>
      <c r="AF793">
        <v>0.14000000000000001</v>
      </c>
      <c r="AG793">
        <v>102600</v>
      </c>
      <c r="AH793">
        <v>1539</v>
      </c>
      <c r="AI793" s="1" t="s">
        <v>335</v>
      </c>
      <c r="AJ793">
        <v>93745387</v>
      </c>
      <c r="AK793" s="1" t="s">
        <v>1867</v>
      </c>
      <c r="AL793">
        <v>1663758</v>
      </c>
      <c r="AN793" t="s">
        <v>2058</v>
      </c>
      <c r="AO793" t="s">
        <v>2067</v>
      </c>
      <c r="AP793" t="s">
        <v>2100</v>
      </c>
      <c r="AQ793">
        <v>129139</v>
      </c>
      <c r="AR793" s="3">
        <v>46203</v>
      </c>
      <c r="AS793" s="3">
        <v>46146</v>
      </c>
      <c r="AT793" s="3">
        <v>46203</v>
      </c>
      <c r="AU793" t="s">
        <v>2124</v>
      </c>
      <c r="AW793" s="3">
        <v>46208.53701449134</v>
      </c>
    </row>
    <row r="794" spans="1:49" ht="16" hidden="1" x14ac:dyDescent="0.2">
      <c r="A794" t="s">
        <v>59</v>
      </c>
      <c r="B794">
        <v>10417</v>
      </c>
      <c r="C794">
        <v>20322</v>
      </c>
      <c r="D794" t="s">
        <v>180</v>
      </c>
      <c r="E794" t="s">
        <v>335</v>
      </c>
      <c r="F794">
        <v>268353</v>
      </c>
      <c r="G794" t="s">
        <v>624</v>
      </c>
      <c r="H794">
        <v>587030</v>
      </c>
      <c r="I794" t="s">
        <v>1468</v>
      </c>
      <c r="J794">
        <v>94963794</v>
      </c>
      <c r="K794" t="s">
        <v>1837</v>
      </c>
      <c r="L794" t="s">
        <v>1850</v>
      </c>
      <c r="M794" s="1">
        <v>15</v>
      </c>
      <c r="N794" t="s">
        <v>23</v>
      </c>
      <c r="O794">
        <v>891</v>
      </c>
      <c r="P794" s="1">
        <v>13.37</v>
      </c>
      <c r="S794" s="6" t="str">
        <f t="shared" si="12"/>
        <v xml:space="preserve"> </v>
      </c>
      <c r="T794" s="6" t="str">
        <f>IF(IF(COUNTIF(H$2:$H794,H794)=1,1,"")=1,SUMIF($H$2:$H$7997,H794,$S$2:$S$7997),"")</f>
        <v/>
      </c>
      <c r="W794">
        <v>891</v>
      </c>
      <c r="X794">
        <v>891</v>
      </c>
      <c r="Y794">
        <v>0</v>
      </c>
      <c r="Z794">
        <v>0</v>
      </c>
      <c r="AA794" s="2">
        <v>1</v>
      </c>
      <c r="AB794" s="2">
        <v>0</v>
      </c>
      <c r="AC794" s="2">
        <v>0</v>
      </c>
      <c r="AD794">
        <v>0</v>
      </c>
      <c r="AE794" t="s">
        <v>1862</v>
      </c>
      <c r="AF794">
        <v>0.03</v>
      </c>
      <c r="AG794">
        <v>22800</v>
      </c>
      <c r="AH794">
        <v>342</v>
      </c>
      <c r="AI794" s="1" t="s">
        <v>335</v>
      </c>
      <c r="AJ794">
        <v>93745387</v>
      </c>
      <c r="AK794" s="1" t="s">
        <v>1867</v>
      </c>
      <c r="AL794">
        <v>1663758</v>
      </c>
      <c r="AN794" t="s">
        <v>2058</v>
      </c>
      <c r="AO794" t="s">
        <v>2067</v>
      </c>
      <c r="AP794" t="s">
        <v>2100</v>
      </c>
      <c r="AQ794">
        <v>129139</v>
      </c>
      <c r="AR794" s="3">
        <v>46203</v>
      </c>
      <c r="AS794" s="3">
        <v>46146</v>
      </c>
      <c r="AT794" s="3">
        <v>46203</v>
      </c>
      <c r="AU794" t="s">
        <v>2124</v>
      </c>
      <c r="AW794" s="3">
        <v>46208.53701449134</v>
      </c>
    </row>
    <row r="795" spans="1:49" ht="16" hidden="1" x14ac:dyDescent="0.2">
      <c r="A795" t="s">
        <v>97</v>
      </c>
      <c r="B795">
        <v>11759</v>
      </c>
      <c r="C795">
        <v>2156</v>
      </c>
      <c r="D795" t="s">
        <v>194</v>
      </c>
      <c r="E795" t="s">
        <v>363</v>
      </c>
      <c r="F795">
        <v>265747</v>
      </c>
      <c r="G795" t="s">
        <v>667</v>
      </c>
      <c r="H795">
        <v>581680</v>
      </c>
      <c r="I795" t="s">
        <v>1294</v>
      </c>
      <c r="J795">
        <v>94322019</v>
      </c>
      <c r="K795" t="s">
        <v>1839</v>
      </c>
      <c r="L795" t="s">
        <v>1850</v>
      </c>
      <c r="M795" s="1">
        <v>40</v>
      </c>
      <c r="N795" t="s">
        <v>23</v>
      </c>
      <c r="O795">
        <v>7607319</v>
      </c>
      <c r="P795" s="1">
        <v>304292.76</v>
      </c>
      <c r="S795" s="6" t="str">
        <f t="shared" si="12"/>
        <v xml:space="preserve"> </v>
      </c>
      <c r="T795" s="6">
        <f>IF(IF(COUNTIF(H$2:$H795,H795)=1,1,"")=1,SUMIF($H$2:$H$7997,H795,$S$2:$S$7997),"")</f>
        <v>0</v>
      </c>
      <c r="W795">
        <v>7607319</v>
      </c>
      <c r="X795">
        <v>7607319</v>
      </c>
      <c r="Y795">
        <v>0</v>
      </c>
      <c r="Z795">
        <v>0</v>
      </c>
      <c r="AA795" s="2">
        <v>1</v>
      </c>
      <c r="AB795" s="2">
        <v>0</v>
      </c>
      <c r="AC795" s="2">
        <v>0</v>
      </c>
      <c r="AD795">
        <v>0</v>
      </c>
      <c r="AE795" t="s">
        <v>1862</v>
      </c>
      <c r="AF795">
        <v>153192.20000000001</v>
      </c>
      <c r="AG795">
        <v>11550000</v>
      </c>
      <c r="AH795">
        <v>462000</v>
      </c>
      <c r="AI795" s="1" t="s">
        <v>363</v>
      </c>
      <c r="AJ795">
        <v>93985619</v>
      </c>
      <c r="AK795" s="1" t="s">
        <v>1867</v>
      </c>
      <c r="AL795" t="s">
        <v>1982</v>
      </c>
      <c r="AN795" t="s">
        <v>2056</v>
      </c>
      <c r="AO795" t="s">
        <v>2067</v>
      </c>
      <c r="AP795" t="s">
        <v>2094</v>
      </c>
      <c r="AQ795">
        <v>128038</v>
      </c>
      <c r="AR795" s="3">
        <v>46203</v>
      </c>
      <c r="AS795" s="3">
        <v>46184</v>
      </c>
      <c r="AT795" s="3">
        <v>46222</v>
      </c>
      <c r="AU795" t="s">
        <v>2124</v>
      </c>
      <c r="AW795" s="3">
        <v>46208.53701449134</v>
      </c>
    </row>
    <row r="796" spans="1:49" ht="16" hidden="1" x14ac:dyDescent="0.2">
      <c r="A796" t="s">
        <v>97</v>
      </c>
      <c r="B796">
        <v>11759</v>
      </c>
      <c r="C796">
        <v>2156</v>
      </c>
      <c r="D796" t="s">
        <v>194</v>
      </c>
      <c r="E796" t="s">
        <v>363</v>
      </c>
      <c r="F796">
        <v>265747</v>
      </c>
      <c r="G796" t="s">
        <v>667</v>
      </c>
      <c r="H796">
        <v>581680</v>
      </c>
      <c r="I796" t="s">
        <v>1295</v>
      </c>
      <c r="J796">
        <v>94322022</v>
      </c>
      <c r="K796" t="s">
        <v>1835</v>
      </c>
      <c r="L796" t="s">
        <v>1850</v>
      </c>
      <c r="M796" s="1">
        <v>40</v>
      </c>
      <c r="N796" t="s">
        <v>23</v>
      </c>
      <c r="O796">
        <v>3334981</v>
      </c>
      <c r="P796" s="1">
        <v>133399.24</v>
      </c>
      <c r="S796" s="6" t="str">
        <f t="shared" si="12"/>
        <v xml:space="preserve"> </v>
      </c>
      <c r="T796" s="6" t="str">
        <f>IF(IF(COUNTIF(H$2:$H796,H796)=1,1,"")=1,SUMIF($H$2:$H$7997,H796,$S$2:$S$7997),"")</f>
        <v/>
      </c>
      <c r="W796">
        <v>3334981</v>
      </c>
      <c r="X796">
        <v>3334981</v>
      </c>
      <c r="Y796">
        <v>0</v>
      </c>
      <c r="Z796">
        <v>0</v>
      </c>
      <c r="AA796" s="2">
        <v>1</v>
      </c>
      <c r="AB796" s="2">
        <v>0</v>
      </c>
      <c r="AC796" s="2">
        <v>0</v>
      </c>
      <c r="AD796">
        <v>0</v>
      </c>
      <c r="AE796" t="s">
        <v>1862</v>
      </c>
      <c r="AF796">
        <v>65653.8</v>
      </c>
      <c r="AG796">
        <v>4950000</v>
      </c>
      <c r="AH796">
        <v>198000</v>
      </c>
      <c r="AI796" s="1" t="s">
        <v>363</v>
      </c>
      <c r="AJ796">
        <v>93985619</v>
      </c>
      <c r="AK796" s="1" t="s">
        <v>1867</v>
      </c>
      <c r="AL796" t="s">
        <v>1982</v>
      </c>
      <c r="AN796" t="s">
        <v>2056</v>
      </c>
      <c r="AO796" t="s">
        <v>2067</v>
      </c>
      <c r="AP796" t="s">
        <v>2092</v>
      </c>
      <c r="AQ796">
        <v>128038</v>
      </c>
      <c r="AR796" s="3">
        <v>46203</v>
      </c>
      <c r="AS796" s="3">
        <v>46184</v>
      </c>
      <c r="AT796" s="3">
        <v>46222</v>
      </c>
      <c r="AU796" t="s">
        <v>2123</v>
      </c>
      <c r="AW796" s="3">
        <v>46208.53701449134</v>
      </c>
    </row>
    <row r="797" spans="1:49" ht="16" hidden="1" x14ac:dyDescent="0.2">
      <c r="A797" t="s">
        <v>97</v>
      </c>
      <c r="B797">
        <v>11759</v>
      </c>
      <c r="C797">
        <v>2156</v>
      </c>
      <c r="D797" t="s">
        <v>194</v>
      </c>
      <c r="E797" t="s">
        <v>363</v>
      </c>
      <c r="F797">
        <v>265747</v>
      </c>
      <c r="G797" t="s">
        <v>886</v>
      </c>
      <c r="H797">
        <v>582833</v>
      </c>
      <c r="I797" t="s">
        <v>1696</v>
      </c>
      <c r="J797">
        <v>582835</v>
      </c>
      <c r="K797" t="s">
        <v>1847</v>
      </c>
      <c r="L797" t="s">
        <v>1851</v>
      </c>
      <c r="M797" s="1">
        <v>1000000</v>
      </c>
      <c r="N797" t="s">
        <v>1858</v>
      </c>
      <c r="O797">
        <v>0</v>
      </c>
      <c r="P797" s="1">
        <v>256410.26</v>
      </c>
      <c r="S797" s="6" t="str">
        <f t="shared" si="12"/>
        <v xml:space="preserve"> </v>
      </c>
      <c r="T797" s="6">
        <f>IF(IF(COUNTIF(H$2:$H797,H797)=1,1,"")=1,SUMIF($H$2:$H$7997,H797,$S$2:$S$7997),"")</f>
        <v>0</v>
      </c>
      <c r="W797">
        <v>0</v>
      </c>
      <c r="X797">
        <v>0</v>
      </c>
      <c r="Y797">
        <v>0</v>
      </c>
      <c r="Z797">
        <v>0</v>
      </c>
      <c r="AA797" s="2">
        <v>1</v>
      </c>
      <c r="AB797" s="2">
        <v>0</v>
      </c>
      <c r="AC797" s="2">
        <v>0</v>
      </c>
      <c r="AD797">
        <v>0</v>
      </c>
      <c r="AE797" t="s">
        <v>1863</v>
      </c>
      <c r="AF797">
        <v>256410.26</v>
      </c>
      <c r="AG797">
        <v>0</v>
      </c>
      <c r="AH797">
        <v>1000000</v>
      </c>
      <c r="AI797" s="1" t="s">
        <v>363</v>
      </c>
      <c r="AJ797">
        <v>265747</v>
      </c>
      <c r="AK797" s="1" t="s">
        <v>1867</v>
      </c>
      <c r="AL797" t="s">
        <v>1982</v>
      </c>
      <c r="AN797" t="s">
        <v>2056</v>
      </c>
      <c r="AO797" t="s">
        <v>2067</v>
      </c>
      <c r="AP797" t="s">
        <v>2112</v>
      </c>
      <c r="AQ797">
        <v>128038</v>
      </c>
      <c r="AR797" s="3">
        <v>46203</v>
      </c>
      <c r="AS797" s="3">
        <v>46184</v>
      </c>
      <c r="AT797" s="3">
        <v>46222</v>
      </c>
      <c r="AU797" t="s">
        <v>2130</v>
      </c>
      <c r="AW797" s="3">
        <v>46208.53701449134</v>
      </c>
    </row>
    <row r="798" spans="1:49" ht="16" hidden="1" x14ac:dyDescent="0.2">
      <c r="A798" t="s">
        <v>97</v>
      </c>
      <c r="B798">
        <v>11759</v>
      </c>
      <c r="C798">
        <v>2156</v>
      </c>
      <c r="D798" t="s">
        <v>194</v>
      </c>
      <c r="E798" t="s">
        <v>363</v>
      </c>
      <c r="F798">
        <v>265747</v>
      </c>
      <c r="G798" t="s">
        <v>889</v>
      </c>
      <c r="H798">
        <v>582838</v>
      </c>
      <c r="I798" t="s">
        <v>1706</v>
      </c>
      <c r="J798">
        <v>582839</v>
      </c>
      <c r="K798" t="s">
        <v>1846</v>
      </c>
      <c r="L798" t="s">
        <v>1851</v>
      </c>
      <c r="M798" s="1">
        <v>0.15</v>
      </c>
      <c r="N798" t="s">
        <v>1858</v>
      </c>
      <c r="O798">
        <v>507122533</v>
      </c>
      <c r="P798" s="1">
        <v>76068.38</v>
      </c>
      <c r="S798" s="6" t="str">
        <f t="shared" si="12"/>
        <v xml:space="preserve"> </v>
      </c>
      <c r="T798" s="6">
        <f>IF(IF(COUNTIF(H$2:$H798,H798)=1,1,"")=1,SUMIF($H$2:$H$7997,H798,$S$2:$S$7997),"")</f>
        <v>0</v>
      </c>
      <c r="W798">
        <v>0</v>
      </c>
      <c r="X798">
        <v>0</v>
      </c>
      <c r="Y798">
        <v>0</v>
      </c>
      <c r="Z798">
        <v>0</v>
      </c>
      <c r="AA798" s="2">
        <v>1</v>
      </c>
      <c r="AB798" s="2">
        <v>0</v>
      </c>
      <c r="AC798" s="2">
        <v>0</v>
      </c>
      <c r="AD798">
        <v>0</v>
      </c>
      <c r="AE798" t="s">
        <v>1863</v>
      </c>
      <c r="AF798">
        <v>76068.38</v>
      </c>
      <c r="AG798">
        <v>1977778</v>
      </c>
      <c r="AH798">
        <v>296666.7</v>
      </c>
      <c r="AI798" s="1" t="s">
        <v>363</v>
      </c>
      <c r="AJ798">
        <v>265747</v>
      </c>
      <c r="AK798" s="1" t="s">
        <v>1867</v>
      </c>
      <c r="AL798" t="s">
        <v>1982</v>
      </c>
      <c r="AN798" t="s">
        <v>2056</v>
      </c>
      <c r="AO798" t="s">
        <v>2067</v>
      </c>
      <c r="AP798" t="s">
        <v>2110</v>
      </c>
      <c r="AQ798">
        <v>128038</v>
      </c>
      <c r="AR798" s="3">
        <v>46203</v>
      </c>
      <c r="AS798" s="3">
        <v>46184</v>
      </c>
      <c r="AT798" s="3">
        <v>46222</v>
      </c>
      <c r="AU798" t="s">
        <v>2128</v>
      </c>
      <c r="AW798" s="3">
        <v>46208.53701449134</v>
      </c>
    </row>
    <row r="799" spans="1:49" ht="16" hidden="1" x14ac:dyDescent="0.2">
      <c r="A799" t="s">
        <v>97</v>
      </c>
      <c r="B799">
        <v>11759</v>
      </c>
      <c r="C799">
        <v>2156</v>
      </c>
      <c r="D799" t="s">
        <v>194</v>
      </c>
      <c r="E799" t="s">
        <v>363</v>
      </c>
      <c r="F799">
        <v>265747</v>
      </c>
      <c r="G799" t="s">
        <v>889</v>
      </c>
      <c r="H799">
        <v>582838</v>
      </c>
      <c r="I799" t="s">
        <v>1773</v>
      </c>
      <c r="J799">
        <v>582842</v>
      </c>
      <c r="K799" t="s">
        <v>1844</v>
      </c>
      <c r="L799" t="s">
        <v>1851</v>
      </c>
      <c r="M799" s="1">
        <v>0.15</v>
      </c>
      <c r="N799" t="s">
        <v>1858</v>
      </c>
      <c r="O799">
        <v>507122533</v>
      </c>
      <c r="P799" s="1">
        <v>76068.38</v>
      </c>
      <c r="S799" s="6" t="str">
        <f t="shared" si="12"/>
        <v xml:space="preserve"> </v>
      </c>
      <c r="T799" s="6" t="str">
        <f>IF(IF(COUNTIF(H$2:$H799,H799)=1,1,"")=1,SUMIF($H$2:$H$7997,H799,$S$2:$S$7997),"")</f>
        <v/>
      </c>
      <c r="W799">
        <v>0</v>
      </c>
      <c r="X799">
        <v>0</v>
      </c>
      <c r="Y799">
        <v>0</v>
      </c>
      <c r="Z799">
        <v>0</v>
      </c>
      <c r="AA799" s="2">
        <v>1</v>
      </c>
      <c r="AB799" s="2">
        <v>0</v>
      </c>
      <c r="AC799" s="2">
        <v>0</v>
      </c>
      <c r="AD799">
        <v>0</v>
      </c>
      <c r="AE799" t="s">
        <v>1863</v>
      </c>
      <c r="AF799">
        <v>76068.38</v>
      </c>
      <c r="AG799">
        <v>1977778</v>
      </c>
      <c r="AH799">
        <v>296666.7</v>
      </c>
      <c r="AI799" s="1" t="s">
        <v>363</v>
      </c>
      <c r="AJ799">
        <v>265747</v>
      </c>
      <c r="AK799" s="1" t="s">
        <v>1867</v>
      </c>
      <c r="AL799" t="s">
        <v>1982</v>
      </c>
      <c r="AN799" t="s">
        <v>2056</v>
      </c>
      <c r="AO799" t="s">
        <v>2067</v>
      </c>
      <c r="AP799" t="s">
        <v>2107</v>
      </c>
      <c r="AQ799">
        <v>128038</v>
      </c>
      <c r="AR799" s="3">
        <v>46203</v>
      </c>
      <c r="AS799" s="3">
        <v>46184</v>
      </c>
      <c r="AT799" s="3">
        <v>46222</v>
      </c>
      <c r="AU799" t="s">
        <v>2127</v>
      </c>
      <c r="AW799" s="3">
        <v>46208.53701449134</v>
      </c>
    </row>
    <row r="800" spans="1:49" ht="16" hidden="1" x14ac:dyDescent="0.2">
      <c r="A800" t="s">
        <v>97</v>
      </c>
      <c r="B800">
        <v>11759</v>
      </c>
      <c r="C800">
        <v>2156</v>
      </c>
      <c r="D800" t="s">
        <v>194</v>
      </c>
      <c r="E800" t="s">
        <v>363</v>
      </c>
      <c r="F800">
        <v>265747</v>
      </c>
      <c r="G800" t="s">
        <v>889</v>
      </c>
      <c r="H800">
        <v>582838</v>
      </c>
      <c r="I800" t="s">
        <v>1727</v>
      </c>
      <c r="J800">
        <v>582841</v>
      </c>
      <c r="K800" t="s">
        <v>1835</v>
      </c>
      <c r="L800" t="s">
        <v>1851</v>
      </c>
      <c r="M800" s="1">
        <v>0.15</v>
      </c>
      <c r="N800" t="s">
        <v>1858</v>
      </c>
      <c r="O800">
        <v>507122533</v>
      </c>
      <c r="P800" s="1">
        <v>76068.38</v>
      </c>
      <c r="S800" s="6" t="str">
        <f t="shared" si="12"/>
        <v xml:space="preserve"> </v>
      </c>
      <c r="T800" s="6" t="str">
        <f>IF(IF(COUNTIF(H$2:$H800,H800)=1,1,"")=1,SUMIF($H$2:$H$7997,H800,$S$2:$S$7997),"")</f>
        <v/>
      </c>
      <c r="W800">
        <v>0</v>
      </c>
      <c r="X800">
        <v>0</v>
      </c>
      <c r="Y800">
        <v>0</v>
      </c>
      <c r="Z800">
        <v>0</v>
      </c>
      <c r="AA800" s="2">
        <v>1</v>
      </c>
      <c r="AB800" s="2">
        <v>0</v>
      </c>
      <c r="AC800" s="2">
        <v>0</v>
      </c>
      <c r="AD800">
        <v>0</v>
      </c>
      <c r="AE800" t="s">
        <v>1863</v>
      </c>
      <c r="AF800">
        <v>76068.38</v>
      </c>
      <c r="AG800">
        <v>1977778</v>
      </c>
      <c r="AH800">
        <v>296666.7</v>
      </c>
      <c r="AI800" s="1" t="s">
        <v>363</v>
      </c>
      <c r="AJ800">
        <v>265747</v>
      </c>
      <c r="AK800" s="1" t="s">
        <v>1867</v>
      </c>
      <c r="AL800" t="s">
        <v>1982</v>
      </c>
      <c r="AN800" t="s">
        <v>2056</v>
      </c>
      <c r="AO800" t="s">
        <v>2067</v>
      </c>
      <c r="AP800" t="s">
        <v>2109</v>
      </c>
      <c r="AQ800">
        <v>128038</v>
      </c>
      <c r="AR800" s="3">
        <v>46203</v>
      </c>
      <c r="AS800" s="3">
        <v>46184</v>
      </c>
      <c r="AT800" s="3">
        <v>46222</v>
      </c>
      <c r="AU800" t="s">
        <v>2129</v>
      </c>
      <c r="AW800" s="3">
        <v>46208.53701449134</v>
      </c>
    </row>
    <row r="801" spans="1:49" ht="16" hidden="1" x14ac:dyDescent="0.2">
      <c r="A801" t="s">
        <v>107</v>
      </c>
      <c r="B801">
        <v>10978</v>
      </c>
      <c r="C801">
        <v>7034</v>
      </c>
      <c r="D801" t="s">
        <v>134</v>
      </c>
      <c r="E801" t="s">
        <v>428</v>
      </c>
      <c r="F801">
        <v>267105</v>
      </c>
      <c r="G801" t="s">
        <v>875</v>
      </c>
      <c r="H801">
        <v>582267</v>
      </c>
      <c r="I801" t="s">
        <v>1679</v>
      </c>
      <c r="J801">
        <v>582268</v>
      </c>
      <c r="K801" t="s">
        <v>1846</v>
      </c>
      <c r="L801" t="s">
        <v>1851</v>
      </c>
      <c r="M801" s="1">
        <v>250000</v>
      </c>
      <c r="N801" t="s">
        <v>1858</v>
      </c>
      <c r="O801">
        <v>0</v>
      </c>
      <c r="P801" s="1">
        <v>76530.61</v>
      </c>
      <c r="S801" s="6" t="str">
        <f t="shared" si="12"/>
        <v xml:space="preserve"> </v>
      </c>
      <c r="T801" s="6">
        <f>IF(IF(COUNTIF(H$2:$H801,H801)=1,1,"")=1,SUMIF($H$2:$H$7997,H801,$S$2:$S$7997),"")</f>
        <v>0</v>
      </c>
      <c r="W801">
        <v>0</v>
      </c>
      <c r="X801">
        <v>0</v>
      </c>
      <c r="Y801">
        <v>0</v>
      </c>
      <c r="Z801">
        <v>0</v>
      </c>
      <c r="AA801" s="2">
        <v>1</v>
      </c>
      <c r="AB801" s="2">
        <v>0</v>
      </c>
      <c r="AC801" s="2">
        <v>0</v>
      </c>
      <c r="AD801">
        <v>0</v>
      </c>
      <c r="AE801" t="s">
        <v>1863</v>
      </c>
      <c r="AF801">
        <v>76530.61</v>
      </c>
      <c r="AG801">
        <v>1</v>
      </c>
      <c r="AH801">
        <v>250000</v>
      </c>
      <c r="AI801" s="1" t="s">
        <v>428</v>
      </c>
      <c r="AJ801">
        <v>267105</v>
      </c>
      <c r="AK801" s="1" t="s">
        <v>1867</v>
      </c>
      <c r="AL801" t="s">
        <v>2033</v>
      </c>
      <c r="AN801" t="s">
        <v>2054</v>
      </c>
      <c r="AO801" t="s">
        <v>2067</v>
      </c>
      <c r="AP801" t="s">
        <v>2110</v>
      </c>
      <c r="AQ801">
        <v>131161</v>
      </c>
      <c r="AR801" s="3">
        <v>46203</v>
      </c>
      <c r="AS801" s="3">
        <v>46174</v>
      </c>
      <c r="AT801" s="3">
        <v>46222</v>
      </c>
      <c r="AU801" t="s">
        <v>2128</v>
      </c>
      <c r="AW801" s="3">
        <v>46208.53701449134</v>
      </c>
    </row>
    <row r="802" spans="1:49" ht="16" hidden="1" x14ac:dyDescent="0.2">
      <c r="A802" t="s">
        <v>107</v>
      </c>
      <c r="B802">
        <v>10978</v>
      </c>
      <c r="C802">
        <v>7034</v>
      </c>
      <c r="D802" t="s">
        <v>134</v>
      </c>
      <c r="E802" t="s">
        <v>428</v>
      </c>
      <c r="F802">
        <v>267105</v>
      </c>
      <c r="G802" t="s">
        <v>875</v>
      </c>
      <c r="H802">
        <v>582267</v>
      </c>
      <c r="I802" t="s">
        <v>1794</v>
      </c>
      <c r="J802">
        <v>582270</v>
      </c>
      <c r="K802" t="s">
        <v>1844</v>
      </c>
      <c r="L802" t="s">
        <v>1851</v>
      </c>
      <c r="M802" s="1">
        <v>250000</v>
      </c>
      <c r="N802" t="s">
        <v>1858</v>
      </c>
      <c r="O802">
        <v>0</v>
      </c>
      <c r="P802" s="1">
        <v>76530.61</v>
      </c>
      <c r="S802" s="6" t="str">
        <f t="shared" si="12"/>
        <v xml:space="preserve"> </v>
      </c>
      <c r="T802" s="6" t="str">
        <f>IF(IF(COUNTIF(H$2:$H802,H802)=1,1,"")=1,SUMIF($H$2:$H$7997,H802,$S$2:$S$7997),"")</f>
        <v/>
      </c>
      <c r="W802">
        <v>0</v>
      </c>
      <c r="X802">
        <v>0</v>
      </c>
      <c r="Y802">
        <v>0</v>
      </c>
      <c r="Z802">
        <v>0</v>
      </c>
      <c r="AA802" s="2">
        <v>1</v>
      </c>
      <c r="AB802" s="2">
        <v>0</v>
      </c>
      <c r="AC802" s="2">
        <v>0</v>
      </c>
      <c r="AD802">
        <v>0</v>
      </c>
      <c r="AE802" t="s">
        <v>1863</v>
      </c>
      <c r="AF802">
        <v>76530.61</v>
      </c>
      <c r="AG802">
        <v>1</v>
      </c>
      <c r="AH802">
        <v>250000</v>
      </c>
      <c r="AI802" s="1" t="s">
        <v>428</v>
      </c>
      <c r="AJ802">
        <v>267105</v>
      </c>
      <c r="AK802" s="1" t="s">
        <v>1867</v>
      </c>
      <c r="AL802" t="s">
        <v>2033</v>
      </c>
      <c r="AN802" t="s">
        <v>2054</v>
      </c>
      <c r="AO802" t="s">
        <v>2067</v>
      </c>
      <c r="AP802" t="s">
        <v>2107</v>
      </c>
      <c r="AQ802">
        <v>131161</v>
      </c>
      <c r="AR802" s="3">
        <v>46203</v>
      </c>
      <c r="AS802" s="3">
        <v>46174</v>
      </c>
      <c r="AT802" s="3">
        <v>46222</v>
      </c>
      <c r="AU802" t="s">
        <v>2127</v>
      </c>
      <c r="AW802" s="3">
        <v>46208.53701449134</v>
      </c>
    </row>
    <row r="803" spans="1:49" ht="16" hidden="1" x14ac:dyDescent="0.2">
      <c r="A803" t="s">
        <v>107</v>
      </c>
      <c r="B803">
        <v>10978</v>
      </c>
      <c r="C803">
        <v>7034</v>
      </c>
      <c r="D803" t="s">
        <v>134</v>
      </c>
      <c r="E803" t="s">
        <v>428</v>
      </c>
      <c r="F803">
        <v>267105</v>
      </c>
      <c r="G803" t="s">
        <v>875</v>
      </c>
      <c r="H803">
        <v>582267</v>
      </c>
      <c r="I803" t="s">
        <v>1678</v>
      </c>
      <c r="J803">
        <v>582269</v>
      </c>
      <c r="K803" t="s">
        <v>1835</v>
      </c>
      <c r="L803" t="s">
        <v>1851</v>
      </c>
      <c r="M803" s="1">
        <v>250000</v>
      </c>
      <c r="N803" t="s">
        <v>1858</v>
      </c>
      <c r="O803">
        <v>0</v>
      </c>
      <c r="P803" s="1">
        <v>76530.61</v>
      </c>
      <c r="S803" s="6" t="str">
        <f t="shared" si="12"/>
        <v xml:space="preserve"> </v>
      </c>
      <c r="T803" s="6" t="str">
        <f>IF(IF(COUNTIF(H$2:$H803,H803)=1,1,"")=1,SUMIF($H$2:$H$7997,H803,$S$2:$S$7997),"")</f>
        <v/>
      </c>
      <c r="W803">
        <v>0</v>
      </c>
      <c r="X803">
        <v>0</v>
      </c>
      <c r="Y803">
        <v>0</v>
      </c>
      <c r="Z803">
        <v>0</v>
      </c>
      <c r="AA803" s="2">
        <v>1</v>
      </c>
      <c r="AB803" s="2">
        <v>0</v>
      </c>
      <c r="AC803" s="2">
        <v>0</v>
      </c>
      <c r="AD803">
        <v>0</v>
      </c>
      <c r="AE803" t="s">
        <v>1863</v>
      </c>
      <c r="AF803">
        <v>76530.61</v>
      </c>
      <c r="AG803">
        <v>1</v>
      </c>
      <c r="AH803">
        <v>250000</v>
      </c>
      <c r="AI803" s="1" t="s">
        <v>428</v>
      </c>
      <c r="AJ803">
        <v>267105</v>
      </c>
      <c r="AK803" s="1" t="s">
        <v>1867</v>
      </c>
      <c r="AL803" t="s">
        <v>2033</v>
      </c>
      <c r="AN803" t="s">
        <v>2054</v>
      </c>
      <c r="AO803" t="s">
        <v>2067</v>
      </c>
      <c r="AP803" t="s">
        <v>2109</v>
      </c>
      <c r="AQ803">
        <v>131161</v>
      </c>
      <c r="AR803" s="3">
        <v>46203</v>
      </c>
      <c r="AS803" s="3">
        <v>46174</v>
      </c>
      <c r="AT803" s="3">
        <v>46222</v>
      </c>
      <c r="AU803" t="s">
        <v>2129</v>
      </c>
      <c r="AW803" s="3">
        <v>46208.53701449134</v>
      </c>
    </row>
    <row r="804" spans="1:49" ht="16" hidden="1" x14ac:dyDescent="0.2">
      <c r="A804" t="s">
        <v>107</v>
      </c>
      <c r="B804">
        <v>10978</v>
      </c>
      <c r="C804">
        <v>7034</v>
      </c>
      <c r="D804" t="s">
        <v>134</v>
      </c>
      <c r="E804" t="s">
        <v>420</v>
      </c>
      <c r="F804">
        <v>261763</v>
      </c>
      <c r="G804" t="s">
        <v>819</v>
      </c>
      <c r="H804">
        <v>582197</v>
      </c>
      <c r="I804" t="s">
        <v>1604</v>
      </c>
      <c r="J804">
        <v>7328010885</v>
      </c>
      <c r="K804" t="s">
        <v>1835</v>
      </c>
      <c r="L804" t="s">
        <v>1851</v>
      </c>
      <c r="M804" s="1">
        <v>0</v>
      </c>
      <c r="N804" t="s">
        <v>1858</v>
      </c>
      <c r="O804">
        <v>0</v>
      </c>
      <c r="P804" s="1">
        <v>0</v>
      </c>
      <c r="S804" s="6" t="str">
        <f t="shared" si="12"/>
        <v xml:space="preserve"> </v>
      </c>
      <c r="T804" s="6">
        <f>IF(IF(COUNTIF(H$2:$H804,H804)=1,1,"")=1,SUMIF($H$2:$H$7997,H804,$S$2:$S$7997),"")</f>
        <v>0</v>
      </c>
      <c r="W804">
        <v>0</v>
      </c>
      <c r="X804">
        <v>0</v>
      </c>
      <c r="Y804">
        <v>0</v>
      </c>
      <c r="Z804">
        <v>0</v>
      </c>
      <c r="AA804" s="2">
        <v>1</v>
      </c>
      <c r="AB804" s="2">
        <v>0</v>
      </c>
      <c r="AC804" s="2">
        <v>0</v>
      </c>
      <c r="AD804">
        <v>0</v>
      </c>
      <c r="AE804" t="s">
        <v>1863</v>
      </c>
      <c r="AF804">
        <v>0</v>
      </c>
      <c r="AG804">
        <v>1</v>
      </c>
      <c r="AH804">
        <v>0</v>
      </c>
      <c r="AI804" s="1" t="s">
        <v>420</v>
      </c>
      <c r="AJ804">
        <v>261763</v>
      </c>
      <c r="AK804" s="1" t="s">
        <v>1867</v>
      </c>
      <c r="AL804" t="s">
        <v>2027</v>
      </c>
      <c r="AN804" t="s">
        <v>2054</v>
      </c>
      <c r="AO804" t="s">
        <v>2067</v>
      </c>
      <c r="AP804" t="s">
        <v>2105</v>
      </c>
      <c r="AQ804">
        <v>130400</v>
      </c>
      <c r="AR804" s="3">
        <v>46203</v>
      </c>
      <c r="AS804" s="3">
        <v>46192</v>
      </c>
      <c r="AT804" s="3">
        <v>46192</v>
      </c>
      <c r="AU804" t="s">
        <v>2126</v>
      </c>
      <c r="AW804" s="3">
        <v>46208.53701449134</v>
      </c>
    </row>
    <row r="805" spans="1:49" ht="16" hidden="1" x14ac:dyDescent="0.2">
      <c r="A805" t="s">
        <v>107</v>
      </c>
      <c r="B805">
        <v>10978</v>
      </c>
      <c r="C805">
        <v>7034</v>
      </c>
      <c r="D805" t="s">
        <v>134</v>
      </c>
      <c r="E805" t="s">
        <v>420</v>
      </c>
      <c r="F805">
        <v>261763</v>
      </c>
      <c r="G805" t="s">
        <v>819</v>
      </c>
      <c r="H805">
        <v>582197</v>
      </c>
      <c r="I805" t="s">
        <v>1601</v>
      </c>
      <c r="J805">
        <v>7328010873</v>
      </c>
      <c r="K805" t="s">
        <v>1835</v>
      </c>
      <c r="L805" t="s">
        <v>1851</v>
      </c>
      <c r="M805" s="1">
        <v>160000</v>
      </c>
      <c r="N805" t="s">
        <v>1858</v>
      </c>
      <c r="O805">
        <v>500</v>
      </c>
      <c r="P805" s="1">
        <v>80000</v>
      </c>
      <c r="S805" s="6" t="str">
        <f t="shared" si="12"/>
        <v xml:space="preserve"> </v>
      </c>
      <c r="T805" s="6" t="str">
        <f>IF(IF(COUNTIF(H$2:$H805,H805)=1,1,"")=1,SUMIF($H$2:$H$7997,H805,$S$2:$S$7997),"")</f>
        <v/>
      </c>
      <c r="W805">
        <v>0</v>
      </c>
      <c r="X805">
        <v>0</v>
      </c>
      <c r="Y805">
        <v>0</v>
      </c>
      <c r="Z805">
        <v>0</v>
      </c>
      <c r="AA805" s="2">
        <v>1</v>
      </c>
      <c r="AB805" s="2">
        <v>0</v>
      </c>
      <c r="AC805" s="2">
        <v>0</v>
      </c>
      <c r="AD805">
        <v>0</v>
      </c>
      <c r="AE805" t="s">
        <v>1863</v>
      </c>
      <c r="AF805">
        <v>80000</v>
      </c>
      <c r="AG805">
        <v>1</v>
      </c>
      <c r="AH805">
        <v>160000</v>
      </c>
      <c r="AI805" s="1" t="s">
        <v>420</v>
      </c>
      <c r="AJ805">
        <v>261763</v>
      </c>
      <c r="AK805" s="1" t="s">
        <v>1867</v>
      </c>
      <c r="AL805" t="s">
        <v>2027</v>
      </c>
      <c r="AN805" t="s">
        <v>2054</v>
      </c>
      <c r="AO805" t="s">
        <v>2067</v>
      </c>
      <c r="AP805" t="s">
        <v>2104</v>
      </c>
      <c r="AQ805">
        <v>130400</v>
      </c>
      <c r="AR805" s="3">
        <v>46203</v>
      </c>
      <c r="AS805" s="3">
        <v>46192</v>
      </c>
      <c r="AT805" s="3">
        <v>46192</v>
      </c>
      <c r="AU805" t="s">
        <v>2126</v>
      </c>
      <c r="AW805" s="3">
        <v>46208.53701449134</v>
      </c>
    </row>
    <row r="806" spans="1:49" ht="16" hidden="1" x14ac:dyDescent="0.2">
      <c r="A806" t="s">
        <v>107</v>
      </c>
      <c r="B806">
        <v>10978</v>
      </c>
      <c r="C806">
        <v>7034</v>
      </c>
      <c r="D806" t="s">
        <v>134</v>
      </c>
      <c r="E806" t="s">
        <v>420</v>
      </c>
      <c r="F806">
        <v>261763</v>
      </c>
      <c r="G806" t="s">
        <v>819</v>
      </c>
      <c r="H806">
        <v>582197</v>
      </c>
      <c r="I806" t="s">
        <v>1602</v>
      </c>
      <c r="J806">
        <v>7328010876</v>
      </c>
      <c r="K806" t="s">
        <v>1835</v>
      </c>
      <c r="L806" t="s">
        <v>1851</v>
      </c>
      <c r="M806" s="1">
        <v>160000</v>
      </c>
      <c r="N806" t="s">
        <v>1858</v>
      </c>
      <c r="O806">
        <v>500</v>
      </c>
      <c r="P806" s="1">
        <v>80000</v>
      </c>
      <c r="S806" s="6" t="str">
        <f t="shared" si="12"/>
        <v xml:space="preserve"> </v>
      </c>
      <c r="T806" s="6" t="str">
        <f>IF(IF(COUNTIF(H$2:$H806,H806)=1,1,"")=1,SUMIF($H$2:$H$7997,H806,$S$2:$S$7997),"")</f>
        <v/>
      </c>
      <c r="W806">
        <v>0</v>
      </c>
      <c r="X806">
        <v>0</v>
      </c>
      <c r="Y806">
        <v>0</v>
      </c>
      <c r="Z806">
        <v>0</v>
      </c>
      <c r="AA806" s="2">
        <v>1</v>
      </c>
      <c r="AB806" s="2">
        <v>0</v>
      </c>
      <c r="AC806" s="2">
        <v>0</v>
      </c>
      <c r="AD806">
        <v>0</v>
      </c>
      <c r="AE806" t="s">
        <v>1863</v>
      </c>
      <c r="AF806">
        <v>80000</v>
      </c>
      <c r="AG806">
        <v>1</v>
      </c>
      <c r="AH806">
        <v>160000</v>
      </c>
      <c r="AI806" s="1" t="s">
        <v>420</v>
      </c>
      <c r="AJ806">
        <v>261763</v>
      </c>
      <c r="AK806" s="1" t="s">
        <v>1867</v>
      </c>
      <c r="AL806" t="s">
        <v>2027</v>
      </c>
      <c r="AN806" t="s">
        <v>2054</v>
      </c>
      <c r="AO806" t="s">
        <v>2067</v>
      </c>
      <c r="AP806" t="s">
        <v>2104</v>
      </c>
      <c r="AQ806">
        <v>130400</v>
      </c>
      <c r="AR806" s="3">
        <v>46203</v>
      </c>
      <c r="AS806" s="3">
        <v>46192</v>
      </c>
      <c r="AT806" s="3">
        <v>46192</v>
      </c>
      <c r="AU806" t="s">
        <v>2126</v>
      </c>
      <c r="AW806" s="3">
        <v>46208.53701449134</v>
      </c>
    </row>
    <row r="807" spans="1:49" ht="16" hidden="1" x14ac:dyDescent="0.2">
      <c r="A807" t="s">
        <v>107</v>
      </c>
      <c r="B807">
        <v>10978</v>
      </c>
      <c r="C807">
        <v>7034</v>
      </c>
      <c r="D807" t="s">
        <v>134</v>
      </c>
      <c r="E807" t="s">
        <v>420</v>
      </c>
      <c r="F807">
        <v>261763</v>
      </c>
      <c r="G807" t="s">
        <v>819</v>
      </c>
      <c r="H807">
        <v>582197</v>
      </c>
      <c r="I807" t="s">
        <v>1603</v>
      </c>
      <c r="J807">
        <v>7328010879</v>
      </c>
      <c r="K807" t="s">
        <v>1835</v>
      </c>
      <c r="L807" t="s">
        <v>1851</v>
      </c>
      <c r="M807" s="1">
        <v>160000</v>
      </c>
      <c r="N807" t="s">
        <v>1858</v>
      </c>
      <c r="O807">
        <v>500</v>
      </c>
      <c r="P807" s="1">
        <v>80000</v>
      </c>
      <c r="S807" s="6" t="str">
        <f t="shared" si="12"/>
        <v xml:space="preserve"> </v>
      </c>
      <c r="T807" s="6" t="str">
        <f>IF(IF(COUNTIF(H$2:$H807,H807)=1,1,"")=1,SUMIF($H$2:$H$7997,H807,$S$2:$S$7997),"")</f>
        <v/>
      </c>
      <c r="W807">
        <v>0</v>
      </c>
      <c r="X807">
        <v>0</v>
      </c>
      <c r="Y807">
        <v>0</v>
      </c>
      <c r="Z807">
        <v>0</v>
      </c>
      <c r="AA807" s="2">
        <v>1</v>
      </c>
      <c r="AB807" s="2">
        <v>0</v>
      </c>
      <c r="AC807" s="2">
        <v>0</v>
      </c>
      <c r="AD807">
        <v>0</v>
      </c>
      <c r="AE807" t="s">
        <v>1863</v>
      </c>
      <c r="AF807">
        <v>80000</v>
      </c>
      <c r="AG807">
        <v>1</v>
      </c>
      <c r="AH807">
        <v>160000</v>
      </c>
      <c r="AI807" s="1" t="s">
        <v>420</v>
      </c>
      <c r="AJ807">
        <v>261763</v>
      </c>
      <c r="AK807" s="1" t="s">
        <v>1867</v>
      </c>
      <c r="AL807" t="s">
        <v>2027</v>
      </c>
      <c r="AN807" t="s">
        <v>2054</v>
      </c>
      <c r="AO807" t="s">
        <v>2067</v>
      </c>
      <c r="AP807" t="s">
        <v>2104</v>
      </c>
      <c r="AQ807">
        <v>130400</v>
      </c>
      <c r="AR807" s="3">
        <v>46203</v>
      </c>
      <c r="AS807" s="3">
        <v>46192</v>
      </c>
      <c r="AT807" s="3">
        <v>46192</v>
      </c>
      <c r="AU807" t="s">
        <v>2126</v>
      </c>
      <c r="AW807" s="3">
        <v>46208.53701449134</v>
      </c>
    </row>
    <row r="808" spans="1:49" ht="16" hidden="1" x14ac:dyDescent="0.2">
      <c r="A808" t="s">
        <v>107</v>
      </c>
      <c r="B808">
        <v>10978</v>
      </c>
      <c r="C808">
        <v>7034</v>
      </c>
      <c r="D808" t="s">
        <v>134</v>
      </c>
      <c r="E808" t="s">
        <v>420</v>
      </c>
      <c r="F808">
        <v>261763</v>
      </c>
      <c r="G808" t="s">
        <v>819</v>
      </c>
      <c r="H808">
        <v>582197</v>
      </c>
      <c r="I808" t="s">
        <v>1605</v>
      </c>
      <c r="J808">
        <v>7328013591</v>
      </c>
      <c r="K808" t="s">
        <v>1835</v>
      </c>
      <c r="L808" t="s">
        <v>1851</v>
      </c>
      <c r="M808" s="1">
        <v>160000</v>
      </c>
      <c r="N808" t="s">
        <v>1858</v>
      </c>
      <c r="O808">
        <v>500</v>
      </c>
      <c r="P808" s="1">
        <v>80000</v>
      </c>
      <c r="S808" s="6" t="str">
        <f t="shared" si="12"/>
        <v xml:space="preserve"> </v>
      </c>
      <c r="T808" s="6" t="str">
        <f>IF(IF(COUNTIF(H$2:$H808,H808)=1,1,"")=1,SUMIF($H$2:$H$7997,H808,$S$2:$S$7997),"")</f>
        <v/>
      </c>
      <c r="W808">
        <v>0</v>
      </c>
      <c r="X808">
        <v>0</v>
      </c>
      <c r="Y808">
        <v>0</v>
      </c>
      <c r="Z808">
        <v>0</v>
      </c>
      <c r="AA808" s="2">
        <v>1</v>
      </c>
      <c r="AB808" s="2">
        <v>0</v>
      </c>
      <c r="AC808" s="2">
        <v>0</v>
      </c>
      <c r="AD808">
        <v>0</v>
      </c>
      <c r="AE808" t="s">
        <v>1863</v>
      </c>
      <c r="AF808">
        <v>80000</v>
      </c>
      <c r="AG808">
        <v>1</v>
      </c>
      <c r="AH808">
        <v>160000</v>
      </c>
      <c r="AI808" s="1" t="s">
        <v>420</v>
      </c>
      <c r="AJ808">
        <v>261763</v>
      </c>
      <c r="AK808" s="1" t="s">
        <v>1867</v>
      </c>
      <c r="AL808" t="s">
        <v>2027</v>
      </c>
      <c r="AN808" t="s">
        <v>2054</v>
      </c>
      <c r="AO808" t="s">
        <v>2067</v>
      </c>
      <c r="AP808" t="s">
        <v>2104</v>
      </c>
      <c r="AQ808">
        <v>130400</v>
      </c>
      <c r="AR808" s="3">
        <v>46203</v>
      </c>
      <c r="AS808" s="3">
        <v>46192</v>
      </c>
      <c r="AT808" s="3">
        <v>46192</v>
      </c>
      <c r="AU808" t="s">
        <v>2126</v>
      </c>
      <c r="AW808" s="3">
        <v>46208.53701449134</v>
      </c>
    </row>
    <row r="809" spans="1:49" ht="16" hidden="1" x14ac:dyDescent="0.2">
      <c r="A809" t="s">
        <v>107</v>
      </c>
      <c r="B809">
        <v>10978</v>
      </c>
      <c r="C809">
        <v>7034</v>
      </c>
      <c r="D809" t="s">
        <v>134</v>
      </c>
      <c r="E809" t="s">
        <v>420</v>
      </c>
      <c r="F809">
        <v>261763</v>
      </c>
      <c r="G809" t="s">
        <v>819</v>
      </c>
      <c r="H809">
        <v>582197</v>
      </c>
      <c r="I809" t="s">
        <v>1607</v>
      </c>
      <c r="J809">
        <v>7330341259</v>
      </c>
      <c r="K809" t="s">
        <v>1835</v>
      </c>
      <c r="L809" t="s">
        <v>1851</v>
      </c>
      <c r="M809" s="1">
        <v>160000</v>
      </c>
      <c r="N809" t="s">
        <v>1858</v>
      </c>
      <c r="O809">
        <v>500</v>
      </c>
      <c r="P809" s="1">
        <v>80000</v>
      </c>
      <c r="S809" s="6" t="str">
        <f t="shared" si="12"/>
        <v xml:space="preserve"> </v>
      </c>
      <c r="T809" s="6" t="str">
        <f>IF(IF(COUNTIF(H$2:$H809,H809)=1,1,"")=1,SUMIF($H$2:$H$7997,H809,$S$2:$S$7997),"")</f>
        <v/>
      </c>
      <c r="W809">
        <v>0</v>
      </c>
      <c r="X809">
        <v>0</v>
      </c>
      <c r="Y809">
        <v>0</v>
      </c>
      <c r="Z809">
        <v>0</v>
      </c>
      <c r="AA809" s="2">
        <v>1</v>
      </c>
      <c r="AB809" s="2">
        <v>0</v>
      </c>
      <c r="AC809" s="2">
        <v>0</v>
      </c>
      <c r="AD809">
        <v>0</v>
      </c>
      <c r="AE809" t="s">
        <v>1863</v>
      </c>
      <c r="AF809">
        <v>80000</v>
      </c>
      <c r="AG809">
        <v>1</v>
      </c>
      <c r="AH809">
        <v>160000</v>
      </c>
      <c r="AI809" s="1" t="s">
        <v>420</v>
      </c>
      <c r="AJ809">
        <v>261763</v>
      </c>
      <c r="AK809" s="1" t="s">
        <v>1867</v>
      </c>
      <c r="AL809" t="s">
        <v>2027</v>
      </c>
      <c r="AN809" t="s">
        <v>2054</v>
      </c>
      <c r="AO809" t="s">
        <v>2067</v>
      </c>
      <c r="AP809" t="s">
        <v>2106</v>
      </c>
      <c r="AQ809">
        <v>130400</v>
      </c>
      <c r="AR809" s="3">
        <v>46203</v>
      </c>
      <c r="AS809" s="3">
        <v>46192</v>
      </c>
      <c r="AT809" s="3">
        <v>46192</v>
      </c>
      <c r="AU809" t="s">
        <v>2126</v>
      </c>
      <c r="AW809" s="3">
        <v>46208.53701449134</v>
      </c>
    </row>
    <row r="810" spans="1:49" ht="16" hidden="1" x14ac:dyDescent="0.2">
      <c r="A810" t="s">
        <v>107</v>
      </c>
      <c r="B810">
        <v>10978</v>
      </c>
      <c r="C810">
        <v>7034</v>
      </c>
      <c r="D810" t="s">
        <v>134</v>
      </c>
      <c r="E810" t="s">
        <v>397</v>
      </c>
      <c r="F810">
        <v>270546</v>
      </c>
      <c r="G810" t="s">
        <v>735</v>
      </c>
      <c r="H810">
        <v>591925</v>
      </c>
      <c r="I810" t="s">
        <v>1424</v>
      </c>
      <c r="J810">
        <v>94702115</v>
      </c>
      <c r="K810" t="s">
        <v>1839</v>
      </c>
      <c r="L810" t="s">
        <v>1850</v>
      </c>
      <c r="M810" s="1">
        <v>40</v>
      </c>
      <c r="N810" t="s">
        <v>23</v>
      </c>
      <c r="O810">
        <v>9700812</v>
      </c>
      <c r="P810" s="1">
        <v>388032.48</v>
      </c>
      <c r="S810" s="6" t="str">
        <f t="shared" si="12"/>
        <v xml:space="preserve"> </v>
      </c>
      <c r="T810" s="6">
        <f>IF(IF(COUNTIF(H$2:$H810,H810)=1,1,"")=1,SUMIF($H$2:$H$7997,H810,$S$2:$S$7997),"")</f>
        <v>0</v>
      </c>
      <c r="W810">
        <v>9700812</v>
      </c>
      <c r="X810">
        <v>9700812</v>
      </c>
      <c r="Y810">
        <v>0</v>
      </c>
      <c r="Z810">
        <v>0</v>
      </c>
      <c r="AA810" s="2">
        <v>1</v>
      </c>
      <c r="AB810" s="2">
        <v>0</v>
      </c>
      <c r="AC810" s="2">
        <v>0</v>
      </c>
      <c r="AD810">
        <v>0</v>
      </c>
      <c r="AE810" t="s">
        <v>1862</v>
      </c>
      <c r="AF810">
        <v>204439.8</v>
      </c>
      <c r="AG810">
        <v>15400000</v>
      </c>
      <c r="AH810">
        <v>616000</v>
      </c>
      <c r="AI810" s="1" t="s">
        <v>397</v>
      </c>
      <c r="AJ810">
        <v>94702108</v>
      </c>
      <c r="AK810" s="1" t="s">
        <v>1867</v>
      </c>
      <c r="AL810" t="s">
        <v>2007</v>
      </c>
      <c r="AN810" t="s">
        <v>2054</v>
      </c>
      <c r="AO810" t="s">
        <v>2067</v>
      </c>
      <c r="AP810" t="s">
        <v>2094</v>
      </c>
      <c r="AQ810">
        <v>130990</v>
      </c>
      <c r="AR810" s="3">
        <v>46203</v>
      </c>
      <c r="AS810" s="3">
        <v>46184</v>
      </c>
      <c r="AT810" s="3">
        <v>46222</v>
      </c>
      <c r="AU810" t="s">
        <v>2124</v>
      </c>
      <c r="AW810" s="3">
        <v>46208.53701449134</v>
      </c>
    </row>
    <row r="811" spans="1:49" ht="16" hidden="1" x14ac:dyDescent="0.2">
      <c r="A811" t="s">
        <v>107</v>
      </c>
      <c r="B811">
        <v>10978</v>
      </c>
      <c r="C811">
        <v>7034</v>
      </c>
      <c r="D811" t="s">
        <v>134</v>
      </c>
      <c r="E811" t="s">
        <v>397</v>
      </c>
      <c r="F811">
        <v>270546</v>
      </c>
      <c r="G811" t="s">
        <v>735</v>
      </c>
      <c r="H811">
        <v>591925</v>
      </c>
      <c r="I811" t="s">
        <v>1423</v>
      </c>
      <c r="J811">
        <v>94702111</v>
      </c>
      <c r="K811" t="s">
        <v>1835</v>
      </c>
      <c r="L811" t="s">
        <v>1850</v>
      </c>
      <c r="M811" s="1">
        <v>40</v>
      </c>
      <c r="N811" t="s">
        <v>23</v>
      </c>
      <c r="O811">
        <v>4438470</v>
      </c>
      <c r="P811" s="1">
        <v>177538.8</v>
      </c>
      <c r="S811" s="6" t="str">
        <f t="shared" si="12"/>
        <v xml:space="preserve"> </v>
      </c>
      <c r="T811" s="6" t="str">
        <f>IF(IF(COUNTIF(H$2:$H811,H811)=1,1,"")=1,SUMIF($H$2:$H$7997,H811,$S$2:$S$7997),"")</f>
        <v/>
      </c>
      <c r="W811">
        <v>4438470</v>
      </c>
      <c r="X811">
        <v>4438470</v>
      </c>
      <c r="Y811">
        <v>0</v>
      </c>
      <c r="Z811">
        <v>0</v>
      </c>
      <c r="AA811" s="2">
        <v>1</v>
      </c>
      <c r="AB811" s="2">
        <v>0</v>
      </c>
      <c r="AC811" s="2">
        <v>0</v>
      </c>
      <c r="AD811">
        <v>0</v>
      </c>
      <c r="AE811" t="s">
        <v>1862</v>
      </c>
      <c r="AF811">
        <v>87617.06</v>
      </c>
      <c r="AG811">
        <v>6600000</v>
      </c>
      <c r="AH811">
        <v>264000</v>
      </c>
      <c r="AI811" s="1" t="s">
        <v>397</v>
      </c>
      <c r="AJ811">
        <v>94702108</v>
      </c>
      <c r="AK811" s="1" t="s">
        <v>1867</v>
      </c>
      <c r="AL811" t="s">
        <v>2007</v>
      </c>
      <c r="AN811" t="s">
        <v>2054</v>
      </c>
      <c r="AO811" t="s">
        <v>2067</v>
      </c>
      <c r="AP811" t="s">
        <v>2092</v>
      </c>
      <c r="AQ811">
        <v>130990</v>
      </c>
      <c r="AR811" s="3">
        <v>46203</v>
      </c>
      <c r="AS811" s="3">
        <v>46184</v>
      </c>
      <c r="AT811" s="3">
        <v>46222</v>
      </c>
      <c r="AU811" t="s">
        <v>2123</v>
      </c>
      <c r="AW811" s="3">
        <v>46208.53701449134</v>
      </c>
    </row>
    <row r="812" spans="1:49" ht="16" hidden="1" x14ac:dyDescent="0.2">
      <c r="A812" t="s">
        <v>107</v>
      </c>
      <c r="B812">
        <v>10978</v>
      </c>
      <c r="C812">
        <v>7034</v>
      </c>
      <c r="D812" t="s">
        <v>134</v>
      </c>
      <c r="E812" t="s">
        <v>397</v>
      </c>
      <c r="F812">
        <v>270546</v>
      </c>
      <c r="G812" t="s">
        <v>824</v>
      </c>
      <c r="H812">
        <v>591932</v>
      </c>
      <c r="I812" t="s">
        <v>1611</v>
      </c>
      <c r="J812">
        <v>7337962532</v>
      </c>
      <c r="K812" t="s">
        <v>1835</v>
      </c>
      <c r="L812" t="s">
        <v>1850</v>
      </c>
      <c r="M812" s="1">
        <v>6</v>
      </c>
      <c r="N812" t="s">
        <v>23</v>
      </c>
      <c r="O812">
        <v>0</v>
      </c>
      <c r="P812" s="1">
        <v>0</v>
      </c>
      <c r="S812" s="6" t="str">
        <f t="shared" si="12"/>
        <v xml:space="preserve"> </v>
      </c>
      <c r="T812" s="6">
        <f>IF(IF(COUNTIF(H$2:$H812,H812)=1,1,"")=1,SUMIF($H$2:$H$7997,H812,$S$2:$S$7997),"")</f>
        <v>0</v>
      </c>
      <c r="W812">
        <v>0</v>
      </c>
      <c r="X812">
        <v>0</v>
      </c>
      <c r="Y812">
        <v>0</v>
      </c>
      <c r="Z812">
        <v>0</v>
      </c>
      <c r="AA812" s="2">
        <v>1</v>
      </c>
      <c r="AB812" s="2">
        <v>0</v>
      </c>
      <c r="AC812" s="2">
        <v>0</v>
      </c>
      <c r="AD812">
        <v>0</v>
      </c>
      <c r="AE812" t="s">
        <v>1862</v>
      </c>
      <c r="AF812">
        <v>16071.22</v>
      </c>
      <c r="AG812">
        <v>11666667</v>
      </c>
      <c r="AH812">
        <v>70000</v>
      </c>
      <c r="AI812" s="1" t="s">
        <v>397</v>
      </c>
      <c r="AJ812">
        <v>270546</v>
      </c>
      <c r="AK812" s="1" t="s">
        <v>1867</v>
      </c>
      <c r="AL812" t="s">
        <v>2007</v>
      </c>
      <c r="AN812" t="s">
        <v>2054</v>
      </c>
      <c r="AO812" t="s">
        <v>2067</v>
      </c>
      <c r="AP812" t="s">
        <v>2103</v>
      </c>
      <c r="AQ812">
        <v>130990</v>
      </c>
      <c r="AR812" s="3">
        <v>46203</v>
      </c>
      <c r="AS812" s="3">
        <v>46184</v>
      </c>
      <c r="AT812" s="3">
        <v>46222</v>
      </c>
      <c r="AU812" t="s">
        <v>2126</v>
      </c>
      <c r="AW812" s="3">
        <v>46208.53701449134</v>
      </c>
    </row>
    <row r="813" spans="1:49" ht="16" hidden="1" x14ac:dyDescent="0.2">
      <c r="A813" t="s">
        <v>107</v>
      </c>
      <c r="B813">
        <v>10978</v>
      </c>
      <c r="C813">
        <v>7034</v>
      </c>
      <c r="D813" t="s">
        <v>134</v>
      </c>
      <c r="E813" t="s">
        <v>397</v>
      </c>
      <c r="F813">
        <v>270546</v>
      </c>
      <c r="G813" t="s">
        <v>759</v>
      </c>
      <c r="H813">
        <v>595946</v>
      </c>
      <c r="I813" t="s">
        <v>1485</v>
      </c>
      <c r="J813">
        <v>95005891</v>
      </c>
      <c r="K813" t="s">
        <v>1839</v>
      </c>
      <c r="L813" t="s">
        <v>1850</v>
      </c>
      <c r="M813" s="1">
        <v>40</v>
      </c>
      <c r="N813" t="s">
        <v>23</v>
      </c>
      <c r="O813">
        <v>3400138</v>
      </c>
      <c r="P813" s="1">
        <v>0</v>
      </c>
      <c r="S813" s="6" t="str">
        <f t="shared" si="12"/>
        <v xml:space="preserve"> </v>
      </c>
      <c r="T813" s="6">
        <f>IF(IF(COUNTIF(H$2:$H813,H813)=1,1,"")=1,SUMIF($H$2:$H$7997,H813,$S$2:$S$7997),"")</f>
        <v>0</v>
      </c>
      <c r="W813">
        <v>3400138</v>
      </c>
      <c r="X813">
        <v>3400138</v>
      </c>
      <c r="Y813">
        <v>0</v>
      </c>
      <c r="Z813">
        <v>0</v>
      </c>
      <c r="AA813" s="2">
        <v>1</v>
      </c>
      <c r="AB813" s="2">
        <v>0</v>
      </c>
      <c r="AC813" s="2">
        <v>0</v>
      </c>
      <c r="AD813">
        <v>0</v>
      </c>
      <c r="AE813" t="s">
        <v>1862</v>
      </c>
      <c r="AF813">
        <v>0</v>
      </c>
      <c r="AG813">
        <v>11190380</v>
      </c>
      <c r="AH813">
        <v>0</v>
      </c>
      <c r="AI813" s="1" t="s">
        <v>397</v>
      </c>
      <c r="AJ813">
        <v>94702108</v>
      </c>
      <c r="AK813" s="1" t="s">
        <v>1867</v>
      </c>
      <c r="AL813" t="s">
        <v>2007</v>
      </c>
      <c r="AN813" t="s">
        <v>2054</v>
      </c>
      <c r="AO813" t="s">
        <v>2068</v>
      </c>
      <c r="AP813" t="s">
        <v>2094</v>
      </c>
      <c r="AQ813">
        <v>130990</v>
      </c>
      <c r="AR813" s="3">
        <v>46203</v>
      </c>
      <c r="AS813" s="3">
        <v>46197</v>
      </c>
      <c r="AT813" s="3">
        <v>46222</v>
      </c>
      <c r="AU813" t="s">
        <v>2124</v>
      </c>
      <c r="AW813" s="3">
        <v>46208.53701449134</v>
      </c>
    </row>
    <row r="814" spans="1:49" ht="16" hidden="1" x14ac:dyDescent="0.2">
      <c r="A814" t="s">
        <v>107</v>
      </c>
      <c r="B814">
        <v>10978</v>
      </c>
      <c r="C814">
        <v>7034</v>
      </c>
      <c r="D814" t="s">
        <v>134</v>
      </c>
      <c r="E814" t="s">
        <v>397</v>
      </c>
      <c r="F814">
        <v>270546</v>
      </c>
      <c r="G814" t="s">
        <v>759</v>
      </c>
      <c r="H814">
        <v>595946</v>
      </c>
      <c r="I814" t="s">
        <v>1484</v>
      </c>
      <c r="J814">
        <v>95005887</v>
      </c>
      <c r="K814" t="s">
        <v>1835</v>
      </c>
      <c r="L814" t="s">
        <v>1850</v>
      </c>
      <c r="M814" s="1">
        <v>40</v>
      </c>
      <c r="N814" t="s">
        <v>23</v>
      </c>
      <c r="O814">
        <v>3225767</v>
      </c>
      <c r="P814" s="1">
        <v>0</v>
      </c>
      <c r="S814" s="6" t="str">
        <f t="shared" si="12"/>
        <v xml:space="preserve"> </v>
      </c>
      <c r="T814" s="6" t="str">
        <f>IF(IF(COUNTIF(H$2:$H814,H814)=1,1,"")=1,SUMIF($H$2:$H$7997,H814,$S$2:$S$7997),"")</f>
        <v/>
      </c>
      <c r="W814">
        <v>3225767</v>
      </c>
      <c r="X814">
        <v>3225767</v>
      </c>
      <c r="Y814">
        <v>0</v>
      </c>
      <c r="Z814">
        <v>0</v>
      </c>
      <c r="AA814" s="2">
        <v>1</v>
      </c>
      <c r="AB814" s="2">
        <v>0</v>
      </c>
      <c r="AC814" s="2">
        <v>0</v>
      </c>
      <c r="AD814">
        <v>0</v>
      </c>
      <c r="AE814" t="s">
        <v>1862</v>
      </c>
      <c r="AF814">
        <v>0</v>
      </c>
      <c r="AG814">
        <v>4795877</v>
      </c>
      <c r="AH814">
        <v>0</v>
      </c>
      <c r="AI814" s="1" t="s">
        <v>397</v>
      </c>
      <c r="AJ814">
        <v>94702108</v>
      </c>
      <c r="AK814" s="1" t="s">
        <v>1867</v>
      </c>
      <c r="AL814" t="s">
        <v>2007</v>
      </c>
      <c r="AN814" t="s">
        <v>2054</v>
      </c>
      <c r="AO814" t="s">
        <v>2068</v>
      </c>
      <c r="AP814" t="s">
        <v>2092</v>
      </c>
      <c r="AQ814">
        <v>130990</v>
      </c>
      <c r="AR814" s="3">
        <v>46203</v>
      </c>
      <c r="AS814" s="3">
        <v>46197</v>
      </c>
      <c r="AT814" s="3">
        <v>46222</v>
      </c>
      <c r="AU814" t="s">
        <v>2123</v>
      </c>
      <c r="AW814" s="3">
        <v>46208.53701449134</v>
      </c>
    </row>
    <row r="815" spans="1:49" ht="16" hidden="1" x14ac:dyDescent="0.2">
      <c r="A815" t="s">
        <v>79</v>
      </c>
      <c r="B815">
        <v>11723</v>
      </c>
      <c r="C815">
        <v>1552</v>
      </c>
      <c r="D815" t="s">
        <v>145</v>
      </c>
      <c r="E815" t="s">
        <v>278</v>
      </c>
      <c r="F815">
        <v>267694</v>
      </c>
      <c r="G815" t="s">
        <v>512</v>
      </c>
      <c r="H815">
        <v>585121</v>
      </c>
      <c r="I815" t="s">
        <v>1015</v>
      </c>
      <c r="J815">
        <v>93652391</v>
      </c>
      <c r="K815" t="s">
        <v>1839</v>
      </c>
      <c r="L815" t="s">
        <v>1850</v>
      </c>
      <c r="M815" s="1">
        <v>16.5</v>
      </c>
      <c r="N815" t="s">
        <v>23</v>
      </c>
      <c r="O815">
        <v>3776033</v>
      </c>
      <c r="P815" s="1">
        <v>62304.54</v>
      </c>
      <c r="S815" s="6" t="str">
        <f t="shared" si="12"/>
        <v xml:space="preserve"> </v>
      </c>
      <c r="T815" s="6">
        <f>IF(IF(COUNTIF(H$2:$H815,H815)=1,1,"")=1,SUMIF($H$2:$H$7997,H815,$S$2:$S$7997),"")</f>
        <v>0</v>
      </c>
      <c r="W815">
        <v>3776033</v>
      </c>
      <c r="X815">
        <v>3776033</v>
      </c>
      <c r="Y815">
        <v>0</v>
      </c>
      <c r="Z815">
        <v>0</v>
      </c>
      <c r="AA815" s="2">
        <v>1</v>
      </c>
      <c r="AB815" s="2">
        <v>0</v>
      </c>
      <c r="AC815" s="2">
        <v>0</v>
      </c>
      <c r="AD815">
        <v>0</v>
      </c>
      <c r="AE815" t="s">
        <v>1862</v>
      </c>
      <c r="AF815">
        <v>30791.37</v>
      </c>
      <c r="AG815">
        <v>8745455</v>
      </c>
      <c r="AH815">
        <v>144300.01</v>
      </c>
      <c r="AI815" s="1" t="s">
        <v>278</v>
      </c>
      <c r="AJ815">
        <v>93652384</v>
      </c>
      <c r="AK815" s="1" t="s">
        <v>1867</v>
      </c>
      <c r="AL815" t="s">
        <v>1916</v>
      </c>
      <c r="AN815" t="s">
        <v>2055</v>
      </c>
      <c r="AO815" t="s">
        <v>2067</v>
      </c>
      <c r="AP815" t="s">
        <v>2093</v>
      </c>
      <c r="AQ815">
        <v>126803</v>
      </c>
      <c r="AR815" s="3">
        <v>46203</v>
      </c>
      <c r="AS815" s="3">
        <v>46184</v>
      </c>
      <c r="AT815" s="3">
        <v>46234</v>
      </c>
      <c r="AU815" t="s">
        <v>2124</v>
      </c>
      <c r="AW815" s="3">
        <v>46208.53701449134</v>
      </c>
    </row>
    <row r="816" spans="1:49" ht="16" hidden="1" x14ac:dyDescent="0.2">
      <c r="A816" t="s">
        <v>79</v>
      </c>
      <c r="B816">
        <v>11723</v>
      </c>
      <c r="C816">
        <v>1552</v>
      </c>
      <c r="D816" t="s">
        <v>145</v>
      </c>
      <c r="E816" t="s">
        <v>278</v>
      </c>
      <c r="F816">
        <v>267694</v>
      </c>
      <c r="G816" t="s">
        <v>512</v>
      </c>
      <c r="H816">
        <v>585121</v>
      </c>
      <c r="I816" t="s">
        <v>1014</v>
      </c>
      <c r="J816">
        <v>93652387</v>
      </c>
      <c r="K816" t="s">
        <v>1840</v>
      </c>
      <c r="L816" t="s">
        <v>1850</v>
      </c>
      <c r="M816" s="1">
        <v>16.5</v>
      </c>
      <c r="N816" t="s">
        <v>23</v>
      </c>
      <c r="O816">
        <v>2477657</v>
      </c>
      <c r="P816" s="1">
        <v>40881.339999999997</v>
      </c>
      <c r="S816" s="6" t="str">
        <f t="shared" si="12"/>
        <v xml:space="preserve"> </v>
      </c>
      <c r="T816" s="6" t="str">
        <f>IF(IF(COUNTIF(H$2:$H816,H816)=1,1,"")=1,SUMIF($H$2:$H$7997,H816,$S$2:$S$7997),"")</f>
        <v/>
      </c>
      <c r="W816">
        <v>2477657</v>
      </c>
      <c r="X816">
        <v>2477657</v>
      </c>
      <c r="Y816">
        <v>0</v>
      </c>
      <c r="Z816">
        <v>0</v>
      </c>
      <c r="AA816" s="2">
        <v>1</v>
      </c>
      <c r="AB816" s="2">
        <v>0</v>
      </c>
      <c r="AC816" s="2">
        <v>0</v>
      </c>
      <c r="AD816">
        <v>0</v>
      </c>
      <c r="AE816" t="s">
        <v>1862</v>
      </c>
      <c r="AF816">
        <v>20527.580000000002</v>
      </c>
      <c r="AG816">
        <v>5830303</v>
      </c>
      <c r="AH816">
        <v>96200</v>
      </c>
      <c r="AI816" s="1" t="s">
        <v>278</v>
      </c>
      <c r="AJ816">
        <v>93652384</v>
      </c>
      <c r="AK816" s="1" t="s">
        <v>1867</v>
      </c>
      <c r="AL816" t="s">
        <v>1916</v>
      </c>
      <c r="AN816" t="s">
        <v>2055</v>
      </c>
      <c r="AO816" t="s">
        <v>2067</v>
      </c>
      <c r="AP816" t="s">
        <v>2083</v>
      </c>
      <c r="AQ816">
        <v>126803</v>
      </c>
      <c r="AR816" s="3">
        <v>46203</v>
      </c>
      <c r="AS816" s="3">
        <v>46184</v>
      </c>
      <c r="AT816" s="3">
        <v>46234</v>
      </c>
      <c r="AU816" t="s">
        <v>2123</v>
      </c>
      <c r="AW816" s="3">
        <v>46208.53701449134</v>
      </c>
    </row>
    <row r="817" spans="1:49" ht="16" hidden="1" x14ac:dyDescent="0.2">
      <c r="A817" t="s">
        <v>79</v>
      </c>
      <c r="B817">
        <v>11723</v>
      </c>
      <c r="C817">
        <v>8253</v>
      </c>
      <c r="D817" t="s">
        <v>166</v>
      </c>
      <c r="E817" t="s">
        <v>309</v>
      </c>
      <c r="F817">
        <v>267963</v>
      </c>
      <c r="G817" t="s">
        <v>567</v>
      </c>
      <c r="H817">
        <v>585634</v>
      </c>
      <c r="I817" t="s">
        <v>1114</v>
      </c>
      <c r="J817">
        <v>93983782</v>
      </c>
      <c r="K817" t="s">
        <v>1839</v>
      </c>
      <c r="L817" t="s">
        <v>1850</v>
      </c>
      <c r="M817" s="1">
        <v>80</v>
      </c>
      <c r="N817" t="s">
        <v>23</v>
      </c>
      <c r="O817">
        <v>1335475</v>
      </c>
      <c r="P817" s="1">
        <v>106838</v>
      </c>
      <c r="S817" s="6" t="str">
        <f t="shared" si="12"/>
        <v xml:space="preserve"> </v>
      </c>
      <c r="T817" s="6">
        <f>IF(IF(COUNTIF(H$2:$H817,H817)=1,1,"")=1,SUMIF($H$2:$H$7997,H817,$S$2:$S$7997),"")</f>
        <v>0</v>
      </c>
      <c r="W817">
        <v>1335475</v>
      </c>
      <c r="X817">
        <v>1335475</v>
      </c>
      <c r="Y817">
        <v>0</v>
      </c>
      <c r="Z817">
        <v>0</v>
      </c>
      <c r="AA817" s="2">
        <v>1</v>
      </c>
      <c r="AB817" s="2">
        <v>0</v>
      </c>
      <c r="AC817" s="2">
        <v>0</v>
      </c>
      <c r="AD817">
        <v>0</v>
      </c>
      <c r="AE817" t="s">
        <v>1862</v>
      </c>
      <c r="AF817">
        <v>53405.85</v>
      </c>
      <c r="AG817">
        <v>1840000</v>
      </c>
      <c r="AH817">
        <v>147200</v>
      </c>
      <c r="AI817" s="1" t="s">
        <v>309</v>
      </c>
      <c r="AJ817">
        <v>93983779</v>
      </c>
      <c r="AK817" s="1" t="s">
        <v>1867</v>
      </c>
      <c r="AL817" t="s">
        <v>1941</v>
      </c>
      <c r="AN817" t="s">
        <v>2055</v>
      </c>
      <c r="AO817" t="s">
        <v>2067</v>
      </c>
      <c r="AP817" t="s">
        <v>2094</v>
      </c>
      <c r="AQ817">
        <v>128219</v>
      </c>
      <c r="AR817" s="3">
        <v>46203</v>
      </c>
      <c r="AS817" s="3">
        <v>46174</v>
      </c>
      <c r="AT817" s="3">
        <v>46222</v>
      </c>
      <c r="AU817" t="s">
        <v>2124</v>
      </c>
      <c r="AW817" s="3">
        <v>46208.53701449134</v>
      </c>
    </row>
    <row r="818" spans="1:49" ht="16" hidden="1" x14ac:dyDescent="0.2">
      <c r="A818" t="s">
        <v>79</v>
      </c>
      <c r="B818">
        <v>11723</v>
      </c>
      <c r="C818">
        <v>8253</v>
      </c>
      <c r="D818" t="s">
        <v>166</v>
      </c>
      <c r="E818" t="s">
        <v>309</v>
      </c>
      <c r="F818">
        <v>267963</v>
      </c>
      <c r="G818" t="s">
        <v>567</v>
      </c>
      <c r="H818">
        <v>585634</v>
      </c>
      <c r="I818" t="s">
        <v>1118</v>
      </c>
      <c r="J818">
        <v>93983803</v>
      </c>
      <c r="K818" t="s">
        <v>1835</v>
      </c>
      <c r="L818" t="s">
        <v>1850</v>
      </c>
      <c r="M818" s="1">
        <v>80</v>
      </c>
      <c r="N818" t="s">
        <v>23</v>
      </c>
      <c r="O818">
        <v>29326</v>
      </c>
      <c r="P818" s="1">
        <v>2346.08</v>
      </c>
      <c r="S818" s="6" t="str">
        <f t="shared" si="12"/>
        <v xml:space="preserve"> </v>
      </c>
      <c r="T818" s="6" t="str">
        <f>IF(IF(COUNTIF(H$2:$H818,H818)=1,1,"")=1,SUMIF($H$2:$H$7997,H818,$S$2:$S$7997),"")</f>
        <v/>
      </c>
      <c r="W818">
        <v>29326</v>
      </c>
      <c r="X818">
        <v>29326</v>
      </c>
      <c r="Y818">
        <v>0</v>
      </c>
      <c r="Z818">
        <v>0</v>
      </c>
      <c r="AA818" s="2">
        <v>1</v>
      </c>
      <c r="AB818" s="2">
        <v>0</v>
      </c>
      <c r="AC818" s="2">
        <v>0</v>
      </c>
      <c r="AD818">
        <v>0</v>
      </c>
      <c r="AE818" t="s">
        <v>1862</v>
      </c>
      <c r="AF818">
        <v>1015.87</v>
      </c>
      <c r="AG818">
        <v>35000</v>
      </c>
      <c r="AH818">
        <v>2800</v>
      </c>
      <c r="AI818" s="1" t="s">
        <v>309</v>
      </c>
      <c r="AJ818">
        <v>93983779</v>
      </c>
      <c r="AK818" s="1" t="s">
        <v>1867</v>
      </c>
      <c r="AL818" t="s">
        <v>1941</v>
      </c>
      <c r="AN818" t="s">
        <v>2055</v>
      </c>
      <c r="AO818" t="s">
        <v>2067</v>
      </c>
      <c r="AP818" t="s">
        <v>2092</v>
      </c>
      <c r="AQ818">
        <v>128219</v>
      </c>
      <c r="AR818" s="3">
        <v>46203</v>
      </c>
      <c r="AS818" s="3">
        <v>46174</v>
      </c>
      <c r="AT818" s="3">
        <v>46222</v>
      </c>
      <c r="AU818" t="s">
        <v>2123</v>
      </c>
      <c r="AW818" s="3">
        <v>46208.53701449134</v>
      </c>
    </row>
    <row r="819" spans="1:49" ht="16" hidden="1" x14ac:dyDescent="0.2">
      <c r="A819" t="s">
        <v>79</v>
      </c>
      <c r="B819">
        <v>11723</v>
      </c>
      <c r="C819">
        <v>8253</v>
      </c>
      <c r="D819" t="s">
        <v>166</v>
      </c>
      <c r="E819" t="s">
        <v>309</v>
      </c>
      <c r="F819">
        <v>267963</v>
      </c>
      <c r="G819" t="s">
        <v>569</v>
      </c>
      <c r="H819">
        <v>587702</v>
      </c>
      <c r="I819" t="s">
        <v>1116</v>
      </c>
      <c r="J819">
        <v>93983789</v>
      </c>
      <c r="K819" t="s">
        <v>1835</v>
      </c>
      <c r="L819" t="s">
        <v>1850</v>
      </c>
      <c r="M819" s="1">
        <v>50</v>
      </c>
      <c r="N819" t="s">
        <v>1853</v>
      </c>
      <c r="O819">
        <v>393553</v>
      </c>
      <c r="P819" s="1">
        <v>19677.650000000001</v>
      </c>
      <c r="S819" s="6" t="str">
        <f t="shared" si="12"/>
        <v xml:space="preserve"> </v>
      </c>
      <c r="T819" s="6">
        <f>IF(IF(COUNTIF(H$2:$H819,H819)=1,1,"")=1,SUMIF($H$2:$H$7997,H819,$S$2:$S$7997),"")</f>
        <v>0</v>
      </c>
      <c r="W819">
        <v>334655</v>
      </c>
      <c r="X819">
        <v>334655</v>
      </c>
      <c r="Y819">
        <v>393553</v>
      </c>
      <c r="Z819">
        <v>393553</v>
      </c>
      <c r="AA819" s="2">
        <v>1</v>
      </c>
      <c r="AB819" s="2">
        <v>1.175997994460892</v>
      </c>
      <c r="AC819" s="2">
        <v>0</v>
      </c>
      <c r="AD819">
        <v>0</v>
      </c>
      <c r="AE819" t="s">
        <v>1862</v>
      </c>
      <c r="AF819">
        <v>9762.48</v>
      </c>
      <c r="AG819">
        <v>600000</v>
      </c>
      <c r="AH819">
        <v>30000</v>
      </c>
      <c r="AI819" s="1" t="s">
        <v>309</v>
      </c>
      <c r="AJ819">
        <v>93983779</v>
      </c>
      <c r="AK819" s="1" t="s">
        <v>1867</v>
      </c>
      <c r="AL819" t="s">
        <v>1941</v>
      </c>
      <c r="AN819" t="s">
        <v>2055</v>
      </c>
      <c r="AO819" t="s">
        <v>2067</v>
      </c>
      <c r="AP819" t="s">
        <v>2091</v>
      </c>
      <c r="AQ819">
        <v>128219</v>
      </c>
      <c r="AR819" s="3">
        <v>46203</v>
      </c>
      <c r="AS819" s="3">
        <v>46174</v>
      </c>
      <c r="AT819" s="3">
        <v>46222</v>
      </c>
      <c r="AU819" t="s">
        <v>2123</v>
      </c>
      <c r="AW819" s="3">
        <v>46208.53701449134</v>
      </c>
    </row>
    <row r="820" spans="1:49" ht="16" hidden="1" x14ac:dyDescent="0.2">
      <c r="A820" t="s">
        <v>79</v>
      </c>
      <c r="B820">
        <v>11723</v>
      </c>
      <c r="C820">
        <v>8253</v>
      </c>
      <c r="D820" t="s">
        <v>166</v>
      </c>
      <c r="E820" t="s">
        <v>309</v>
      </c>
      <c r="F820">
        <v>267963</v>
      </c>
      <c r="G820" t="s">
        <v>568</v>
      </c>
      <c r="H820">
        <v>587704</v>
      </c>
      <c r="I820" t="s">
        <v>1117</v>
      </c>
      <c r="J820">
        <v>93983793</v>
      </c>
      <c r="K820" t="s">
        <v>1839</v>
      </c>
      <c r="L820" t="s">
        <v>1850</v>
      </c>
      <c r="M820" s="1">
        <v>40</v>
      </c>
      <c r="N820" t="s">
        <v>1855</v>
      </c>
      <c r="O820">
        <v>1172573</v>
      </c>
      <c r="P820" s="1">
        <v>46902.92</v>
      </c>
      <c r="S820" s="6" t="str">
        <f t="shared" si="12"/>
        <v xml:space="preserve"> </v>
      </c>
      <c r="T820" s="6">
        <f>IF(IF(COUNTIF(H$2:$H820,H820)=1,1,"")=1,SUMIF($H$2:$H$7997,H820,$S$2:$S$7997),"")</f>
        <v>0</v>
      </c>
      <c r="W820">
        <v>1172573</v>
      </c>
      <c r="X820">
        <v>1172573</v>
      </c>
      <c r="Y820">
        <v>0</v>
      </c>
      <c r="Z820">
        <v>0</v>
      </c>
      <c r="AA820" s="2">
        <v>1</v>
      </c>
      <c r="AB820" s="2">
        <v>0</v>
      </c>
      <c r="AC820" s="2">
        <v>0</v>
      </c>
      <c r="AD820">
        <v>0</v>
      </c>
      <c r="AE820" t="s">
        <v>1862</v>
      </c>
      <c r="AF820">
        <v>21460</v>
      </c>
      <c r="AG820">
        <v>3300000</v>
      </c>
      <c r="AH820">
        <v>132000</v>
      </c>
      <c r="AI820" s="1" t="s">
        <v>309</v>
      </c>
      <c r="AJ820">
        <v>93983779</v>
      </c>
      <c r="AK820" s="1" t="s">
        <v>1868</v>
      </c>
      <c r="AL820" t="s">
        <v>1941</v>
      </c>
      <c r="AN820" t="s">
        <v>2055</v>
      </c>
      <c r="AO820" t="s">
        <v>2067</v>
      </c>
      <c r="AP820" t="s">
        <v>2093</v>
      </c>
      <c r="AQ820">
        <v>128219</v>
      </c>
      <c r="AR820" s="3">
        <v>46203</v>
      </c>
      <c r="AS820" s="3">
        <v>46174</v>
      </c>
      <c r="AT820" s="3">
        <v>46292</v>
      </c>
      <c r="AU820" t="s">
        <v>2124</v>
      </c>
      <c r="AW820" s="3">
        <v>46208.53701449134</v>
      </c>
    </row>
    <row r="821" spans="1:49" ht="16" hidden="1" x14ac:dyDescent="0.2">
      <c r="A821" t="s">
        <v>79</v>
      </c>
      <c r="B821">
        <v>11723</v>
      </c>
      <c r="C821">
        <v>8253</v>
      </c>
      <c r="D821" t="s">
        <v>166</v>
      </c>
      <c r="E821" t="s">
        <v>309</v>
      </c>
      <c r="F821">
        <v>267963</v>
      </c>
      <c r="G821" t="s">
        <v>568</v>
      </c>
      <c r="H821">
        <v>587704</v>
      </c>
      <c r="I821" t="s">
        <v>1115</v>
      </c>
      <c r="J821">
        <v>93983785</v>
      </c>
      <c r="K821" t="s">
        <v>1840</v>
      </c>
      <c r="L821" t="s">
        <v>1850</v>
      </c>
      <c r="M821" s="1">
        <v>40</v>
      </c>
      <c r="N821" t="s">
        <v>1855</v>
      </c>
      <c r="O821">
        <v>603706</v>
      </c>
      <c r="P821" s="1">
        <v>24148.240000000002</v>
      </c>
      <c r="S821" s="6" t="str">
        <f t="shared" si="12"/>
        <v xml:space="preserve"> </v>
      </c>
      <c r="T821" s="6" t="str">
        <f>IF(IF(COUNTIF(H$2:$H821,H821)=1,1,"")=1,SUMIF($H$2:$H$7997,H821,$S$2:$S$7997),"")</f>
        <v/>
      </c>
      <c r="W821">
        <v>603706</v>
      </c>
      <c r="X821">
        <v>603706</v>
      </c>
      <c r="Y821">
        <v>0</v>
      </c>
      <c r="Z821">
        <v>0</v>
      </c>
      <c r="AA821" s="2">
        <v>1</v>
      </c>
      <c r="AB821" s="2">
        <v>0</v>
      </c>
      <c r="AC821" s="2">
        <v>0</v>
      </c>
      <c r="AD821">
        <v>0</v>
      </c>
      <c r="AE821" t="s">
        <v>1862</v>
      </c>
      <c r="AF821">
        <v>14306.66</v>
      </c>
      <c r="AG821">
        <v>2200000</v>
      </c>
      <c r="AH821">
        <v>88000</v>
      </c>
      <c r="AI821" s="1" t="s">
        <v>309</v>
      </c>
      <c r="AJ821">
        <v>93983779</v>
      </c>
      <c r="AK821" s="1" t="s">
        <v>1868</v>
      </c>
      <c r="AL821" t="s">
        <v>1941</v>
      </c>
      <c r="AN821" t="s">
        <v>2055</v>
      </c>
      <c r="AO821" t="s">
        <v>2067</v>
      </c>
      <c r="AP821" t="s">
        <v>2083</v>
      </c>
      <c r="AQ821">
        <v>128219</v>
      </c>
      <c r="AR821" s="3">
        <v>46203</v>
      </c>
      <c r="AS821" s="3">
        <v>46174</v>
      </c>
      <c r="AT821" s="3">
        <v>46292</v>
      </c>
      <c r="AU821" t="s">
        <v>2123</v>
      </c>
      <c r="AW821" s="3">
        <v>46208.53701449134</v>
      </c>
    </row>
    <row r="822" spans="1:49" ht="16" hidden="1" x14ac:dyDescent="0.2">
      <c r="A822" t="s">
        <v>79</v>
      </c>
      <c r="B822">
        <v>11723</v>
      </c>
      <c r="C822">
        <v>8253</v>
      </c>
      <c r="D822" t="s">
        <v>166</v>
      </c>
      <c r="E822" t="s">
        <v>310</v>
      </c>
      <c r="F822">
        <v>267962</v>
      </c>
      <c r="G822" t="s">
        <v>572</v>
      </c>
      <c r="H822">
        <v>585622</v>
      </c>
      <c r="I822" t="s">
        <v>1123</v>
      </c>
      <c r="J822">
        <v>93983831</v>
      </c>
      <c r="K822" t="s">
        <v>1839</v>
      </c>
      <c r="L822" t="s">
        <v>1850</v>
      </c>
      <c r="M822" s="1">
        <v>60</v>
      </c>
      <c r="N822" t="s">
        <v>23</v>
      </c>
      <c r="O822">
        <v>411960</v>
      </c>
      <c r="P822" s="1">
        <v>24717.599999999999</v>
      </c>
      <c r="S822" s="6" t="str">
        <f t="shared" si="12"/>
        <v xml:space="preserve"> </v>
      </c>
      <c r="T822" s="6">
        <f>IF(IF(COUNTIF(H$2:$H822,H822)=1,1,"")=1,SUMIF($H$2:$H$7997,H822,$S$2:$S$7997),"")</f>
        <v>0</v>
      </c>
      <c r="W822">
        <v>411960</v>
      </c>
      <c r="X822">
        <v>411960</v>
      </c>
      <c r="Y822">
        <v>0</v>
      </c>
      <c r="Z822">
        <v>0</v>
      </c>
      <c r="AA822" s="2">
        <v>1</v>
      </c>
      <c r="AB822" s="2">
        <v>0</v>
      </c>
      <c r="AC822" s="2">
        <v>0</v>
      </c>
      <c r="AD822">
        <v>0</v>
      </c>
      <c r="AE822" t="s">
        <v>1862</v>
      </c>
      <c r="AF822">
        <v>12648.71</v>
      </c>
      <c r="AG822">
        <v>565000</v>
      </c>
      <c r="AH822">
        <v>33900</v>
      </c>
      <c r="AI822" s="1" t="s">
        <v>310</v>
      </c>
      <c r="AJ822">
        <v>93983813</v>
      </c>
      <c r="AK822" s="1" t="s">
        <v>1867</v>
      </c>
      <c r="AL822" t="s">
        <v>1942</v>
      </c>
      <c r="AN822" t="s">
        <v>2055</v>
      </c>
      <c r="AO822" t="s">
        <v>2067</v>
      </c>
      <c r="AP822" t="s">
        <v>2094</v>
      </c>
      <c r="AQ822">
        <v>128224</v>
      </c>
      <c r="AR822" s="3">
        <v>46203</v>
      </c>
      <c r="AS822" s="3">
        <v>46174</v>
      </c>
      <c r="AT822" s="3">
        <v>46222</v>
      </c>
      <c r="AU822" t="s">
        <v>2124</v>
      </c>
      <c r="AW822" s="3">
        <v>46208.53701449134</v>
      </c>
    </row>
    <row r="823" spans="1:49" ht="16" hidden="1" x14ac:dyDescent="0.2">
      <c r="A823" t="s">
        <v>79</v>
      </c>
      <c r="B823">
        <v>11723</v>
      </c>
      <c r="C823">
        <v>8253</v>
      </c>
      <c r="D823" t="s">
        <v>166</v>
      </c>
      <c r="E823" t="s">
        <v>310</v>
      </c>
      <c r="F823">
        <v>267962</v>
      </c>
      <c r="G823" t="s">
        <v>572</v>
      </c>
      <c r="H823">
        <v>585622</v>
      </c>
      <c r="I823" t="s">
        <v>1122</v>
      </c>
      <c r="J823">
        <v>93983825</v>
      </c>
      <c r="K823" t="s">
        <v>1835</v>
      </c>
      <c r="L823" t="s">
        <v>1850</v>
      </c>
      <c r="M823" s="1">
        <v>60</v>
      </c>
      <c r="N823" t="s">
        <v>23</v>
      </c>
      <c r="O823">
        <v>54417</v>
      </c>
      <c r="P823" s="1">
        <v>3265.02</v>
      </c>
      <c r="S823" s="6" t="str">
        <f t="shared" si="12"/>
        <v xml:space="preserve"> </v>
      </c>
      <c r="T823" s="6" t="str">
        <f>IF(IF(COUNTIF(H$2:$H823,H823)=1,1,"")=1,SUMIF($H$2:$H$7997,H823,$S$2:$S$7997),"")</f>
        <v/>
      </c>
      <c r="W823">
        <v>54417</v>
      </c>
      <c r="X823">
        <v>54417</v>
      </c>
      <c r="Y823">
        <v>0</v>
      </c>
      <c r="Z823">
        <v>0</v>
      </c>
      <c r="AA823" s="2">
        <v>1</v>
      </c>
      <c r="AB823" s="2">
        <v>0</v>
      </c>
      <c r="AC823" s="2">
        <v>0</v>
      </c>
      <c r="AD823">
        <v>0</v>
      </c>
      <c r="AE823" t="s">
        <v>1862</v>
      </c>
      <c r="AF823">
        <v>1343.23</v>
      </c>
      <c r="AG823">
        <v>60000</v>
      </c>
      <c r="AH823">
        <v>3600</v>
      </c>
      <c r="AI823" s="1" t="s">
        <v>310</v>
      </c>
      <c r="AJ823">
        <v>93983813</v>
      </c>
      <c r="AK823" s="1" t="s">
        <v>1867</v>
      </c>
      <c r="AL823" t="s">
        <v>1942</v>
      </c>
      <c r="AN823" t="s">
        <v>2055</v>
      </c>
      <c r="AO823" t="s">
        <v>2067</v>
      </c>
      <c r="AP823" t="s">
        <v>2092</v>
      </c>
      <c r="AQ823">
        <v>128224</v>
      </c>
      <c r="AR823" s="3">
        <v>46203</v>
      </c>
      <c r="AS823" s="3">
        <v>46174</v>
      </c>
      <c r="AT823" s="3">
        <v>46222</v>
      </c>
      <c r="AU823" t="s">
        <v>2123</v>
      </c>
      <c r="AW823" s="3">
        <v>46208.53701449134</v>
      </c>
    </row>
    <row r="824" spans="1:49" ht="16" hidden="1" x14ac:dyDescent="0.2">
      <c r="A824" t="s">
        <v>79</v>
      </c>
      <c r="B824">
        <v>11723</v>
      </c>
      <c r="C824">
        <v>8253</v>
      </c>
      <c r="D824" t="s">
        <v>166</v>
      </c>
      <c r="E824" t="s">
        <v>310</v>
      </c>
      <c r="F824">
        <v>267962</v>
      </c>
      <c r="G824" t="s">
        <v>571</v>
      </c>
      <c r="H824">
        <v>585625</v>
      </c>
      <c r="I824" t="s">
        <v>1120</v>
      </c>
      <c r="J824">
        <v>93983819</v>
      </c>
      <c r="K824" t="s">
        <v>1839</v>
      </c>
      <c r="L824" t="s">
        <v>1850</v>
      </c>
      <c r="M824" s="1">
        <v>80</v>
      </c>
      <c r="N824" t="s">
        <v>23</v>
      </c>
      <c r="O824">
        <v>337116</v>
      </c>
      <c r="P824" s="1">
        <v>26969.279999999999</v>
      </c>
      <c r="S824" s="6" t="str">
        <f t="shared" si="12"/>
        <v xml:space="preserve"> </v>
      </c>
      <c r="T824" s="6">
        <f>IF(IF(COUNTIF(H$2:$H824,H824)=1,1,"")=1,SUMIF($H$2:$H$7997,H824,$S$2:$S$7997),"")</f>
        <v>0</v>
      </c>
      <c r="W824">
        <v>337116</v>
      </c>
      <c r="X824">
        <v>337116</v>
      </c>
      <c r="Y824">
        <v>0</v>
      </c>
      <c r="Z824">
        <v>0</v>
      </c>
      <c r="AA824" s="2">
        <v>1</v>
      </c>
      <c r="AB824" s="2">
        <v>0</v>
      </c>
      <c r="AC824" s="2">
        <v>0</v>
      </c>
      <c r="AD824">
        <v>0</v>
      </c>
      <c r="AE824" t="s">
        <v>1862</v>
      </c>
      <c r="AF824">
        <v>13544.13</v>
      </c>
      <c r="AG824">
        <v>461250</v>
      </c>
      <c r="AH824">
        <v>36900</v>
      </c>
      <c r="AI824" s="1" t="s">
        <v>310</v>
      </c>
      <c r="AJ824">
        <v>93983813</v>
      </c>
      <c r="AK824" s="1" t="s">
        <v>1867</v>
      </c>
      <c r="AL824" t="s">
        <v>1942</v>
      </c>
      <c r="AN824" t="s">
        <v>2055</v>
      </c>
      <c r="AO824" t="s">
        <v>2067</v>
      </c>
      <c r="AP824" t="s">
        <v>2094</v>
      </c>
      <c r="AQ824">
        <v>128224</v>
      </c>
      <c r="AR824" s="3">
        <v>46203</v>
      </c>
      <c r="AS824" s="3">
        <v>46174</v>
      </c>
      <c r="AT824" s="3">
        <v>46222</v>
      </c>
      <c r="AU824" t="s">
        <v>2124</v>
      </c>
      <c r="AW824" s="3">
        <v>46208.53701449134</v>
      </c>
    </row>
    <row r="825" spans="1:49" ht="16" hidden="1" x14ac:dyDescent="0.2">
      <c r="A825" t="s">
        <v>79</v>
      </c>
      <c r="B825">
        <v>11723</v>
      </c>
      <c r="C825">
        <v>8253</v>
      </c>
      <c r="D825" t="s">
        <v>166</v>
      </c>
      <c r="E825" t="s">
        <v>310</v>
      </c>
      <c r="F825">
        <v>267962</v>
      </c>
      <c r="G825" t="s">
        <v>571</v>
      </c>
      <c r="H825">
        <v>585625</v>
      </c>
      <c r="I825" t="s">
        <v>1121</v>
      </c>
      <c r="J825">
        <v>93983822</v>
      </c>
      <c r="K825" t="s">
        <v>1835</v>
      </c>
      <c r="L825" t="s">
        <v>1850</v>
      </c>
      <c r="M825" s="1">
        <v>80</v>
      </c>
      <c r="N825" t="s">
        <v>23</v>
      </c>
      <c r="O825">
        <v>7365</v>
      </c>
      <c r="P825" s="1">
        <v>589.20000000000005</v>
      </c>
      <c r="S825" s="6" t="str">
        <f t="shared" si="12"/>
        <v xml:space="preserve"> </v>
      </c>
      <c r="T825" s="6" t="str">
        <f>IF(IF(COUNTIF(H$2:$H825,H825)=1,1,"")=1,SUMIF($H$2:$H$7997,H825,$S$2:$S$7997),"")</f>
        <v/>
      </c>
      <c r="W825">
        <v>7365</v>
      </c>
      <c r="X825">
        <v>7365</v>
      </c>
      <c r="Y825">
        <v>0</v>
      </c>
      <c r="Z825">
        <v>0</v>
      </c>
      <c r="AA825" s="2">
        <v>1</v>
      </c>
      <c r="AB825" s="2">
        <v>0</v>
      </c>
      <c r="AC825" s="2">
        <v>0</v>
      </c>
      <c r="AD825">
        <v>0</v>
      </c>
      <c r="AE825" t="s">
        <v>1862</v>
      </c>
      <c r="AF825">
        <v>220.23</v>
      </c>
      <c r="AG825">
        <v>7500</v>
      </c>
      <c r="AH825">
        <v>600</v>
      </c>
      <c r="AI825" s="1" t="s">
        <v>310</v>
      </c>
      <c r="AJ825">
        <v>93983813</v>
      </c>
      <c r="AK825" s="1" t="s">
        <v>1867</v>
      </c>
      <c r="AL825" t="s">
        <v>1942</v>
      </c>
      <c r="AN825" t="s">
        <v>2055</v>
      </c>
      <c r="AO825" t="s">
        <v>2067</v>
      </c>
      <c r="AP825" t="s">
        <v>2092</v>
      </c>
      <c r="AQ825">
        <v>128224</v>
      </c>
      <c r="AR825" s="3">
        <v>46203</v>
      </c>
      <c r="AS825" s="3">
        <v>46174</v>
      </c>
      <c r="AT825" s="3">
        <v>46222</v>
      </c>
      <c r="AU825" t="s">
        <v>2123</v>
      </c>
      <c r="AW825" s="3">
        <v>46208.53701449134</v>
      </c>
    </row>
    <row r="826" spans="1:49" ht="16" hidden="1" x14ac:dyDescent="0.2">
      <c r="A826" t="s">
        <v>79</v>
      </c>
      <c r="B826">
        <v>11723</v>
      </c>
      <c r="C826">
        <v>8253</v>
      </c>
      <c r="D826" t="s">
        <v>166</v>
      </c>
      <c r="E826" t="s">
        <v>310</v>
      </c>
      <c r="F826">
        <v>267962</v>
      </c>
      <c r="G826" t="s">
        <v>573</v>
      </c>
      <c r="H826">
        <v>585652</v>
      </c>
      <c r="I826" t="s">
        <v>1126</v>
      </c>
      <c r="J826">
        <v>93983845</v>
      </c>
      <c r="K826" t="s">
        <v>1840</v>
      </c>
      <c r="L826" t="s">
        <v>1850</v>
      </c>
      <c r="M826" s="1">
        <v>30</v>
      </c>
      <c r="N826" t="s">
        <v>1855</v>
      </c>
      <c r="O826">
        <v>2276690</v>
      </c>
      <c r="P826" s="1">
        <v>68300.7</v>
      </c>
      <c r="S826" s="6" t="str">
        <f t="shared" si="12"/>
        <v xml:space="preserve"> </v>
      </c>
      <c r="T826" s="6">
        <f>IF(IF(COUNTIF(H$2:$H826,H826)=1,1,"")=1,SUMIF($H$2:$H$7997,H826,$S$2:$S$7997),"")</f>
        <v>0</v>
      </c>
      <c r="W826">
        <v>2276690</v>
      </c>
      <c r="X826">
        <v>2276690</v>
      </c>
      <c r="Y826">
        <v>0</v>
      </c>
      <c r="Z826">
        <v>0</v>
      </c>
      <c r="AA826" s="2">
        <v>1</v>
      </c>
      <c r="AB826" s="2">
        <v>0</v>
      </c>
      <c r="AC826" s="2">
        <v>0</v>
      </c>
      <c r="AD826">
        <v>0</v>
      </c>
      <c r="AE826" t="s">
        <v>1862</v>
      </c>
      <c r="AF826">
        <v>34685.800000000003</v>
      </c>
      <c r="AG826">
        <v>3500000</v>
      </c>
      <c r="AH826">
        <v>105000</v>
      </c>
      <c r="AI826" s="1" t="s">
        <v>310</v>
      </c>
      <c r="AJ826">
        <v>93983813</v>
      </c>
      <c r="AK826" s="1" t="s">
        <v>1868</v>
      </c>
      <c r="AL826" t="s">
        <v>1942</v>
      </c>
      <c r="AN826" t="s">
        <v>2055</v>
      </c>
      <c r="AO826" t="s">
        <v>2067</v>
      </c>
      <c r="AP826" t="s">
        <v>2083</v>
      </c>
      <c r="AQ826">
        <v>128224</v>
      </c>
      <c r="AR826" s="3">
        <v>46203</v>
      </c>
      <c r="AS826" s="3">
        <v>46174</v>
      </c>
      <c r="AT826" s="3">
        <v>46222</v>
      </c>
      <c r="AU826" t="s">
        <v>2123</v>
      </c>
      <c r="AW826" s="3">
        <v>46208.53701449134</v>
      </c>
    </row>
    <row r="827" spans="1:49" ht="16" hidden="1" x14ac:dyDescent="0.2">
      <c r="A827" t="s">
        <v>79</v>
      </c>
      <c r="B827">
        <v>11723</v>
      </c>
      <c r="C827">
        <v>8253</v>
      </c>
      <c r="D827" t="s">
        <v>166</v>
      </c>
      <c r="E827" t="s">
        <v>310</v>
      </c>
      <c r="F827">
        <v>267962</v>
      </c>
      <c r="G827" t="s">
        <v>573</v>
      </c>
      <c r="H827">
        <v>585652</v>
      </c>
      <c r="I827" t="s">
        <v>1124</v>
      </c>
      <c r="J827">
        <v>93983838</v>
      </c>
      <c r="K827" t="s">
        <v>1839</v>
      </c>
      <c r="L827" t="s">
        <v>1850</v>
      </c>
      <c r="M827" s="1">
        <v>30</v>
      </c>
      <c r="N827" t="s">
        <v>1855</v>
      </c>
      <c r="O827">
        <v>3478836</v>
      </c>
      <c r="P827" s="1">
        <v>104365.08</v>
      </c>
      <c r="S827" s="6" t="str">
        <f t="shared" si="12"/>
        <v xml:space="preserve"> </v>
      </c>
      <c r="T827" s="6" t="str">
        <f>IF(IF(COUNTIF(H$2:$H827,H827)=1,1,"")=1,SUMIF($H$2:$H$7997,H827,$S$2:$S$7997),"")</f>
        <v/>
      </c>
      <c r="W827">
        <v>3478836</v>
      </c>
      <c r="X827">
        <v>3478836</v>
      </c>
      <c r="Y827">
        <v>0</v>
      </c>
      <c r="Z827">
        <v>0</v>
      </c>
      <c r="AA827" s="2">
        <v>1</v>
      </c>
      <c r="AB827" s="2">
        <v>0</v>
      </c>
      <c r="AC827" s="2">
        <v>0</v>
      </c>
      <c r="AD827">
        <v>0</v>
      </c>
      <c r="AE827" t="s">
        <v>1862</v>
      </c>
      <c r="AF827">
        <v>52028.7</v>
      </c>
      <c r="AG827">
        <v>5250000</v>
      </c>
      <c r="AH827">
        <v>157500</v>
      </c>
      <c r="AI827" s="1" t="s">
        <v>310</v>
      </c>
      <c r="AJ827">
        <v>93983813</v>
      </c>
      <c r="AK827" s="1" t="s">
        <v>1868</v>
      </c>
      <c r="AL827" t="s">
        <v>1942</v>
      </c>
      <c r="AN827" t="s">
        <v>2055</v>
      </c>
      <c r="AO827" t="s">
        <v>2067</v>
      </c>
      <c r="AP827" t="s">
        <v>2093</v>
      </c>
      <c r="AQ827">
        <v>128224</v>
      </c>
      <c r="AR827" s="3">
        <v>46203</v>
      </c>
      <c r="AS827" s="3">
        <v>46174</v>
      </c>
      <c r="AT827" s="3">
        <v>46222</v>
      </c>
      <c r="AU827" t="s">
        <v>2124</v>
      </c>
      <c r="AW827" s="3">
        <v>46208.53701449134</v>
      </c>
    </row>
    <row r="828" spans="1:49" ht="16" hidden="1" x14ac:dyDescent="0.2">
      <c r="A828" t="s">
        <v>79</v>
      </c>
      <c r="B828">
        <v>11723</v>
      </c>
      <c r="C828">
        <v>8253</v>
      </c>
      <c r="D828" t="s">
        <v>166</v>
      </c>
      <c r="E828" t="s">
        <v>310</v>
      </c>
      <c r="F828">
        <v>267962</v>
      </c>
      <c r="G828" t="s">
        <v>570</v>
      </c>
      <c r="H828">
        <v>585655</v>
      </c>
      <c r="I828" t="s">
        <v>1125</v>
      </c>
      <c r="J828">
        <v>93983841</v>
      </c>
      <c r="K828" t="s">
        <v>1840</v>
      </c>
      <c r="L828" t="s">
        <v>1850</v>
      </c>
      <c r="M828" s="1">
        <v>40</v>
      </c>
      <c r="N828" t="s">
        <v>1855</v>
      </c>
      <c r="O828">
        <v>4013428</v>
      </c>
      <c r="P828" s="1">
        <v>160537.12</v>
      </c>
      <c r="S828" s="6" t="str">
        <f t="shared" si="12"/>
        <v xml:space="preserve"> </v>
      </c>
      <c r="T828" s="6">
        <f>IF(IF(COUNTIF(H$2:$H828,H828)=1,1,"")=1,SUMIF($H$2:$H$7997,H828,$S$2:$S$7997),"")</f>
        <v>0</v>
      </c>
      <c r="W828">
        <v>4013428</v>
      </c>
      <c r="X828">
        <v>4013428</v>
      </c>
      <c r="Y828">
        <v>0</v>
      </c>
      <c r="Z828">
        <v>0</v>
      </c>
      <c r="AA828" s="2">
        <v>1</v>
      </c>
      <c r="AB828" s="2">
        <v>0</v>
      </c>
      <c r="AC828" s="2">
        <v>0</v>
      </c>
      <c r="AD828">
        <v>0</v>
      </c>
      <c r="AE828" t="s">
        <v>1862</v>
      </c>
      <c r="AF828">
        <v>80808.63</v>
      </c>
      <c r="AG828">
        <v>6125000</v>
      </c>
      <c r="AH828">
        <v>245000</v>
      </c>
      <c r="AI828" s="1" t="s">
        <v>310</v>
      </c>
      <c r="AJ828">
        <v>93983813</v>
      </c>
      <c r="AK828" s="1" t="s">
        <v>1868</v>
      </c>
      <c r="AL828" t="s">
        <v>1942</v>
      </c>
      <c r="AN828" t="s">
        <v>2055</v>
      </c>
      <c r="AO828" t="s">
        <v>2067</v>
      </c>
      <c r="AP828" t="s">
        <v>2083</v>
      </c>
      <c r="AQ828">
        <v>128224</v>
      </c>
      <c r="AR828" s="3">
        <v>46203</v>
      </c>
      <c r="AS828" s="3">
        <v>46174</v>
      </c>
      <c r="AT828" s="3">
        <v>46222</v>
      </c>
      <c r="AU828" t="s">
        <v>2123</v>
      </c>
      <c r="AW828" s="3">
        <v>46208.53701449134</v>
      </c>
    </row>
    <row r="829" spans="1:49" ht="16" hidden="1" x14ac:dyDescent="0.2">
      <c r="A829" t="s">
        <v>79</v>
      </c>
      <c r="B829">
        <v>11723</v>
      </c>
      <c r="C829">
        <v>8253</v>
      </c>
      <c r="D829" t="s">
        <v>166</v>
      </c>
      <c r="E829" t="s">
        <v>310</v>
      </c>
      <c r="F829">
        <v>267962</v>
      </c>
      <c r="G829" t="s">
        <v>570</v>
      </c>
      <c r="H829">
        <v>585655</v>
      </c>
      <c r="I829" t="s">
        <v>1119</v>
      </c>
      <c r="J829">
        <v>93983816</v>
      </c>
      <c r="K829" t="s">
        <v>1839</v>
      </c>
      <c r="L829" t="s">
        <v>1850</v>
      </c>
      <c r="M829" s="1">
        <v>40</v>
      </c>
      <c r="N829" t="s">
        <v>1855</v>
      </c>
      <c r="O829">
        <v>6081688</v>
      </c>
      <c r="P829" s="1">
        <v>243267.52</v>
      </c>
      <c r="S829" s="6" t="str">
        <f t="shared" si="12"/>
        <v xml:space="preserve"> </v>
      </c>
      <c r="T829" s="6" t="str">
        <f>IF(IF(COUNTIF(H$2:$H829,H829)=1,1,"")=1,SUMIF($H$2:$H$7997,H829,$S$2:$S$7997),"")</f>
        <v/>
      </c>
      <c r="W829">
        <v>6081688</v>
      </c>
      <c r="X829">
        <v>6081688</v>
      </c>
      <c r="Y829">
        <v>0</v>
      </c>
      <c r="Z829">
        <v>0</v>
      </c>
      <c r="AA829" s="2">
        <v>1</v>
      </c>
      <c r="AB829" s="2">
        <v>0</v>
      </c>
      <c r="AC829" s="2">
        <v>0</v>
      </c>
      <c r="AD829">
        <v>0</v>
      </c>
      <c r="AE829" t="s">
        <v>1862</v>
      </c>
      <c r="AF829">
        <v>121212.95</v>
      </c>
      <c r="AG829">
        <v>9187500</v>
      </c>
      <c r="AH829">
        <v>367500</v>
      </c>
      <c r="AI829" s="1" t="s">
        <v>310</v>
      </c>
      <c r="AJ829">
        <v>93983813</v>
      </c>
      <c r="AK829" s="1" t="s">
        <v>1868</v>
      </c>
      <c r="AL829" t="s">
        <v>1942</v>
      </c>
      <c r="AN829" t="s">
        <v>2055</v>
      </c>
      <c r="AO829" t="s">
        <v>2067</v>
      </c>
      <c r="AP829" t="s">
        <v>2093</v>
      </c>
      <c r="AQ829">
        <v>128224</v>
      </c>
      <c r="AR829" s="3">
        <v>46203</v>
      </c>
      <c r="AS829" s="3">
        <v>46174</v>
      </c>
      <c r="AT829" s="3">
        <v>46222</v>
      </c>
      <c r="AU829" t="s">
        <v>2124</v>
      </c>
      <c r="AW829" s="3">
        <v>46208.53701449134</v>
      </c>
    </row>
    <row r="830" spans="1:49" ht="16" hidden="1" x14ac:dyDescent="0.2">
      <c r="A830" t="s">
        <v>79</v>
      </c>
      <c r="B830">
        <v>11723</v>
      </c>
      <c r="C830">
        <v>8253</v>
      </c>
      <c r="D830" t="s">
        <v>166</v>
      </c>
      <c r="E830" t="s">
        <v>308</v>
      </c>
      <c r="F830">
        <v>265595</v>
      </c>
      <c r="G830" t="s">
        <v>566</v>
      </c>
      <c r="H830">
        <v>584732</v>
      </c>
      <c r="I830" t="s">
        <v>1112</v>
      </c>
      <c r="J830">
        <v>93983746</v>
      </c>
      <c r="K830" t="s">
        <v>1839</v>
      </c>
      <c r="L830" t="s">
        <v>1850</v>
      </c>
      <c r="M830" s="1">
        <v>80</v>
      </c>
      <c r="N830" t="s">
        <v>23</v>
      </c>
      <c r="O830">
        <v>1333557</v>
      </c>
      <c r="P830" s="1">
        <v>106684.56</v>
      </c>
      <c r="S830" s="6" t="str">
        <f t="shared" si="12"/>
        <v xml:space="preserve"> </v>
      </c>
      <c r="T830" s="6">
        <f>IF(IF(COUNTIF(H$2:$H830,H830)=1,1,"")=1,SUMIF($H$2:$H$7997,H830,$S$2:$S$7997),"")</f>
        <v>0</v>
      </c>
      <c r="W830">
        <v>1333557</v>
      </c>
      <c r="X830">
        <v>1333557</v>
      </c>
      <c r="Y830">
        <v>0</v>
      </c>
      <c r="Z830">
        <v>0</v>
      </c>
      <c r="AA830" s="2">
        <v>1</v>
      </c>
      <c r="AB830" s="2">
        <v>0</v>
      </c>
      <c r="AC830" s="2">
        <v>0</v>
      </c>
      <c r="AD830">
        <v>0</v>
      </c>
      <c r="AE830" t="s">
        <v>1862</v>
      </c>
      <c r="AF830">
        <v>53290.01</v>
      </c>
      <c r="AG830">
        <v>1840000</v>
      </c>
      <c r="AH830">
        <v>147200</v>
      </c>
      <c r="AI830" s="1" t="s">
        <v>308</v>
      </c>
      <c r="AJ830">
        <v>93983743</v>
      </c>
      <c r="AK830" s="1" t="s">
        <v>1867</v>
      </c>
      <c r="AL830" t="s">
        <v>1940</v>
      </c>
      <c r="AN830" t="s">
        <v>2055</v>
      </c>
      <c r="AO830" t="s">
        <v>2067</v>
      </c>
      <c r="AP830" t="s">
        <v>2094</v>
      </c>
      <c r="AQ830">
        <v>128214</v>
      </c>
      <c r="AR830" s="3">
        <v>46203</v>
      </c>
      <c r="AS830" s="3">
        <v>46174</v>
      </c>
      <c r="AT830" s="3">
        <v>46222</v>
      </c>
      <c r="AU830" t="s">
        <v>2124</v>
      </c>
      <c r="AW830" s="3">
        <v>46208.53701449134</v>
      </c>
    </row>
    <row r="831" spans="1:49" ht="16" hidden="1" x14ac:dyDescent="0.2">
      <c r="A831" t="s">
        <v>79</v>
      </c>
      <c r="B831">
        <v>11723</v>
      </c>
      <c r="C831">
        <v>8253</v>
      </c>
      <c r="D831" t="s">
        <v>166</v>
      </c>
      <c r="E831" t="s">
        <v>308</v>
      </c>
      <c r="F831">
        <v>265595</v>
      </c>
      <c r="G831" t="s">
        <v>566</v>
      </c>
      <c r="H831">
        <v>584732</v>
      </c>
      <c r="I831" t="s">
        <v>1113</v>
      </c>
      <c r="J831">
        <v>93983749</v>
      </c>
      <c r="K831" t="s">
        <v>1835</v>
      </c>
      <c r="L831" t="s">
        <v>1850</v>
      </c>
      <c r="M831" s="1">
        <v>80</v>
      </c>
      <c r="N831" t="s">
        <v>23</v>
      </c>
      <c r="O831">
        <v>29457</v>
      </c>
      <c r="P831" s="1">
        <v>2356.56</v>
      </c>
      <c r="S831" s="6" t="str">
        <f t="shared" si="12"/>
        <v xml:space="preserve"> </v>
      </c>
      <c r="T831" s="6" t="str">
        <f>IF(IF(COUNTIF(H$2:$H831,H831)=1,1,"")=1,SUMIF($H$2:$H$7997,H831,$S$2:$S$7997),"")</f>
        <v/>
      </c>
      <c r="W831">
        <v>29457</v>
      </c>
      <c r="X831">
        <v>29457</v>
      </c>
      <c r="Y831">
        <v>0</v>
      </c>
      <c r="Z831">
        <v>0</v>
      </c>
      <c r="AA831" s="2">
        <v>1</v>
      </c>
      <c r="AB831" s="2">
        <v>0</v>
      </c>
      <c r="AC831" s="2">
        <v>0</v>
      </c>
      <c r="AD831">
        <v>0</v>
      </c>
      <c r="AE831" t="s">
        <v>1862</v>
      </c>
      <c r="AF831">
        <v>1013.67</v>
      </c>
      <c r="AG831">
        <v>35000</v>
      </c>
      <c r="AH831">
        <v>2800</v>
      </c>
      <c r="AI831" s="1" t="s">
        <v>308</v>
      </c>
      <c r="AJ831">
        <v>93983743</v>
      </c>
      <c r="AK831" s="1" t="s">
        <v>1867</v>
      </c>
      <c r="AL831" t="s">
        <v>1940</v>
      </c>
      <c r="AN831" t="s">
        <v>2055</v>
      </c>
      <c r="AO831" t="s">
        <v>2067</v>
      </c>
      <c r="AP831" t="s">
        <v>2092</v>
      </c>
      <c r="AQ831">
        <v>128214</v>
      </c>
      <c r="AR831" s="3">
        <v>46203</v>
      </c>
      <c r="AS831" s="3">
        <v>46174</v>
      </c>
      <c r="AT831" s="3">
        <v>46222</v>
      </c>
      <c r="AU831" t="s">
        <v>2123</v>
      </c>
      <c r="AW831" s="3">
        <v>46208.53701449134</v>
      </c>
    </row>
    <row r="832" spans="1:49" ht="16" hidden="1" x14ac:dyDescent="0.2">
      <c r="A832" t="s">
        <v>52</v>
      </c>
      <c r="B832">
        <v>11175</v>
      </c>
      <c r="C832">
        <v>6760</v>
      </c>
      <c r="D832" t="s">
        <v>115</v>
      </c>
      <c r="E832" t="s">
        <v>229</v>
      </c>
      <c r="F832">
        <v>252340</v>
      </c>
      <c r="G832" t="s">
        <v>668</v>
      </c>
      <c r="H832">
        <v>535444</v>
      </c>
      <c r="I832" t="s">
        <v>1297</v>
      </c>
      <c r="J832">
        <v>94326173</v>
      </c>
      <c r="K832" t="s">
        <v>1843</v>
      </c>
      <c r="L832" t="s">
        <v>1850</v>
      </c>
      <c r="M832" s="1">
        <v>25</v>
      </c>
      <c r="N832" t="s">
        <v>22</v>
      </c>
      <c r="O832">
        <v>916213</v>
      </c>
      <c r="P832" s="1">
        <v>22905.33</v>
      </c>
      <c r="S832" s="6" t="str">
        <f t="shared" si="12"/>
        <v xml:space="preserve"> </v>
      </c>
      <c r="T832" s="6">
        <f>IF(IF(COUNTIF(H$2:$H832,H832)=1,1,"")=1,SUMIF($H$2:$H$7997,H832,$S$2:$S$7997),"")</f>
        <v>0</v>
      </c>
      <c r="W832">
        <v>916213</v>
      </c>
      <c r="X832">
        <v>916213</v>
      </c>
      <c r="Y832">
        <v>0</v>
      </c>
      <c r="Z832">
        <v>0</v>
      </c>
      <c r="AA832" s="2">
        <v>1</v>
      </c>
      <c r="AB832" s="2">
        <v>0</v>
      </c>
      <c r="AC832" s="2">
        <v>0</v>
      </c>
      <c r="AD832">
        <v>0</v>
      </c>
      <c r="AE832" t="s">
        <v>1862</v>
      </c>
      <c r="AF832">
        <v>23245.32</v>
      </c>
      <c r="AG832">
        <v>933521</v>
      </c>
      <c r="AH832">
        <v>23338.03</v>
      </c>
      <c r="AI832" s="1" t="s">
        <v>229</v>
      </c>
      <c r="AJ832">
        <v>88471012</v>
      </c>
      <c r="AK832" s="1" t="s">
        <v>1867</v>
      </c>
      <c r="AL832" t="s">
        <v>1875</v>
      </c>
      <c r="AN832" t="s">
        <v>2043</v>
      </c>
      <c r="AO832" t="s">
        <v>2067</v>
      </c>
      <c r="AP832" t="s">
        <v>2099</v>
      </c>
      <c r="AQ832">
        <v>94609</v>
      </c>
      <c r="AR832" s="3">
        <v>46203</v>
      </c>
      <c r="AS832" s="3">
        <v>46111</v>
      </c>
      <c r="AT832" s="3">
        <v>46201</v>
      </c>
      <c r="AU832" t="s">
        <v>2125</v>
      </c>
      <c r="AW832" s="3">
        <v>46208.53701449134</v>
      </c>
    </row>
    <row r="833" spans="1:49" ht="16" hidden="1" x14ac:dyDescent="0.2">
      <c r="A833" t="s">
        <v>52</v>
      </c>
      <c r="B833">
        <v>11175</v>
      </c>
      <c r="C833">
        <v>6760</v>
      </c>
      <c r="D833" t="s">
        <v>115</v>
      </c>
      <c r="E833" t="s">
        <v>229</v>
      </c>
      <c r="F833">
        <v>252340</v>
      </c>
      <c r="G833" t="s">
        <v>668</v>
      </c>
      <c r="H833">
        <v>535444</v>
      </c>
      <c r="I833" t="s">
        <v>1296</v>
      </c>
      <c r="J833">
        <v>94322109</v>
      </c>
      <c r="K833" t="s">
        <v>1835</v>
      </c>
      <c r="L833" t="s">
        <v>1850</v>
      </c>
      <c r="M833" s="1">
        <v>25</v>
      </c>
      <c r="N833" t="s">
        <v>1854</v>
      </c>
      <c r="O833">
        <v>322325</v>
      </c>
      <c r="P833" s="1">
        <v>7125</v>
      </c>
      <c r="S833" s="6" t="str">
        <f t="shared" si="12"/>
        <v xml:space="preserve"> </v>
      </c>
      <c r="T833" s="6" t="str">
        <f>IF(IF(COUNTIF(H$2:$H833,H833)=1,1,"")=1,SUMIF($H$2:$H$7997,H833,$S$2:$S$7997),"")</f>
        <v/>
      </c>
      <c r="W833">
        <v>283609</v>
      </c>
      <c r="X833">
        <v>283609</v>
      </c>
      <c r="Y833">
        <v>322325</v>
      </c>
      <c r="Z833">
        <v>322325</v>
      </c>
      <c r="AA833" s="2">
        <v>1</v>
      </c>
      <c r="AB833" s="2">
        <v>1.1365141544661601</v>
      </c>
      <c r="AC833" s="2">
        <v>0</v>
      </c>
      <c r="AD833">
        <v>0</v>
      </c>
      <c r="AE833" t="s">
        <v>1862</v>
      </c>
      <c r="AF833">
        <v>7096.69</v>
      </c>
      <c r="AG833">
        <v>285000</v>
      </c>
      <c r="AH833">
        <v>7125</v>
      </c>
      <c r="AI833" s="1" t="s">
        <v>229</v>
      </c>
      <c r="AJ833">
        <v>88471012</v>
      </c>
      <c r="AK833" s="1" t="s">
        <v>1867</v>
      </c>
      <c r="AL833" t="s">
        <v>1875</v>
      </c>
      <c r="AN833" t="s">
        <v>2043</v>
      </c>
      <c r="AO833" t="s">
        <v>2067</v>
      </c>
      <c r="AP833" t="s">
        <v>2071</v>
      </c>
      <c r="AQ833">
        <v>94609</v>
      </c>
      <c r="AR833" s="3">
        <v>46203</v>
      </c>
      <c r="AS833" s="3">
        <v>46111</v>
      </c>
      <c r="AT833" s="3">
        <v>46201</v>
      </c>
      <c r="AU833" t="s">
        <v>2123</v>
      </c>
      <c r="AW833" s="3">
        <v>46208.53701449134</v>
      </c>
    </row>
    <row r="834" spans="1:49" ht="16" hidden="1" x14ac:dyDescent="0.2">
      <c r="A834" t="s">
        <v>52</v>
      </c>
      <c r="B834">
        <v>11175</v>
      </c>
      <c r="C834">
        <v>6760</v>
      </c>
      <c r="D834" t="s">
        <v>115</v>
      </c>
      <c r="E834" t="s">
        <v>229</v>
      </c>
      <c r="F834">
        <v>252340</v>
      </c>
      <c r="G834" t="s">
        <v>440</v>
      </c>
      <c r="H834">
        <v>535446</v>
      </c>
      <c r="I834" t="s">
        <v>925</v>
      </c>
      <c r="J834">
        <v>88471023</v>
      </c>
      <c r="K834" t="s">
        <v>1835</v>
      </c>
      <c r="L834" t="s">
        <v>1850</v>
      </c>
      <c r="M834" s="1">
        <v>25</v>
      </c>
      <c r="N834" t="s">
        <v>1854</v>
      </c>
      <c r="O834">
        <v>3405</v>
      </c>
      <c r="P834" s="1">
        <v>85.12</v>
      </c>
      <c r="S834" s="6" t="str">
        <f t="shared" si="12"/>
        <v xml:space="preserve"> </v>
      </c>
      <c r="T834" s="6">
        <f>IF(IF(COUNTIF(H$2:$H834,H834)=1,1,"")=1,SUMIF($H$2:$H$7997,H834,$S$2:$S$7997),"")</f>
        <v>0</v>
      </c>
      <c r="V834" t="s">
        <v>1860</v>
      </c>
      <c r="W834">
        <v>2862</v>
      </c>
      <c r="X834">
        <v>2862</v>
      </c>
      <c r="Y834">
        <v>3405</v>
      </c>
      <c r="Z834">
        <v>3405</v>
      </c>
      <c r="AA834" s="2">
        <v>1</v>
      </c>
      <c r="AB834" s="2">
        <v>1.1899999543833351</v>
      </c>
      <c r="AC834" s="2">
        <v>0</v>
      </c>
      <c r="AD834">
        <v>0</v>
      </c>
      <c r="AE834" t="s">
        <v>1862</v>
      </c>
      <c r="AF834">
        <v>85.13</v>
      </c>
      <c r="AG834">
        <v>6000000</v>
      </c>
      <c r="AH834">
        <v>150000</v>
      </c>
      <c r="AI834" s="1" t="s">
        <v>229</v>
      </c>
      <c r="AJ834">
        <v>88471012</v>
      </c>
      <c r="AK834" s="1" t="s">
        <v>1867</v>
      </c>
      <c r="AL834" t="s">
        <v>1875</v>
      </c>
      <c r="AN834" t="s">
        <v>2043</v>
      </c>
      <c r="AO834" t="s">
        <v>2067</v>
      </c>
      <c r="AP834" t="s">
        <v>2071</v>
      </c>
      <c r="AQ834">
        <v>94609</v>
      </c>
      <c r="AR834" s="3">
        <v>46203</v>
      </c>
      <c r="AS834" s="3">
        <v>46202</v>
      </c>
      <c r="AT834" s="3">
        <v>46292</v>
      </c>
      <c r="AU834" t="s">
        <v>2123</v>
      </c>
      <c r="AW834" s="3">
        <v>46208.53701449134</v>
      </c>
    </row>
    <row r="835" spans="1:49" ht="16" hidden="1" x14ac:dyDescent="0.2">
      <c r="A835" t="s">
        <v>82</v>
      </c>
      <c r="B835">
        <v>22858</v>
      </c>
      <c r="C835">
        <v>22863</v>
      </c>
      <c r="D835" t="s">
        <v>149</v>
      </c>
      <c r="E835" t="s">
        <v>285</v>
      </c>
      <c r="F835">
        <v>267935</v>
      </c>
      <c r="G835" t="s">
        <v>523</v>
      </c>
      <c r="H835">
        <v>585497</v>
      </c>
      <c r="I835" t="s">
        <v>1035</v>
      </c>
      <c r="J835">
        <v>93741581</v>
      </c>
      <c r="K835" t="s">
        <v>1835</v>
      </c>
      <c r="L835" t="s">
        <v>1850</v>
      </c>
      <c r="M835" s="1">
        <v>30</v>
      </c>
      <c r="N835" t="s">
        <v>1859</v>
      </c>
      <c r="O835">
        <v>27111</v>
      </c>
      <c r="P835" s="1">
        <v>813.33</v>
      </c>
      <c r="S835" s="6" t="str">
        <f t="shared" ref="S835:S898" si="13">IF(ISBLANK(R835)," ",ROUND(R835*(IF(ISBLANK(Q835),(M835/1000),(Q835/1000))),2))</f>
        <v xml:space="preserve"> </v>
      </c>
      <c r="T835" s="6">
        <f>IF(IF(COUNTIF(H$2:$H835,H835)=1,1,"")=1,SUMIF($H$2:$H$7997,H835,$S$2:$S$7997),"")</f>
        <v>0</v>
      </c>
      <c r="W835">
        <v>27111</v>
      </c>
      <c r="X835">
        <v>27111</v>
      </c>
      <c r="Y835">
        <v>0</v>
      </c>
      <c r="Z835">
        <v>0</v>
      </c>
      <c r="AA835" s="2">
        <v>1</v>
      </c>
      <c r="AB835" s="2">
        <v>0</v>
      </c>
      <c r="AC835" s="2">
        <v>0</v>
      </c>
      <c r="AD835">
        <v>0</v>
      </c>
      <c r="AE835" t="s">
        <v>1862</v>
      </c>
      <c r="AF835">
        <v>406.67</v>
      </c>
      <c r="AG835">
        <v>1016667</v>
      </c>
      <c r="AH835">
        <v>30500.01</v>
      </c>
      <c r="AI835" s="1" t="s">
        <v>285</v>
      </c>
      <c r="AJ835">
        <v>93741574</v>
      </c>
      <c r="AK835" s="1" t="s">
        <v>1868</v>
      </c>
      <c r="AL835">
        <v>1</v>
      </c>
      <c r="AN835" t="s">
        <v>2047</v>
      </c>
      <c r="AO835" t="s">
        <v>2067</v>
      </c>
      <c r="AP835" t="s">
        <v>2091</v>
      </c>
      <c r="AQ835">
        <v>127221</v>
      </c>
      <c r="AR835" s="3">
        <v>46203</v>
      </c>
      <c r="AS835" s="3">
        <v>46143</v>
      </c>
      <c r="AT835" s="3">
        <v>46387</v>
      </c>
      <c r="AU835" t="s">
        <v>2123</v>
      </c>
      <c r="AW835" s="3">
        <v>46208.53701449134</v>
      </c>
    </row>
    <row r="836" spans="1:49" ht="16" hidden="1" x14ac:dyDescent="0.2">
      <c r="A836" t="s">
        <v>82</v>
      </c>
      <c r="B836">
        <v>22858</v>
      </c>
      <c r="C836">
        <v>22863</v>
      </c>
      <c r="D836" t="s">
        <v>149</v>
      </c>
      <c r="E836" t="s">
        <v>285</v>
      </c>
      <c r="F836">
        <v>267935</v>
      </c>
      <c r="G836" t="s">
        <v>522</v>
      </c>
      <c r="H836">
        <v>585499</v>
      </c>
      <c r="I836" t="s">
        <v>1034</v>
      </c>
      <c r="J836">
        <v>93741577</v>
      </c>
      <c r="K836" t="s">
        <v>1835</v>
      </c>
      <c r="L836" t="s">
        <v>1850</v>
      </c>
      <c r="M836" s="1">
        <v>30</v>
      </c>
      <c r="N836" t="s">
        <v>1859</v>
      </c>
      <c r="O836">
        <v>93495</v>
      </c>
      <c r="P836" s="1">
        <v>2804.85</v>
      </c>
      <c r="S836" s="6" t="str">
        <f t="shared" si="13"/>
        <v xml:space="preserve"> </v>
      </c>
      <c r="T836" s="6">
        <f>IF(IF(COUNTIF(H$2:$H836,H836)=1,1,"")=1,SUMIF($H$2:$H$7997,H836,$S$2:$S$7997),"")</f>
        <v>0</v>
      </c>
      <c r="W836">
        <v>93495</v>
      </c>
      <c r="X836">
        <v>93495</v>
      </c>
      <c r="Y836">
        <v>0</v>
      </c>
      <c r="Z836">
        <v>0</v>
      </c>
      <c r="AA836" s="2">
        <v>1</v>
      </c>
      <c r="AB836" s="2">
        <v>0</v>
      </c>
      <c r="AC836" s="2">
        <v>0</v>
      </c>
      <c r="AD836">
        <v>0</v>
      </c>
      <c r="AE836" t="s">
        <v>1862</v>
      </c>
      <c r="AF836">
        <v>1402.43</v>
      </c>
      <c r="AG836">
        <v>3150000</v>
      </c>
      <c r="AH836">
        <v>94500</v>
      </c>
      <c r="AI836" s="1" t="s">
        <v>285</v>
      </c>
      <c r="AJ836">
        <v>93741574</v>
      </c>
      <c r="AK836" s="1" t="s">
        <v>1868</v>
      </c>
      <c r="AL836">
        <v>1</v>
      </c>
      <c r="AN836" t="s">
        <v>2047</v>
      </c>
      <c r="AO836" t="s">
        <v>2067</v>
      </c>
      <c r="AP836" t="s">
        <v>2091</v>
      </c>
      <c r="AQ836">
        <v>127221</v>
      </c>
      <c r="AR836" s="3">
        <v>46203</v>
      </c>
      <c r="AS836" s="3">
        <v>46143</v>
      </c>
      <c r="AT836" s="3">
        <v>46387</v>
      </c>
      <c r="AU836" t="s">
        <v>2123</v>
      </c>
      <c r="AW836" s="3">
        <v>46208.53701449134</v>
      </c>
    </row>
    <row r="837" spans="1:49" ht="16" hidden="1" x14ac:dyDescent="0.2">
      <c r="A837" t="s">
        <v>86</v>
      </c>
      <c r="B837">
        <v>12143</v>
      </c>
      <c r="C837">
        <v>7806</v>
      </c>
      <c r="D837" t="s">
        <v>174</v>
      </c>
      <c r="E837" t="s">
        <v>323</v>
      </c>
      <c r="F837">
        <v>263026</v>
      </c>
      <c r="G837" t="s">
        <v>596</v>
      </c>
      <c r="H837">
        <v>584032</v>
      </c>
      <c r="I837" t="s">
        <v>1168</v>
      </c>
      <c r="J837">
        <v>94011539</v>
      </c>
      <c r="K837" t="s">
        <v>1839</v>
      </c>
      <c r="L837" t="s">
        <v>1850</v>
      </c>
      <c r="M837" s="1">
        <v>43</v>
      </c>
      <c r="N837" t="s">
        <v>23</v>
      </c>
      <c r="O837">
        <v>2458953</v>
      </c>
      <c r="P837" s="1">
        <v>105734.98</v>
      </c>
      <c r="S837" s="6" t="str">
        <f t="shared" si="13"/>
        <v xml:space="preserve"> </v>
      </c>
      <c r="T837" s="6">
        <f>IF(IF(COUNTIF(H$2:$H837,H837)=1,1,"")=1,SUMIF($H$2:$H$7997,H837,$S$2:$S$7997),"")</f>
        <v>0</v>
      </c>
      <c r="W837">
        <v>2458953</v>
      </c>
      <c r="X837">
        <v>2458953</v>
      </c>
      <c r="Y837">
        <v>0</v>
      </c>
      <c r="Z837">
        <v>0</v>
      </c>
      <c r="AA837" s="2">
        <v>1</v>
      </c>
      <c r="AB837" s="2">
        <v>0</v>
      </c>
      <c r="AC837" s="2">
        <v>0</v>
      </c>
      <c r="AD837">
        <v>0</v>
      </c>
      <c r="AE837" t="s">
        <v>1862</v>
      </c>
      <c r="AF837">
        <v>53528.26</v>
      </c>
      <c r="AG837">
        <v>3662792</v>
      </c>
      <c r="AH837">
        <v>157500.06</v>
      </c>
      <c r="AI837" s="1" t="s">
        <v>323</v>
      </c>
      <c r="AJ837">
        <v>94011533</v>
      </c>
      <c r="AK837" s="1" t="s">
        <v>1867</v>
      </c>
      <c r="AL837" t="s">
        <v>1952</v>
      </c>
      <c r="AN837" t="s">
        <v>2062</v>
      </c>
      <c r="AO837" t="s">
        <v>2067</v>
      </c>
      <c r="AP837" t="s">
        <v>2094</v>
      </c>
      <c r="AQ837">
        <v>128371</v>
      </c>
      <c r="AR837" s="3">
        <v>46203</v>
      </c>
      <c r="AS837" s="3">
        <v>46181</v>
      </c>
      <c r="AT837" s="3">
        <v>46222</v>
      </c>
      <c r="AU837" t="s">
        <v>2124</v>
      </c>
      <c r="AW837" s="3">
        <v>46208.53701449134</v>
      </c>
    </row>
    <row r="838" spans="1:49" ht="16" hidden="1" x14ac:dyDescent="0.2">
      <c r="A838" t="s">
        <v>86</v>
      </c>
      <c r="B838">
        <v>12143</v>
      </c>
      <c r="C838">
        <v>7806</v>
      </c>
      <c r="D838" t="s">
        <v>174</v>
      </c>
      <c r="E838" t="s">
        <v>323</v>
      </c>
      <c r="F838">
        <v>263026</v>
      </c>
      <c r="G838" t="s">
        <v>596</v>
      </c>
      <c r="H838">
        <v>584032</v>
      </c>
      <c r="I838" t="s">
        <v>1169</v>
      </c>
      <c r="J838">
        <v>94011542</v>
      </c>
      <c r="K838" t="s">
        <v>1835</v>
      </c>
      <c r="L838" t="s">
        <v>1850</v>
      </c>
      <c r="M838" s="1">
        <v>43</v>
      </c>
      <c r="N838" t="s">
        <v>23</v>
      </c>
      <c r="O838">
        <v>1086609</v>
      </c>
      <c r="P838" s="1">
        <v>46724.19</v>
      </c>
      <c r="S838" s="6" t="str">
        <f t="shared" si="13"/>
        <v xml:space="preserve"> </v>
      </c>
      <c r="T838" s="6" t="str">
        <f>IF(IF(COUNTIF(H$2:$H838,H838)=1,1,"")=1,SUMIF($H$2:$H$7997,H838,$S$2:$S$7997),"")</f>
        <v/>
      </c>
      <c r="W838">
        <v>1086609</v>
      </c>
      <c r="X838">
        <v>1086609</v>
      </c>
      <c r="Y838">
        <v>0</v>
      </c>
      <c r="Z838">
        <v>0</v>
      </c>
      <c r="AA838" s="2">
        <v>1</v>
      </c>
      <c r="AB838" s="2">
        <v>0</v>
      </c>
      <c r="AC838" s="2">
        <v>0</v>
      </c>
      <c r="AD838">
        <v>0</v>
      </c>
      <c r="AE838" t="s">
        <v>1862</v>
      </c>
      <c r="AF838">
        <v>22940.67</v>
      </c>
      <c r="AG838">
        <v>1569767</v>
      </c>
      <c r="AH838">
        <v>67499.98</v>
      </c>
      <c r="AI838" s="1" t="s">
        <v>323</v>
      </c>
      <c r="AJ838">
        <v>94011533</v>
      </c>
      <c r="AK838" s="1" t="s">
        <v>1867</v>
      </c>
      <c r="AL838" t="s">
        <v>1952</v>
      </c>
      <c r="AN838" t="s">
        <v>2062</v>
      </c>
      <c r="AO838" t="s">
        <v>2067</v>
      </c>
      <c r="AP838" t="s">
        <v>2092</v>
      </c>
      <c r="AQ838">
        <v>128371</v>
      </c>
      <c r="AR838" s="3">
        <v>46203</v>
      </c>
      <c r="AS838" s="3">
        <v>46181</v>
      </c>
      <c r="AT838" s="3">
        <v>46222</v>
      </c>
      <c r="AU838" t="s">
        <v>2123</v>
      </c>
      <c r="AW838" s="3">
        <v>46208.53701449134</v>
      </c>
    </row>
    <row r="839" spans="1:49" ht="16" hidden="1" x14ac:dyDescent="0.2">
      <c r="A839" t="s">
        <v>86</v>
      </c>
      <c r="B839">
        <v>12143</v>
      </c>
      <c r="C839">
        <v>7806</v>
      </c>
      <c r="D839" t="s">
        <v>174</v>
      </c>
      <c r="E839" t="s">
        <v>323</v>
      </c>
      <c r="F839">
        <v>263026</v>
      </c>
      <c r="G839" t="s">
        <v>595</v>
      </c>
      <c r="H839">
        <v>586134</v>
      </c>
      <c r="I839" t="s">
        <v>1167</v>
      </c>
      <c r="J839">
        <v>94011536</v>
      </c>
      <c r="K839" t="s">
        <v>1839</v>
      </c>
      <c r="L839" t="s">
        <v>1850</v>
      </c>
      <c r="M839" s="1">
        <v>14.46</v>
      </c>
      <c r="N839" t="s">
        <v>1855</v>
      </c>
      <c r="O839">
        <v>4199613</v>
      </c>
      <c r="P839" s="1">
        <v>60726.400000000001</v>
      </c>
      <c r="S839" s="6" t="str">
        <f t="shared" si="13"/>
        <v xml:space="preserve"> </v>
      </c>
      <c r="T839" s="6">
        <f>IF(IF(COUNTIF(H$2:$H839,H839)=1,1,"")=1,SUMIF($H$2:$H$7997,H839,$S$2:$S$7997),"")</f>
        <v>0</v>
      </c>
      <c r="W839">
        <v>4199613</v>
      </c>
      <c r="X839">
        <v>4199613</v>
      </c>
      <c r="Y839">
        <v>0</v>
      </c>
      <c r="Z839">
        <v>0</v>
      </c>
      <c r="AA839" s="2">
        <v>1</v>
      </c>
      <c r="AB839" s="2">
        <v>0</v>
      </c>
      <c r="AC839" s="2">
        <v>0</v>
      </c>
      <c r="AD839">
        <v>0</v>
      </c>
      <c r="AE839" t="s">
        <v>1862</v>
      </c>
      <c r="AF839">
        <v>27237.46</v>
      </c>
      <c r="AG839">
        <v>9336100</v>
      </c>
      <c r="AH839">
        <v>135000.01</v>
      </c>
      <c r="AI839" s="1" t="s">
        <v>323</v>
      </c>
      <c r="AJ839">
        <v>94011533</v>
      </c>
      <c r="AK839" s="1" t="s">
        <v>1868</v>
      </c>
      <c r="AL839" t="s">
        <v>1952</v>
      </c>
      <c r="AN839" t="s">
        <v>2062</v>
      </c>
      <c r="AO839" t="s">
        <v>2067</v>
      </c>
      <c r="AP839" t="s">
        <v>2093</v>
      </c>
      <c r="AQ839">
        <v>128371</v>
      </c>
      <c r="AR839" s="3">
        <v>46203</v>
      </c>
      <c r="AS839" s="3">
        <v>46181</v>
      </c>
      <c r="AT839" s="3">
        <v>46236</v>
      </c>
      <c r="AU839" t="s">
        <v>2124</v>
      </c>
      <c r="AW839" s="3">
        <v>46208.53701449134</v>
      </c>
    </row>
    <row r="840" spans="1:49" ht="16" hidden="1" x14ac:dyDescent="0.2">
      <c r="A840" t="s">
        <v>86</v>
      </c>
      <c r="B840">
        <v>12143</v>
      </c>
      <c r="C840">
        <v>7806</v>
      </c>
      <c r="D840" t="s">
        <v>174</v>
      </c>
      <c r="E840" t="s">
        <v>323</v>
      </c>
      <c r="F840">
        <v>263026</v>
      </c>
      <c r="G840" t="s">
        <v>595</v>
      </c>
      <c r="H840">
        <v>586134</v>
      </c>
      <c r="I840" t="s">
        <v>1170</v>
      </c>
      <c r="J840">
        <v>94011545</v>
      </c>
      <c r="K840" t="s">
        <v>1840</v>
      </c>
      <c r="L840" t="s">
        <v>1850</v>
      </c>
      <c r="M840" s="1">
        <v>14.46</v>
      </c>
      <c r="N840" t="s">
        <v>1855</v>
      </c>
      <c r="O840">
        <v>2054538</v>
      </c>
      <c r="P840" s="1">
        <v>29708.62</v>
      </c>
      <c r="S840" s="6" t="str">
        <f t="shared" si="13"/>
        <v xml:space="preserve"> </v>
      </c>
      <c r="T840" s="6" t="str">
        <f>IF(IF(COUNTIF(H$2:$H840,H840)=1,1,"")=1,SUMIF($H$2:$H$7997,H840,$S$2:$S$7997),"")</f>
        <v/>
      </c>
      <c r="W840">
        <v>2054538</v>
      </c>
      <c r="X840">
        <v>2054538</v>
      </c>
      <c r="Y840">
        <v>0</v>
      </c>
      <c r="Z840">
        <v>0</v>
      </c>
      <c r="AA840" s="2">
        <v>1</v>
      </c>
      <c r="AB840" s="2">
        <v>0</v>
      </c>
      <c r="AC840" s="2">
        <v>0</v>
      </c>
      <c r="AD840">
        <v>0</v>
      </c>
      <c r="AE840" t="s">
        <v>1862</v>
      </c>
      <c r="AF840">
        <v>18158.310000000001</v>
      </c>
      <c r="AG840">
        <v>6224067</v>
      </c>
      <c r="AH840">
        <v>90000.01</v>
      </c>
      <c r="AI840" s="1" t="s">
        <v>323</v>
      </c>
      <c r="AJ840">
        <v>94011533</v>
      </c>
      <c r="AK840" s="1" t="s">
        <v>1868</v>
      </c>
      <c r="AL840" t="s">
        <v>1952</v>
      </c>
      <c r="AN840" t="s">
        <v>2062</v>
      </c>
      <c r="AO840" t="s">
        <v>2067</v>
      </c>
      <c r="AP840" t="s">
        <v>2083</v>
      </c>
      <c r="AQ840">
        <v>128371</v>
      </c>
      <c r="AR840" s="3">
        <v>46203</v>
      </c>
      <c r="AS840" s="3">
        <v>46181</v>
      </c>
      <c r="AT840" s="3">
        <v>46236</v>
      </c>
      <c r="AU840" t="s">
        <v>2123</v>
      </c>
      <c r="AW840" s="3">
        <v>46208.53701449134</v>
      </c>
    </row>
    <row r="841" spans="1:49" ht="16" hidden="1" x14ac:dyDescent="0.2">
      <c r="A841" t="s">
        <v>86</v>
      </c>
      <c r="B841">
        <v>12143</v>
      </c>
      <c r="C841">
        <v>8485</v>
      </c>
      <c r="D841" t="s">
        <v>196</v>
      </c>
      <c r="E841" t="s">
        <v>367</v>
      </c>
      <c r="F841">
        <v>267090</v>
      </c>
      <c r="G841" t="s">
        <v>685</v>
      </c>
      <c r="H841">
        <v>582291</v>
      </c>
      <c r="I841" t="s">
        <v>1330</v>
      </c>
      <c r="J841">
        <v>94332022</v>
      </c>
      <c r="K841" t="s">
        <v>1839</v>
      </c>
      <c r="L841" t="s">
        <v>1850</v>
      </c>
      <c r="M841" s="1">
        <v>43</v>
      </c>
      <c r="N841" t="s">
        <v>23</v>
      </c>
      <c r="O841">
        <v>6217574</v>
      </c>
      <c r="P841" s="1">
        <v>259840.01</v>
      </c>
      <c r="S841" s="6" t="str">
        <f t="shared" si="13"/>
        <v xml:space="preserve"> </v>
      </c>
      <c r="T841" s="6">
        <f>IF(IF(COUNTIF(H$2:$H841,H841)=1,1,"")=1,SUMIF($H$2:$H$7997,H841,$S$2:$S$7997),"")</f>
        <v>0</v>
      </c>
      <c r="W841">
        <v>6217574</v>
      </c>
      <c r="X841">
        <v>6217574</v>
      </c>
      <c r="Y841">
        <v>0</v>
      </c>
      <c r="Z841">
        <v>0</v>
      </c>
      <c r="AA841" s="2">
        <v>1</v>
      </c>
      <c r="AB841" s="2">
        <v>0</v>
      </c>
      <c r="AC841" s="2">
        <v>0</v>
      </c>
      <c r="AD841">
        <v>0</v>
      </c>
      <c r="AE841" t="s">
        <v>1862</v>
      </c>
      <c r="AF841">
        <v>129920.01</v>
      </c>
      <c r="AG841">
        <v>6042791</v>
      </c>
      <c r="AH841">
        <v>259840.01</v>
      </c>
      <c r="AI841" s="1" t="s">
        <v>367</v>
      </c>
      <c r="AJ841">
        <v>94332007</v>
      </c>
      <c r="AK841" s="1" t="s">
        <v>1867</v>
      </c>
      <c r="AL841" t="s">
        <v>1985</v>
      </c>
      <c r="AN841" t="s">
        <v>2062</v>
      </c>
      <c r="AO841" t="s">
        <v>2067</v>
      </c>
      <c r="AP841" t="s">
        <v>2094</v>
      </c>
      <c r="AQ841">
        <v>129756</v>
      </c>
      <c r="AR841" s="3">
        <v>46203</v>
      </c>
      <c r="AS841" s="3">
        <v>46174</v>
      </c>
      <c r="AT841" s="3">
        <v>46201</v>
      </c>
      <c r="AU841" t="s">
        <v>2124</v>
      </c>
      <c r="AW841" s="3">
        <v>46208.53701449134</v>
      </c>
    </row>
    <row r="842" spans="1:49" ht="16" hidden="1" x14ac:dyDescent="0.2">
      <c r="A842" t="s">
        <v>86</v>
      </c>
      <c r="B842">
        <v>12143</v>
      </c>
      <c r="C842">
        <v>8485</v>
      </c>
      <c r="D842" t="s">
        <v>196</v>
      </c>
      <c r="E842" t="s">
        <v>367</v>
      </c>
      <c r="F842">
        <v>267090</v>
      </c>
      <c r="G842" t="s">
        <v>685</v>
      </c>
      <c r="H842">
        <v>582291</v>
      </c>
      <c r="I842" t="s">
        <v>1329</v>
      </c>
      <c r="J842">
        <v>94332010</v>
      </c>
      <c r="K842" t="s">
        <v>1835</v>
      </c>
      <c r="L842" t="s">
        <v>1850</v>
      </c>
      <c r="M842" s="1">
        <v>43</v>
      </c>
      <c r="N842" t="s">
        <v>23</v>
      </c>
      <c r="O842">
        <v>2670791</v>
      </c>
      <c r="P842" s="1">
        <v>111360.02</v>
      </c>
      <c r="S842" s="6" t="str">
        <f t="shared" si="13"/>
        <v xml:space="preserve"> </v>
      </c>
      <c r="T842" s="6" t="str">
        <f>IF(IF(COUNTIF(H$2:$H842,H842)=1,1,"")=1,SUMIF($H$2:$H$7997,H842,$S$2:$S$7997),"")</f>
        <v/>
      </c>
      <c r="W842">
        <v>2670791</v>
      </c>
      <c r="X842">
        <v>2670791</v>
      </c>
      <c r="Y842">
        <v>0</v>
      </c>
      <c r="Z842">
        <v>0</v>
      </c>
      <c r="AA842" s="2">
        <v>1</v>
      </c>
      <c r="AB842" s="2">
        <v>0</v>
      </c>
      <c r="AC842" s="2">
        <v>0</v>
      </c>
      <c r="AD842">
        <v>0</v>
      </c>
      <c r="AE842" t="s">
        <v>1862</v>
      </c>
      <c r="AF842">
        <v>55680.01</v>
      </c>
      <c r="AG842">
        <v>2589768</v>
      </c>
      <c r="AH842">
        <v>111360.02</v>
      </c>
      <c r="AI842" s="1" t="s">
        <v>367</v>
      </c>
      <c r="AJ842">
        <v>94332007</v>
      </c>
      <c r="AK842" s="1" t="s">
        <v>1867</v>
      </c>
      <c r="AL842" t="s">
        <v>1985</v>
      </c>
      <c r="AN842" t="s">
        <v>2062</v>
      </c>
      <c r="AO842" t="s">
        <v>2067</v>
      </c>
      <c r="AP842" t="s">
        <v>2092</v>
      </c>
      <c r="AQ842">
        <v>129756</v>
      </c>
      <c r="AR842" s="3">
        <v>46203</v>
      </c>
      <c r="AS842" s="3">
        <v>46174</v>
      </c>
      <c r="AT842" s="3">
        <v>46201</v>
      </c>
      <c r="AU842" t="s">
        <v>2123</v>
      </c>
      <c r="AW842" s="3">
        <v>46208.53701449134</v>
      </c>
    </row>
    <row r="843" spans="1:49" ht="16" hidden="1" x14ac:dyDescent="0.2">
      <c r="A843" t="s">
        <v>86</v>
      </c>
      <c r="B843">
        <v>12143</v>
      </c>
      <c r="C843">
        <v>8485</v>
      </c>
      <c r="D843" t="s">
        <v>196</v>
      </c>
      <c r="E843" t="s">
        <v>367</v>
      </c>
      <c r="F843">
        <v>267090</v>
      </c>
      <c r="G843" t="s">
        <v>867</v>
      </c>
      <c r="H843">
        <v>582757</v>
      </c>
      <c r="I843" t="s">
        <v>1803</v>
      </c>
      <c r="J843">
        <v>582758</v>
      </c>
      <c r="K843" t="s">
        <v>1846</v>
      </c>
      <c r="L843" t="s">
        <v>1851</v>
      </c>
      <c r="M843" s="1">
        <v>66667</v>
      </c>
      <c r="N843" t="s">
        <v>1858</v>
      </c>
      <c r="O843">
        <v>0</v>
      </c>
      <c r="P843" s="1">
        <v>33333.5</v>
      </c>
      <c r="S843" s="6" t="str">
        <f t="shared" si="13"/>
        <v xml:space="preserve"> </v>
      </c>
      <c r="T843" s="6">
        <f>IF(IF(COUNTIF(H$2:$H843,H843)=1,1,"")=1,SUMIF($H$2:$H$7997,H843,$S$2:$S$7997),"")</f>
        <v>0</v>
      </c>
      <c r="W843">
        <v>0</v>
      </c>
      <c r="X843">
        <v>0</v>
      </c>
      <c r="Y843">
        <v>0</v>
      </c>
      <c r="Z843">
        <v>0</v>
      </c>
      <c r="AA843" s="2">
        <v>1</v>
      </c>
      <c r="AB843" s="2">
        <v>0</v>
      </c>
      <c r="AC843" s="2">
        <v>0</v>
      </c>
      <c r="AD843">
        <v>0</v>
      </c>
      <c r="AE843" t="s">
        <v>1863</v>
      </c>
      <c r="AF843">
        <v>33333.5</v>
      </c>
      <c r="AG843">
        <v>0</v>
      </c>
      <c r="AH843">
        <v>66667</v>
      </c>
      <c r="AI843" s="1" t="s">
        <v>367</v>
      </c>
      <c r="AJ843">
        <v>267090</v>
      </c>
      <c r="AK843" s="1" t="s">
        <v>1867</v>
      </c>
      <c r="AL843" t="s">
        <v>1985</v>
      </c>
      <c r="AN843" t="s">
        <v>2062</v>
      </c>
      <c r="AO843" t="s">
        <v>2067</v>
      </c>
      <c r="AP843" t="s">
        <v>2110</v>
      </c>
      <c r="AQ843">
        <v>129756</v>
      </c>
      <c r="AR843" s="3">
        <v>46203</v>
      </c>
      <c r="AS843" s="3">
        <v>46174</v>
      </c>
      <c r="AT843" s="3">
        <v>46201</v>
      </c>
      <c r="AU843" t="s">
        <v>2128</v>
      </c>
      <c r="AW843" s="3">
        <v>46208.53701449134</v>
      </c>
    </row>
    <row r="844" spans="1:49" ht="16" hidden="1" x14ac:dyDescent="0.2">
      <c r="A844" t="s">
        <v>86</v>
      </c>
      <c r="B844">
        <v>12143</v>
      </c>
      <c r="C844">
        <v>8485</v>
      </c>
      <c r="D844" t="s">
        <v>196</v>
      </c>
      <c r="E844" t="s">
        <v>367</v>
      </c>
      <c r="F844">
        <v>267090</v>
      </c>
      <c r="G844" t="s">
        <v>867</v>
      </c>
      <c r="H844">
        <v>582757</v>
      </c>
      <c r="I844" t="s">
        <v>1714</v>
      </c>
      <c r="J844">
        <v>582761</v>
      </c>
      <c r="K844" t="s">
        <v>1844</v>
      </c>
      <c r="L844" t="s">
        <v>1851</v>
      </c>
      <c r="M844" s="1">
        <v>66667</v>
      </c>
      <c r="N844" t="s">
        <v>1858</v>
      </c>
      <c r="O844">
        <v>0</v>
      </c>
      <c r="P844" s="1">
        <v>33333.5</v>
      </c>
      <c r="S844" s="6" t="str">
        <f t="shared" si="13"/>
        <v xml:space="preserve"> </v>
      </c>
      <c r="T844" s="6" t="str">
        <f>IF(IF(COUNTIF(H$2:$H844,H844)=1,1,"")=1,SUMIF($H$2:$H$7997,H844,$S$2:$S$7997),"")</f>
        <v/>
      </c>
      <c r="W844">
        <v>0</v>
      </c>
      <c r="X844">
        <v>0</v>
      </c>
      <c r="Y844">
        <v>0</v>
      </c>
      <c r="Z844">
        <v>0</v>
      </c>
      <c r="AA844" s="2">
        <v>1</v>
      </c>
      <c r="AB844" s="2">
        <v>0</v>
      </c>
      <c r="AC844" s="2">
        <v>0</v>
      </c>
      <c r="AD844">
        <v>0</v>
      </c>
      <c r="AE844" t="s">
        <v>1863</v>
      </c>
      <c r="AF844">
        <v>33333.5</v>
      </c>
      <c r="AG844">
        <v>0</v>
      </c>
      <c r="AH844">
        <v>66667</v>
      </c>
      <c r="AI844" s="1" t="s">
        <v>367</v>
      </c>
      <c r="AJ844">
        <v>267090</v>
      </c>
      <c r="AK844" s="1" t="s">
        <v>1867</v>
      </c>
      <c r="AL844" t="s">
        <v>1985</v>
      </c>
      <c r="AN844" t="s">
        <v>2062</v>
      </c>
      <c r="AO844" t="s">
        <v>2067</v>
      </c>
      <c r="AP844" t="s">
        <v>2107</v>
      </c>
      <c r="AQ844">
        <v>129756</v>
      </c>
      <c r="AR844" s="3">
        <v>46203</v>
      </c>
      <c r="AS844" s="3">
        <v>46174</v>
      </c>
      <c r="AT844" s="3">
        <v>46201</v>
      </c>
      <c r="AU844" t="s">
        <v>2127</v>
      </c>
      <c r="AW844" s="3">
        <v>46208.53701449134</v>
      </c>
    </row>
    <row r="845" spans="1:49" ht="16" hidden="1" x14ac:dyDescent="0.2">
      <c r="A845" t="s">
        <v>86</v>
      </c>
      <c r="B845">
        <v>12143</v>
      </c>
      <c r="C845">
        <v>8485</v>
      </c>
      <c r="D845" t="s">
        <v>196</v>
      </c>
      <c r="E845" t="s">
        <v>367</v>
      </c>
      <c r="F845">
        <v>267090</v>
      </c>
      <c r="G845" t="s">
        <v>867</v>
      </c>
      <c r="H845">
        <v>582757</v>
      </c>
      <c r="I845" t="s">
        <v>1664</v>
      </c>
      <c r="J845">
        <v>582760</v>
      </c>
      <c r="K845" t="s">
        <v>1835</v>
      </c>
      <c r="L845" t="s">
        <v>1851</v>
      </c>
      <c r="M845" s="1">
        <v>66666</v>
      </c>
      <c r="N845" t="s">
        <v>1858</v>
      </c>
      <c r="O845">
        <v>0</v>
      </c>
      <c r="P845" s="1">
        <v>33333</v>
      </c>
      <c r="S845" s="6" t="str">
        <f t="shared" si="13"/>
        <v xml:space="preserve"> </v>
      </c>
      <c r="T845" s="6" t="str">
        <f>IF(IF(COUNTIF(H$2:$H845,H845)=1,1,"")=1,SUMIF($H$2:$H$7997,H845,$S$2:$S$7997),"")</f>
        <v/>
      </c>
      <c r="W845">
        <v>0</v>
      </c>
      <c r="X845">
        <v>0</v>
      </c>
      <c r="Y845">
        <v>0</v>
      </c>
      <c r="Z845">
        <v>0</v>
      </c>
      <c r="AA845" s="2">
        <v>1</v>
      </c>
      <c r="AB845" s="2">
        <v>0</v>
      </c>
      <c r="AC845" s="2">
        <v>0</v>
      </c>
      <c r="AD845">
        <v>0</v>
      </c>
      <c r="AE845" t="s">
        <v>1863</v>
      </c>
      <c r="AF845">
        <v>33333</v>
      </c>
      <c r="AG845">
        <v>0</v>
      </c>
      <c r="AH845">
        <v>66666</v>
      </c>
      <c r="AI845" s="1" t="s">
        <v>367</v>
      </c>
      <c r="AJ845">
        <v>267090</v>
      </c>
      <c r="AK845" s="1" t="s">
        <v>1867</v>
      </c>
      <c r="AL845" t="s">
        <v>1985</v>
      </c>
      <c r="AN845" t="s">
        <v>2062</v>
      </c>
      <c r="AO845" t="s">
        <v>2067</v>
      </c>
      <c r="AP845" t="s">
        <v>2109</v>
      </c>
      <c r="AQ845">
        <v>129756</v>
      </c>
      <c r="AR845" s="3">
        <v>46203</v>
      </c>
      <c r="AS845" s="3">
        <v>46174</v>
      </c>
      <c r="AT845" s="3">
        <v>46201</v>
      </c>
      <c r="AU845" t="s">
        <v>2129</v>
      </c>
      <c r="AW845" s="3">
        <v>46208.53701449134</v>
      </c>
    </row>
    <row r="846" spans="1:49" ht="16" hidden="1" x14ac:dyDescent="0.2">
      <c r="A846" t="s">
        <v>86</v>
      </c>
      <c r="B846">
        <v>12143</v>
      </c>
      <c r="C846">
        <v>6278</v>
      </c>
      <c r="D846" t="s">
        <v>156</v>
      </c>
      <c r="E846" t="s">
        <v>293</v>
      </c>
      <c r="F846">
        <v>267967</v>
      </c>
      <c r="G846" t="s">
        <v>538</v>
      </c>
      <c r="H846">
        <v>585679</v>
      </c>
      <c r="I846" t="s">
        <v>1059</v>
      </c>
      <c r="J846">
        <v>93826026</v>
      </c>
      <c r="K846" t="s">
        <v>1839</v>
      </c>
      <c r="L846" t="s">
        <v>1850</v>
      </c>
      <c r="M846" s="1">
        <v>40</v>
      </c>
      <c r="N846" t="s">
        <v>23</v>
      </c>
      <c r="O846">
        <v>1915859</v>
      </c>
      <c r="P846" s="1">
        <v>74684.600000000006</v>
      </c>
      <c r="S846" s="6" t="str">
        <f t="shared" si="13"/>
        <v xml:space="preserve"> </v>
      </c>
      <c r="T846" s="6">
        <f>IF(IF(COUNTIF(H$2:$H846,H846)=1,1,"")=1,SUMIF($H$2:$H$7997,H846,$S$2:$S$7997),"")</f>
        <v>0</v>
      </c>
      <c r="W846">
        <v>1915859</v>
      </c>
      <c r="X846">
        <v>1915859</v>
      </c>
      <c r="Y846">
        <v>0</v>
      </c>
      <c r="Z846">
        <v>0</v>
      </c>
      <c r="AA846" s="2">
        <v>1</v>
      </c>
      <c r="AB846" s="2">
        <v>0</v>
      </c>
      <c r="AC846" s="2">
        <v>0</v>
      </c>
      <c r="AD846">
        <v>0</v>
      </c>
      <c r="AE846" t="s">
        <v>1862</v>
      </c>
      <c r="AF846">
        <v>37342.300000000003</v>
      </c>
      <c r="AG846">
        <v>1867115</v>
      </c>
      <c r="AH846">
        <v>74684.600000000006</v>
      </c>
      <c r="AI846" s="1" t="s">
        <v>293</v>
      </c>
      <c r="AJ846">
        <v>93826011</v>
      </c>
      <c r="AK846" s="1" t="s">
        <v>1867</v>
      </c>
      <c r="AL846" t="s">
        <v>1927</v>
      </c>
      <c r="AN846" t="s">
        <v>2062</v>
      </c>
      <c r="AO846" t="s">
        <v>2067</v>
      </c>
      <c r="AP846" t="s">
        <v>2094</v>
      </c>
      <c r="AQ846">
        <v>127633</v>
      </c>
      <c r="AR846" s="3">
        <v>46203</v>
      </c>
      <c r="AS846" s="3">
        <v>46174</v>
      </c>
      <c r="AT846" s="3">
        <v>46203</v>
      </c>
      <c r="AU846" t="s">
        <v>2124</v>
      </c>
      <c r="AW846" s="3">
        <v>46208.53701449134</v>
      </c>
    </row>
    <row r="847" spans="1:49" ht="16" hidden="1" x14ac:dyDescent="0.2">
      <c r="A847" t="s">
        <v>86</v>
      </c>
      <c r="B847">
        <v>12143</v>
      </c>
      <c r="C847">
        <v>6278</v>
      </c>
      <c r="D847" t="s">
        <v>156</v>
      </c>
      <c r="E847" t="s">
        <v>293</v>
      </c>
      <c r="F847">
        <v>267967</v>
      </c>
      <c r="G847" t="s">
        <v>538</v>
      </c>
      <c r="H847">
        <v>585679</v>
      </c>
      <c r="I847" t="s">
        <v>1058</v>
      </c>
      <c r="J847">
        <v>93826021</v>
      </c>
      <c r="K847" t="s">
        <v>1835</v>
      </c>
      <c r="L847" t="s">
        <v>1850</v>
      </c>
      <c r="M847" s="1">
        <v>40</v>
      </c>
      <c r="N847" t="s">
        <v>23</v>
      </c>
      <c r="O847">
        <v>823310</v>
      </c>
      <c r="P847" s="1">
        <v>32007.68</v>
      </c>
      <c r="S847" s="6" t="str">
        <f t="shared" si="13"/>
        <v xml:space="preserve"> </v>
      </c>
      <c r="T847" s="6" t="str">
        <f>IF(IF(COUNTIF(H$2:$H847,H847)=1,1,"")=1,SUMIF($H$2:$H$7997,H847,$S$2:$S$7997),"")</f>
        <v/>
      </c>
      <c r="W847">
        <v>823310</v>
      </c>
      <c r="X847">
        <v>823310</v>
      </c>
      <c r="Y847">
        <v>0</v>
      </c>
      <c r="Z847">
        <v>0</v>
      </c>
      <c r="AA847" s="2">
        <v>1</v>
      </c>
      <c r="AB847" s="2">
        <v>0</v>
      </c>
      <c r="AC847" s="2">
        <v>0</v>
      </c>
      <c r="AD847">
        <v>0</v>
      </c>
      <c r="AE847" t="s">
        <v>1862</v>
      </c>
      <c r="AF847">
        <v>16003.84</v>
      </c>
      <c r="AG847">
        <v>800192</v>
      </c>
      <c r="AH847">
        <v>32007.68</v>
      </c>
      <c r="AI847" s="1" t="s">
        <v>293</v>
      </c>
      <c r="AJ847">
        <v>93826011</v>
      </c>
      <c r="AK847" s="1" t="s">
        <v>1867</v>
      </c>
      <c r="AL847" t="s">
        <v>1927</v>
      </c>
      <c r="AN847" t="s">
        <v>2062</v>
      </c>
      <c r="AO847" t="s">
        <v>2067</v>
      </c>
      <c r="AP847" t="s">
        <v>2092</v>
      </c>
      <c r="AQ847">
        <v>127633</v>
      </c>
      <c r="AR847" s="3">
        <v>46203</v>
      </c>
      <c r="AS847" s="3">
        <v>46174</v>
      </c>
      <c r="AT847" s="3">
        <v>46203</v>
      </c>
      <c r="AU847" t="s">
        <v>2123</v>
      </c>
      <c r="AW847" s="3">
        <v>46208.53701449134</v>
      </c>
    </row>
    <row r="848" spans="1:49" ht="16" hidden="1" x14ac:dyDescent="0.2">
      <c r="A848" t="s">
        <v>86</v>
      </c>
      <c r="B848">
        <v>12143</v>
      </c>
      <c r="C848">
        <v>6278</v>
      </c>
      <c r="D848" t="s">
        <v>156</v>
      </c>
      <c r="E848" t="s">
        <v>293</v>
      </c>
      <c r="F848">
        <v>267967</v>
      </c>
      <c r="G848" t="s">
        <v>537</v>
      </c>
      <c r="H848">
        <v>585682</v>
      </c>
      <c r="I848" t="s">
        <v>1056</v>
      </c>
      <c r="J848">
        <v>93826014</v>
      </c>
      <c r="K848" t="s">
        <v>1839</v>
      </c>
      <c r="L848" t="s">
        <v>1850</v>
      </c>
      <c r="M848" s="1">
        <v>20</v>
      </c>
      <c r="N848" t="s">
        <v>1855</v>
      </c>
      <c r="O848">
        <v>1107212</v>
      </c>
      <c r="P848" s="1">
        <v>21502.880000000001</v>
      </c>
      <c r="S848" s="6" t="str">
        <f t="shared" si="13"/>
        <v xml:space="preserve"> </v>
      </c>
      <c r="T848" s="6">
        <f>IF(IF(COUNTIF(H$2:$H848,H848)=1,1,"")=1,SUMIF($H$2:$H$7997,H848,$S$2:$S$7997),"")</f>
        <v>0</v>
      </c>
      <c r="W848">
        <v>1107212</v>
      </c>
      <c r="X848">
        <v>1107212</v>
      </c>
      <c r="Y848">
        <v>0</v>
      </c>
      <c r="Z848">
        <v>0</v>
      </c>
      <c r="AA848" s="2">
        <v>1</v>
      </c>
      <c r="AB848" s="2">
        <v>0</v>
      </c>
      <c r="AC848" s="2">
        <v>0</v>
      </c>
      <c r="AD848">
        <v>0</v>
      </c>
      <c r="AE848" t="s">
        <v>1862</v>
      </c>
      <c r="AF848">
        <v>10751.44</v>
      </c>
      <c r="AG848">
        <v>1075144</v>
      </c>
      <c r="AH848">
        <v>21502.880000000001</v>
      </c>
      <c r="AI848" s="1" t="s">
        <v>293</v>
      </c>
      <c r="AJ848">
        <v>93826011</v>
      </c>
      <c r="AK848" s="1" t="s">
        <v>1868</v>
      </c>
      <c r="AL848" t="s">
        <v>1927</v>
      </c>
      <c r="AN848" t="s">
        <v>2062</v>
      </c>
      <c r="AO848" t="s">
        <v>2067</v>
      </c>
      <c r="AP848" t="s">
        <v>2093</v>
      </c>
      <c r="AQ848">
        <v>127633</v>
      </c>
      <c r="AR848" s="3">
        <v>46203</v>
      </c>
      <c r="AS848" s="3">
        <v>46174</v>
      </c>
      <c r="AT848" s="3">
        <v>46203</v>
      </c>
      <c r="AU848" t="s">
        <v>2124</v>
      </c>
      <c r="AW848" s="3">
        <v>46208.53701449134</v>
      </c>
    </row>
    <row r="849" spans="1:49" ht="16" hidden="1" x14ac:dyDescent="0.2">
      <c r="A849" t="s">
        <v>86</v>
      </c>
      <c r="B849">
        <v>12143</v>
      </c>
      <c r="C849">
        <v>6278</v>
      </c>
      <c r="D849" t="s">
        <v>156</v>
      </c>
      <c r="E849" t="s">
        <v>293</v>
      </c>
      <c r="F849">
        <v>267967</v>
      </c>
      <c r="G849" t="s">
        <v>537</v>
      </c>
      <c r="H849">
        <v>585682</v>
      </c>
      <c r="I849" t="s">
        <v>1057</v>
      </c>
      <c r="J849">
        <v>93826017</v>
      </c>
      <c r="K849" t="s">
        <v>1840</v>
      </c>
      <c r="L849" t="s">
        <v>1850</v>
      </c>
      <c r="M849" s="1">
        <v>20</v>
      </c>
      <c r="N849" t="s">
        <v>1855</v>
      </c>
      <c r="O849">
        <v>720768</v>
      </c>
      <c r="P849" s="1">
        <v>14334.82</v>
      </c>
      <c r="S849" s="6" t="str">
        <f t="shared" si="13"/>
        <v xml:space="preserve"> </v>
      </c>
      <c r="T849" s="6" t="str">
        <f>IF(IF(COUNTIF(H$2:$H849,H849)=1,1,"")=1,SUMIF($H$2:$H$7997,H849,$S$2:$S$7997),"")</f>
        <v/>
      </c>
      <c r="W849">
        <v>720768</v>
      </c>
      <c r="X849">
        <v>720768</v>
      </c>
      <c r="Y849">
        <v>0</v>
      </c>
      <c r="Z849">
        <v>0</v>
      </c>
      <c r="AA849" s="2">
        <v>1</v>
      </c>
      <c r="AB849" s="2">
        <v>0</v>
      </c>
      <c r="AC849" s="2">
        <v>0</v>
      </c>
      <c r="AD849">
        <v>0</v>
      </c>
      <c r="AE849" t="s">
        <v>1862</v>
      </c>
      <c r="AF849">
        <v>7167.41</v>
      </c>
      <c r="AG849">
        <v>716741</v>
      </c>
      <c r="AH849">
        <v>14334.82</v>
      </c>
      <c r="AI849" s="1" t="s">
        <v>293</v>
      </c>
      <c r="AJ849">
        <v>93826011</v>
      </c>
      <c r="AK849" s="1" t="s">
        <v>1868</v>
      </c>
      <c r="AL849" t="s">
        <v>1927</v>
      </c>
      <c r="AN849" t="s">
        <v>2062</v>
      </c>
      <c r="AO849" t="s">
        <v>2067</v>
      </c>
      <c r="AP849" t="s">
        <v>2083</v>
      </c>
      <c r="AQ849">
        <v>127633</v>
      </c>
      <c r="AR849" s="3">
        <v>46203</v>
      </c>
      <c r="AS849" s="3">
        <v>46174</v>
      </c>
      <c r="AT849" s="3">
        <v>46203</v>
      </c>
      <c r="AU849" t="s">
        <v>2123</v>
      </c>
      <c r="AW849" s="3">
        <v>46208.53701449134</v>
      </c>
    </row>
    <row r="850" spans="1:49" ht="16" hidden="1" x14ac:dyDescent="0.2">
      <c r="A850" t="s">
        <v>86</v>
      </c>
      <c r="B850">
        <v>12143</v>
      </c>
      <c r="C850">
        <v>6278</v>
      </c>
      <c r="D850" t="s">
        <v>156</v>
      </c>
      <c r="E850" t="s">
        <v>299</v>
      </c>
      <c r="F850">
        <v>262833</v>
      </c>
      <c r="G850" t="s">
        <v>548</v>
      </c>
      <c r="H850">
        <v>582484</v>
      </c>
      <c r="I850" t="s">
        <v>1079</v>
      </c>
      <c r="J850">
        <v>93863663</v>
      </c>
      <c r="K850" t="s">
        <v>1835</v>
      </c>
      <c r="L850" t="s">
        <v>1850</v>
      </c>
      <c r="M850" s="1">
        <v>25</v>
      </c>
      <c r="N850" t="s">
        <v>1853</v>
      </c>
      <c r="O850">
        <v>918639</v>
      </c>
      <c r="P850" s="1">
        <v>22965.97</v>
      </c>
      <c r="S850" s="6" t="str">
        <f t="shared" si="13"/>
        <v xml:space="preserve"> </v>
      </c>
      <c r="T850" s="6">
        <f>IF(IF(COUNTIF(H$2:$H850,H850)=1,1,"")=1,SUMIF($H$2:$H$7997,H850,$S$2:$S$7997),"")</f>
        <v>0</v>
      </c>
      <c r="W850">
        <v>791934</v>
      </c>
      <c r="X850">
        <v>791934</v>
      </c>
      <c r="Y850">
        <v>918639</v>
      </c>
      <c r="Z850">
        <v>918639</v>
      </c>
      <c r="AA850" s="2">
        <v>1</v>
      </c>
      <c r="AB850" s="2">
        <v>1.159995610372639</v>
      </c>
      <c r="AC850" s="2">
        <v>0</v>
      </c>
      <c r="AD850">
        <v>0</v>
      </c>
      <c r="AE850" t="s">
        <v>1862</v>
      </c>
      <c r="AF850">
        <v>11353.46</v>
      </c>
      <c r="AG850">
        <v>4092600</v>
      </c>
      <c r="AH850">
        <v>102315</v>
      </c>
      <c r="AI850" s="1" t="s">
        <v>299</v>
      </c>
      <c r="AJ850">
        <v>93863647</v>
      </c>
      <c r="AK850" s="1" t="s">
        <v>1867</v>
      </c>
      <c r="AL850" t="s">
        <v>1933</v>
      </c>
      <c r="AN850" t="s">
        <v>2062</v>
      </c>
      <c r="AO850" t="s">
        <v>2067</v>
      </c>
      <c r="AP850" t="s">
        <v>2091</v>
      </c>
      <c r="AQ850">
        <v>127887</v>
      </c>
      <c r="AR850" s="3">
        <v>46203</v>
      </c>
      <c r="AS850" s="3">
        <v>46174</v>
      </c>
      <c r="AT850" s="3">
        <v>46292</v>
      </c>
      <c r="AU850" t="s">
        <v>2123</v>
      </c>
      <c r="AW850" s="3">
        <v>46208.53701449134</v>
      </c>
    </row>
    <row r="851" spans="1:49" ht="16" hidden="1" x14ac:dyDescent="0.2">
      <c r="A851" t="s">
        <v>86</v>
      </c>
      <c r="B851">
        <v>12143</v>
      </c>
      <c r="C851">
        <v>6278</v>
      </c>
      <c r="D851" t="s">
        <v>156</v>
      </c>
      <c r="E851" t="s">
        <v>299</v>
      </c>
      <c r="F851">
        <v>262833</v>
      </c>
      <c r="G851" t="s">
        <v>547</v>
      </c>
      <c r="H851">
        <v>582486</v>
      </c>
      <c r="I851" t="s">
        <v>1078</v>
      </c>
      <c r="J851">
        <v>93863660</v>
      </c>
      <c r="K851" t="s">
        <v>1839</v>
      </c>
      <c r="L851" t="s">
        <v>1850</v>
      </c>
      <c r="M851" s="1">
        <v>40</v>
      </c>
      <c r="N851" t="s">
        <v>23</v>
      </c>
      <c r="O851">
        <v>2195409</v>
      </c>
      <c r="P851" s="1">
        <v>87816.36</v>
      </c>
      <c r="S851" s="6" t="str">
        <f t="shared" si="13"/>
        <v xml:space="preserve"> </v>
      </c>
      <c r="T851" s="6">
        <f>IF(IF(COUNTIF(H$2:$H851,H851)=1,1,"")=1,SUMIF($H$2:$H$7997,H851,$S$2:$S$7997),"")</f>
        <v>0</v>
      </c>
      <c r="W851">
        <v>2195409</v>
      </c>
      <c r="X851">
        <v>2195409</v>
      </c>
      <c r="Y851">
        <v>0</v>
      </c>
      <c r="Z851">
        <v>0</v>
      </c>
      <c r="AA851" s="2">
        <v>1</v>
      </c>
      <c r="AB851" s="2">
        <v>0</v>
      </c>
      <c r="AC851" s="2">
        <v>0</v>
      </c>
      <c r="AD851">
        <v>0</v>
      </c>
      <c r="AE851" t="s">
        <v>1862</v>
      </c>
      <c r="AF851">
        <v>44258.99</v>
      </c>
      <c r="AG851">
        <v>3304592</v>
      </c>
      <c r="AH851">
        <v>132183.67999999999</v>
      </c>
      <c r="AI851" s="1" t="s">
        <v>299</v>
      </c>
      <c r="AJ851">
        <v>93863647</v>
      </c>
      <c r="AK851" s="1" t="s">
        <v>1867</v>
      </c>
      <c r="AL851" t="s">
        <v>1933</v>
      </c>
      <c r="AN851" t="s">
        <v>2062</v>
      </c>
      <c r="AO851" t="s">
        <v>2067</v>
      </c>
      <c r="AP851" t="s">
        <v>2094</v>
      </c>
      <c r="AQ851">
        <v>127887</v>
      </c>
      <c r="AR851" s="3">
        <v>46203</v>
      </c>
      <c r="AS851" s="3">
        <v>46174</v>
      </c>
      <c r="AT851" s="3">
        <v>46222</v>
      </c>
      <c r="AU851" t="s">
        <v>2124</v>
      </c>
      <c r="AW851" s="3">
        <v>46208.53701449134</v>
      </c>
    </row>
    <row r="852" spans="1:49" ht="16" hidden="1" x14ac:dyDescent="0.2">
      <c r="A852" t="s">
        <v>86</v>
      </c>
      <c r="B852">
        <v>12143</v>
      </c>
      <c r="C852">
        <v>6278</v>
      </c>
      <c r="D852" t="s">
        <v>156</v>
      </c>
      <c r="E852" t="s">
        <v>299</v>
      </c>
      <c r="F852">
        <v>262833</v>
      </c>
      <c r="G852" t="s">
        <v>547</v>
      </c>
      <c r="H852">
        <v>582486</v>
      </c>
      <c r="I852" t="s">
        <v>1077</v>
      </c>
      <c r="J852">
        <v>93863657</v>
      </c>
      <c r="K852" t="s">
        <v>1835</v>
      </c>
      <c r="L852" t="s">
        <v>1850</v>
      </c>
      <c r="M852" s="1">
        <v>40</v>
      </c>
      <c r="N852" t="s">
        <v>23</v>
      </c>
      <c r="O852">
        <v>963550</v>
      </c>
      <c r="P852" s="1">
        <v>38542</v>
      </c>
      <c r="S852" s="6" t="str">
        <f t="shared" si="13"/>
        <v xml:space="preserve"> </v>
      </c>
      <c r="T852" s="6" t="str">
        <f>IF(IF(COUNTIF(H$2:$H852,H852)=1,1,"")=1,SUMIF($H$2:$H$7997,H852,$S$2:$S$7997),"")</f>
        <v/>
      </c>
      <c r="W852">
        <v>963550</v>
      </c>
      <c r="X852">
        <v>963550</v>
      </c>
      <c r="Y852">
        <v>0</v>
      </c>
      <c r="Z852">
        <v>0</v>
      </c>
      <c r="AA852" s="2">
        <v>1</v>
      </c>
      <c r="AB852" s="2">
        <v>0</v>
      </c>
      <c r="AC852" s="2">
        <v>0</v>
      </c>
      <c r="AD852">
        <v>0</v>
      </c>
      <c r="AE852" t="s">
        <v>1862</v>
      </c>
      <c r="AF852">
        <v>18968.13</v>
      </c>
      <c r="AG852">
        <v>1416253</v>
      </c>
      <c r="AH852">
        <v>56650.12</v>
      </c>
      <c r="AI852" s="1" t="s">
        <v>299</v>
      </c>
      <c r="AJ852">
        <v>93863647</v>
      </c>
      <c r="AK852" s="1" t="s">
        <v>1867</v>
      </c>
      <c r="AL852" t="s">
        <v>1933</v>
      </c>
      <c r="AN852" t="s">
        <v>2062</v>
      </c>
      <c r="AO852" t="s">
        <v>2067</v>
      </c>
      <c r="AP852" t="s">
        <v>2092</v>
      </c>
      <c r="AQ852">
        <v>127887</v>
      </c>
      <c r="AR852" s="3">
        <v>46203</v>
      </c>
      <c r="AS852" s="3">
        <v>46174</v>
      </c>
      <c r="AT852" s="3">
        <v>46222</v>
      </c>
      <c r="AU852" t="s">
        <v>2123</v>
      </c>
      <c r="AW852" s="3">
        <v>46208.53701449134</v>
      </c>
    </row>
    <row r="853" spans="1:49" ht="16" hidden="1" x14ac:dyDescent="0.2">
      <c r="A853" t="s">
        <v>86</v>
      </c>
      <c r="B853">
        <v>12143</v>
      </c>
      <c r="C853">
        <v>6278</v>
      </c>
      <c r="D853" t="s">
        <v>156</v>
      </c>
      <c r="E853" t="s">
        <v>299</v>
      </c>
      <c r="F853">
        <v>262833</v>
      </c>
      <c r="G853" t="s">
        <v>546</v>
      </c>
      <c r="H853">
        <v>585346</v>
      </c>
      <c r="I853" t="s">
        <v>1076</v>
      </c>
      <c r="J853">
        <v>93863654</v>
      </c>
      <c r="K853" t="s">
        <v>1839</v>
      </c>
      <c r="L853" t="s">
        <v>1850</v>
      </c>
      <c r="M853" s="1">
        <v>20</v>
      </c>
      <c r="N853" t="s">
        <v>1855</v>
      </c>
      <c r="O853">
        <v>6556731</v>
      </c>
      <c r="P853" s="1">
        <v>131134.62</v>
      </c>
      <c r="S853" s="6" t="str">
        <f t="shared" si="13"/>
        <v xml:space="preserve"> </v>
      </c>
      <c r="T853" s="6">
        <f>IF(IF(COUNTIF(H$2:$H853,H853)=1,1,"")=1,SUMIF($H$2:$H$7997,H853,$S$2:$S$7997),"")</f>
        <v>0</v>
      </c>
      <c r="W853">
        <v>6556731</v>
      </c>
      <c r="X853">
        <v>6556731</v>
      </c>
      <c r="Y853">
        <v>0</v>
      </c>
      <c r="Z853">
        <v>0</v>
      </c>
      <c r="AA853" s="2">
        <v>1</v>
      </c>
      <c r="AB853" s="2">
        <v>0</v>
      </c>
      <c r="AC853" s="2">
        <v>0</v>
      </c>
      <c r="AD853">
        <v>0</v>
      </c>
      <c r="AE853" t="s">
        <v>1862</v>
      </c>
      <c r="AF853">
        <v>65234.57</v>
      </c>
      <c r="AG853">
        <v>22452702</v>
      </c>
      <c r="AH853">
        <v>449054.04</v>
      </c>
      <c r="AI853" s="1" t="s">
        <v>299</v>
      </c>
      <c r="AJ853">
        <v>93863647</v>
      </c>
      <c r="AK853" s="1" t="s">
        <v>1868</v>
      </c>
      <c r="AL853" t="s">
        <v>1933</v>
      </c>
      <c r="AN853" t="s">
        <v>2062</v>
      </c>
      <c r="AO853" t="s">
        <v>2067</v>
      </c>
      <c r="AP853" t="s">
        <v>2093</v>
      </c>
      <c r="AQ853">
        <v>127887</v>
      </c>
      <c r="AR853" s="3">
        <v>46203</v>
      </c>
      <c r="AS853" s="3">
        <v>46174</v>
      </c>
      <c r="AT853" s="3">
        <v>46292</v>
      </c>
      <c r="AU853" t="s">
        <v>2124</v>
      </c>
      <c r="AW853" s="3">
        <v>46208.53701449134</v>
      </c>
    </row>
    <row r="854" spans="1:49" ht="16" hidden="1" x14ac:dyDescent="0.2">
      <c r="A854" t="s">
        <v>86</v>
      </c>
      <c r="B854">
        <v>12143</v>
      </c>
      <c r="C854">
        <v>6278</v>
      </c>
      <c r="D854" t="s">
        <v>156</v>
      </c>
      <c r="E854" t="s">
        <v>299</v>
      </c>
      <c r="F854">
        <v>262833</v>
      </c>
      <c r="G854" t="s">
        <v>546</v>
      </c>
      <c r="H854">
        <v>585346</v>
      </c>
      <c r="I854" t="s">
        <v>1075</v>
      </c>
      <c r="J854">
        <v>93863650</v>
      </c>
      <c r="K854" t="s">
        <v>1840</v>
      </c>
      <c r="L854" t="s">
        <v>1850</v>
      </c>
      <c r="M854" s="1">
        <v>20</v>
      </c>
      <c r="N854" t="s">
        <v>1855</v>
      </c>
      <c r="O854">
        <v>4349810</v>
      </c>
      <c r="P854" s="1">
        <v>86996.2</v>
      </c>
      <c r="S854" s="6" t="str">
        <f t="shared" si="13"/>
        <v xml:space="preserve"> </v>
      </c>
      <c r="T854" s="6" t="str">
        <f>IF(IF(COUNTIF(H$2:$H854,H854)=1,1,"")=1,SUMIF($H$2:$H$7997,H854,$S$2:$S$7997),"")</f>
        <v/>
      </c>
      <c r="W854">
        <v>4349810</v>
      </c>
      <c r="X854">
        <v>4349810</v>
      </c>
      <c r="Y854">
        <v>0</v>
      </c>
      <c r="Z854">
        <v>0</v>
      </c>
      <c r="AA854" s="2">
        <v>1</v>
      </c>
      <c r="AB854" s="2">
        <v>0</v>
      </c>
      <c r="AC854" s="2">
        <v>0</v>
      </c>
      <c r="AD854">
        <v>0</v>
      </c>
      <c r="AE854" t="s">
        <v>1862</v>
      </c>
      <c r="AF854">
        <v>43489.71</v>
      </c>
      <c r="AG854">
        <v>14968467</v>
      </c>
      <c r="AH854">
        <v>299369.34000000003</v>
      </c>
      <c r="AI854" s="1" t="s">
        <v>299</v>
      </c>
      <c r="AJ854">
        <v>93863647</v>
      </c>
      <c r="AK854" s="1" t="s">
        <v>1868</v>
      </c>
      <c r="AL854" t="s">
        <v>1933</v>
      </c>
      <c r="AN854" t="s">
        <v>2062</v>
      </c>
      <c r="AO854" t="s">
        <v>2067</v>
      </c>
      <c r="AP854" t="s">
        <v>2083</v>
      </c>
      <c r="AQ854">
        <v>127887</v>
      </c>
      <c r="AR854" s="3">
        <v>46203</v>
      </c>
      <c r="AS854" s="3">
        <v>46174</v>
      </c>
      <c r="AT854" s="3">
        <v>46292</v>
      </c>
      <c r="AU854" t="s">
        <v>2123</v>
      </c>
      <c r="AW854" s="3">
        <v>46208.53701449134</v>
      </c>
    </row>
    <row r="855" spans="1:49" ht="16" hidden="1" x14ac:dyDescent="0.2">
      <c r="A855" t="s">
        <v>69</v>
      </c>
      <c r="B855">
        <v>11418</v>
      </c>
      <c r="C855">
        <v>1162</v>
      </c>
      <c r="D855" t="s">
        <v>152</v>
      </c>
      <c r="E855" t="s">
        <v>364</v>
      </c>
      <c r="F855">
        <v>264419</v>
      </c>
      <c r="G855" t="s">
        <v>669</v>
      </c>
      <c r="H855">
        <v>591635</v>
      </c>
      <c r="I855" t="s">
        <v>1301</v>
      </c>
      <c r="J855">
        <v>94330071</v>
      </c>
      <c r="K855" t="s">
        <v>1840</v>
      </c>
      <c r="L855" t="s">
        <v>1850</v>
      </c>
      <c r="M855" s="1">
        <v>23.97</v>
      </c>
      <c r="N855" t="s">
        <v>23</v>
      </c>
      <c r="O855">
        <v>10963</v>
      </c>
      <c r="P855" s="1">
        <v>262.77999999999997</v>
      </c>
      <c r="S855" s="6" t="str">
        <f t="shared" si="13"/>
        <v xml:space="preserve"> </v>
      </c>
      <c r="T855" s="6">
        <f>IF(IF(COUNTIF(H$2:$H855,H855)=1,1,"")=1,SUMIF($H$2:$H$7997,H855,$S$2:$S$7997),"")</f>
        <v>0</v>
      </c>
      <c r="W855">
        <v>53450</v>
      </c>
      <c r="X855">
        <v>10963</v>
      </c>
      <c r="Y855">
        <v>0</v>
      </c>
      <c r="Z855">
        <v>0</v>
      </c>
      <c r="AA855" s="2">
        <v>1</v>
      </c>
      <c r="AB855" s="2">
        <v>0</v>
      </c>
      <c r="AC855" s="2">
        <v>0</v>
      </c>
      <c r="AD855">
        <v>0</v>
      </c>
      <c r="AE855" t="s">
        <v>1862</v>
      </c>
      <c r="AF855">
        <v>482.53</v>
      </c>
      <c r="AG855">
        <v>64535</v>
      </c>
      <c r="AH855">
        <v>1546.9</v>
      </c>
      <c r="AI855" s="1" t="s">
        <v>364</v>
      </c>
      <c r="AJ855">
        <v>93060180</v>
      </c>
      <c r="AK855" s="1" t="s">
        <v>1867</v>
      </c>
      <c r="AL855" t="s">
        <v>1983</v>
      </c>
      <c r="AN855" t="s">
        <v>2054</v>
      </c>
      <c r="AO855" t="s">
        <v>2067</v>
      </c>
      <c r="AP855" t="s">
        <v>2089</v>
      </c>
      <c r="AQ855">
        <v>129716</v>
      </c>
      <c r="AR855" s="3">
        <v>46203</v>
      </c>
      <c r="AS855" s="3">
        <v>46171</v>
      </c>
      <c r="AT855" s="3">
        <v>46203</v>
      </c>
      <c r="AU855" t="s">
        <v>2124</v>
      </c>
      <c r="AW855" s="3">
        <v>46208.53701449134</v>
      </c>
    </row>
    <row r="856" spans="1:49" ht="16" hidden="1" x14ac:dyDescent="0.2">
      <c r="A856" t="s">
        <v>69</v>
      </c>
      <c r="B856">
        <v>11418</v>
      </c>
      <c r="C856">
        <v>1162</v>
      </c>
      <c r="D856" t="s">
        <v>152</v>
      </c>
      <c r="E856" t="s">
        <v>364</v>
      </c>
      <c r="F856">
        <v>264419</v>
      </c>
      <c r="G856" t="s">
        <v>669</v>
      </c>
      <c r="H856">
        <v>591635</v>
      </c>
      <c r="I856" t="s">
        <v>1298</v>
      </c>
      <c r="J856">
        <v>94330060</v>
      </c>
      <c r="K856" t="s">
        <v>1840</v>
      </c>
      <c r="L856" t="s">
        <v>1850</v>
      </c>
      <c r="M856" s="1">
        <v>23.97</v>
      </c>
      <c r="N856" t="s">
        <v>23</v>
      </c>
      <c r="O856">
        <v>3202</v>
      </c>
      <c r="P856" s="1">
        <v>76.75</v>
      </c>
      <c r="S856" s="6" t="str">
        <f t="shared" si="13"/>
        <v xml:space="preserve"> </v>
      </c>
      <c r="T856" s="6" t="str">
        <f>IF(IF(COUNTIF(H$2:$H856,H856)=1,1,"")=1,SUMIF($H$2:$H$7997,H856,$S$2:$S$7997),"")</f>
        <v/>
      </c>
      <c r="W856">
        <v>24085</v>
      </c>
      <c r="X856">
        <v>3202</v>
      </c>
      <c r="Y856">
        <v>0</v>
      </c>
      <c r="Z856">
        <v>0</v>
      </c>
      <c r="AA856" s="2">
        <v>1</v>
      </c>
      <c r="AB856" s="2">
        <v>0</v>
      </c>
      <c r="AC856" s="2">
        <v>0</v>
      </c>
      <c r="AD856">
        <v>0</v>
      </c>
      <c r="AE856" t="s">
        <v>1862</v>
      </c>
      <c r="AF856">
        <v>203.25</v>
      </c>
      <c r="AG856">
        <v>27183</v>
      </c>
      <c r="AH856">
        <v>651.58000000000004</v>
      </c>
      <c r="AI856" s="1" t="s">
        <v>364</v>
      </c>
      <c r="AJ856">
        <v>93060180</v>
      </c>
      <c r="AK856" s="1" t="s">
        <v>1867</v>
      </c>
      <c r="AL856" t="s">
        <v>1983</v>
      </c>
      <c r="AN856" t="s">
        <v>2054</v>
      </c>
      <c r="AO856" t="s">
        <v>2067</v>
      </c>
      <c r="AP856" t="s">
        <v>2090</v>
      </c>
      <c r="AQ856">
        <v>129716</v>
      </c>
      <c r="AR856" s="3">
        <v>46203</v>
      </c>
      <c r="AS856" s="3">
        <v>46171</v>
      </c>
      <c r="AT856" s="3">
        <v>46203</v>
      </c>
      <c r="AU856" t="s">
        <v>2123</v>
      </c>
      <c r="AW856" s="3">
        <v>46208.53701449134</v>
      </c>
    </row>
    <row r="857" spans="1:49" ht="16" hidden="1" x14ac:dyDescent="0.2">
      <c r="A857" t="s">
        <v>69</v>
      </c>
      <c r="B857">
        <v>11418</v>
      </c>
      <c r="C857">
        <v>1162</v>
      </c>
      <c r="D857" t="s">
        <v>152</v>
      </c>
      <c r="E857" t="s">
        <v>364</v>
      </c>
      <c r="F857">
        <v>264419</v>
      </c>
      <c r="G857" t="s">
        <v>670</v>
      </c>
      <c r="H857">
        <v>591648</v>
      </c>
      <c r="I857" t="s">
        <v>1300</v>
      </c>
      <c r="J857">
        <v>94330068</v>
      </c>
      <c r="K857" t="s">
        <v>1840</v>
      </c>
      <c r="L857" t="s">
        <v>1850</v>
      </c>
      <c r="M857" s="1">
        <v>23.97</v>
      </c>
      <c r="N857" t="s">
        <v>23</v>
      </c>
      <c r="O857">
        <v>93766</v>
      </c>
      <c r="P857" s="1">
        <v>2247.5700000000002</v>
      </c>
      <c r="S857" s="6" t="str">
        <f t="shared" si="13"/>
        <v xml:space="preserve"> </v>
      </c>
      <c r="T857" s="6">
        <f>IF(IF(COUNTIF(H$2:$H857,H857)=1,1,"")=1,SUMIF($H$2:$H$7997,H857,$S$2:$S$7997),"")</f>
        <v>0</v>
      </c>
      <c r="W857">
        <v>792893</v>
      </c>
      <c r="X857">
        <v>93766</v>
      </c>
      <c r="Y857">
        <v>0</v>
      </c>
      <c r="Z857">
        <v>0</v>
      </c>
      <c r="AA857" s="2">
        <v>1</v>
      </c>
      <c r="AB857" s="2">
        <v>0</v>
      </c>
      <c r="AC857" s="2">
        <v>0</v>
      </c>
      <c r="AD857">
        <v>0</v>
      </c>
      <c r="AE857" t="s">
        <v>1862</v>
      </c>
      <c r="AF857">
        <v>9214.5499999999993</v>
      </c>
      <c r="AG857">
        <v>862166</v>
      </c>
      <c r="AH857">
        <v>20666.12</v>
      </c>
      <c r="AI857" s="1" t="s">
        <v>364</v>
      </c>
      <c r="AJ857">
        <v>93060180</v>
      </c>
      <c r="AK857" s="1" t="s">
        <v>1867</v>
      </c>
      <c r="AL857" t="s">
        <v>1983</v>
      </c>
      <c r="AN857" t="s">
        <v>2054</v>
      </c>
      <c r="AO857" t="s">
        <v>2067</v>
      </c>
      <c r="AP857" t="s">
        <v>2089</v>
      </c>
      <c r="AQ857">
        <v>129716</v>
      </c>
      <c r="AR857" s="3">
        <v>46203</v>
      </c>
      <c r="AS857" s="3">
        <v>46171</v>
      </c>
      <c r="AT857" s="3">
        <v>46203</v>
      </c>
      <c r="AU857" t="s">
        <v>2124</v>
      </c>
      <c r="AW857" s="3">
        <v>46208.53701449134</v>
      </c>
    </row>
    <row r="858" spans="1:49" ht="16" hidden="1" x14ac:dyDescent="0.2">
      <c r="A858" t="s">
        <v>69</v>
      </c>
      <c r="B858">
        <v>11418</v>
      </c>
      <c r="C858">
        <v>1162</v>
      </c>
      <c r="D858" t="s">
        <v>152</v>
      </c>
      <c r="E858" t="s">
        <v>364</v>
      </c>
      <c r="F858">
        <v>264419</v>
      </c>
      <c r="G858" t="s">
        <v>670</v>
      </c>
      <c r="H858">
        <v>591648</v>
      </c>
      <c r="I858" t="s">
        <v>1299</v>
      </c>
      <c r="J858">
        <v>94330064</v>
      </c>
      <c r="K858" t="s">
        <v>1840</v>
      </c>
      <c r="L858" t="s">
        <v>1850</v>
      </c>
      <c r="M858" s="1">
        <v>23.97</v>
      </c>
      <c r="N858" t="s">
        <v>23</v>
      </c>
      <c r="O858">
        <v>20</v>
      </c>
      <c r="P858" s="1">
        <v>0.48</v>
      </c>
      <c r="S858" s="6" t="str">
        <f t="shared" si="13"/>
        <v xml:space="preserve"> </v>
      </c>
      <c r="T858" s="6" t="str">
        <f>IF(IF(COUNTIF(H$2:$H858,H858)=1,1,"")=1,SUMIF($H$2:$H$7997,H858,$S$2:$S$7997),"")</f>
        <v/>
      </c>
      <c r="W858">
        <v>4495</v>
      </c>
      <c r="X858">
        <v>20</v>
      </c>
      <c r="Y858">
        <v>0</v>
      </c>
      <c r="Z858">
        <v>0</v>
      </c>
      <c r="AA858" s="2">
        <v>1</v>
      </c>
      <c r="AB858" s="2">
        <v>0</v>
      </c>
      <c r="AC858" s="2">
        <v>0</v>
      </c>
      <c r="AD858">
        <v>0</v>
      </c>
      <c r="AE858" t="s">
        <v>1862</v>
      </c>
      <c r="AF858">
        <v>47.03</v>
      </c>
      <c r="AG858">
        <v>4400</v>
      </c>
      <c r="AH858">
        <v>105.47</v>
      </c>
      <c r="AI858" s="1" t="s">
        <v>364</v>
      </c>
      <c r="AJ858">
        <v>93060180</v>
      </c>
      <c r="AK858" s="1" t="s">
        <v>1867</v>
      </c>
      <c r="AL858" t="s">
        <v>1983</v>
      </c>
      <c r="AN858" t="s">
        <v>2054</v>
      </c>
      <c r="AO858" t="s">
        <v>2067</v>
      </c>
      <c r="AP858" t="s">
        <v>2090</v>
      </c>
      <c r="AQ858">
        <v>129716</v>
      </c>
      <c r="AR858" s="3">
        <v>46203</v>
      </c>
      <c r="AS858" s="3">
        <v>46171</v>
      </c>
      <c r="AT858" s="3">
        <v>46203</v>
      </c>
      <c r="AU858" t="s">
        <v>2123</v>
      </c>
      <c r="AW858" s="3">
        <v>46208.53701449134</v>
      </c>
    </row>
    <row r="859" spans="1:49" ht="16" hidden="1" x14ac:dyDescent="0.2">
      <c r="A859" t="s">
        <v>69</v>
      </c>
      <c r="B859">
        <v>11418</v>
      </c>
      <c r="C859">
        <v>1162</v>
      </c>
      <c r="D859" t="s">
        <v>152</v>
      </c>
      <c r="E859" t="s">
        <v>365</v>
      </c>
      <c r="F859">
        <v>264415</v>
      </c>
      <c r="G859" t="s">
        <v>671</v>
      </c>
      <c r="H859">
        <v>591505</v>
      </c>
      <c r="I859" t="s">
        <v>1303</v>
      </c>
      <c r="J859">
        <v>94330101</v>
      </c>
      <c r="K859" t="s">
        <v>1840</v>
      </c>
      <c r="L859" t="s">
        <v>1850</v>
      </c>
      <c r="M859" s="1">
        <v>23.97</v>
      </c>
      <c r="N859" t="s">
        <v>23</v>
      </c>
      <c r="O859">
        <v>48184</v>
      </c>
      <c r="P859" s="1">
        <v>1154.97</v>
      </c>
      <c r="S859" s="6" t="str">
        <f t="shared" si="13"/>
        <v xml:space="preserve"> </v>
      </c>
      <c r="T859" s="6">
        <f>IF(IF(COUNTIF(H$2:$H859,H859)=1,1,"")=1,SUMIF($H$2:$H$7997,H859,$S$2:$S$7997),"")</f>
        <v>0</v>
      </c>
      <c r="W859">
        <v>402428</v>
      </c>
      <c r="X859">
        <v>48184</v>
      </c>
      <c r="Y859">
        <v>0</v>
      </c>
      <c r="Z859">
        <v>0</v>
      </c>
      <c r="AA859" s="2">
        <v>1</v>
      </c>
      <c r="AB859" s="2">
        <v>0</v>
      </c>
      <c r="AC859" s="2">
        <v>0</v>
      </c>
      <c r="AD859">
        <v>0</v>
      </c>
      <c r="AE859" t="s">
        <v>1862</v>
      </c>
      <c r="AF859">
        <v>4676.0200000000004</v>
      </c>
      <c r="AG859">
        <v>438309</v>
      </c>
      <c r="AH859">
        <v>10506.27</v>
      </c>
      <c r="AI859" s="1" t="s">
        <v>365</v>
      </c>
      <c r="AJ859">
        <v>93031349</v>
      </c>
      <c r="AK859" s="1" t="s">
        <v>1867</v>
      </c>
      <c r="AL859" t="s">
        <v>1984</v>
      </c>
      <c r="AN859" t="s">
        <v>2054</v>
      </c>
      <c r="AO859" t="s">
        <v>2067</v>
      </c>
      <c r="AP859" t="s">
        <v>2089</v>
      </c>
      <c r="AQ859">
        <v>129712</v>
      </c>
      <c r="AR859" s="3">
        <v>46203</v>
      </c>
      <c r="AS859" s="3">
        <v>46171</v>
      </c>
      <c r="AT859" s="3">
        <v>46203</v>
      </c>
      <c r="AU859" t="s">
        <v>2124</v>
      </c>
      <c r="AW859" s="3">
        <v>46208.53701449134</v>
      </c>
    </row>
    <row r="860" spans="1:49" ht="16" hidden="1" x14ac:dyDescent="0.2">
      <c r="A860" t="s">
        <v>69</v>
      </c>
      <c r="B860">
        <v>11418</v>
      </c>
      <c r="C860">
        <v>1162</v>
      </c>
      <c r="D860" t="s">
        <v>152</v>
      </c>
      <c r="E860" t="s">
        <v>365</v>
      </c>
      <c r="F860">
        <v>264415</v>
      </c>
      <c r="G860" t="s">
        <v>671</v>
      </c>
      <c r="H860">
        <v>591505</v>
      </c>
      <c r="I860" t="s">
        <v>1302</v>
      </c>
      <c r="J860">
        <v>94330097</v>
      </c>
      <c r="K860" t="s">
        <v>1840</v>
      </c>
      <c r="L860" t="s">
        <v>1850</v>
      </c>
      <c r="M860" s="1">
        <v>23.97</v>
      </c>
      <c r="N860" t="s">
        <v>23</v>
      </c>
      <c r="O860">
        <v>25</v>
      </c>
      <c r="P860" s="1">
        <v>0.6</v>
      </c>
      <c r="S860" s="6" t="str">
        <f t="shared" si="13"/>
        <v xml:space="preserve"> </v>
      </c>
      <c r="T860" s="6" t="str">
        <f>IF(IF(COUNTIF(H$2:$H860,H860)=1,1,"")=1,SUMIF($H$2:$H$7997,H860,$S$2:$S$7997),"")</f>
        <v/>
      </c>
      <c r="W860">
        <v>1163</v>
      </c>
      <c r="X860">
        <v>25</v>
      </c>
      <c r="Y860">
        <v>0</v>
      </c>
      <c r="Z860">
        <v>0</v>
      </c>
      <c r="AA860" s="2">
        <v>1</v>
      </c>
      <c r="AB860" s="2">
        <v>0</v>
      </c>
      <c r="AC860" s="2">
        <v>0</v>
      </c>
      <c r="AD860">
        <v>0</v>
      </c>
      <c r="AE860" t="s">
        <v>1862</v>
      </c>
      <c r="AF860">
        <v>6.4</v>
      </c>
      <c r="AG860">
        <v>600</v>
      </c>
      <c r="AH860">
        <v>14.38</v>
      </c>
      <c r="AI860" s="1" t="s">
        <v>365</v>
      </c>
      <c r="AJ860">
        <v>93031349</v>
      </c>
      <c r="AK860" s="1" t="s">
        <v>1867</v>
      </c>
      <c r="AL860" t="s">
        <v>1984</v>
      </c>
      <c r="AN860" t="s">
        <v>2054</v>
      </c>
      <c r="AO860" t="s">
        <v>2067</v>
      </c>
      <c r="AP860" t="s">
        <v>2090</v>
      </c>
      <c r="AQ860">
        <v>129712</v>
      </c>
      <c r="AR860" s="3">
        <v>46203</v>
      </c>
      <c r="AS860" s="3">
        <v>46171</v>
      </c>
      <c r="AT860" s="3">
        <v>46203</v>
      </c>
      <c r="AU860" t="s">
        <v>2123</v>
      </c>
      <c r="AW860" s="3">
        <v>46208.53701449134</v>
      </c>
    </row>
    <row r="861" spans="1:49" ht="16" hidden="1" x14ac:dyDescent="0.2">
      <c r="A861" t="s">
        <v>69</v>
      </c>
      <c r="B861">
        <v>11418</v>
      </c>
      <c r="C861">
        <v>1162</v>
      </c>
      <c r="D861" t="s">
        <v>152</v>
      </c>
      <c r="E861" t="s">
        <v>365</v>
      </c>
      <c r="F861">
        <v>264415</v>
      </c>
      <c r="G861" t="s">
        <v>672</v>
      </c>
      <c r="H861">
        <v>591610</v>
      </c>
      <c r="I861" t="s">
        <v>1305</v>
      </c>
      <c r="J861">
        <v>94330108</v>
      </c>
      <c r="K861" t="s">
        <v>1840</v>
      </c>
      <c r="L861" t="s">
        <v>1850</v>
      </c>
      <c r="M861" s="1">
        <v>23.97</v>
      </c>
      <c r="N861" t="s">
        <v>23</v>
      </c>
      <c r="O861">
        <v>55985</v>
      </c>
      <c r="P861" s="1">
        <v>1341.96</v>
      </c>
      <c r="S861" s="6" t="str">
        <f t="shared" si="13"/>
        <v xml:space="preserve"> </v>
      </c>
      <c r="T861" s="6">
        <f>IF(IF(COUNTIF(H$2:$H861,H861)=1,1,"")=1,SUMIF($H$2:$H$7997,H861,$S$2:$S$7997),"")</f>
        <v>0</v>
      </c>
      <c r="W861">
        <v>470888</v>
      </c>
      <c r="X861">
        <v>55985</v>
      </c>
      <c r="Y861">
        <v>0</v>
      </c>
      <c r="Z861">
        <v>0</v>
      </c>
      <c r="AA861" s="2">
        <v>1</v>
      </c>
      <c r="AB861" s="2">
        <v>0</v>
      </c>
      <c r="AC861" s="2">
        <v>0</v>
      </c>
      <c r="AD861">
        <v>0</v>
      </c>
      <c r="AE861" t="s">
        <v>1862</v>
      </c>
      <c r="AF861">
        <v>5474.22</v>
      </c>
      <c r="AG861">
        <v>512703</v>
      </c>
      <c r="AH861">
        <v>12289.49</v>
      </c>
      <c r="AI861" s="1" t="s">
        <v>365</v>
      </c>
      <c r="AJ861">
        <v>93031349</v>
      </c>
      <c r="AK861" s="1" t="s">
        <v>1867</v>
      </c>
      <c r="AL861" t="s">
        <v>1984</v>
      </c>
      <c r="AN861" t="s">
        <v>2054</v>
      </c>
      <c r="AO861" t="s">
        <v>2067</v>
      </c>
      <c r="AP861" t="s">
        <v>2089</v>
      </c>
      <c r="AQ861">
        <v>129712</v>
      </c>
      <c r="AR861" s="3">
        <v>46203</v>
      </c>
      <c r="AS861" s="3">
        <v>46171</v>
      </c>
      <c r="AT861" s="3">
        <v>46203</v>
      </c>
      <c r="AU861" t="s">
        <v>2124</v>
      </c>
      <c r="AW861" s="3">
        <v>46208.53701449134</v>
      </c>
    </row>
    <row r="862" spans="1:49" ht="16" hidden="1" x14ac:dyDescent="0.2">
      <c r="A862" t="s">
        <v>69</v>
      </c>
      <c r="B862">
        <v>11418</v>
      </c>
      <c r="C862">
        <v>1162</v>
      </c>
      <c r="D862" t="s">
        <v>152</v>
      </c>
      <c r="E862" t="s">
        <v>365</v>
      </c>
      <c r="F862">
        <v>264415</v>
      </c>
      <c r="G862" t="s">
        <v>672</v>
      </c>
      <c r="H862">
        <v>591610</v>
      </c>
      <c r="I862" t="s">
        <v>1304</v>
      </c>
      <c r="J862">
        <v>94330104</v>
      </c>
      <c r="K862" t="s">
        <v>1840</v>
      </c>
      <c r="L862" t="s">
        <v>1850</v>
      </c>
      <c r="M862" s="1">
        <v>23.97</v>
      </c>
      <c r="N862" t="s">
        <v>23</v>
      </c>
      <c r="O862">
        <v>4</v>
      </c>
      <c r="P862" s="1">
        <v>0.1</v>
      </c>
      <c r="S862" s="6" t="str">
        <f t="shared" si="13"/>
        <v xml:space="preserve"> </v>
      </c>
      <c r="T862" s="6" t="str">
        <f>IF(IF(COUNTIF(H$2:$H862,H862)=1,1,"")=1,SUMIF($H$2:$H$7997,H862,$S$2:$S$7997),"")</f>
        <v/>
      </c>
      <c r="W862">
        <v>924</v>
      </c>
      <c r="X862">
        <v>4</v>
      </c>
      <c r="Y862">
        <v>0</v>
      </c>
      <c r="Z862">
        <v>0</v>
      </c>
      <c r="AA862" s="2">
        <v>1</v>
      </c>
      <c r="AB862" s="2">
        <v>0</v>
      </c>
      <c r="AC862" s="2">
        <v>0</v>
      </c>
      <c r="AD862">
        <v>0</v>
      </c>
      <c r="AE862" t="s">
        <v>1862</v>
      </c>
      <c r="AF862">
        <v>4.2699999999999996</v>
      </c>
      <c r="AG862">
        <v>400</v>
      </c>
      <c r="AH862">
        <v>9.59</v>
      </c>
      <c r="AI862" s="1" t="s">
        <v>365</v>
      </c>
      <c r="AJ862">
        <v>93031349</v>
      </c>
      <c r="AK862" s="1" t="s">
        <v>1867</v>
      </c>
      <c r="AL862" t="s">
        <v>1984</v>
      </c>
      <c r="AN862" t="s">
        <v>2054</v>
      </c>
      <c r="AO862" t="s">
        <v>2067</v>
      </c>
      <c r="AP862" t="s">
        <v>2090</v>
      </c>
      <c r="AQ862">
        <v>129712</v>
      </c>
      <c r="AR862" s="3">
        <v>46203</v>
      </c>
      <c r="AS862" s="3">
        <v>46171</v>
      </c>
      <c r="AT862" s="3">
        <v>46203</v>
      </c>
      <c r="AU862" t="s">
        <v>2123</v>
      </c>
      <c r="AW862" s="3">
        <v>46208.53701449134</v>
      </c>
    </row>
    <row r="863" spans="1:49" ht="16" hidden="1" x14ac:dyDescent="0.2">
      <c r="A863" t="s">
        <v>69</v>
      </c>
      <c r="B863">
        <v>11418</v>
      </c>
      <c r="C863">
        <v>1162</v>
      </c>
      <c r="D863" t="s">
        <v>152</v>
      </c>
      <c r="E863" t="s">
        <v>344</v>
      </c>
      <c r="F863">
        <v>261759</v>
      </c>
      <c r="G863" t="s">
        <v>641</v>
      </c>
      <c r="H863">
        <v>581831</v>
      </c>
      <c r="I863" t="s">
        <v>1248</v>
      </c>
      <c r="J863">
        <v>94264808</v>
      </c>
      <c r="K863" t="s">
        <v>1839</v>
      </c>
      <c r="L863" t="s">
        <v>1850</v>
      </c>
      <c r="M863" s="1">
        <v>40</v>
      </c>
      <c r="N863" t="s">
        <v>23</v>
      </c>
      <c r="O863">
        <v>1114904</v>
      </c>
      <c r="P863" s="1">
        <v>44596.160000000003</v>
      </c>
      <c r="S863" s="6" t="str">
        <f t="shared" si="13"/>
        <v xml:space="preserve"> </v>
      </c>
      <c r="T863" s="6">
        <f>IF(IF(COUNTIF(H$2:$H863,H863)=1,1,"")=1,SUMIF($H$2:$H$7997,H863,$S$2:$S$7997),"")</f>
        <v>0</v>
      </c>
      <c r="W863">
        <v>1114904</v>
      </c>
      <c r="X863">
        <v>1114904</v>
      </c>
      <c r="Y863">
        <v>0</v>
      </c>
      <c r="Z863">
        <v>0</v>
      </c>
      <c r="AA863" s="2">
        <v>1</v>
      </c>
      <c r="AB863" s="2">
        <v>0</v>
      </c>
      <c r="AC863" s="2">
        <v>0</v>
      </c>
      <c r="AD863">
        <v>0</v>
      </c>
      <c r="AE863" t="s">
        <v>1862</v>
      </c>
      <c r="AF863">
        <v>22319.54</v>
      </c>
      <c r="AG863">
        <v>1780742</v>
      </c>
      <c r="AH863">
        <v>71229.679999999993</v>
      </c>
      <c r="AI863" s="1" t="s">
        <v>344</v>
      </c>
      <c r="AJ863">
        <v>94264799</v>
      </c>
      <c r="AK863" s="1" t="s">
        <v>1867</v>
      </c>
      <c r="AL863" t="s">
        <v>1967</v>
      </c>
      <c r="AN863" t="s">
        <v>2054</v>
      </c>
      <c r="AO863" t="s">
        <v>2067</v>
      </c>
      <c r="AP863" t="s">
        <v>2094</v>
      </c>
      <c r="AQ863">
        <v>129282</v>
      </c>
      <c r="AR863" s="3">
        <v>46203</v>
      </c>
      <c r="AS863" s="3">
        <v>46174</v>
      </c>
      <c r="AT863" s="3">
        <v>46222</v>
      </c>
      <c r="AU863" t="s">
        <v>2124</v>
      </c>
      <c r="AW863" s="3">
        <v>46208.53701449134</v>
      </c>
    </row>
    <row r="864" spans="1:49" ht="16" hidden="1" x14ac:dyDescent="0.2">
      <c r="A864" t="s">
        <v>69</v>
      </c>
      <c r="B864">
        <v>11418</v>
      </c>
      <c r="C864">
        <v>1162</v>
      </c>
      <c r="D864" t="s">
        <v>152</v>
      </c>
      <c r="E864" t="s">
        <v>344</v>
      </c>
      <c r="F864">
        <v>261759</v>
      </c>
      <c r="G864" t="s">
        <v>641</v>
      </c>
      <c r="H864">
        <v>581831</v>
      </c>
      <c r="I864" t="s">
        <v>1247</v>
      </c>
      <c r="J864">
        <v>94264805</v>
      </c>
      <c r="K864" t="s">
        <v>1835</v>
      </c>
      <c r="L864" t="s">
        <v>1850</v>
      </c>
      <c r="M864" s="1">
        <v>40</v>
      </c>
      <c r="N864" t="s">
        <v>23</v>
      </c>
      <c r="O864">
        <v>22746</v>
      </c>
      <c r="P864" s="1">
        <v>800</v>
      </c>
      <c r="S864" s="6" t="str">
        <f t="shared" si="13"/>
        <v xml:space="preserve"> </v>
      </c>
      <c r="T864" s="6" t="str">
        <f>IF(IF(COUNTIF(H$2:$H864,H864)=1,1,"")=1,SUMIF($H$2:$H$7997,H864,$S$2:$S$7997),"")</f>
        <v/>
      </c>
      <c r="W864">
        <v>22746</v>
      </c>
      <c r="X864">
        <v>22746</v>
      </c>
      <c r="Y864">
        <v>0</v>
      </c>
      <c r="Z864">
        <v>0</v>
      </c>
      <c r="AA864" s="2">
        <v>1</v>
      </c>
      <c r="AB864" s="2">
        <v>0</v>
      </c>
      <c r="AC864" s="2">
        <v>0</v>
      </c>
      <c r="AD864">
        <v>0</v>
      </c>
      <c r="AE864" t="s">
        <v>1862</v>
      </c>
      <c r="AF864">
        <v>250.68</v>
      </c>
      <c r="AG864">
        <v>20000</v>
      </c>
      <c r="AH864">
        <v>800</v>
      </c>
      <c r="AI864" s="1" t="s">
        <v>344</v>
      </c>
      <c r="AJ864">
        <v>94264799</v>
      </c>
      <c r="AK864" s="1" t="s">
        <v>1867</v>
      </c>
      <c r="AL864" t="s">
        <v>1967</v>
      </c>
      <c r="AN864" t="s">
        <v>2054</v>
      </c>
      <c r="AO864" t="s">
        <v>2067</v>
      </c>
      <c r="AP864" t="s">
        <v>2092</v>
      </c>
      <c r="AQ864">
        <v>129282</v>
      </c>
      <c r="AR864" s="3">
        <v>46203</v>
      </c>
      <c r="AS864" s="3">
        <v>46174</v>
      </c>
      <c r="AT864" s="3">
        <v>46222</v>
      </c>
      <c r="AU864" t="s">
        <v>2123</v>
      </c>
      <c r="AW864" s="3">
        <v>46208.53701449134</v>
      </c>
    </row>
    <row r="865" spans="1:49" ht="16" hidden="1" x14ac:dyDescent="0.2">
      <c r="A865" t="s">
        <v>69</v>
      </c>
      <c r="B865">
        <v>11418</v>
      </c>
      <c r="C865">
        <v>1162</v>
      </c>
      <c r="D865" t="s">
        <v>152</v>
      </c>
      <c r="E865" t="s">
        <v>344</v>
      </c>
      <c r="F865">
        <v>261759</v>
      </c>
      <c r="G865" t="s">
        <v>816</v>
      </c>
      <c r="H865">
        <v>581834</v>
      </c>
      <c r="I865" t="s">
        <v>1591</v>
      </c>
      <c r="J865">
        <v>7321071334</v>
      </c>
      <c r="K865" t="s">
        <v>1835</v>
      </c>
      <c r="L865" t="s">
        <v>1850</v>
      </c>
      <c r="M865" s="1">
        <v>6</v>
      </c>
      <c r="N865" t="s">
        <v>23</v>
      </c>
      <c r="O865">
        <v>0</v>
      </c>
      <c r="P865" s="1">
        <v>0</v>
      </c>
      <c r="S865" s="6" t="str">
        <f t="shared" si="13"/>
        <v xml:space="preserve"> </v>
      </c>
      <c r="T865" s="6">
        <f>IF(IF(COUNTIF(H$2:$H865,H865)=1,1,"")=1,SUMIF($H$2:$H$7997,H865,$S$2:$S$7997),"")</f>
        <v>0</v>
      </c>
      <c r="W865">
        <v>0</v>
      </c>
      <c r="X865">
        <v>0</v>
      </c>
      <c r="Y865">
        <v>0</v>
      </c>
      <c r="Z865">
        <v>0</v>
      </c>
      <c r="AA865" s="2">
        <v>1</v>
      </c>
      <c r="AB865" s="2">
        <v>0</v>
      </c>
      <c r="AC865" s="2">
        <v>0</v>
      </c>
      <c r="AD865">
        <v>0</v>
      </c>
      <c r="AE865" t="s">
        <v>1862</v>
      </c>
      <c r="AF865">
        <v>5780.59</v>
      </c>
      <c r="AG865">
        <v>4500000</v>
      </c>
      <c r="AH865">
        <v>27000</v>
      </c>
      <c r="AI865" s="1" t="s">
        <v>344</v>
      </c>
      <c r="AJ865">
        <v>261759</v>
      </c>
      <c r="AK865" s="1" t="s">
        <v>1867</v>
      </c>
      <c r="AL865" t="s">
        <v>1967</v>
      </c>
      <c r="AN865" t="s">
        <v>2054</v>
      </c>
      <c r="AO865" t="s">
        <v>2067</v>
      </c>
      <c r="AP865" t="s">
        <v>2103</v>
      </c>
      <c r="AQ865">
        <v>129282</v>
      </c>
      <c r="AR865" s="3">
        <v>46203</v>
      </c>
      <c r="AS865" s="3">
        <v>46174</v>
      </c>
      <c r="AT865" s="3">
        <v>46222</v>
      </c>
      <c r="AU865" t="s">
        <v>2126</v>
      </c>
      <c r="AW865" s="3">
        <v>46208.53701449134</v>
      </c>
    </row>
    <row r="866" spans="1:49" ht="16" hidden="1" x14ac:dyDescent="0.2">
      <c r="A866" t="s">
        <v>69</v>
      </c>
      <c r="B866">
        <v>11418</v>
      </c>
      <c r="C866">
        <v>1162</v>
      </c>
      <c r="D866" t="s">
        <v>152</v>
      </c>
      <c r="E866" t="s">
        <v>344</v>
      </c>
      <c r="F866">
        <v>261759</v>
      </c>
      <c r="G866" t="s">
        <v>643</v>
      </c>
      <c r="H866">
        <v>581845</v>
      </c>
      <c r="I866" t="s">
        <v>1251</v>
      </c>
      <c r="J866">
        <v>94264825</v>
      </c>
      <c r="K866" t="s">
        <v>1839</v>
      </c>
      <c r="L866" t="s">
        <v>1850</v>
      </c>
      <c r="M866" s="1">
        <v>20</v>
      </c>
      <c r="N866" t="s">
        <v>1855</v>
      </c>
      <c r="O866">
        <v>2854202</v>
      </c>
      <c r="P866" s="1">
        <v>57084.04</v>
      </c>
      <c r="S866" s="6" t="str">
        <f t="shared" si="13"/>
        <v xml:space="preserve"> </v>
      </c>
      <c r="T866" s="6">
        <f>IF(IF(COUNTIF(H$2:$H866,H866)=1,1,"")=1,SUMIF($H$2:$H$7997,H866,$S$2:$S$7997),"")</f>
        <v>0</v>
      </c>
      <c r="W866">
        <v>2854202</v>
      </c>
      <c r="X866">
        <v>2854202</v>
      </c>
      <c r="Y866">
        <v>0</v>
      </c>
      <c r="Z866">
        <v>0</v>
      </c>
      <c r="AA866" s="2">
        <v>1</v>
      </c>
      <c r="AB866" s="2">
        <v>0</v>
      </c>
      <c r="AC866" s="2">
        <v>0</v>
      </c>
      <c r="AD866">
        <v>0</v>
      </c>
      <c r="AE866" t="s">
        <v>1862</v>
      </c>
      <c r="AF866">
        <v>24893.39</v>
      </c>
      <c r="AG866">
        <v>6849523</v>
      </c>
      <c r="AH866">
        <v>136990.46</v>
      </c>
      <c r="AI866" s="1" t="s">
        <v>344</v>
      </c>
      <c r="AJ866">
        <v>94264799</v>
      </c>
      <c r="AK866" s="1" t="s">
        <v>1868</v>
      </c>
      <c r="AL866" t="s">
        <v>1967</v>
      </c>
      <c r="AN866" t="s">
        <v>2054</v>
      </c>
      <c r="AO866" t="s">
        <v>2067</v>
      </c>
      <c r="AP866" t="s">
        <v>2093</v>
      </c>
      <c r="AQ866">
        <v>129282</v>
      </c>
      <c r="AR866" s="3">
        <v>46203</v>
      </c>
      <c r="AS866" s="3">
        <v>46174</v>
      </c>
      <c r="AT866" s="3">
        <v>46222</v>
      </c>
      <c r="AU866" t="s">
        <v>2124</v>
      </c>
      <c r="AW866" s="3">
        <v>46208.53701449134</v>
      </c>
    </row>
    <row r="867" spans="1:49" ht="16" hidden="1" x14ac:dyDescent="0.2">
      <c r="A867" t="s">
        <v>69</v>
      </c>
      <c r="B867">
        <v>11418</v>
      </c>
      <c r="C867">
        <v>1162</v>
      </c>
      <c r="D867" t="s">
        <v>152</v>
      </c>
      <c r="E867" t="s">
        <v>344</v>
      </c>
      <c r="F867">
        <v>261759</v>
      </c>
      <c r="G867" t="s">
        <v>643</v>
      </c>
      <c r="H867">
        <v>581845</v>
      </c>
      <c r="I867" t="s">
        <v>1250</v>
      </c>
      <c r="J867">
        <v>94264821</v>
      </c>
      <c r="K867" t="s">
        <v>1840</v>
      </c>
      <c r="L867" t="s">
        <v>1850</v>
      </c>
      <c r="M867" s="1">
        <v>20</v>
      </c>
      <c r="N867" t="s">
        <v>1855</v>
      </c>
      <c r="O867">
        <v>634799</v>
      </c>
      <c r="P867" s="1">
        <v>12695.98</v>
      </c>
      <c r="S867" s="6" t="str">
        <f t="shared" si="13"/>
        <v xml:space="preserve"> </v>
      </c>
      <c r="T867" s="6" t="str">
        <f>IF(IF(COUNTIF(H$2:$H867,H867)=1,1,"")=1,SUMIF($H$2:$H$7997,H867,$S$2:$S$7997),"")</f>
        <v/>
      </c>
      <c r="W867">
        <v>634799</v>
      </c>
      <c r="X867">
        <v>634799</v>
      </c>
      <c r="Y867">
        <v>0</v>
      </c>
      <c r="Z867">
        <v>0</v>
      </c>
      <c r="AA867" s="2">
        <v>1</v>
      </c>
      <c r="AB867" s="2">
        <v>0</v>
      </c>
      <c r="AC867" s="2">
        <v>0</v>
      </c>
      <c r="AD867">
        <v>0</v>
      </c>
      <c r="AE867" t="s">
        <v>1862</v>
      </c>
      <c r="AF867">
        <v>9921.7099999999991</v>
      </c>
      <c r="AG867">
        <v>2730000</v>
      </c>
      <c r="AH867">
        <v>54600</v>
      </c>
      <c r="AI867" s="1" t="s">
        <v>344</v>
      </c>
      <c r="AJ867">
        <v>94264799</v>
      </c>
      <c r="AK867" s="1" t="s">
        <v>1868</v>
      </c>
      <c r="AL867" t="s">
        <v>1967</v>
      </c>
      <c r="AN867" t="s">
        <v>2054</v>
      </c>
      <c r="AO867" t="s">
        <v>2067</v>
      </c>
      <c r="AP867" t="s">
        <v>2083</v>
      </c>
      <c r="AQ867">
        <v>129282</v>
      </c>
      <c r="AR867" s="3">
        <v>46203</v>
      </c>
      <c r="AS867" s="3">
        <v>46174</v>
      </c>
      <c r="AT867" s="3">
        <v>46222</v>
      </c>
      <c r="AU867" t="s">
        <v>2123</v>
      </c>
      <c r="AW867" s="3">
        <v>46208.53701449134</v>
      </c>
    </row>
    <row r="868" spans="1:49" ht="16" hidden="1" x14ac:dyDescent="0.2">
      <c r="A868" t="s">
        <v>69</v>
      </c>
      <c r="B868">
        <v>11418</v>
      </c>
      <c r="C868">
        <v>1162</v>
      </c>
      <c r="D868" t="s">
        <v>152</v>
      </c>
      <c r="E868" t="s">
        <v>344</v>
      </c>
      <c r="F868">
        <v>261759</v>
      </c>
      <c r="G868" t="s">
        <v>642</v>
      </c>
      <c r="H868">
        <v>590795</v>
      </c>
      <c r="I868" t="s">
        <v>1249</v>
      </c>
      <c r="J868">
        <v>94264818</v>
      </c>
      <c r="K868" t="s">
        <v>1839</v>
      </c>
      <c r="L868" t="s">
        <v>1850</v>
      </c>
      <c r="M868" s="1">
        <v>20</v>
      </c>
      <c r="N868" t="s">
        <v>1855</v>
      </c>
      <c r="O868">
        <v>2499834</v>
      </c>
      <c r="P868" s="1">
        <v>49987.68</v>
      </c>
      <c r="S868" s="6" t="str">
        <f t="shared" si="13"/>
        <v xml:space="preserve"> </v>
      </c>
      <c r="T868" s="6">
        <f>IF(IF(COUNTIF(H$2:$H868,H868)=1,1,"")=1,SUMIF($H$2:$H$7997,H868,$S$2:$S$7997),"")</f>
        <v>0</v>
      </c>
      <c r="W868">
        <v>2499834</v>
      </c>
      <c r="X868">
        <v>2499834</v>
      </c>
      <c r="Y868">
        <v>0</v>
      </c>
      <c r="Z868">
        <v>0</v>
      </c>
      <c r="AA868" s="2">
        <v>1</v>
      </c>
      <c r="AB868" s="2">
        <v>0</v>
      </c>
      <c r="AC868" s="2">
        <v>0</v>
      </c>
      <c r="AD868">
        <v>0</v>
      </c>
      <c r="AE868" t="s">
        <v>1862</v>
      </c>
      <c r="AF868">
        <v>24993.84</v>
      </c>
      <c r="AG868">
        <v>2499384</v>
      </c>
      <c r="AH868">
        <v>49987.68</v>
      </c>
      <c r="AI868" s="1" t="s">
        <v>344</v>
      </c>
      <c r="AJ868">
        <v>94264799</v>
      </c>
      <c r="AK868" s="1" t="s">
        <v>1868</v>
      </c>
      <c r="AL868" t="s">
        <v>1967</v>
      </c>
      <c r="AN868" t="s">
        <v>2054</v>
      </c>
      <c r="AO868" t="s">
        <v>2067</v>
      </c>
      <c r="AP868" t="s">
        <v>2093</v>
      </c>
      <c r="AQ868">
        <v>129282</v>
      </c>
      <c r="AR868" s="3">
        <v>46203</v>
      </c>
      <c r="AS868" s="3">
        <v>46174</v>
      </c>
      <c r="AT868" s="3">
        <v>46199</v>
      </c>
      <c r="AU868" t="s">
        <v>2124</v>
      </c>
      <c r="AW868" s="3">
        <v>46208.53701449134</v>
      </c>
    </row>
    <row r="869" spans="1:49" ht="16" hidden="1" x14ac:dyDescent="0.2">
      <c r="A869" t="s">
        <v>69</v>
      </c>
      <c r="B869">
        <v>11418</v>
      </c>
      <c r="C869">
        <v>1162</v>
      </c>
      <c r="D869" t="s">
        <v>152</v>
      </c>
      <c r="E869" t="s">
        <v>344</v>
      </c>
      <c r="F869">
        <v>261759</v>
      </c>
      <c r="G869" t="s">
        <v>642</v>
      </c>
      <c r="H869">
        <v>590795</v>
      </c>
      <c r="I869" t="s">
        <v>1252</v>
      </c>
      <c r="J869">
        <v>94264828</v>
      </c>
      <c r="K869" t="s">
        <v>1840</v>
      </c>
      <c r="L869" t="s">
        <v>1850</v>
      </c>
      <c r="M869" s="1">
        <v>20</v>
      </c>
      <c r="N869" t="s">
        <v>1855</v>
      </c>
      <c r="O869">
        <v>1598590</v>
      </c>
      <c r="P869" s="1">
        <v>31421.86</v>
      </c>
      <c r="S869" s="6" t="str">
        <f t="shared" si="13"/>
        <v xml:space="preserve"> </v>
      </c>
      <c r="T869" s="6" t="str">
        <f>IF(IF(COUNTIF(H$2:$H869,H869)=1,1,"")=1,SUMIF($H$2:$H$7997,H869,$S$2:$S$7997),"")</f>
        <v/>
      </c>
      <c r="W869">
        <v>1598590</v>
      </c>
      <c r="X869">
        <v>1598590</v>
      </c>
      <c r="Y869">
        <v>0</v>
      </c>
      <c r="Z869">
        <v>0</v>
      </c>
      <c r="AA869" s="2">
        <v>1</v>
      </c>
      <c r="AB869" s="2">
        <v>0</v>
      </c>
      <c r="AC869" s="2">
        <v>0</v>
      </c>
      <c r="AD869">
        <v>0</v>
      </c>
      <c r="AE869" t="s">
        <v>1862</v>
      </c>
      <c r="AF869">
        <v>15710.93</v>
      </c>
      <c r="AG869">
        <v>1571093</v>
      </c>
      <c r="AH869">
        <v>31421.86</v>
      </c>
      <c r="AI869" s="1" t="s">
        <v>344</v>
      </c>
      <c r="AJ869">
        <v>94264799</v>
      </c>
      <c r="AK869" s="1" t="s">
        <v>1868</v>
      </c>
      <c r="AL869" t="s">
        <v>1967</v>
      </c>
      <c r="AN869" t="s">
        <v>2054</v>
      </c>
      <c r="AO869" t="s">
        <v>2067</v>
      </c>
      <c r="AP869" t="s">
        <v>2083</v>
      </c>
      <c r="AQ869">
        <v>129282</v>
      </c>
      <c r="AR869" s="3">
        <v>46203</v>
      </c>
      <c r="AS869" s="3">
        <v>46174</v>
      </c>
      <c r="AT869" s="3">
        <v>46199</v>
      </c>
      <c r="AU869" t="s">
        <v>2123</v>
      </c>
      <c r="AW869" s="3">
        <v>46208.53701449134</v>
      </c>
    </row>
    <row r="870" spans="1:49" ht="16" hidden="1" x14ac:dyDescent="0.2">
      <c r="A870" t="s">
        <v>69</v>
      </c>
      <c r="B870">
        <v>11418</v>
      </c>
      <c r="C870">
        <v>1162</v>
      </c>
      <c r="D870" t="s">
        <v>152</v>
      </c>
      <c r="E870" t="s">
        <v>344</v>
      </c>
      <c r="F870">
        <v>261759</v>
      </c>
      <c r="G870" t="s">
        <v>640</v>
      </c>
      <c r="H870">
        <v>590798</v>
      </c>
      <c r="I870" t="s">
        <v>1253</v>
      </c>
      <c r="J870">
        <v>94264832</v>
      </c>
      <c r="K870" t="s">
        <v>1839</v>
      </c>
      <c r="L870" t="s">
        <v>1850</v>
      </c>
      <c r="M870" s="1">
        <v>40</v>
      </c>
      <c r="N870" t="s">
        <v>23</v>
      </c>
      <c r="O870">
        <v>489291</v>
      </c>
      <c r="P870" s="1">
        <v>19571.64</v>
      </c>
      <c r="S870" s="6" t="str">
        <f t="shared" si="13"/>
        <v xml:space="preserve"> </v>
      </c>
      <c r="T870" s="6">
        <f>IF(IF(COUNTIF(H$2:$H870,H870)=1,1,"")=1,SUMIF($H$2:$H$7997,H870,$S$2:$S$7997),"")</f>
        <v>0</v>
      </c>
      <c r="W870">
        <v>489291</v>
      </c>
      <c r="X870">
        <v>489291</v>
      </c>
      <c r="Y870">
        <v>0</v>
      </c>
      <c r="Z870">
        <v>0</v>
      </c>
      <c r="AA870" s="2">
        <v>1</v>
      </c>
      <c r="AB870" s="2">
        <v>0</v>
      </c>
      <c r="AC870" s="2">
        <v>0</v>
      </c>
      <c r="AD870">
        <v>0</v>
      </c>
      <c r="AE870" t="s">
        <v>1862</v>
      </c>
      <c r="AF870">
        <v>9764.2800000000007</v>
      </c>
      <c r="AG870">
        <v>489291</v>
      </c>
      <c r="AH870">
        <v>19571.64</v>
      </c>
      <c r="AI870" s="1" t="s">
        <v>344</v>
      </c>
      <c r="AJ870">
        <v>94264799</v>
      </c>
      <c r="AK870" s="1" t="s">
        <v>1867</v>
      </c>
      <c r="AL870" t="s">
        <v>1967</v>
      </c>
      <c r="AN870" t="s">
        <v>2054</v>
      </c>
      <c r="AO870" t="s">
        <v>2067</v>
      </c>
      <c r="AP870" t="s">
        <v>2094</v>
      </c>
      <c r="AQ870">
        <v>129282</v>
      </c>
      <c r="AR870" s="3">
        <v>46203</v>
      </c>
      <c r="AS870" s="3">
        <v>46174</v>
      </c>
      <c r="AT870" s="3">
        <v>46199</v>
      </c>
      <c r="AU870" t="s">
        <v>2124</v>
      </c>
      <c r="AW870" s="3">
        <v>46208.53701449134</v>
      </c>
    </row>
    <row r="871" spans="1:49" ht="16" hidden="1" x14ac:dyDescent="0.2">
      <c r="A871" t="s">
        <v>69</v>
      </c>
      <c r="B871">
        <v>11418</v>
      </c>
      <c r="C871">
        <v>1162</v>
      </c>
      <c r="D871" t="s">
        <v>152</v>
      </c>
      <c r="E871" t="s">
        <v>344</v>
      </c>
      <c r="F871">
        <v>261759</v>
      </c>
      <c r="G871" t="s">
        <v>640</v>
      </c>
      <c r="H871">
        <v>590798</v>
      </c>
      <c r="I871" t="s">
        <v>1246</v>
      </c>
      <c r="J871">
        <v>94264802</v>
      </c>
      <c r="K871" t="s">
        <v>1835</v>
      </c>
      <c r="L871" t="s">
        <v>1850</v>
      </c>
      <c r="M871" s="1">
        <v>40</v>
      </c>
      <c r="N871" t="s">
        <v>23</v>
      </c>
      <c r="O871">
        <v>210010</v>
      </c>
      <c r="P871" s="1">
        <v>8398.68</v>
      </c>
      <c r="S871" s="6" t="str">
        <f t="shared" si="13"/>
        <v xml:space="preserve"> </v>
      </c>
      <c r="T871" s="6" t="str">
        <f>IF(IF(COUNTIF(H$2:$H871,H871)=1,1,"")=1,SUMIF($H$2:$H$7997,H871,$S$2:$S$7997),"")</f>
        <v/>
      </c>
      <c r="W871">
        <v>210010</v>
      </c>
      <c r="X871">
        <v>210010</v>
      </c>
      <c r="Y871">
        <v>0</v>
      </c>
      <c r="Z871">
        <v>0</v>
      </c>
      <c r="AA871" s="2">
        <v>1</v>
      </c>
      <c r="AB871" s="2">
        <v>0</v>
      </c>
      <c r="AC871" s="2">
        <v>0</v>
      </c>
      <c r="AD871">
        <v>0</v>
      </c>
      <c r="AE871" t="s">
        <v>1862</v>
      </c>
      <c r="AF871">
        <v>4190.1000000000004</v>
      </c>
      <c r="AG871">
        <v>209967</v>
      </c>
      <c r="AH871">
        <v>8398.68</v>
      </c>
      <c r="AI871" s="1" t="s">
        <v>344</v>
      </c>
      <c r="AJ871">
        <v>94264799</v>
      </c>
      <c r="AK871" s="1" t="s">
        <v>1867</v>
      </c>
      <c r="AL871" t="s">
        <v>1967</v>
      </c>
      <c r="AN871" t="s">
        <v>2054</v>
      </c>
      <c r="AO871" t="s">
        <v>2067</v>
      </c>
      <c r="AP871" t="s">
        <v>2092</v>
      </c>
      <c r="AQ871">
        <v>129282</v>
      </c>
      <c r="AR871" s="3">
        <v>46203</v>
      </c>
      <c r="AS871" s="3">
        <v>46174</v>
      </c>
      <c r="AT871" s="3">
        <v>46199</v>
      </c>
      <c r="AU871" t="s">
        <v>2123</v>
      </c>
      <c r="AW871" s="3">
        <v>46208.53701449134</v>
      </c>
    </row>
    <row r="872" spans="1:49" ht="16" hidden="1" x14ac:dyDescent="0.2">
      <c r="A872" t="s">
        <v>69</v>
      </c>
      <c r="B872">
        <v>11418</v>
      </c>
      <c r="C872">
        <v>1162</v>
      </c>
      <c r="D872" t="s">
        <v>152</v>
      </c>
      <c r="E872" t="s">
        <v>387</v>
      </c>
      <c r="F872">
        <v>269584</v>
      </c>
      <c r="G872" t="s">
        <v>820</v>
      </c>
      <c r="H872">
        <v>588609</v>
      </c>
      <c r="I872" t="s">
        <v>1606</v>
      </c>
      <c r="J872">
        <v>7330325665</v>
      </c>
      <c r="K872" t="s">
        <v>1835</v>
      </c>
      <c r="L872" t="s">
        <v>1850</v>
      </c>
      <c r="M872" s="1">
        <v>6</v>
      </c>
      <c r="N872" t="s">
        <v>23</v>
      </c>
      <c r="O872">
        <v>0</v>
      </c>
      <c r="P872" s="1">
        <v>0</v>
      </c>
      <c r="S872" s="6" t="str">
        <f t="shared" si="13"/>
        <v xml:space="preserve"> </v>
      </c>
      <c r="T872" s="6">
        <f>IF(IF(COUNTIF(H$2:$H872,H872)=1,1,"")=1,SUMIF($H$2:$H$7997,H872,$S$2:$S$7997),"")</f>
        <v>0</v>
      </c>
      <c r="W872">
        <v>0</v>
      </c>
      <c r="X872">
        <v>0</v>
      </c>
      <c r="Y872">
        <v>0</v>
      </c>
      <c r="Z872">
        <v>0</v>
      </c>
      <c r="AA872" s="2">
        <v>1</v>
      </c>
      <c r="AB872" s="2">
        <v>0</v>
      </c>
      <c r="AC872" s="2">
        <v>0</v>
      </c>
      <c r="AD872">
        <v>0</v>
      </c>
      <c r="AE872" t="s">
        <v>1862</v>
      </c>
      <c r="AF872">
        <v>2760.47</v>
      </c>
      <c r="AG872">
        <v>1081680</v>
      </c>
      <c r="AH872">
        <v>6490.08</v>
      </c>
      <c r="AI872" s="1" t="s">
        <v>387</v>
      </c>
      <c r="AJ872">
        <v>269584</v>
      </c>
      <c r="AK872" s="1" t="s">
        <v>1867</v>
      </c>
      <c r="AL872" t="s">
        <v>2001</v>
      </c>
      <c r="AN872" t="s">
        <v>2054</v>
      </c>
      <c r="AO872" t="s">
        <v>2067</v>
      </c>
      <c r="AP872" t="s">
        <v>2103</v>
      </c>
      <c r="AQ872">
        <v>130378</v>
      </c>
      <c r="AR872" s="3">
        <v>46203</v>
      </c>
      <c r="AS872" s="3">
        <v>46181</v>
      </c>
      <c r="AT872" s="3">
        <v>46205</v>
      </c>
      <c r="AU872" t="s">
        <v>2126</v>
      </c>
      <c r="AW872" s="3">
        <v>46208.53701449134</v>
      </c>
    </row>
    <row r="873" spans="1:49" ht="16" hidden="1" x14ac:dyDescent="0.2">
      <c r="A873" t="s">
        <v>69</v>
      </c>
      <c r="B873">
        <v>11418</v>
      </c>
      <c r="C873">
        <v>1162</v>
      </c>
      <c r="D873" t="s">
        <v>152</v>
      </c>
      <c r="E873" t="s">
        <v>387</v>
      </c>
      <c r="F873">
        <v>269584</v>
      </c>
      <c r="G873" t="s">
        <v>714</v>
      </c>
      <c r="H873">
        <v>588613</v>
      </c>
      <c r="I873" t="s">
        <v>1384</v>
      </c>
      <c r="J873">
        <v>94484371</v>
      </c>
      <c r="K873" t="s">
        <v>1839</v>
      </c>
      <c r="L873" t="s">
        <v>1850</v>
      </c>
      <c r="M873" s="1">
        <v>40</v>
      </c>
      <c r="N873" t="s">
        <v>1855</v>
      </c>
      <c r="O873">
        <v>443495</v>
      </c>
      <c r="P873" s="1">
        <v>17739.8</v>
      </c>
      <c r="S873" s="6" t="str">
        <f t="shared" si="13"/>
        <v xml:space="preserve"> </v>
      </c>
      <c r="T873" s="6">
        <f>IF(IF(COUNTIF(H$2:$H873,H873)=1,1,"")=1,SUMIF($H$2:$H$7997,H873,$S$2:$S$7997),"")</f>
        <v>0</v>
      </c>
      <c r="W873">
        <v>443495</v>
      </c>
      <c r="X873">
        <v>443495</v>
      </c>
      <c r="Y873">
        <v>0</v>
      </c>
      <c r="Z873">
        <v>0</v>
      </c>
      <c r="AA873" s="2">
        <v>1</v>
      </c>
      <c r="AB873" s="2">
        <v>0</v>
      </c>
      <c r="AC873" s="2">
        <v>0</v>
      </c>
      <c r="AD873">
        <v>0</v>
      </c>
      <c r="AE873" t="s">
        <v>1862</v>
      </c>
      <c r="AF873">
        <v>7751.26</v>
      </c>
      <c r="AG873">
        <v>877650</v>
      </c>
      <c r="AH873">
        <v>35106</v>
      </c>
      <c r="AI873" s="1" t="s">
        <v>387</v>
      </c>
      <c r="AJ873">
        <v>94484357</v>
      </c>
      <c r="AK873" s="1" t="s">
        <v>1868</v>
      </c>
      <c r="AL873" t="s">
        <v>2001</v>
      </c>
      <c r="AN873" t="s">
        <v>2054</v>
      </c>
      <c r="AO873" t="s">
        <v>2067</v>
      </c>
      <c r="AP873" t="s">
        <v>2093</v>
      </c>
      <c r="AQ873">
        <v>130378</v>
      </c>
      <c r="AR873" s="3">
        <v>46203</v>
      </c>
      <c r="AS873" s="3">
        <v>46181</v>
      </c>
      <c r="AT873" s="3">
        <v>46222</v>
      </c>
      <c r="AU873" t="s">
        <v>2124</v>
      </c>
      <c r="AW873" s="3">
        <v>46208.53701449134</v>
      </c>
    </row>
    <row r="874" spans="1:49" ht="16" hidden="1" x14ac:dyDescent="0.2">
      <c r="A874" t="s">
        <v>69</v>
      </c>
      <c r="B874">
        <v>11418</v>
      </c>
      <c r="C874">
        <v>1162</v>
      </c>
      <c r="D874" t="s">
        <v>152</v>
      </c>
      <c r="E874" t="s">
        <v>387</v>
      </c>
      <c r="F874">
        <v>269584</v>
      </c>
      <c r="G874" t="s">
        <v>714</v>
      </c>
      <c r="H874">
        <v>588613</v>
      </c>
      <c r="I874" t="s">
        <v>1383</v>
      </c>
      <c r="J874">
        <v>94484367</v>
      </c>
      <c r="K874" t="s">
        <v>1840</v>
      </c>
      <c r="L874" t="s">
        <v>1850</v>
      </c>
      <c r="M874" s="1">
        <v>40</v>
      </c>
      <c r="N874" t="s">
        <v>1855</v>
      </c>
      <c r="O874">
        <v>198774</v>
      </c>
      <c r="P874" s="1">
        <v>7950.96</v>
      </c>
      <c r="S874" s="6" t="str">
        <f t="shared" si="13"/>
        <v xml:space="preserve"> </v>
      </c>
      <c r="T874" s="6" t="str">
        <f>IF(IF(COUNTIF(H$2:$H874,H874)=1,1,"")=1,SUMIF($H$2:$H$7997,H874,$S$2:$S$7997),"")</f>
        <v/>
      </c>
      <c r="W874">
        <v>198774</v>
      </c>
      <c r="X874">
        <v>198774</v>
      </c>
      <c r="Y874">
        <v>0</v>
      </c>
      <c r="Z874">
        <v>0</v>
      </c>
      <c r="AA874" s="2">
        <v>1</v>
      </c>
      <c r="AB874" s="2">
        <v>0</v>
      </c>
      <c r="AC874" s="2">
        <v>0</v>
      </c>
      <c r="AD874">
        <v>0</v>
      </c>
      <c r="AE874" t="s">
        <v>1862</v>
      </c>
      <c r="AF874">
        <v>5167.5</v>
      </c>
      <c r="AG874">
        <v>585100</v>
      </c>
      <c r="AH874">
        <v>23404</v>
      </c>
      <c r="AI874" s="1" t="s">
        <v>387</v>
      </c>
      <c r="AJ874">
        <v>94484357</v>
      </c>
      <c r="AK874" s="1" t="s">
        <v>1868</v>
      </c>
      <c r="AL874" t="s">
        <v>2001</v>
      </c>
      <c r="AN874" t="s">
        <v>2054</v>
      </c>
      <c r="AO874" t="s">
        <v>2067</v>
      </c>
      <c r="AP874" t="s">
        <v>2083</v>
      </c>
      <c r="AQ874">
        <v>130378</v>
      </c>
      <c r="AR874" s="3">
        <v>46203</v>
      </c>
      <c r="AS874" s="3">
        <v>46181</v>
      </c>
      <c r="AT874" s="3">
        <v>46222</v>
      </c>
      <c r="AU874" t="s">
        <v>2123</v>
      </c>
      <c r="AW874" s="3">
        <v>46208.53701449134</v>
      </c>
    </row>
    <row r="875" spans="1:49" ht="16" hidden="1" x14ac:dyDescent="0.2">
      <c r="A875" t="s">
        <v>69</v>
      </c>
      <c r="B875">
        <v>11418</v>
      </c>
      <c r="C875">
        <v>1162</v>
      </c>
      <c r="D875" t="s">
        <v>152</v>
      </c>
      <c r="E875" t="s">
        <v>387</v>
      </c>
      <c r="F875">
        <v>269584</v>
      </c>
      <c r="G875" t="s">
        <v>713</v>
      </c>
      <c r="H875">
        <v>588684</v>
      </c>
      <c r="I875" t="s">
        <v>1381</v>
      </c>
      <c r="J875">
        <v>94484360</v>
      </c>
      <c r="K875" t="s">
        <v>1839</v>
      </c>
      <c r="L875" t="s">
        <v>1850</v>
      </c>
      <c r="M875" s="1">
        <v>50</v>
      </c>
      <c r="N875" t="s">
        <v>23</v>
      </c>
      <c r="O875">
        <v>69015</v>
      </c>
      <c r="P875" s="1">
        <v>3450.75</v>
      </c>
      <c r="S875" s="6" t="str">
        <f t="shared" si="13"/>
        <v xml:space="preserve"> </v>
      </c>
      <c r="T875" s="6">
        <f>IF(IF(COUNTIF(H$2:$H875,H875)=1,1,"")=1,SUMIF($H$2:$H$7997,H875,$S$2:$S$7997),"")</f>
        <v>0</v>
      </c>
      <c r="W875">
        <v>69015</v>
      </c>
      <c r="X875">
        <v>69015</v>
      </c>
      <c r="Y875">
        <v>0</v>
      </c>
      <c r="Z875">
        <v>0</v>
      </c>
      <c r="AA875" s="2">
        <v>1</v>
      </c>
      <c r="AB875" s="2">
        <v>0</v>
      </c>
      <c r="AC875" s="2">
        <v>0</v>
      </c>
      <c r="AD875">
        <v>0</v>
      </c>
      <c r="AE875" t="s">
        <v>1862</v>
      </c>
      <c r="AF875">
        <v>1101.97</v>
      </c>
      <c r="AG875">
        <v>120000</v>
      </c>
      <c r="AH875">
        <v>6000</v>
      </c>
      <c r="AI875" s="1" t="s">
        <v>387</v>
      </c>
      <c r="AJ875">
        <v>94484357</v>
      </c>
      <c r="AK875" s="1" t="s">
        <v>1867</v>
      </c>
      <c r="AL875" t="s">
        <v>2001</v>
      </c>
      <c r="AN875" t="s">
        <v>2054</v>
      </c>
      <c r="AO875" t="s">
        <v>2067</v>
      </c>
      <c r="AP875" t="s">
        <v>2093</v>
      </c>
      <c r="AQ875">
        <v>130378</v>
      </c>
      <c r="AR875" s="3">
        <v>46203</v>
      </c>
      <c r="AS875" s="3">
        <v>46181</v>
      </c>
      <c r="AT875" s="3">
        <v>46222</v>
      </c>
      <c r="AU875" t="s">
        <v>2124</v>
      </c>
      <c r="AW875" s="3">
        <v>46208.53701449134</v>
      </c>
    </row>
    <row r="876" spans="1:49" ht="16" hidden="1" x14ac:dyDescent="0.2">
      <c r="A876" t="s">
        <v>69</v>
      </c>
      <c r="B876">
        <v>11418</v>
      </c>
      <c r="C876">
        <v>1162</v>
      </c>
      <c r="D876" t="s">
        <v>152</v>
      </c>
      <c r="E876" t="s">
        <v>387</v>
      </c>
      <c r="F876">
        <v>269584</v>
      </c>
      <c r="G876" t="s">
        <v>713</v>
      </c>
      <c r="H876">
        <v>588684</v>
      </c>
      <c r="I876" t="s">
        <v>1382</v>
      </c>
      <c r="J876">
        <v>94484363</v>
      </c>
      <c r="K876" t="s">
        <v>1840</v>
      </c>
      <c r="L876" t="s">
        <v>1850</v>
      </c>
      <c r="M876" s="1">
        <v>50</v>
      </c>
      <c r="N876" t="s">
        <v>23</v>
      </c>
      <c r="O876">
        <v>1404</v>
      </c>
      <c r="P876" s="1">
        <v>70.2</v>
      </c>
      <c r="S876" s="6" t="str">
        <f t="shared" si="13"/>
        <v xml:space="preserve"> </v>
      </c>
      <c r="T876" s="6" t="str">
        <f>IF(IF(COUNTIF(H$2:$H876,H876)=1,1,"")=1,SUMIF($H$2:$H$7997,H876,$S$2:$S$7997),"")</f>
        <v/>
      </c>
      <c r="W876">
        <v>1404</v>
      </c>
      <c r="X876">
        <v>1404</v>
      </c>
      <c r="Y876">
        <v>0</v>
      </c>
      <c r="Z876">
        <v>0</v>
      </c>
      <c r="AA876" s="2">
        <v>1</v>
      </c>
      <c r="AB876" s="2">
        <v>0</v>
      </c>
      <c r="AC876" s="2">
        <v>0</v>
      </c>
      <c r="AD876">
        <v>0</v>
      </c>
      <c r="AE876" t="s">
        <v>1862</v>
      </c>
      <c r="AF876">
        <v>734.65</v>
      </c>
      <c r="AG876">
        <v>80000</v>
      </c>
      <c r="AH876">
        <v>4000</v>
      </c>
      <c r="AI876" s="1" t="s">
        <v>387</v>
      </c>
      <c r="AJ876">
        <v>94484357</v>
      </c>
      <c r="AK876" s="1" t="s">
        <v>1867</v>
      </c>
      <c r="AL876" t="s">
        <v>2001</v>
      </c>
      <c r="AN876" t="s">
        <v>2054</v>
      </c>
      <c r="AO876" t="s">
        <v>2067</v>
      </c>
      <c r="AP876" t="s">
        <v>2083</v>
      </c>
      <c r="AQ876">
        <v>130378</v>
      </c>
      <c r="AR876" s="3">
        <v>46203</v>
      </c>
      <c r="AS876" s="3">
        <v>46181</v>
      </c>
      <c r="AT876" s="3">
        <v>46222</v>
      </c>
      <c r="AU876" t="s">
        <v>2123</v>
      </c>
      <c r="AW876" s="3">
        <v>46208.53701449134</v>
      </c>
    </row>
    <row r="877" spans="1:49" ht="16" hidden="1" x14ac:dyDescent="0.2">
      <c r="A877" t="s">
        <v>69</v>
      </c>
      <c r="B877">
        <v>11418</v>
      </c>
      <c r="C877">
        <v>1162</v>
      </c>
      <c r="D877" t="s">
        <v>152</v>
      </c>
      <c r="E877" t="s">
        <v>340</v>
      </c>
      <c r="F877">
        <v>269582</v>
      </c>
      <c r="G877" t="s">
        <v>636</v>
      </c>
      <c r="H877">
        <v>588586</v>
      </c>
      <c r="I877" t="s">
        <v>1239</v>
      </c>
      <c r="J877">
        <v>94240250</v>
      </c>
      <c r="K877" t="s">
        <v>1839</v>
      </c>
      <c r="L877" t="s">
        <v>1850</v>
      </c>
      <c r="M877" s="1">
        <v>40</v>
      </c>
      <c r="N877" t="s">
        <v>23</v>
      </c>
      <c r="O877">
        <v>62933</v>
      </c>
      <c r="P877" s="1">
        <v>2517.3200000000002</v>
      </c>
      <c r="S877" s="6" t="str">
        <f t="shared" si="13"/>
        <v xml:space="preserve"> </v>
      </c>
      <c r="T877" s="6">
        <f>IF(IF(COUNTIF(H$2:$H877,H877)=1,1,"")=1,SUMIF($H$2:$H$7997,H877,$S$2:$S$7997),"")</f>
        <v>0</v>
      </c>
      <c r="W877">
        <v>62933</v>
      </c>
      <c r="X877">
        <v>62933</v>
      </c>
      <c r="Y877">
        <v>0</v>
      </c>
      <c r="Z877">
        <v>0</v>
      </c>
      <c r="AA877" s="2">
        <v>1</v>
      </c>
      <c r="AB877" s="2">
        <v>0</v>
      </c>
      <c r="AC877" s="2">
        <v>0</v>
      </c>
      <c r="AD877">
        <v>0</v>
      </c>
      <c r="AE877" t="s">
        <v>1862</v>
      </c>
      <c r="AF877">
        <v>1262.31</v>
      </c>
      <c r="AG877">
        <v>87500</v>
      </c>
      <c r="AH877">
        <v>3500</v>
      </c>
      <c r="AI877" s="1" t="s">
        <v>340</v>
      </c>
      <c r="AJ877">
        <v>94240211</v>
      </c>
      <c r="AK877" s="1" t="s">
        <v>1867</v>
      </c>
      <c r="AL877" t="s">
        <v>1965</v>
      </c>
      <c r="AN877" t="s">
        <v>2054</v>
      </c>
      <c r="AO877" t="s">
        <v>2067</v>
      </c>
      <c r="AP877" t="s">
        <v>2094</v>
      </c>
      <c r="AQ877">
        <v>129145</v>
      </c>
      <c r="AR877" s="3">
        <v>46203</v>
      </c>
      <c r="AS877" s="3">
        <v>46174</v>
      </c>
      <c r="AT877" s="3">
        <v>46222</v>
      </c>
      <c r="AU877" t="s">
        <v>2124</v>
      </c>
      <c r="AW877" s="3">
        <v>46208.53701449134</v>
      </c>
    </row>
    <row r="878" spans="1:49" ht="16" hidden="1" x14ac:dyDescent="0.2">
      <c r="A878" t="s">
        <v>69</v>
      </c>
      <c r="B878">
        <v>11418</v>
      </c>
      <c r="C878">
        <v>1162</v>
      </c>
      <c r="D878" t="s">
        <v>152</v>
      </c>
      <c r="E878" t="s">
        <v>340</v>
      </c>
      <c r="F878">
        <v>269582</v>
      </c>
      <c r="G878" t="s">
        <v>636</v>
      </c>
      <c r="H878">
        <v>588586</v>
      </c>
      <c r="I878" t="s">
        <v>1238</v>
      </c>
      <c r="J878">
        <v>94240246</v>
      </c>
      <c r="K878" t="s">
        <v>1835</v>
      </c>
      <c r="L878" t="s">
        <v>1850</v>
      </c>
      <c r="M878" s="1">
        <v>40</v>
      </c>
      <c r="N878" t="s">
        <v>23</v>
      </c>
      <c r="O878">
        <v>25520</v>
      </c>
      <c r="P878" s="1">
        <v>1020.8</v>
      </c>
      <c r="S878" s="6" t="str">
        <f t="shared" si="13"/>
        <v xml:space="preserve"> </v>
      </c>
      <c r="T878" s="6" t="str">
        <f>IF(IF(COUNTIF(H$2:$H878,H878)=1,1,"")=1,SUMIF($H$2:$H$7997,H878,$S$2:$S$7997),"")</f>
        <v/>
      </c>
      <c r="W878">
        <v>25520</v>
      </c>
      <c r="X878">
        <v>25520</v>
      </c>
      <c r="Y878">
        <v>0</v>
      </c>
      <c r="Z878">
        <v>0</v>
      </c>
      <c r="AA878" s="2">
        <v>1</v>
      </c>
      <c r="AB878" s="2">
        <v>0</v>
      </c>
      <c r="AC878" s="2">
        <v>0</v>
      </c>
      <c r="AD878">
        <v>0</v>
      </c>
      <c r="AE878" t="s">
        <v>1862</v>
      </c>
      <c r="AF878">
        <v>540.99</v>
      </c>
      <c r="AG878">
        <v>37500</v>
      </c>
      <c r="AH878">
        <v>1500</v>
      </c>
      <c r="AI878" s="1" t="s">
        <v>340</v>
      </c>
      <c r="AJ878">
        <v>94240211</v>
      </c>
      <c r="AK878" s="1" t="s">
        <v>1867</v>
      </c>
      <c r="AL878" t="s">
        <v>1965</v>
      </c>
      <c r="AN878" t="s">
        <v>2054</v>
      </c>
      <c r="AO878" t="s">
        <v>2067</v>
      </c>
      <c r="AP878" t="s">
        <v>2092</v>
      </c>
      <c r="AQ878">
        <v>129145</v>
      </c>
      <c r="AR878" s="3">
        <v>46203</v>
      </c>
      <c r="AS878" s="3">
        <v>46174</v>
      </c>
      <c r="AT878" s="3">
        <v>46222</v>
      </c>
      <c r="AU878" t="s">
        <v>2123</v>
      </c>
      <c r="AW878" s="3">
        <v>46208.53701449134</v>
      </c>
    </row>
    <row r="879" spans="1:49" ht="16" hidden="1" x14ac:dyDescent="0.2">
      <c r="A879" t="s">
        <v>69</v>
      </c>
      <c r="B879">
        <v>11418</v>
      </c>
      <c r="C879">
        <v>1162</v>
      </c>
      <c r="D879" t="s">
        <v>152</v>
      </c>
      <c r="E879" t="s">
        <v>340</v>
      </c>
      <c r="F879">
        <v>269582</v>
      </c>
      <c r="G879" t="s">
        <v>806</v>
      </c>
      <c r="H879">
        <v>588589</v>
      </c>
      <c r="I879" t="s">
        <v>1567</v>
      </c>
      <c r="J879">
        <v>7317414465</v>
      </c>
      <c r="K879" t="s">
        <v>1835</v>
      </c>
      <c r="L879" t="s">
        <v>1850</v>
      </c>
      <c r="M879" s="1">
        <v>6</v>
      </c>
      <c r="N879" t="s">
        <v>23</v>
      </c>
      <c r="O879">
        <v>0</v>
      </c>
      <c r="P879" s="1">
        <v>0</v>
      </c>
      <c r="S879" s="6" t="str">
        <f t="shared" si="13"/>
        <v xml:space="preserve"> </v>
      </c>
      <c r="T879" s="6">
        <f>IF(IF(COUNTIF(H$2:$H879,H879)=1,1,"")=1,SUMIF($H$2:$H$7997,H879,$S$2:$S$7997),"")</f>
        <v>0</v>
      </c>
      <c r="W879">
        <v>0</v>
      </c>
      <c r="X879">
        <v>0</v>
      </c>
      <c r="Y879">
        <v>0</v>
      </c>
      <c r="Z879">
        <v>0</v>
      </c>
      <c r="AA879" s="2">
        <v>1</v>
      </c>
      <c r="AB879" s="2">
        <v>0</v>
      </c>
      <c r="AC879" s="2">
        <v>0</v>
      </c>
      <c r="AD879">
        <v>0</v>
      </c>
      <c r="AE879" t="s">
        <v>1862</v>
      </c>
      <c r="AF879">
        <v>1222.8499999999999</v>
      </c>
      <c r="AG879">
        <v>833333</v>
      </c>
      <c r="AH879">
        <v>5000</v>
      </c>
      <c r="AI879" s="1" t="s">
        <v>340</v>
      </c>
      <c r="AJ879">
        <v>269582</v>
      </c>
      <c r="AK879" s="1" t="s">
        <v>1867</v>
      </c>
      <c r="AL879" t="s">
        <v>1965</v>
      </c>
      <c r="AN879" t="s">
        <v>2054</v>
      </c>
      <c r="AO879" t="s">
        <v>2067</v>
      </c>
      <c r="AP879" t="s">
        <v>2103</v>
      </c>
      <c r="AQ879">
        <v>129145</v>
      </c>
      <c r="AR879" s="3">
        <v>46203</v>
      </c>
      <c r="AS879" s="3">
        <v>46174</v>
      </c>
      <c r="AT879" s="3">
        <v>46222</v>
      </c>
      <c r="AU879" t="s">
        <v>2126</v>
      </c>
      <c r="AW879" s="3">
        <v>46208.53701449134</v>
      </c>
    </row>
    <row r="880" spans="1:49" ht="16" hidden="1" x14ac:dyDescent="0.2">
      <c r="A880" t="s">
        <v>69</v>
      </c>
      <c r="B880">
        <v>11418</v>
      </c>
      <c r="C880">
        <v>1162</v>
      </c>
      <c r="D880" t="s">
        <v>152</v>
      </c>
      <c r="E880" t="s">
        <v>340</v>
      </c>
      <c r="F880">
        <v>269582</v>
      </c>
      <c r="G880" t="s">
        <v>632</v>
      </c>
      <c r="H880">
        <v>588591</v>
      </c>
      <c r="I880" t="s">
        <v>1232</v>
      </c>
      <c r="J880">
        <v>94240217</v>
      </c>
      <c r="K880" t="s">
        <v>1835</v>
      </c>
      <c r="L880" t="s">
        <v>1850</v>
      </c>
      <c r="M880" s="1">
        <v>25</v>
      </c>
      <c r="N880" t="s">
        <v>1853</v>
      </c>
      <c r="O880">
        <v>208914</v>
      </c>
      <c r="P880" s="1">
        <v>5222.8500000000004</v>
      </c>
      <c r="S880" s="6" t="str">
        <f t="shared" si="13"/>
        <v xml:space="preserve"> </v>
      </c>
      <c r="T880" s="6">
        <f>IF(IF(COUNTIF(H$2:$H880,H880)=1,1,"")=1,SUMIF($H$2:$H$7997,H880,$S$2:$S$7997),"")</f>
        <v>0</v>
      </c>
      <c r="W880">
        <v>176695</v>
      </c>
      <c r="X880">
        <v>176695</v>
      </c>
      <c r="Y880">
        <v>208914</v>
      </c>
      <c r="Z880">
        <v>208914</v>
      </c>
      <c r="AA880" s="2">
        <v>1</v>
      </c>
      <c r="AB880" s="2">
        <v>1.182345662969847</v>
      </c>
      <c r="AC880" s="2">
        <v>0</v>
      </c>
      <c r="AD880">
        <v>0</v>
      </c>
      <c r="AE880" t="s">
        <v>1862</v>
      </c>
      <c r="AF880">
        <v>2641.55</v>
      </c>
      <c r="AG880">
        <v>400000</v>
      </c>
      <c r="AH880">
        <v>10000</v>
      </c>
      <c r="AI880" s="1" t="s">
        <v>340</v>
      </c>
      <c r="AJ880">
        <v>94240211</v>
      </c>
      <c r="AK880" s="1" t="s">
        <v>1867</v>
      </c>
      <c r="AL880" t="s">
        <v>1965</v>
      </c>
      <c r="AN880" t="s">
        <v>2054</v>
      </c>
      <c r="AO880" t="s">
        <v>2067</v>
      </c>
      <c r="AP880" t="s">
        <v>2091</v>
      </c>
      <c r="AQ880">
        <v>129145</v>
      </c>
      <c r="AR880" s="3">
        <v>46203</v>
      </c>
      <c r="AS880" s="3">
        <v>46174</v>
      </c>
      <c r="AT880" s="3">
        <v>46222</v>
      </c>
      <c r="AU880" t="s">
        <v>2123</v>
      </c>
      <c r="AW880" s="3">
        <v>46208.53701449134</v>
      </c>
    </row>
    <row r="881" spans="1:49" ht="16" hidden="1" x14ac:dyDescent="0.2">
      <c r="A881" t="s">
        <v>69</v>
      </c>
      <c r="B881">
        <v>11418</v>
      </c>
      <c r="C881">
        <v>1162</v>
      </c>
      <c r="D881" t="s">
        <v>152</v>
      </c>
      <c r="E881" t="s">
        <v>340</v>
      </c>
      <c r="F881">
        <v>269582</v>
      </c>
      <c r="G881" t="s">
        <v>635</v>
      </c>
      <c r="H881">
        <v>588663</v>
      </c>
      <c r="I881" t="s">
        <v>1235</v>
      </c>
      <c r="J881">
        <v>94240237</v>
      </c>
      <c r="K881" t="s">
        <v>1839</v>
      </c>
      <c r="L881" t="s">
        <v>1850</v>
      </c>
      <c r="M881" s="1">
        <v>80</v>
      </c>
      <c r="N881" t="s">
        <v>23</v>
      </c>
      <c r="O881">
        <v>90114</v>
      </c>
      <c r="P881" s="1">
        <v>7209.12</v>
      </c>
      <c r="S881" s="6" t="str">
        <f t="shared" si="13"/>
        <v xml:space="preserve"> </v>
      </c>
      <c r="T881" s="6">
        <f>IF(IF(COUNTIF(H$2:$H881,H881)=1,1,"")=1,SUMIF($H$2:$H$7997,H881,$S$2:$S$7997),"")</f>
        <v>0</v>
      </c>
      <c r="W881">
        <v>90114</v>
      </c>
      <c r="X881">
        <v>90114</v>
      </c>
      <c r="Y881">
        <v>0</v>
      </c>
      <c r="Z881">
        <v>0</v>
      </c>
      <c r="AA881" s="2">
        <v>1</v>
      </c>
      <c r="AB881" s="2">
        <v>0</v>
      </c>
      <c r="AC881" s="2">
        <v>0</v>
      </c>
      <c r="AD881">
        <v>0</v>
      </c>
      <c r="AE881" t="s">
        <v>1862</v>
      </c>
      <c r="AF881">
        <v>3584.13</v>
      </c>
      <c r="AG881">
        <v>122500</v>
      </c>
      <c r="AH881">
        <v>9800</v>
      </c>
      <c r="AI881" s="1" t="s">
        <v>340</v>
      </c>
      <c r="AJ881">
        <v>94240211</v>
      </c>
      <c r="AK881" s="1" t="s">
        <v>1867</v>
      </c>
      <c r="AL881" t="s">
        <v>1965</v>
      </c>
      <c r="AN881" t="s">
        <v>2054</v>
      </c>
      <c r="AO881" t="s">
        <v>2067</v>
      </c>
      <c r="AP881" t="s">
        <v>2094</v>
      </c>
      <c r="AQ881">
        <v>129145</v>
      </c>
      <c r="AR881" s="3">
        <v>46203</v>
      </c>
      <c r="AS881" s="3">
        <v>46174</v>
      </c>
      <c r="AT881" s="3">
        <v>46222</v>
      </c>
      <c r="AU881" t="s">
        <v>2124</v>
      </c>
      <c r="AW881" s="3">
        <v>46208.53701449134</v>
      </c>
    </row>
    <row r="882" spans="1:49" ht="16" hidden="1" x14ac:dyDescent="0.2">
      <c r="A882" t="s">
        <v>69</v>
      </c>
      <c r="B882">
        <v>11418</v>
      </c>
      <c r="C882">
        <v>1162</v>
      </c>
      <c r="D882" t="s">
        <v>152</v>
      </c>
      <c r="E882" t="s">
        <v>340</v>
      </c>
      <c r="F882">
        <v>269582</v>
      </c>
      <c r="G882" t="s">
        <v>635</v>
      </c>
      <c r="H882">
        <v>588663</v>
      </c>
      <c r="I882" t="s">
        <v>1236</v>
      </c>
      <c r="J882">
        <v>94240240</v>
      </c>
      <c r="K882" t="s">
        <v>1835</v>
      </c>
      <c r="L882" t="s">
        <v>1850</v>
      </c>
      <c r="M882" s="1">
        <v>80</v>
      </c>
      <c r="N882" t="s">
        <v>23</v>
      </c>
      <c r="O882">
        <v>1956</v>
      </c>
      <c r="P882" s="1">
        <v>156.47999999999999</v>
      </c>
      <c r="S882" s="6" t="str">
        <f t="shared" si="13"/>
        <v xml:space="preserve"> </v>
      </c>
      <c r="T882" s="6" t="str">
        <f>IF(IF(COUNTIF(H$2:$H882,H882)=1,1,"")=1,SUMIF($H$2:$H$7997,H882,$S$2:$S$7997),"")</f>
        <v/>
      </c>
      <c r="W882">
        <v>1956</v>
      </c>
      <c r="X882">
        <v>1956</v>
      </c>
      <c r="Y882">
        <v>0</v>
      </c>
      <c r="Z882">
        <v>0</v>
      </c>
      <c r="AA882" s="2">
        <v>1</v>
      </c>
      <c r="AB882" s="2">
        <v>0</v>
      </c>
      <c r="AC882" s="2">
        <v>0</v>
      </c>
      <c r="AD882">
        <v>0</v>
      </c>
      <c r="AE882" t="s">
        <v>1862</v>
      </c>
      <c r="AF882">
        <v>73.150000000000006</v>
      </c>
      <c r="AG882">
        <v>2500</v>
      </c>
      <c r="AH882">
        <v>200</v>
      </c>
      <c r="AI882" s="1" t="s">
        <v>340</v>
      </c>
      <c r="AJ882">
        <v>94240211</v>
      </c>
      <c r="AK882" s="1" t="s">
        <v>1867</v>
      </c>
      <c r="AL882" t="s">
        <v>1965</v>
      </c>
      <c r="AN882" t="s">
        <v>2054</v>
      </c>
      <c r="AO882" t="s">
        <v>2067</v>
      </c>
      <c r="AP882" t="s">
        <v>2092</v>
      </c>
      <c r="AQ882">
        <v>129145</v>
      </c>
      <c r="AR882" s="3">
        <v>46203</v>
      </c>
      <c r="AS882" s="3">
        <v>46174</v>
      </c>
      <c r="AT882" s="3">
        <v>46222</v>
      </c>
      <c r="AU882" t="s">
        <v>2123</v>
      </c>
      <c r="AW882" s="3">
        <v>46208.53701449134</v>
      </c>
    </row>
    <row r="883" spans="1:49" ht="16" hidden="1" x14ac:dyDescent="0.2">
      <c r="A883" t="s">
        <v>69</v>
      </c>
      <c r="B883">
        <v>11418</v>
      </c>
      <c r="C883">
        <v>1162</v>
      </c>
      <c r="D883" t="s">
        <v>152</v>
      </c>
      <c r="E883" t="s">
        <v>340</v>
      </c>
      <c r="F883">
        <v>269582</v>
      </c>
      <c r="G883" t="s">
        <v>633</v>
      </c>
      <c r="H883">
        <v>588666</v>
      </c>
      <c r="I883" t="s">
        <v>1233</v>
      </c>
      <c r="J883">
        <v>94240221</v>
      </c>
      <c r="K883" t="s">
        <v>1835</v>
      </c>
      <c r="L883" t="s">
        <v>1850</v>
      </c>
      <c r="M883" s="1">
        <v>50</v>
      </c>
      <c r="N883" t="s">
        <v>1853</v>
      </c>
      <c r="O883">
        <v>54690</v>
      </c>
      <c r="P883" s="1">
        <v>2734.5</v>
      </c>
      <c r="S883" s="6" t="str">
        <f t="shared" si="13"/>
        <v xml:space="preserve"> </v>
      </c>
      <c r="T883" s="6">
        <f>IF(IF(COUNTIF(H$2:$H883,H883)=1,1,"")=1,SUMIF($H$2:$H$7997,H883,$S$2:$S$7997),"")</f>
        <v>0</v>
      </c>
      <c r="W883">
        <v>44486</v>
      </c>
      <c r="X883">
        <v>44486</v>
      </c>
      <c r="Y883">
        <v>54690</v>
      </c>
      <c r="Z883">
        <v>54690</v>
      </c>
      <c r="AA883" s="2">
        <v>1</v>
      </c>
      <c r="AB883" s="2">
        <v>1.229380404103759</v>
      </c>
      <c r="AC883" s="2">
        <v>0</v>
      </c>
      <c r="AD883">
        <v>0</v>
      </c>
      <c r="AE883" t="s">
        <v>1862</v>
      </c>
      <c r="AF883">
        <v>1376.15</v>
      </c>
      <c r="AG883">
        <v>100000</v>
      </c>
      <c r="AH883">
        <v>5000</v>
      </c>
      <c r="AI883" s="1" t="s">
        <v>340</v>
      </c>
      <c r="AJ883">
        <v>94240211</v>
      </c>
      <c r="AK883" s="1" t="s">
        <v>1867</v>
      </c>
      <c r="AL883" t="s">
        <v>1965</v>
      </c>
      <c r="AN883" t="s">
        <v>2054</v>
      </c>
      <c r="AO883" t="s">
        <v>2067</v>
      </c>
      <c r="AP883" t="s">
        <v>2091</v>
      </c>
      <c r="AQ883">
        <v>129145</v>
      </c>
      <c r="AR883" s="3">
        <v>46203</v>
      </c>
      <c r="AS883" s="3">
        <v>46174</v>
      </c>
      <c r="AT883" s="3">
        <v>46222</v>
      </c>
      <c r="AU883" t="s">
        <v>2123</v>
      </c>
      <c r="AW883" s="3">
        <v>46208.53701449134</v>
      </c>
    </row>
    <row r="884" spans="1:49" ht="16" hidden="1" x14ac:dyDescent="0.2">
      <c r="A884" t="s">
        <v>69</v>
      </c>
      <c r="B884">
        <v>11418</v>
      </c>
      <c r="C884">
        <v>1162</v>
      </c>
      <c r="D884" t="s">
        <v>152</v>
      </c>
      <c r="E884" t="s">
        <v>340</v>
      </c>
      <c r="F884">
        <v>269582</v>
      </c>
      <c r="G884" t="s">
        <v>634</v>
      </c>
      <c r="H884">
        <v>590250</v>
      </c>
      <c r="I884" t="s">
        <v>1234</v>
      </c>
      <c r="J884">
        <v>94240233</v>
      </c>
      <c r="K884" t="s">
        <v>1835</v>
      </c>
      <c r="L884" t="s">
        <v>1850</v>
      </c>
      <c r="M884" s="1">
        <v>25</v>
      </c>
      <c r="N884" t="s">
        <v>1853</v>
      </c>
      <c r="O884">
        <v>220669</v>
      </c>
      <c r="P884" s="1">
        <v>5516.73</v>
      </c>
      <c r="S884" s="6" t="str">
        <f t="shared" si="13"/>
        <v xml:space="preserve"> </v>
      </c>
      <c r="T884" s="6">
        <f>IF(IF(COUNTIF(H$2:$H884,H884)=1,1,"")=1,SUMIF($H$2:$H$7997,H884,$S$2:$S$7997),"")</f>
        <v>0</v>
      </c>
      <c r="W884">
        <v>176290</v>
      </c>
      <c r="X884">
        <v>176290</v>
      </c>
      <c r="Y884">
        <v>220669</v>
      </c>
      <c r="Z884">
        <v>220669</v>
      </c>
      <c r="AA884" s="2">
        <v>1</v>
      </c>
      <c r="AB884" s="2">
        <v>1.2517393445685461</v>
      </c>
      <c r="AC884" s="2">
        <v>0</v>
      </c>
      <c r="AD884">
        <v>0</v>
      </c>
      <c r="AE884" t="s">
        <v>1862</v>
      </c>
      <c r="AF884">
        <v>2763.04</v>
      </c>
      <c r="AG884">
        <v>400000</v>
      </c>
      <c r="AH884">
        <v>10000</v>
      </c>
      <c r="AI884" s="1" t="s">
        <v>340</v>
      </c>
      <c r="AJ884">
        <v>94240211</v>
      </c>
      <c r="AK884" s="1" t="s">
        <v>1867</v>
      </c>
      <c r="AL884" t="s">
        <v>1965</v>
      </c>
      <c r="AN884" t="s">
        <v>2054</v>
      </c>
      <c r="AO884" t="s">
        <v>2067</v>
      </c>
      <c r="AP884" t="s">
        <v>2091</v>
      </c>
      <c r="AQ884">
        <v>129145</v>
      </c>
      <c r="AR884" s="3">
        <v>46203</v>
      </c>
      <c r="AS884" s="3">
        <v>46174</v>
      </c>
      <c r="AT884" s="3">
        <v>46222</v>
      </c>
      <c r="AU884" t="s">
        <v>2123</v>
      </c>
      <c r="AW884" s="3">
        <v>46208.53701449134</v>
      </c>
    </row>
    <row r="885" spans="1:49" ht="16" hidden="1" x14ac:dyDescent="0.2">
      <c r="A885" t="s">
        <v>69</v>
      </c>
      <c r="B885">
        <v>11418</v>
      </c>
      <c r="C885">
        <v>1162</v>
      </c>
      <c r="D885" t="s">
        <v>152</v>
      </c>
      <c r="E885" t="s">
        <v>340</v>
      </c>
      <c r="F885">
        <v>269582</v>
      </c>
      <c r="G885" t="s">
        <v>631</v>
      </c>
      <c r="H885">
        <v>590252</v>
      </c>
      <c r="I885" t="s">
        <v>1231</v>
      </c>
      <c r="J885">
        <v>94240214</v>
      </c>
      <c r="K885" t="s">
        <v>1839</v>
      </c>
      <c r="L885" t="s">
        <v>1850</v>
      </c>
      <c r="M885" s="1">
        <v>40</v>
      </c>
      <c r="N885" t="s">
        <v>23</v>
      </c>
      <c r="O885">
        <v>54432</v>
      </c>
      <c r="P885" s="1">
        <v>2177.2800000000002</v>
      </c>
      <c r="S885" s="6" t="str">
        <f t="shared" si="13"/>
        <v xml:space="preserve"> </v>
      </c>
      <c r="T885" s="6">
        <f>IF(IF(COUNTIF(H$2:$H885,H885)=1,1,"")=1,SUMIF($H$2:$H$7997,H885,$S$2:$S$7997),"")</f>
        <v>0</v>
      </c>
      <c r="W885">
        <v>54432</v>
      </c>
      <c r="X885">
        <v>54432</v>
      </c>
      <c r="Y885">
        <v>0</v>
      </c>
      <c r="Z885">
        <v>0</v>
      </c>
      <c r="AA885" s="2">
        <v>1</v>
      </c>
      <c r="AB885" s="2">
        <v>0</v>
      </c>
      <c r="AC885" s="2">
        <v>0</v>
      </c>
      <c r="AD885">
        <v>0</v>
      </c>
      <c r="AE885" t="s">
        <v>1862</v>
      </c>
      <c r="AF885">
        <v>1164.76</v>
      </c>
      <c r="AG885">
        <v>87500</v>
      </c>
      <c r="AH885">
        <v>3500</v>
      </c>
      <c r="AI885" s="1" t="s">
        <v>340</v>
      </c>
      <c r="AJ885">
        <v>94240211</v>
      </c>
      <c r="AK885" s="1" t="s">
        <v>1867</v>
      </c>
      <c r="AL885" t="s">
        <v>1965</v>
      </c>
      <c r="AN885" t="s">
        <v>2054</v>
      </c>
      <c r="AO885" t="s">
        <v>2067</v>
      </c>
      <c r="AP885" t="s">
        <v>2094</v>
      </c>
      <c r="AQ885">
        <v>129145</v>
      </c>
      <c r="AR885" s="3">
        <v>46203</v>
      </c>
      <c r="AS885" s="3">
        <v>46174</v>
      </c>
      <c r="AT885" s="3">
        <v>46222</v>
      </c>
      <c r="AU885" t="s">
        <v>2124</v>
      </c>
      <c r="AW885" s="3">
        <v>46208.53701449134</v>
      </c>
    </row>
    <row r="886" spans="1:49" ht="16" hidden="1" x14ac:dyDescent="0.2">
      <c r="A886" t="s">
        <v>69</v>
      </c>
      <c r="B886">
        <v>11418</v>
      </c>
      <c r="C886">
        <v>1162</v>
      </c>
      <c r="D886" t="s">
        <v>152</v>
      </c>
      <c r="E886" t="s">
        <v>340</v>
      </c>
      <c r="F886">
        <v>269582</v>
      </c>
      <c r="G886" t="s">
        <v>631</v>
      </c>
      <c r="H886">
        <v>590252</v>
      </c>
      <c r="I886" t="s">
        <v>1237</v>
      </c>
      <c r="J886">
        <v>94240243</v>
      </c>
      <c r="K886" t="s">
        <v>1835</v>
      </c>
      <c r="L886" t="s">
        <v>1850</v>
      </c>
      <c r="M886" s="1">
        <v>40</v>
      </c>
      <c r="N886" t="s">
        <v>23</v>
      </c>
      <c r="O886">
        <v>25429</v>
      </c>
      <c r="P886" s="1">
        <v>1017.16</v>
      </c>
      <c r="S886" s="6" t="str">
        <f t="shared" si="13"/>
        <v xml:space="preserve"> </v>
      </c>
      <c r="T886" s="6" t="str">
        <f>IF(IF(COUNTIF(H$2:$H886,H886)=1,1,"")=1,SUMIF($H$2:$H$7997,H886,$S$2:$S$7997),"")</f>
        <v/>
      </c>
      <c r="W886">
        <v>25429</v>
      </c>
      <c r="X886">
        <v>25429</v>
      </c>
      <c r="Y886">
        <v>0</v>
      </c>
      <c r="Z886">
        <v>0</v>
      </c>
      <c r="AA886" s="2">
        <v>1</v>
      </c>
      <c r="AB886" s="2">
        <v>0</v>
      </c>
      <c r="AC886" s="2">
        <v>0</v>
      </c>
      <c r="AD886">
        <v>0</v>
      </c>
      <c r="AE886" t="s">
        <v>1862</v>
      </c>
      <c r="AF886">
        <v>499.18</v>
      </c>
      <c r="AG886">
        <v>37500</v>
      </c>
      <c r="AH886">
        <v>1500</v>
      </c>
      <c r="AI886" s="1" t="s">
        <v>340</v>
      </c>
      <c r="AJ886">
        <v>94240211</v>
      </c>
      <c r="AK886" s="1" t="s">
        <v>1867</v>
      </c>
      <c r="AL886" t="s">
        <v>1965</v>
      </c>
      <c r="AN886" t="s">
        <v>2054</v>
      </c>
      <c r="AO886" t="s">
        <v>2067</v>
      </c>
      <c r="AP886" t="s">
        <v>2092</v>
      </c>
      <c r="AQ886">
        <v>129145</v>
      </c>
      <c r="AR886" s="3">
        <v>46203</v>
      </c>
      <c r="AS886" s="3">
        <v>46174</v>
      </c>
      <c r="AT886" s="3">
        <v>46222</v>
      </c>
      <c r="AU886" t="s">
        <v>2123</v>
      </c>
      <c r="AW886" s="3">
        <v>46208.53701449134</v>
      </c>
    </row>
    <row r="887" spans="1:49" ht="16" hidden="1" x14ac:dyDescent="0.2">
      <c r="A887" t="s">
        <v>69</v>
      </c>
      <c r="B887">
        <v>11418</v>
      </c>
      <c r="C887">
        <v>1162</v>
      </c>
      <c r="D887" t="s">
        <v>152</v>
      </c>
      <c r="E887" t="s">
        <v>333</v>
      </c>
      <c r="F887">
        <v>269583</v>
      </c>
      <c r="G887" t="s">
        <v>810</v>
      </c>
      <c r="H887">
        <v>588599</v>
      </c>
      <c r="I887" t="s">
        <v>1574</v>
      </c>
      <c r="J887">
        <v>7317767249</v>
      </c>
      <c r="K887" t="s">
        <v>1835</v>
      </c>
      <c r="L887" t="s">
        <v>1850</v>
      </c>
      <c r="M887" s="1">
        <v>6</v>
      </c>
      <c r="N887" t="s">
        <v>23</v>
      </c>
      <c r="O887">
        <v>0</v>
      </c>
      <c r="P887" s="1">
        <v>0</v>
      </c>
      <c r="S887" s="6" t="str">
        <f t="shared" si="13"/>
        <v xml:space="preserve"> </v>
      </c>
      <c r="T887" s="6">
        <f>IF(IF(COUNTIF(H$2:$H887,H887)=1,1,"")=1,SUMIF($H$2:$H$7997,H887,$S$2:$S$7997),"")</f>
        <v>0</v>
      </c>
      <c r="W887">
        <v>0</v>
      </c>
      <c r="X887">
        <v>0</v>
      </c>
      <c r="Y887">
        <v>0</v>
      </c>
      <c r="Z887">
        <v>0</v>
      </c>
      <c r="AA887" s="2">
        <v>1</v>
      </c>
      <c r="AB887" s="2">
        <v>0</v>
      </c>
      <c r="AC887" s="2">
        <v>0</v>
      </c>
      <c r="AD887">
        <v>0</v>
      </c>
      <c r="AE887" t="s">
        <v>1862</v>
      </c>
      <c r="AF887">
        <v>3132.97</v>
      </c>
      <c r="AG887">
        <v>2250000</v>
      </c>
      <c r="AH887">
        <v>13500</v>
      </c>
      <c r="AI887" s="1" t="s">
        <v>333</v>
      </c>
      <c r="AJ887">
        <v>269583</v>
      </c>
      <c r="AK887" s="1" t="s">
        <v>1867</v>
      </c>
      <c r="AL887" t="s">
        <v>1960</v>
      </c>
      <c r="AN887" t="s">
        <v>2054</v>
      </c>
      <c r="AO887" t="s">
        <v>2067</v>
      </c>
      <c r="AP887" t="s">
        <v>2103</v>
      </c>
      <c r="AQ887">
        <v>128868</v>
      </c>
      <c r="AR887" s="3">
        <v>46203</v>
      </c>
      <c r="AS887" s="3">
        <v>46174</v>
      </c>
      <c r="AT887" s="3">
        <v>46222</v>
      </c>
      <c r="AU887" t="s">
        <v>2126</v>
      </c>
      <c r="AW887" s="3">
        <v>46208.53701449134</v>
      </c>
    </row>
    <row r="888" spans="1:49" ht="16" hidden="1" x14ac:dyDescent="0.2">
      <c r="A888" t="s">
        <v>69</v>
      </c>
      <c r="B888">
        <v>11418</v>
      </c>
      <c r="C888">
        <v>1162</v>
      </c>
      <c r="D888" t="s">
        <v>152</v>
      </c>
      <c r="E888" t="s">
        <v>333</v>
      </c>
      <c r="F888">
        <v>269583</v>
      </c>
      <c r="G888" t="s">
        <v>622</v>
      </c>
      <c r="H888">
        <v>588603</v>
      </c>
      <c r="I888" t="s">
        <v>1215</v>
      </c>
      <c r="J888">
        <v>94174146</v>
      </c>
      <c r="K888" t="s">
        <v>1839</v>
      </c>
      <c r="L888" t="s">
        <v>1850</v>
      </c>
      <c r="M888" s="1">
        <v>40</v>
      </c>
      <c r="N888" t="s">
        <v>1855</v>
      </c>
      <c r="O888">
        <v>1168180</v>
      </c>
      <c r="P888" s="1">
        <v>46727.199999999997</v>
      </c>
      <c r="S888" s="6" t="str">
        <f t="shared" si="13"/>
        <v xml:space="preserve"> </v>
      </c>
      <c r="T888" s="6">
        <f>IF(IF(COUNTIF(H$2:$H888,H888)=1,1,"")=1,SUMIF($H$2:$H$7997,H888,$S$2:$S$7997),"")</f>
        <v>0</v>
      </c>
      <c r="W888">
        <v>1168180</v>
      </c>
      <c r="X888">
        <v>1168180</v>
      </c>
      <c r="Y888">
        <v>0</v>
      </c>
      <c r="Z888">
        <v>0</v>
      </c>
      <c r="AA888" s="2">
        <v>1</v>
      </c>
      <c r="AB888" s="2">
        <v>0</v>
      </c>
      <c r="AC888" s="2">
        <v>0</v>
      </c>
      <c r="AD888">
        <v>0</v>
      </c>
      <c r="AE888" t="s">
        <v>1862</v>
      </c>
      <c r="AF888">
        <v>20531.900000000001</v>
      </c>
      <c r="AG888">
        <v>1710000</v>
      </c>
      <c r="AH888">
        <v>68400</v>
      </c>
      <c r="AI888" s="1" t="s">
        <v>333</v>
      </c>
      <c r="AJ888">
        <v>94174136</v>
      </c>
      <c r="AK888" s="1" t="s">
        <v>1868</v>
      </c>
      <c r="AL888" t="s">
        <v>1960</v>
      </c>
      <c r="AN888" t="s">
        <v>2054</v>
      </c>
      <c r="AO888" t="s">
        <v>2067</v>
      </c>
      <c r="AP888" t="s">
        <v>2093</v>
      </c>
      <c r="AQ888">
        <v>128868</v>
      </c>
      <c r="AR888" s="3">
        <v>46203</v>
      </c>
      <c r="AS888" s="3">
        <v>46174</v>
      </c>
      <c r="AT888" s="3">
        <v>46222</v>
      </c>
      <c r="AU888" t="s">
        <v>2124</v>
      </c>
      <c r="AW888" s="3">
        <v>46208.53701449134</v>
      </c>
    </row>
    <row r="889" spans="1:49" ht="16" hidden="1" x14ac:dyDescent="0.2">
      <c r="A889" t="s">
        <v>69</v>
      </c>
      <c r="B889">
        <v>11418</v>
      </c>
      <c r="C889">
        <v>1162</v>
      </c>
      <c r="D889" t="s">
        <v>152</v>
      </c>
      <c r="E889" t="s">
        <v>333</v>
      </c>
      <c r="F889">
        <v>269583</v>
      </c>
      <c r="G889" t="s">
        <v>622</v>
      </c>
      <c r="H889">
        <v>588603</v>
      </c>
      <c r="I889" t="s">
        <v>1216</v>
      </c>
      <c r="J889">
        <v>94174149</v>
      </c>
      <c r="K889" t="s">
        <v>1840</v>
      </c>
      <c r="L889" t="s">
        <v>1850</v>
      </c>
      <c r="M889" s="1">
        <v>40</v>
      </c>
      <c r="N889" t="s">
        <v>1855</v>
      </c>
      <c r="O889">
        <v>549338</v>
      </c>
      <c r="P889" s="1">
        <v>21973.52</v>
      </c>
      <c r="S889" s="6" t="str">
        <f t="shared" si="13"/>
        <v xml:space="preserve"> </v>
      </c>
      <c r="T889" s="6" t="str">
        <f>IF(IF(COUNTIF(H$2:$H889,H889)=1,1,"")=1,SUMIF($H$2:$H$7997,H889,$S$2:$S$7997),"")</f>
        <v/>
      </c>
      <c r="W889">
        <v>549338</v>
      </c>
      <c r="X889">
        <v>549338</v>
      </c>
      <c r="Y889">
        <v>0</v>
      </c>
      <c r="Z889">
        <v>0</v>
      </c>
      <c r="AA889" s="2">
        <v>1</v>
      </c>
      <c r="AB889" s="2">
        <v>0</v>
      </c>
      <c r="AC889" s="2">
        <v>0</v>
      </c>
      <c r="AD889">
        <v>0</v>
      </c>
      <c r="AE889" t="s">
        <v>1862</v>
      </c>
      <c r="AF889">
        <v>13687.94</v>
      </c>
      <c r="AG889">
        <v>1140000</v>
      </c>
      <c r="AH889">
        <v>45600</v>
      </c>
      <c r="AI889" s="1" t="s">
        <v>333</v>
      </c>
      <c r="AJ889">
        <v>94174136</v>
      </c>
      <c r="AK889" s="1" t="s">
        <v>1868</v>
      </c>
      <c r="AL889" t="s">
        <v>1960</v>
      </c>
      <c r="AN889" t="s">
        <v>2054</v>
      </c>
      <c r="AO889" t="s">
        <v>2067</v>
      </c>
      <c r="AP889" t="s">
        <v>2083</v>
      </c>
      <c r="AQ889">
        <v>128868</v>
      </c>
      <c r="AR889" s="3">
        <v>46203</v>
      </c>
      <c r="AS889" s="3">
        <v>46174</v>
      </c>
      <c r="AT889" s="3">
        <v>46222</v>
      </c>
      <c r="AU889" t="s">
        <v>2123</v>
      </c>
      <c r="AW889" s="3">
        <v>46208.53701449134</v>
      </c>
    </row>
    <row r="890" spans="1:49" ht="16" hidden="1" x14ac:dyDescent="0.2">
      <c r="A890" t="s">
        <v>69</v>
      </c>
      <c r="B890">
        <v>11418</v>
      </c>
      <c r="C890">
        <v>1162</v>
      </c>
      <c r="D890" t="s">
        <v>152</v>
      </c>
      <c r="E890" t="s">
        <v>333</v>
      </c>
      <c r="F890">
        <v>269583</v>
      </c>
      <c r="G890" t="s">
        <v>621</v>
      </c>
      <c r="H890">
        <v>588678</v>
      </c>
      <c r="I890" t="s">
        <v>1214</v>
      </c>
      <c r="J890">
        <v>94174143</v>
      </c>
      <c r="K890" t="s">
        <v>1839</v>
      </c>
      <c r="L890" t="s">
        <v>1850</v>
      </c>
      <c r="M890" s="1">
        <v>50</v>
      </c>
      <c r="N890" t="s">
        <v>23</v>
      </c>
      <c r="O890">
        <v>592410</v>
      </c>
      <c r="P890" s="1">
        <v>29620.5</v>
      </c>
      <c r="S890" s="6" t="str">
        <f t="shared" si="13"/>
        <v xml:space="preserve"> </v>
      </c>
      <c r="T890" s="6">
        <f>IF(IF(COUNTIF(H$2:$H890,H890)=1,1,"")=1,SUMIF($H$2:$H$7997,H890,$S$2:$S$7997),"")</f>
        <v>0</v>
      </c>
      <c r="W890">
        <v>592410</v>
      </c>
      <c r="X890">
        <v>592410</v>
      </c>
      <c r="Y890">
        <v>0</v>
      </c>
      <c r="Z890">
        <v>0</v>
      </c>
      <c r="AA890" s="2">
        <v>1</v>
      </c>
      <c r="AB890" s="2">
        <v>0</v>
      </c>
      <c r="AC890" s="2">
        <v>0</v>
      </c>
      <c r="AD890">
        <v>0</v>
      </c>
      <c r="AE890" t="s">
        <v>1862</v>
      </c>
      <c r="AF890">
        <v>10146.93</v>
      </c>
      <c r="AG890">
        <v>870000</v>
      </c>
      <c r="AH890">
        <v>43500</v>
      </c>
      <c r="AI890" s="1" t="s">
        <v>333</v>
      </c>
      <c r="AJ890">
        <v>94174136</v>
      </c>
      <c r="AK890" s="1" t="s">
        <v>1867</v>
      </c>
      <c r="AL890" t="s">
        <v>1960</v>
      </c>
      <c r="AN890" t="s">
        <v>2054</v>
      </c>
      <c r="AO890" t="s">
        <v>2067</v>
      </c>
      <c r="AP890" t="s">
        <v>2093</v>
      </c>
      <c r="AQ890">
        <v>128868</v>
      </c>
      <c r="AR890" s="3">
        <v>46203</v>
      </c>
      <c r="AS890" s="3">
        <v>46174</v>
      </c>
      <c r="AT890" s="3">
        <v>46222</v>
      </c>
      <c r="AU890" t="s">
        <v>2124</v>
      </c>
      <c r="AW890" s="3">
        <v>46208.53701449134</v>
      </c>
    </row>
    <row r="891" spans="1:49" ht="16" hidden="1" x14ac:dyDescent="0.2">
      <c r="A891" t="s">
        <v>69</v>
      </c>
      <c r="B891">
        <v>11418</v>
      </c>
      <c r="C891">
        <v>1162</v>
      </c>
      <c r="D891" t="s">
        <v>152</v>
      </c>
      <c r="E891" t="s">
        <v>333</v>
      </c>
      <c r="F891">
        <v>269583</v>
      </c>
      <c r="G891" t="s">
        <v>621</v>
      </c>
      <c r="H891">
        <v>588678</v>
      </c>
      <c r="I891" t="s">
        <v>1213</v>
      </c>
      <c r="J891">
        <v>94174139</v>
      </c>
      <c r="K891" t="s">
        <v>1840</v>
      </c>
      <c r="L891" t="s">
        <v>1850</v>
      </c>
      <c r="M891" s="1">
        <v>50</v>
      </c>
      <c r="N891" t="s">
        <v>23</v>
      </c>
      <c r="O891">
        <v>82471</v>
      </c>
      <c r="P891" s="1">
        <v>4123.55</v>
      </c>
      <c r="S891" s="6" t="str">
        <f t="shared" si="13"/>
        <v xml:space="preserve"> </v>
      </c>
      <c r="T891" s="6" t="str">
        <f>IF(IF(COUNTIF(H$2:$H891,H891)=1,1,"")=1,SUMIF($H$2:$H$7997,H891,$S$2:$S$7997),"")</f>
        <v/>
      </c>
      <c r="W891">
        <v>82471</v>
      </c>
      <c r="X891">
        <v>82471</v>
      </c>
      <c r="Y891">
        <v>0</v>
      </c>
      <c r="Z891">
        <v>0</v>
      </c>
      <c r="AA891" s="2">
        <v>1</v>
      </c>
      <c r="AB891" s="2">
        <v>0</v>
      </c>
      <c r="AC891" s="2">
        <v>0</v>
      </c>
      <c r="AD891">
        <v>0</v>
      </c>
      <c r="AE891" t="s">
        <v>1862</v>
      </c>
      <c r="AF891">
        <v>6764.62</v>
      </c>
      <c r="AG891">
        <v>580000</v>
      </c>
      <c r="AH891">
        <v>29000</v>
      </c>
      <c r="AI891" s="1" t="s">
        <v>333</v>
      </c>
      <c r="AJ891">
        <v>94174136</v>
      </c>
      <c r="AK891" s="1" t="s">
        <v>1867</v>
      </c>
      <c r="AL891" t="s">
        <v>1960</v>
      </c>
      <c r="AN891" t="s">
        <v>2054</v>
      </c>
      <c r="AO891" t="s">
        <v>2067</v>
      </c>
      <c r="AP891" t="s">
        <v>2083</v>
      </c>
      <c r="AQ891">
        <v>128868</v>
      </c>
      <c r="AR891" s="3">
        <v>46203</v>
      </c>
      <c r="AS891" s="3">
        <v>46174</v>
      </c>
      <c r="AT891" s="3">
        <v>46222</v>
      </c>
      <c r="AU891" t="s">
        <v>2123</v>
      </c>
      <c r="AW891" s="3">
        <v>46208.53701449134</v>
      </c>
    </row>
    <row r="892" spans="1:49" ht="16" hidden="1" x14ac:dyDescent="0.2">
      <c r="A892" t="s">
        <v>69</v>
      </c>
      <c r="B892">
        <v>11418</v>
      </c>
      <c r="C892">
        <v>1162</v>
      </c>
      <c r="D892" t="s">
        <v>152</v>
      </c>
      <c r="E892" t="s">
        <v>336</v>
      </c>
      <c r="F892">
        <v>269585</v>
      </c>
      <c r="G892" t="s">
        <v>808</v>
      </c>
      <c r="H892">
        <v>588619</v>
      </c>
      <c r="I892" t="s">
        <v>1569</v>
      </c>
      <c r="J892">
        <v>7317612216</v>
      </c>
      <c r="K892" t="s">
        <v>1835</v>
      </c>
      <c r="L892" t="s">
        <v>1850</v>
      </c>
      <c r="M892" s="1">
        <v>6</v>
      </c>
      <c r="N892" t="s">
        <v>23</v>
      </c>
      <c r="O892">
        <v>0</v>
      </c>
      <c r="P892" s="1">
        <v>0</v>
      </c>
      <c r="S892" s="6" t="str">
        <f t="shared" si="13"/>
        <v xml:space="preserve"> </v>
      </c>
      <c r="T892" s="6">
        <f>IF(IF(COUNTIF(H$2:$H892,H892)=1,1,"")=1,SUMIF($H$2:$H$7997,H892,$S$2:$S$7997),"")</f>
        <v>0</v>
      </c>
      <c r="W892">
        <v>0</v>
      </c>
      <c r="X892">
        <v>0</v>
      </c>
      <c r="Y892">
        <v>0</v>
      </c>
      <c r="Z892">
        <v>0</v>
      </c>
      <c r="AA892" s="2">
        <v>1</v>
      </c>
      <c r="AB892" s="2">
        <v>0</v>
      </c>
      <c r="AC892" s="2">
        <v>0</v>
      </c>
      <c r="AD892">
        <v>0</v>
      </c>
      <c r="AE892" t="s">
        <v>1862</v>
      </c>
      <c r="AF892">
        <v>1222.21</v>
      </c>
      <c r="AG892">
        <v>833333</v>
      </c>
      <c r="AH892">
        <v>5000</v>
      </c>
      <c r="AI892" s="1" t="s">
        <v>336</v>
      </c>
      <c r="AJ892">
        <v>269585</v>
      </c>
      <c r="AK892" s="1" t="s">
        <v>1867</v>
      </c>
      <c r="AL892" t="s">
        <v>1962</v>
      </c>
      <c r="AN892" t="s">
        <v>2054</v>
      </c>
      <c r="AO892" t="s">
        <v>2067</v>
      </c>
      <c r="AP892" t="s">
        <v>2103</v>
      </c>
      <c r="AQ892">
        <v>129166</v>
      </c>
      <c r="AR892" s="3">
        <v>46203</v>
      </c>
      <c r="AS892" s="3">
        <v>46174</v>
      </c>
      <c r="AT892" s="3">
        <v>46222</v>
      </c>
      <c r="AU892" t="s">
        <v>2126</v>
      </c>
      <c r="AW892" s="3">
        <v>46208.53701449134</v>
      </c>
    </row>
    <row r="893" spans="1:49" ht="16" hidden="1" x14ac:dyDescent="0.2">
      <c r="A893" t="s">
        <v>69</v>
      </c>
      <c r="B893">
        <v>11418</v>
      </c>
      <c r="C893">
        <v>1162</v>
      </c>
      <c r="D893" t="s">
        <v>152</v>
      </c>
      <c r="E893" t="s">
        <v>336</v>
      </c>
      <c r="F893">
        <v>269585</v>
      </c>
      <c r="G893" t="s">
        <v>625</v>
      </c>
      <c r="H893">
        <v>588623</v>
      </c>
      <c r="I893" t="s">
        <v>1220</v>
      </c>
      <c r="J893">
        <v>94237062</v>
      </c>
      <c r="K893" t="s">
        <v>1839</v>
      </c>
      <c r="L893" t="s">
        <v>1850</v>
      </c>
      <c r="M893" s="1">
        <v>40</v>
      </c>
      <c r="N893" t="s">
        <v>1855</v>
      </c>
      <c r="O893">
        <v>869580</v>
      </c>
      <c r="P893" s="1">
        <v>34783.199999999997</v>
      </c>
      <c r="S893" s="6" t="str">
        <f t="shared" si="13"/>
        <v xml:space="preserve"> </v>
      </c>
      <c r="T893" s="6">
        <f>IF(IF(COUNTIF(H$2:$H893,H893)=1,1,"")=1,SUMIF($H$2:$H$7997,H893,$S$2:$S$7997),"")</f>
        <v>0</v>
      </c>
      <c r="W893">
        <v>869580</v>
      </c>
      <c r="X893">
        <v>869580</v>
      </c>
      <c r="Y893">
        <v>0</v>
      </c>
      <c r="Z893">
        <v>0</v>
      </c>
      <c r="AA893" s="2">
        <v>1</v>
      </c>
      <c r="AB893" s="2">
        <v>0</v>
      </c>
      <c r="AC893" s="2">
        <v>0</v>
      </c>
      <c r="AD893">
        <v>0</v>
      </c>
      <c r="AE893" t="s">
        <v>1862</v>
      </c>
      <c r="AF893">
        <v>15900.96</v>
      </c>
      <c r="AG893">
        <v>1275000</v>
      </c>
      <c r="AH893">
        <v>51000</v>
      </c>
      <c r="AI893" s="1" t="s">
        <v>336</v>
      </c>
      <c r="AJ893">
        <v>94237059</v>
      </c>
      <c r="AK893" s="1" t="s">
        <v>1868</v>
      </c>
      <c r="AL893" t="s">
        <v>1962</v>
      </c>
      <c r="AN893" t="s">
        <v>2054</v>
      </c>
      <c r="AO893" t="s">
        <v>2067</v>
      </c>
      <c r="AP893" t="s">
        <v>2093</v>
      </c>
      <c r="AQ893">
        <v>129166</v>
      </c>
      <c r="AR893" s="3">
        <v>46203</v>
      </c>
      <c r="AS893" s="3">
        <v>46174</v>
      </c>
      <c r="AT893" s="3">
        <v>46222</v>
      </c>
      <c r="AU893" t="s">
        <v>2124</v>
      </c>
      <c r="AW893" s="3">
        <v>46208.53701449134</v>
      </c>
    </row>
    <row r="894" spans="1:49" ht="16" hidden="1" x14ac:dyDescent="0.2">
      <c r="A894" t="s">
        <v>69</v>
      </c>
      <c r="B894">
        <v>11418</v>
      </c>
      <c r="C894">
        <v>1162</v>
      </c>
      <c r="D894" t="s">
        <v>152</v>
      </c>
      <c r="E894" t="s">
        <v>336</v>
      </c>
      <c r="F894">
        <v>269585</v>
      </c>
      <c r="G894" t="s">
        <v>625</v>
      </c>
      <c r="H894">
        <v>588623</v>
      </c>
      <c r="I894" t="s">
        <v>1223</v>
      </c>
      <c r="J894">
        <v>94237074</v>
      </c>
      <c r="K894" t="s">
        <v>1840</v>
      </c>
      <c r="L894" t="s">
        <v>1850</v>
      </c>
      <c r="M894" s="1">
        <v>40</v>
      </c>
      <c r="N894" t="s">
        <v>1855</v>
      </c>
      <c r="O894">
        <v>457051</v>
      </c>
      <c r="P894" s="1">
        <v>18282.04</v>
      </c>
      <c r="S894" s="6" t="str">
        <f t="shared" si="13"/>
        <v xml:space="preserve"> </v>
      </c>
      <c r="T894" s="6" t="str">
        <f>IF(IF(COUNTIF(H$2:$H894,H894)=1,1,"")=1,SUMIF($H$2:$H$7997,H894,$S$2:$S$7997),"")</f>
        <v/>
      </c>
      <c r="W894">
        <v>457051</v>
      </c>
      <c r="X894">
        <v>457051</v>
      </c>
      <c r="Y894">
        <v>0</v>
      </c>
      <c r="Z894">
        <v>0</v>
      </c>
      <c r="AA894" s="2">
        <v>1</v>
      </c>
      <c r="AB894" s="2">
        <v>0</v>
      </c>
      <c r="AC894" s="2">
        <v>0</v>
      </c>
      <c r="AD894">
        <v>0</v>
      </c>
      <c r="AE894" t="s">
        <v>1862</v>
      </c>
      <c r="AF894">
        <v>10600.64</v>
      </c>
      <c r="AG894">
        <v>850000</v>
      </c>
      <c r="AH894">
        <v>34000</v>
      </c>
      <c r="AI894" s="1" t="s">
        <v>336</v>
      </c>
      <c r="AJ894">
        <v>94237059</v>
      </c>
      <c r="AK894" s="1" t="s">
        <v>1868</v>
      </c>
      <c r="AL894" t="s">
        <v>1962</v>
      </c>
      <c r="AN894" t="s">
        <v>2054</v>
      </c>
      <c r="AO894" t="s">
        <v>2067</v>
      </c>
      <c r="AP894" t="s">
        <v>2083</v>
      </c>
      <c r="AQ894">
        <v>129166</v>
      </c>
      <c r="AR894" s="3">
        <v>46203</v>
      </c>
      <c r="AS894" s="3">
        <v>46174</v>
      </c>
      <c r="AT894" s="3">
        <v>46222</v>
      </c>
      <c r="AU894" t="s">
        <v>2123</v>
      </c>
      <c r="AW894" s="3">
        <v>46208.53701449134</v>
      </c>
    </row>
    <row r="895" spans="1:49" ht="16" hidden="1" x14ac:dyDescent="0.2">
      <c r="A895" t="s">
        <v>69</v>
      </c>
      <c r="B895">
        <v>11418</v>
      </c>
      <c r="C895">
        <v>1162</v>
      </c>
      <c r="D895" t="s">
        <v>152</v>
      </c>
      <c r="E895" t="s">
        <v>336</v>
      </c>
      <c r="F895">
        <v>269585</v>
      </c>
      <c r="G895" t="s">
        <v>626</v>
      </c>
      <c r="H895">
        <v>588692</v>
      </c>
      <c r="I895" t="s">
        <v>1222</v>
      </c>
      <c r="J895">
        <v>94237069</v>
      </c>
      <c r="K895" t="s">
        <v>1839</v>
      </c>
      <c r="L895" t="s">
        <v>1850</v>
      </c>
      <c r="M895" s="1">
        <v>50</v>
      </c>
      <c r="N895" t="s">
        <v>23</v>
      </c>
      <c r="O895">
        <v>491294</v>
      </c>
      <c r="P895" s="1">
        <v>24564.7</v>
      </c>
      <c r="S895" s="6" t="str">
        <f t="shared" si="13"/>
        <v xml:space="preserve"> </v>
      </c>
      <c r="T895" s="6">
        <f>IF(IF(COUNTIF(H$2:$H895,H895)=1,1,"")=1,SUMIF($H$2:$H$7997,H895,$S$2:$S$7997),"")</f>
        <v>0</v>
      </c>
      <c r="W895">
        <v>491294</v>
      </c>
      <c r="X895">
        <v>491294</v>
      </c>
      <c r="Y895">
        <v>0</v>
      </c>
      <c r="Z895">
        <v>0</v>
      </c>
      <c r="AA895" s="2">
        <v>1</v>
      </c>
      <c r="AB895" s="2">
        <v>0</v>
      </c>
      <c r="AC895" s="2">
        <v>0</v>
      </c>
      <c r="AD895">
        <v>0</v>
      </c>
      <c r="AE895" t="s">
        <v>1862</v>
      </c>
      <c r="AF895">
        <v>8420.0400000000009</v>
      </c>
      <c r="AG895">
        <v>720000</v>
      </c>
      <c r="AH895">
        <v>36000</v>
      </c>
      <c r="AI895" s="1" t="s">
        <v>336</v>
      </c>
      <c r="AJ895">
        <v>94237059</v>
      </c>
      <c r="AK895" s="1" t="s">
        <v>1867</v>
      </c>
      <c r="AL895" t="s">
        <v>1962</v>
      </c>
      <c r="AN895" t="s">
        <v>2054</v>
      </c>
      <c r="AO895" t="s">
        <v>2067</v>
      </c>
      <c r="AP895" t="s">
        <v>2093</v>
      </c>
      <c r="AQ895">
        <v>129166</v>
      </c>
      <c r="AR895" s="3">
        <v>46203</v>
      </c>
      <c r="AS895" s="3">
        <v>46174</v>
      </c>
      <c r="AT895" s="3">
        <v>46222</v>
      </c>
      <c r="AU895" t="s">
        <v>2124</v>
      </c>
      <c r="AW895" s="3">
        <v>46208.53701449134</v>
      </c>
    </row>
    <row r="896" spans="1:49" ht="16" hidden="1" x14ac:dyDescent="0.2">
      <c r="A896" t="s">
        <v>69</v>
      </c>
      <c r="B896">
        <v>11418</v>
      </c>
      <c r="C896">
        <v>1162</v>
      </c>
      <c r="D896" t="s">
        <v>152</v>
      </c>
      <c r="E896" t="s">
        <v>336</v>
      </c>
      <c r="F896">
        <v>269585</v>
      </c>
      <c r="G896" t="s">
        <v>626</v>
      </c>
      <c r="H896">
        <v>588692</v>
      </c>
      <c r="I896" t="s">
        <v>1221</v>
      </c>
      <c r="J896">
        <v>94237065</v>
      </c>
      <c r="K896" t="s">
        <v>1840</v>
      </c>
      <c r="L896" t="s">
        <v>1850</v>
      </c>
      <c r="M896" s="1">
        <v>50</v>
      </c>
      <c r="N896" t="s">
        <v>23</v>
      </c>
      <c r="O896">
        <v>68354</v>
      </c>
      <c r="P896" s="1">
        <v>3417.7</v>
      </c>
      <c r="S896" s="6" t="str">
        <f t="shared" si="13"/>
        <v xml:space="preserve"> </v>
      </c>
      <c r="T896" s="6" t="str">
        <f>IF(IF(COUNTIF(H$2:$H896,H896)=1,1,"")=1,SUMIF($H$2:$H$7997,H896,$S$2:$S$7997),"")</f>
        <v/>
      </c>
      <c r="W896">
        <v>68354</v>
      </c>
      <c r="X896">
        <v>68354</v>
      </c>
      <c r="Y896">
        <v>0</v>
      </c>
      <c r="Z896">
        <v>0</v>
      </c>
      <c r="AA896" s="2">
        <v>1</v>
      </c>
      <c r="AB896" s="2">
        <v>0</v>
      </c>
      <c r="AC896" s="2">
        <v>0</v>
      </c>
      <c r="AD896">
        <v>0</v>
      </c>
      <c r="AE896" t="s">
        <v>1862</v>
      </c>
      <c r="AF896">
        <v>5613.36</v>
      </c>
      <c r="AG896">
        <v>480000</v>
      </c>
      <c r="AH896">
        <v>24000</v>
      </c>
      <c r="AI896" s="1" t="s">
        <v>336</v>
      </c>
      <c r="AJ896">
        <v>94237059</v>
      </c>
      <c r="AK896" s="1" t="s">
        <v>1867</v>
      </c>
      <c r="AL896" t="s">
        <v>1962</v>
      </c>
      <c r="AN896" t="s">
        <v>2054</v>
      </c>
      <c r="AO896" t="s">
        <v>2067</v>
      </c>
      <c r="AP896" t="s">
        <v>2083</v>
      </c>
      <c r="AQ896">
        <v>129166</v>
      </c>
      <c r="AR896" s="3">
        <v>46203</v>
      </c>
      <c r="AS896" s="3">
        <v>46174</v>
      </c>
      <c r="AT896" s="3">
        <v>46222</v>
      </c>
      <c r="AU896" t="s">
        <v>2123</v>
      </c>
      <c r="AW896" s="3">
        <v>46208.53701449134</v>
      </c>
    </row>
    <row r="897" spans="1:49" ht="16" hidden="1" x14ac:dyDescent="0.2">
      <c r="A897" t="s">
        <v>69</v>
      </c>
      <c r="B897">
        <v>11418</v>
      </c>
      <c r="C897">
        <v>1162</v>
      </c>
      <c r="D897" t="s">
        <v>152</v>
      </c>
      <c r="E897" t="s">
        <v>345</v>
      </c>
      <c r="F897">
        <v>269587</v>
      </c>
      <c r="G897" t="s">
        <v>814</v>
      </c>
      <c r="H897">
        <v>588639</v>
      </c>
      <c r="I897" t="s">
        <v>1587</v>
      </c>
      <c r="J897">
        <v>7318757499</v>
      </c>
      <c r="K897" t="s">
        <v>1835</v>
      </c>
      <c r="L897" t="s">
        <v>1850</v>
      </c>
      <c r="M897" s="1">
        <v>6</v>
      </c>
      <c r="N897" t="s">
        <v>23</v>
      </c>
      <c r="O897">
        <v>0</v>
      </c>
      <c r="P897" s="1">
        <v>0</v>
      </c>
      <c r="S897" s="6" t="str">
        <f t="shared" si="13"/>
        <v xml:space="preserve"> </v>
      </c>
      <c r="T897" s="6">
        <f>IF(IF(COUNTIF(H$2:$H897,H897)=1,1,"")=1,SUMIF($H$2:$H$7997,H897,$S$2:$S$7997),"")</f>
        <v>0</v>
      </c>
      <c r="W897">
        <v>0</v>
      </c>
      <c r="X897">
        <v>0</v>
      </c>
      <c r="Y897">
        <v>0</v>
      </c>
      <c r="Z897">
        <v>0</v>
      </c>
      <c r="AA897" s="2">
        <v>1</v>
      </c>
      <c r="AB897" s="2">
        <v>0</v>
      </c>
      <c r="AC897" s="2">
        <v>0</v>
      </c>
      <c r="AD897">
        <v>0</v>
      </c>
      <c r="AE897" t="s">
        <v>1862</v>
      </c>
      <c r="AF897">
        <v>1188.5899999999999</v>
      </c>
      <c r="AG897">
        <v>833333</v>
      </c>
      <c r="AH897">
        <v>5000</v>
      </c>
      <c r="AI897" s="1" t="s">
        <v>345</v>
      </c>
      <c r="AJ897">
        <v>269587</v>
      </c>
      <c r="AK897" s="1" t="s">
        <v>1867</v>
      </c>
      <c r="AL897" t="s">
        <v>1968</v>
      </c>
      <c r="AN897" t="s">
        <v>2054</v>
      </c>
      <c r="AO897" t="s">
        <v>2067</v>
      </c>
      <c r="AP897" t="s">
        <v>2103</v>
      </c>
      <c r="AQ897">
        <v>129321</v>
      </c>
      <c r="AR897" s="3">
        <v>46203</v>
      </c>
      <c r="AS897" s="3">
        <v>46174</v>
      </c>
      <c r="AT897" s="3">
        <v>46222</v>
      </c>
      <c r="AU897" t="s">
        <v>2126</v>
      </c>
      <c r="AW897" s="3">
        <v>46208.53701449134</v>
      </c>
    </row>
    <row r="898" spans="1:49" ht="16" hidden="1" x14ac:dyDescent="0.2">
      <c r="A898" t="s">
        <v>69</v>
      </c>
      <c r="B898">
        <v>11418</v>
      </c>
      <c r="C898">
        <v>1162</v>
      </c>
      <c r="D898" t="s">
        <v>152</v>
      </c>
      <c r="E898" t="s">
        <v>345</v>
      </c>
      <c r="F898">
        <v>269587</v>
      </c>
      <c r="G898" t="s">
        <v>644</v>
      </c>
      <c r="H898">
        <v>588643</v>
      </c>
      <c r="I898" t="s">
        <v>1256</v>
      </c>
      <c r="J898">
        <v>94264999</v>
      </c>
      <c r="K898" t="s">
        <v>1839</v>
      </c>
      <c r="L898" t="s">
        <v>1850</v>
      </c>
      <c r="M898" s="1">
        <v>40</v>
      </c>
      <c r="N898" t="s">
        <v>1855</v>
      </c>
      <c r="O898">
        <v>1138958</v>
      </c>
      <c r="P898" s="1">
        <v>45558.32</v>
      </c>
      <c r="S898" s="6" t="str">
        <f t="shared" si="13"/>
        <v xml:space="preserve"> </v>
      </c>
      <c r="T898" s="6">
        <f>IF(IF(COUNTIF(H$2:$H898,H898)=1,1,"")=1,SUMIF($H$2:$H$7997,H898,$S$2:$S$7997),"")</f>
        <v>0</v>
      </c>
      <c r="W898">
        <v>1138958</v>
      </c>
      <c r="X898">
        <v>1138958</v>
      </c>
      <c r="Y898">
        <v>0</v>
      </c>
      <c r="Z898">
        <v>0</v>
      </c>
      <c r="AA898" s="2">
        <v>1</v>
      </c>
      <c r="AB898" s="2">
        <v>0</v>
      </c>
      <c r="AC898" s="2">
        <v>0</v>
      </c>
      <c r="AD898">
        <v>0</v>
      </c>
      <c r="AE898" t="s">
        <v>1862</v>
      </c>
      <c r="AF898">
        <v>20566.560000000001</v>
      </c>
      <c r="AG898">
        <v>1650000</v>
      </c>
      <c r="AH898">
        <v>66000</v>
      </c>
      <c r="AI898" s="1" t="s">
        <v>345</v>
      </c>
      <c r="AJ898">
        <v>94264989</v>
      </c>
      <c r="AK898" s="1" t="s">
        <v>1868</v>
      </c>
      <c r="AL898" t="s">
        <v>1968</v>
      </c>
      <c r="AN898" t="s">
        <v>2054</v>
      </c>
      <c r="AO898" t="s">
        <v>2067</v>
      </c>
      <c r="AP898" t="s">
        <v>2093</v>
      </c>
      <c r="AQ898">
        <v>129321</v>
      </c>
      <c r="AR898" s="3">
        <v>46203</v>
      </c>
      <c r="AS898" s="3">
        <v>46174</v>
      </c>
      <c r="AT898" s="3">
        <v>46222</v>
      </c>
      <c r="AU898" t="s">
        <v>2124</v>
      </c>
      <c r="AW898" s="3">
        <v>46208.53701449134</v>
      </c>
    </row>
    <row r="899" spans="1:49" ht="16" hidden="1" x14ac:dyDescent="0.2">
      <c r="A899" t="s">
        <v>69</v>
      </c>
      <c r="B899">
        <v>11418</v>
      </c>
      <c r="C899">
        <v>1162</v>
      </c>
      <c r="D899" t="s">
        <v>152</v>
      </c>
      <c r="E899" t="s">
        <v>345</v>
      </c>
      <c r="F899">
        <v>269587</v>
      </c>
      <c r="G899" t="s">
        <v>644</v>
      </c>
      <c r="H899">
        <v>588643</v>
      </c>
      <c r="I899" t="s">
        <v>1254</v>
      </c>
      <c r="J899">
        <v>94264992</v>
      </c>
      <c r="K899" t="s">
        <v>1840</v>
      </c>
      <c r="L899" t="s">
        <v>1850</v>
      </c>
      <c r="M899" s="1">
        <v>40</v>
      </c>
      <c r="N899" t="s">
        <v>1855</v>
      </c>
      <c r="O899">
        <v>578851</v>
      </c>
      <c r="P899" s="1">
        <v>23154.04</v>
      </c>
      <c r="S899" s="6" t="str">
        <f t="shared" ref="S899:S962" si="14">IF(ISBLANK(R899)," ",ROUND(R899*(IF(ISBLANK(Q899),(M899/1000),(Q899/1000))),2))</f>
        <v xml:space="preserve"> </v>
      </c>
      <c r="T899" s="6" t="str">
        <f>IF(IF(COUNTIF(H$2:$H899,H899)=1,1,"")=1,SUMIF($H$2:$H$7997,H899,$S$2:$S$7997),"")</f>
        <v/>
      </c>
      <c r="W899">
        <v>578851</v>
      </c>
      <c r="X899">
        <v>578851</v>
      </c>
      <c r="Y899">
        <v>0</v>
      </c>
      <c r="Z899">
        <v>0</v>
      </c>
      <c r="AA899" s="2">
        <v>1</v>
      </c>
      <c r="AB899" s="2">
        <v>0</v>
      </c>
      <c r="AC899" s="2">
        <v>0</v>
      </c>
      <c r="AD899">
        <v>0</v>
      </c>
      <c r="AE899" t="s">
        <v>1862</v>
      </c>
      <c r="AF899">
        <v>13711.04</v>
      </c>
      <c r="AG899">
        <v>1100000</v>
      </c>
      <c r="AH899">
        <v>44000</v>
      </c>
      <c r="AI899" s="1" t="s">
        <v>345</v>
      </c>
      <c r="AJ899">
        <v>94264989</v>
      </c>
      <c r="AK899" s="1" t="s">
        <v>1868</v>
      </c>
      <c r="AL899" t="s">
        <v>1968</v>
      </c>
      <c r="AN899" t="s">
        <v>2054</v>
      </c>
      <c r="AO899" t="s">
        <v>2067</v>
      </c>
      <c r="AP899" t="s">
        <v>2083</v>
      </c>
      <c r="AQ899">
        <v>129321</v>
      </c>
      <c r="AR899" s="3">
        <v>46203</v>
      </c>
      <c r="AS899" s="3">
        <v>46174</v>
      </c>
      <c r="AT899" s="3">
        <v>46222</v>
      </c>
      <c r="AU899" t="s">
        <v>2123</v>
      </c>
      <c r="AW899" s="3">
        <v>46208.53701449134</v>
      </c>
    </row>
    <row r="900" spans="1:49" ht="16" hidden="1" x14ac:dyDescent="0.2">
      <c r="A900" t="s">
        <v>69</v>
      </c>
      <c r="B900">
        <v>11418</v>
      </c>
      <c r="C900">
        <v>1162</v>
      </c>
      <c r="D900" t="s">
        <v>152</v>
      </c>
      <c r="E900" t="s">
        <v>345</v>
      </c>
      <c r="F900">
        <v>269587</v>
      </c>
      <c r="G900" t="s">
        <v>645</v>
      </c>
      <c r="H900">
        <v>588992</v>
      </c>
      <c r="I900" t="s">
        <v>1255</v>
      </c>
      <c r="J900">
        <v>94264996</v>
      </c>
      <c r="K900" t="s">
        <v>1839</v>
      </c>
      <c r="L900" t="s">
        <v>1850</v>
      </c>
      <c r="M900" s="1">
        <v>50</v>
      </c>
      <c r="N900" t="s">
        <v>23</v>
      </c>
      <c r="O900">
        <v>698347</v>
      </c>
      <c r="P900" s="1">
        <v>34917.35</v>
      </c>
      <c r="S900" s="6" t="str">
        <f t="shared" si="14"/>
        <v xml:space="preserve"> </v>
      </c>
      <c r="T900" s="6">
        <f>IF(IF(COUNTIF(H$2:$H900,H900)=1,1,"")=1,SUMIF($H$2:$H$7997,H900,$S$2:$S$7997),"")</f>
        <v>0</v>
      </c>
      <c r="W900">
        <v>698347</v>
      </c>
      <c r="X900">
        <v>698347</v>
      </c>
      <c r="Y900">
        <v>0</v>
      </c>
      <c r="Z900">
        <v>0</v>
      </c>
      <c r="AA900" s="2">
        <v>1</v>
      </c>
      <c r="AB900" s="2">
        <v>0</v>
      </c>
      <c r="AC900" s="2">
        <v>0</v>
      </c>
      <c r="AD900">
        <v>0</v>
      </c>
      <c r="AE900" t="s">
        <v>1862</v>
      </c>
      <c r="AF900">
        <v>11597.66</v>
      </c>
      <c r="AG900">
        <v>1020000</v>
      </c>
      <c r="AH900">
        <v>51000</v>
      </c>
      <c r="AI900" s="1" t="s">
        <v>345</v>
      </c>
      <c r="AJ900">
        <v>94264989</v>
      </c>
      <c r="AK900" s="1" t="s">
        <v>1867</v>
      </c>
      <c r="AL900" t="s">
        <v>1968</v>
      </c>
      <c r="AN900" t="s">
        <v>2054</v>
      </c>
      <c r="AO900" t="s">
        <v>2067</v>
      </c>
      <c r="AP900" t="s">
        <v>2093</v>
      </c>
      <c r="AQ900">
        <v>129321</v>
      </c>
      <c r="AR900" s="3">
        <v>46203</v>
      </c>
      <c r="AS900" s="3">
        <v>46174</v>
      </c>
      <c r="AT900" s="3">
        <v>46222</v>
      </c>
      <c r="AU900" t="s">
        <v>2124</v>
      </c>
      <c r="AW900" s="3">
        <v>46208.53701449134</v>
      </c>
    </row>
    <row r="901" spans="1:49" ht="16" hidden="1" x14ac:dyDescent="0.2">
      <c r="A901" t="s">
        <v>69</v>
      </c>
      <c r="B901">
        <v>11418</v>
      </c>
      <c r="C901">
        <v>1162</v>
      </c>
      <c r="D901" t="s">
        <v>152</v>
      </c>
      <c r="E901" t="s">
        <v>345</v>
      </c>
      <c r="F901">
        <v>269587</v>
      </c>
      <c r="G901" t="s">
        <v>645</v>
      </c>
      <c r="H901">
        <v>588992</v>
      </c>
      <c r="I901" t="s">
        <v>1257</v>
      </c>
      <c r="J901">
        <v>94265002</v>
      </c>
      <c r="K901" t="s">
        <v>1840</v>
      </c>
      <c r="L901" t="s">
        <v>1850</v>
      </c>
      <c r="M901" s="1">
        <v>50</v>
      </c>
      <c r="N901" t="s">
        <v>23</v>
      </c>
      <c r="O901">
        <v>72002</v>
      </c>
      <c r="P901" s="1">
        <v>3600.1</v>
      </c>
      <c r="S901" s="6" t="str">
        <f t="shared" si="14"/>
        <v xml:space="preserve"> </v>
      </c>
      <c r="T901" s="6" t="str">
        <f>IF(IF(COUNTIF(H$2:$H901,H901)=1,1,"")=1,SUMIF($H$2:$H$7997,H901,$S$2:$S$7997),"")</f>
        <v/>
      </c>
      <c r="W901">
        <v>72002</v>
      </c>
      <c r="X901">
        <v>72002</v>
      </c>
      <c r="Y901">
        <v>0</v>
      </c>
      <c r="Z901">
        <v>0</v>
      </c>
      <c r="AA901" s="2">
        <v>1</v>
      </c>
      <c r="AB901" s="2">
        <v>0</v>
      </c>
      <c r="AC901" s="2">
        <v>0</v>
      </c>
      <c r="AD901">
        <v>0</v>
      </c>
      <c r="AE901" t="s">
        <v>1862</v>
      </c>
      <c r="AF901">
        <v>7731.77</v>
      </c>
      <c r="AG901">
        <v>680000</v>
      </c>
      <c r="AH901">
        <v>34000</v>
      </c>
      <c r="AI901" s="1" t="s">
        <v>345</v>
      </c>
      <c r="AJ901">
        <v>94264989</v>
      </c>
      <c r="AK901" s="1" t="s">
        <v>1867</v>
      </c>
      <c r="AL901" t="s">
        <v>1968</v>
      </c>
      <c r="AN901" t="s">
        <v>2054</v>
      </c>
      <c r="AO901" t="s">
        <v>2067</v>
      </c>
      <c r="AP901" t="s">
        <v>2083</v>
      </c>
      <c r="AQ901">
        <v>129321</v>
      </c>
      <c r="AR901" s="3">
        <v>46203</v>
      </c>
      <c r="AS901" s="3">
        <v>46174</v>
      </c>
      <c r="AT901" s="3">
        <v>46222</v>
      </c>
      <c r="AU901" t="s">
        <v>2123</v>
      </c>
      <c r="AW901" s="3">
        <v>46208.53701449134</v>
      </c>
    </row>
    <row r="902" spans="1:49" ht="16" hidden="1" x14ac:dyDescent="0.2">
      <c r="A902" t="s">
        <v>69</v>
      </c>
      <c r="B902">
        <v>11418</v>
      </c>
      <c r="C902">
        <v>1162</v>
      </c>
      <c r="D902" t="s">
        <v>152</v>
      </c>
      <c r="E902" t="s">
        <v>339</v>
      </c>
      <c r="F902">
        <v>269586</v>
      </c>
      <c r="G902" t="s">
        <v>818</v>
      </c>
      <c r="H902">
        <v>588629</v>
      </c>
      <c r="I902" t="s">
        <v>1597</v>
      </c>
      <c r="J902">
        <v>7321540064</v>
      </c>
      <c r="K902" t="s">
        <v>1835</v>
      </c>
      <c r="L902" t="s">
        <v>1850</v>
      </c>
      <c r="M902" s="1">
        <v>6</v>
      </c>
      <c r="N902" t="s">
        <v>23</v>
      </c>
      <c r="O902">
        <v>0</v>
      </c>
      <c r="P902" s="1">
        <v>0</v>
      </c>
      <c r="S902" s="6" t="str">
        <f t="shared" si="14"/>
        <v xml:space="preserve"> </v>
      </c>
      <c r="T902" s="6">
        <f>IF(IF(COUNTIF(H$2:$H902,H902)=1,1,"")=1,SUMIF($H$2:$H$7997,H902,$S$2:$S$7997),"")</f>
        <v>0</v>
      </c>
      <c r="W902">
        <v>0</v>
      </c>
      <c r="X902">
        <v>0</v>
      </c>
      <c r="Y902">
        <v>0</v>
      </c>
      <c r="Z902">
        <v>0</v>
      </c>
      <c r="AA902" s="2">
        <v>1</v>
      </c>
      <c r="AB902" s="2">
        <v>0</v>
      </c>
      <c r="AC902" s="2">
        <v>0</v>
      </c>
      <c r="AD902">
        <v>0</v>
      </c>
      <c r="AE902" t="s">
        <v>1862</v>
      </c>
      <c r="AF902">
        <v>1207.73</v>
      </c>
      <c r="AG902">
        <v>833333</v>
      </c>
      <c r="AH902">
        <v>5000</v>
      </c>
      <c r="AI902" s="1" t="s">
        <v>339</v>
      </c>
      <c r="AJ902">
        <v>269586</v>
      </c>
      <c r="AK902" s="1" t="s">
        <v>1867</v>
      </c>
      <c r="AL902" t="s">
        <v>1964</v>
      </c>
      <c r="AN902" t="s">
        <v>2054</v>
      </c>
      <c r="AO902" t="s">
        <v>2067</v>
      </c>
      <c r="AP902" t="s">
        <v>2103</v>
      </c>
      <c r="AQ902">
        <v>129163</v>
      </c>
      <c r="AR902" s="3">
        <v>46203</v>
      </c>
      <c r="AS902" s="3">
        <v>46174</v>
      </c>
      <c r="AT902" s="3">
        <v>46222</v>
      </c>
      <c r="AU902" t="s">
        <v>2126</v>
      </c>
      <c r="AW902" s="3">
        <v>46208.53701449134</v>
      </c>
    </row>
    <row r="903" spans="1:49" ht="16" hidden="1" x14ac:dyDescent="0.2">
      <c r="A903" t="s">
        <v>69</v>
      </c>
      <c r="B903">
        <v>11418</v>
      </c>
      <c r="C903">
        <v>1162</v>
      </c>
      <c r="D903" t="s">
        <v>152</v>
      </c>
      <c r="E903" t="s">
        <v>339</v>
      </c>
      <c r="F903">
        <v>269586</v>
      </c>
      <c r="G903" t="s">
        <v>630</v>
      </c>
      <c r="H903">
        <v>588981</v>
      </c>
      <c r="I903" t="s">
        <v>1229</v>
      </c>
      <c r="J903">
        <v>94239313</v>
      </c>
      <c r="K903" t="s">
        <v>1839</v>
      </c>
      <c r="L903" t="s">
        <v>1850</v>
      </c>
      <c r="M903" s="1">
        <v>60</v>
      </c>
      <c r="N903" t="s">
        <v>23</v>
      </c>
      <c r="O903">
        <v>2150413</v>
      </c>
      <c r="P903" s="1">
        <v>129024.78</v>
      </c>
      <c r="S903" s="6" t="str">
        <f t="shared" si="14"/>
        <v xml:space="preserve"> </v>
      </c>
      <c r="T903" s="6">
        <f>IF(IF(COUNTIF(H$2:$H903,H903)=1,1,"")=1,SUMIF($H$2:$H$7997,H903,$S$2:$S$7997),"")</f>
        <v>0</v>
      </c>
      <c r="W903">
        <v>2150413</v>
      </c>
      <c r="X903">
        <v>2150413</v>
      </c>
      <c r="Y903">
        <v>0</v>
      </c>
      <c r="Z903">
        <v>0</v>
      </c>
      <c r="AA903" s="2">
        <v>1</v>
      </c>
      <c r="AB903" s="2">
        <v>0</v>
      </c>
      <c r="AC903" s="2">
        <v>0</v>
      </c>
      <c r="AD903">
        <v>0</v>
      </c>
      <c r="AE903" t="s">
        <v>1862</v>
      </c>
      <c r="AF903">
        <v>65485.11</v>
      </c>
      <c r="AG903">
        <v>2975000</v>
      </c>
      <c r="AH903">
        <v>178500</v>
      </c>
      <c r="AI903" s="1" t="s">
        <v>339</v>
      </c>
      <c r="AJ903">
        <v>94239306</v>
      </c>
      <c r="AK903" s="1" t="s">
        <v>1867</v>
      </c>
      <c r="AL903" t="s">
        <v>1964</v>
      </c>
      <c r="AN903" t="s">
        <v>2054</v>
      </c>
      <c r="AO903" t="s">
        <v>2067</v>
      </c>
      <c r="AP903" t="s">
        <v>2094</v>
      </c>
      <c r="AQ903">
        <v>129163</v>
      </c>
      <c r="AR903" s="3">
        <v>46203</v>
      </c>
      <c r="AS903" s="3">
        <v>46174</v>
      </c>
      <c r="AT903" s="3">
        <v>46222</v>
      </c>
      <c r="AU903" t="s">
        <v>2124</v>
      </c>
      <c r="AW903" s="3">
        <v>46208.53701449134</v>
      </c>
    </row>
    <row r="904" spans="1:49" ht="16" hidden="1" x14ac:dyDescent="0.2">
      <c r="A904" t="s">
        <v>69</v>
      </c>
      <c r="B904">
        <v>11418</v>
      </c>
      <c r="C904">
        <v>1162</v>
      </c>
      <c r="D904" t="s">
        <v>152</v>
      </c>
      <c r="E904" t="s">
        <v>339</v>
      </c>
      <c r="F904">
        <v>269586</v>
      </c>
      <c r="G904" t="s">
        <v>630</v>
      </c>
      <c r="H904">
        <v>588981</v>
      </c>
      <c r="I904" t="s">
        <v>1230</v>
      </c>
      <c r="J904">
        <v>94239316</v>
      </c>
      <c r="K904" t="s">
        <v>1835</v>
      </c>
      <c r="L904" t="s">
        <v>1850</v>
      </c>
      <c r="M904" s="1">
        <v>60</v>
      </c>
      <c r="N904" t="s">
        <v>23</v>
      </c>
      <c r="O904">
        <v>261790</v>
      </c>
      <c r="P904" s="1">
        <v>15707.4</v>
      </c>
      <c r="S904" s="6" t="str">
        <f t="shared" si="14"/>
        <v xml:space="preserve"> </v>
      </c>
      <c r="T904" s="6" t="str">
        <f>IF(IF(COUNTIF(H$2:$H904,H904)=1,1,"")=1,SUMIF($H$2:$H$7997,H904,$S$2:$S$7997),"")</f>
        <v/>
      </c>
      <c r="W904">
        <v>261790</v>
      </c>
      <c r="X904">
        <v>261790</v>
      </c>
      <c r="Y904">
        <v>0</v>
      </c>
      <c r="Z904">
        <v>0</v>
      </c>
      <c r="AA904" s="2">
        <v>1</v>
      </c>
      <c r="AB904" s="2">
        <v>0</v>
      </c>
      <c r="AC904" s="2">
        <v>0</v>
      </c>
      <c r="AD904">
        <v>0</v>
      </c>
      <c r="AE904" t="s">
        <v>1862</v>
      </c>
      <c r="AF904">
        <v>6053.25</v>
      </c>
      <c r="AG904">
        <v>275000</v>
      </c>
      <c r="AH904">
        <v>16500</v>
      </c>
      <c r="AI904" s="1" t="s">
        <v>339</v>
      </c>
      <c r="AJ904">
        <v>94239306</v>
      </c>
      <c r="AK904" s="1" t="s">
        <v>1867</v>
      </c>
      <c r="AL904" t="s">
        <v>1964</v>
      </c>
      <c r="AN904" t="s">
        <v>2054</v>
      </c>
      <c r="AO904" t="s">
        <v>2067</v>
      </c>
      <c r="AP904" t="s">
        <v>2092</v>
      </c>
      <c r="AQ904">
        <v>129163</v>
      </c>
      <c r="AR904" s="3">
        <v>46203</v>
      </c>
      <c r="AS904" s="3">
        <v>46174</v>
      </c>
      <c r="AT904" s="3">
        <v>46222</v>
      </c>
      <c r="AU904" t="s">
        <v>2123</v>
      </c>
      <c r="AW904" s="3">
        <v>46208.53701449134</v>
      </c>
    </row>
    <row r="905" spans="1:49" ht="16" hidden="1" x14ac:dyDescent="0.2">
      <c r="A905" t="s">
        <v>69</v>
      </c>
      <c r="B905">
        <v>11418</v>
      </c>
      <c r="C905">
        <v>1162</v>
      </c>
      <c r="D905" t="s">
        <v>152</v>
      </c>
      <c r="E905" t="s">
        <v>360</v>
      </c>
      <c r="F905">
        <v>268015</v>
      </c>
      <c r="G905" t="s">
        <v>663</v>
      </c>
      <c r="H905">
        <v>585911</v>
      </c>
      <c r="I905" t="s">
        <v>1290</v>
      </c>
      <c r="J905">
        <v>94297766</v>
      </c>
      <c r="K905" t="s">
        <v>1839</v>
      </c>
      <c r="L905" t="s">
        <v>1850</v>
      </c>
      <c r="M905" s="1">
        <v>0</v>
      </c>
      <c r="N905" t="s">
        <v>1855</v>
      </c>
      <c r="O905">
        <v>0</v>
      </c>
      <c r="P905" s="1">
        <v>0</v>
      </c>
      <c r="S905" s="6" t="str">
        <f t="shared" si="14"/>
        <v xml:space="preserve"> </v>
      </c>
      <c r="T905" s="6">
        <f>IF(IF(COUNTIF(H$2:$H905,H905)=1,1,"")=1,SUMIF($H$2:$H$7997,H905,$S$2:$S$7997),"")</f>
        <v>0</v>
      </c>
      <c r="W905">
        <v>0</v>
      </c>
      <c r="X905">
        <v>0</v>
      </c>
      <c r="Y905">
        <v>0</v>
      </c>
      <c r="Z905">
        <v>0</v>
      </c>
      <c r="AA905" s="2">
        <v>1</v>
      </c>
      <c r="AB905" s="2">
        <v>0</v>
      </c>
      <c r="AC905" s="2">
        <v>0</v>
      </c>
      <c r="AD905">
        <v>0</v>
      </c>
      <c r="AE905" t="s">
        <v>1862</v>
      </c>
      <c r="AF905">
        <v>0</v>
      </c>
      <c r="AG905">
        <v>0</v>
      </c>
      <c r="AH905">
        <v>0</v>
      </c>
      <c r="AI905" s="1" t="s">
        <v>360</v>
      </c>
      <c r="AJ905">
        <v>268015</v>
      </c>
      <c r="AK905" s="1" t="s">
        <v>1868</v>
      </c>
      <c r="AL905" t="s">
        <v>1980</v>
      </c>
      <c r="AN905" t="s">
        <v>2054</v>
      </c>
      <c r="AO905" t="s">
        <v>2067</v>
      </c>
      <c r="AP905" t="s">
        <v>2093</v>
      </c>
      <c r="AR905" s="3">
        <v>46203</v>
      </c>
      <c r="AS905" s="3">
        <v>46161</v>
      </c>
      <c r="AT905" s="3">
        <v>46203</v>
      </c>
      <c r="AU905" t="s">
        <v>2124</v>
      </c>
      <c r="AW905" s="3">
        <v>46208.53701449134</v>
      </c>
    </row>
    <row r="906" spans="1:49" ht="16" hidden="1" x14ac:dyDescent="0.2">
      <c r="A906" t="s">
        <v>69</v>
      </c>
      <c r="B906">
        <v>11418</v>
      </c>
      <c r="C906">
        <v>1162</v>
      </c>
      <c r="D906" t="s">
        <v>152</v>
      </c>
      <c r="E906" t="s">
        <v>360</v>
      </c>
      <c r="F906">
        <v>268015</v>
      </c>
      <c r="G906" t="s">
        <v>663</v>
      </c>
      <c r="H906">
        <v>585911</v>
      </c>
      <c r="I906" t="s">
        <v>1291</v>
      </c>
      <c r="J906">
        <v>94297769</v>
      </c>
      <c r="K906" t="s">
        <v>1840</v>
      </c>
      <c r="L906" t="s">
        <v>1850</v>
      </c>
      <c r="M906" s="1">
        <v>0</v>
      </c>
      <c r="N906" t="s">
        <v>1855</v>
      </c>
      <c r="O906">
        <v>0</v>
      </c>
      <c r="P906" s="1">
        <v>0</v>
      </c>
      <c r="S906" s="6" t="str">
        <f t="shared" si="14"/>
        <v xml:space="preserve"> </v>
      </c>
      <c r="T906" s="6" t="str">
        <f>IF(IF(COUNTIF(H$2:$H906,H906)=1,1,"")=1,SUMIF($H$2:$H$7997,H906,$S$2:$S$7997),"")</f>
        <v/>
      </c>
      <c r="W906">
        <v>0</v>
      </c>
      <c r="X906">
        <v>0</v>
      </c>
      <c r="Y906">
        <v>0</v>
      </c>
      <c r="Z906">
        <v>0</v>
      </c>
      <c r="AA906" s="2">
        <v>1</v>
      </c>
      <c r="AB906" s="2">
        <v>0</v>
      </c>
      <c r="AC906" s="2">
        <v>0</v>
      </c>
      <c r="AD906">
        <v>0</v>
      </c>
      <c r="AE906" t="s">
        <v>1862</v>
      </c>
      <c r="AF906">
        <v>0</v>
      </c>
      <c r="AG906">
        <v>0</v>
      </c>
      <c r="AH906">
        <v>0</v>
      </c>
      <c r="AI906" s="1" t="s">
        <v>360</v>
      </c>
      <c r="AJ906">
        <v>268015</v>
      </c>
      <c r="AK906" s="1" t="s">
        <v>1868</v>
      </c>
      <c r="AL906" t="s">
        <v>1980</v>
      </c>
      <c r="AN906" t="s">
        <v>2054</v>
      </c>
      <c r="AO906" t="s">
        <v>2067</v>
      </c>
      <c r="AP906" t="s">
        <v>2083</v>
      </c>
      <c r="AR906" s="3">
        <v>46203</v>
      </c>
      <c r="AS906" s="3">
        <v>46161</v>
      </c>
      <c r="AT906" s="3">
        <v>46203</v>
      </c>
      <c r="AU906" t="s">
        <v>2123</v>
      </c>
      <c r="AW906" s="3">
        <v>46208.53701449134</v>
      </c>
    </row>
    <row r="907" spans="1:49" ht="16" hidden="1" x14ac:dyDescent="0.2">
      <c r="A907" t="s">
        <v>69</v>
      </c>
      <c r="B907">
        <v>11418</v>
      </c>
      <c r="C907">
        <v>1162</v>
      </c>
      <c r="D907" t="s">
        <v>152</v>
      </c>
      <c r="E907" t="s">
        <v>376</v>
      </c>
      <c r="F907">
        <v>270573</v>
      </c>
      <c r="G907" t="s">
        <v>700</v>
      </c>
      <c r="H907">
        <v>591995</v>
      </c>
      <c r="I907" t="s">
        <v>1355</v>
      </c>
      <c r="J907">
        <v>94426007</v>
      </c>
      <c r="K907" t="s">
        <v>1839</v>
      </c>
      <c r="L907" t="s">
        <v>1850</v>
      </c>
      <c r="M907" s="1">
        <v>40</v>
      </c>
      <c r="N907" t="s">
        <v>23</v>
      </c>
      <c r="O907">
        <v>1037446</v>
      </c>
      <c r="P907" s="1">
        <v>39236.92</v>
      </c>
      <c r="S907" s="6" t="str">
        <f t="shared" si="14"/>
        <v xml:space="preserve"> </v>
      </c>
      <c r="T907" s="6">
        <f>IF(IF(COUNTIF(H$2:$H907,H907)=1,1,"")=1,SUMIF($H$2:$H$7997,H907,$S$2:$S$7997),"")</f>
        <v>0</v>
      </c>
      <c r="W907">
        <v>1037446</v>
      </c>
      <c r="X907">
        <v>1037446</v>
      </c>
      <c r="Y907">
        <v>0</v>
      </c>
      <c r="Z907">
        <v>0</v>
      </c>
      <c r="AA907" s="2">
        <v>1</v>
      </c>
      <c r="AB907" s="2">
        <v>0</v>
      </c>
      <c r="AC907" s="2">
        <v>0</v>
      </c>
      <c r="AD907">
        <v>0</v>
      </c>
      <c r="AE907" t="s">
        <v>1862</v>
      </c>
      <c r="AF907">
        <v>19618.46</v>
      </c>
      <c r="AG907">
        <v>980923</v>
      </c>
      <c r="AH907">
        <v>39236.92</v>
      </c>
      <c r="AI907" s="1" t="s">
        <v>376</v>
      </c>
      <c r="AJ907">
        <v>94425978</v>
      </c>
      <c r="AK907" s="1" t="s">
        <v>1867</v>
      </c>
      <c r="AL907" t="s">
        <v>1980</v>
      </c>
      <c r="AN907" t="s">
        <v>2054</v>
      </c>
      <c r="AO907" t="s">
        <v>2067</v>
      </c>
      <c r="AP907" t="s">
        <v>2094</v>
      </c>
      <c r="AQ907">
        <v>130099</v>
      </c>
      <c r="AR907" s="3">
        <v>46203</v>
      </c>
      <c r="AS907" s="3">
        <v>46176</v>
      </c>
      <c r="AT907" s="3">
        <v>46203</v>
      </c>
      <c r="AU907" t="s">
        <v>2124</v>
      </c>
      <c r="AW907" s="3">
        <v>46208.53701449134</v>
      </c>
    </row>
    <row r="908" spans="1:49" ht="16" hidden="1" x14ac:dyDescent="0.2">
      <c r="A908" t="s">
        <v>69</v>
      </c>
      <c r="B908">
        <v>11418</v>
      </c>
      <c r="C908">
        <v>1162</v>
      </c>
      <c r="D908" t="s">
        <v>152</v>
      </c>
      <c r="E908" t="s">
        <v>376</v>
      </c>
      <c r="F908">
        <v>270573</v>
      </c>
      <c r="G908" t="s">
        <v>700</v>
      </c>
      <c r="H908">
        <v>591995</v>
      </c>
      <c r="I908" t="s">
        <v>1354</v>
      </c>
      <c r="J908">
        <v>94426003</v>
      </c>
      <c r="K908" t="s">
        <v>1835</v>
      </c>
      <c r="L908" t="s">
        <v>1850</v>
      </c>
      <c r="M908" s="1">
        <v>40</v>
      </c>
      <c r="N908" t="s">
        <v>23</v>
      </c>
      <c r="O908">
        <v>12334</v>
      </c>
      <c r="P908" s="1">
        <v>400</v>
      </c>
      <c r="S908" s="6" t="str">
        <f t="shared" si="14"/>
        <v xml:space="preserve"> </v>
      </c>
      <c r="T908" s="6" t="str">
        <f>IF(IF(COUNTIF(H$2:$H908,H908)=1,1,"")=1,SUMIF($H$2:$H$7997,H908,$S$2:$S$7997),"")</f>
        <v/>
      </c>
      <c r="W908">
        <v>12334</v>
      </c>
      <c r="X908">
        <v>12334</v>
      </c>
      <c r="Y908">
        <v>0</v>
      </c>
      <c r="Z908">
        <v>0</v>
      </c>
      <c r="AA908" s="2">
        <v>1</v>
      </c>
      <c r="AB908" s="2">
        <v>0</v>
      </c>
      <c r="AC908" s="2">
        <v>0</v>
      </c>
      <c r="AD908">
        <v>0</v>
      </c>
      <c r="AE908" t="s">
        <v>1862</v>
      </c>
      <c r="AF908">
        <v>200</v>
      </c>
      <c r="AG908">
        <v>10000</v>
      </c>
      <c r="AH908">
        <v>400</v>
      </c>
      <c r="AI908" s="1" t="s">
        <v>376</v>
      </c>
      <c r="AJ908">
        <v>94425978</v>
      </c>
      <c r="AK908" s="1" t="s">
        <v>1867</v>
      </c>
      <c r="AL908" t="s">
        <v>1980</v>
      </c>
      <c r="AN908" t="s">
        <v>2054</v>
      </c>
      <c r="AO908" t="s">
        <v>2067</v>
      </c>
      <c r="AP908" t="s">
        <v>2092</v>
      </c>
      <c r="AQ908">
        <v>130099</v>
      </c>
      <c r="AR908" s="3">
        <v>46203</v>
      </c>
      <c r="AS908" s="3">
        <v>46176</v>
      </c>
      <c r="AT908" s="3">
        <v>46203</v>
      </c>
      <c r="AU908" t="s">
        <v>2123</v>
      </c>
      <c r="AW908" s="3">
        <v>46208.53701449134</v>
      </c>
    </row>
    <row r="909" spans="1:49" ht="16" hidden="1" x14ac:dyDescent="0.2">
      <c r="A909" t="s">
        <v>69</v>
      </c>
      <c r="B909">
        <v>11418</v>
      </c>
      <c r="C909">
        <v>1162</v>
      </c>
      <c r="D909" t="s">
        <v>152</v>
      </c>
      <c r="E909" t="s">
        <v>376</v>
      </c>
      <c r="F909">
        <v>270573</v>
      </c>
      <c r="G909" t="s">
        <v>697</v>
      </c>
      <c r="H909">
        <v>592001</v>
      </c>
      <c r="I909" t="s">
        <v>1352</v>
      </c>
      <c r="J909">
        <v>94425992</v>
      </c>
      <c r="K909" t="s">
        <v>1839</v>
      </c>
      <c r="L909" t="s">
        <v>1850</v>
      </c>
      <c r="M909" s="1">
        <v>40</v>
      </c>
      <c r="N909" t="s">
        <v>23</v>
      </c>
      <c r="O909">
        <v>393993</v>
      </c>
      <c r="P909" s="1">
        <v>15758.12</v>
      </c>
      <c r="S909" s="6" t="str">
        <f t="shared" si="14"/>
        <v xml:space="preserve"> </v>
      </c>
      <c r="T909" s="6">
        <f>IF(IF(COUNTIF(H$2:$H909,H909)=1,1,"")=1,SUMIF($H$2:$H$7997,H909,$S$2:$S$7997),"")</f>
        <v>0</v>
      </c>
      <c r="W909">
        <v>393993</v>
      </c>
      <c r="X909">
        <v>393993</v>
      </c>
      <c r="Y909">
        <v>0</v>
      </c>
      <c r="Z909">
        <v>0</v>
      </c>
      <c r="AA909" s="2">
        <v>1</v>
      </c>
      <c r="AB909" s="2">
        <v>0</v>
      </c>
      <c r="AC909" s="2">
        <v>0</v>
      </c>
      <c r="AD909">
        <v>0</v>
      </c>
      <c r="AE909" t="s">
        <v>1862</v>
      </c>
      <c r="AF909">
        <v>7879.06</v>
      </c>
      <c r="AG909">
        <v>393953</v>
      </c>
      <c r="AH909">
        <v>15758.12</v>
      </c>
      <c r="AI909" s="1" t="s">
        <v>376</v>
      </c>
      <c r="AJ909">
        <v>94425978</v>
      </c>
      <c r="AK909" s="1" t="s">
        <v>1867</v>
      </c>
      <c r="AL909" t="s">
        <v>1980</v>
      </c>
      <c r="AN909" t="s">
        <v>2054</v>
      </c>
      <c r="AO909" t="s">
        <v>2067</v>
      </c>
      <c r="AP909" t="s">
        <v>2094</v>
      </c>
      <c r="AQ909">
        <v>130099</v>
      </c>
      <c r="AR909" s="3">
        <v>46203</v>
      </c>
      <c r="AS909" s="3">
        <v>46176</v>
      </c>
      <c r="AT909" s="3">
        <v>46199</v>
      </c>
      <c r="AU909" t="s">
        <v>2124</v>
      </c>
      <c r="AW909" s="3">
        <v>46208.53701449134</v>
      </c>
    </row>
    <row r="910" spans="1:49" ht="16" hidden="1" x14ac:dyDescent="0.2">
      <c r="A910" t="s">
        <v>69</v>
      </c>
      <c r="B910">
        <v>11418</v>
      </c>
      <c r="C910">
        <v>1162</v>
      </c>
      <c r="D910" t="s">
        <v>152</v>
      </c>
      <c r="E910" t="s">
        <v>376</v>
      </c>
      <c r="F910">
        <v>270573</v>
      </c>
      <c r="G910" t="s">
        <v>697</v>
      </c>
      <c r="H910">
        <v>592001</v>
      </c>
      <c r="I910" t="s">
        <v>1350</v>
      </c>
      <c r="J910">
        <v>94425981</v>
      </c>
      <c r="K910" t="s">
        <v>1835</v>
      </c>
      <c r="L910" t="s">
        <v>1850</v>
      </c>
      <c r="M910" s="1">
        <v>40</v>
      </c>
      <c r="N910" t="s">
        <v>23</v>
      </c>
      <c r="O910">
        <v>178882</v>
      </c>
      <c r="P910" s="1">
        <v>7104.96</v>
      </c>
      <c r="S910" s="6" t="str">
        <f t="shared" si="14"/>
        <v xml:space="preserve"> </v>
      </c>
      <c r="T910" s="6" t="str">
        <f>IF(IF(COUNTIF(H$2:$H910,H910)=1,1,"")=1,SUMIF($H$2:$H$7997,H910,$S$2:$S$7997),"")</f>
        <v/>
      </c>
      <c r="W910">
        <v>178882</v>
      </c>
      <c r="X910">
        <v>178882</v>
      </c>
      <c r="Y910">
        <v>0</v>
      </c>
      <c r="Z910">
        <v>0</v>
      </c>
      <c r="AA910" s="2">
        <v>1</v>
      </c>
      <c r="AB910" s="2">
        <v>0</v>
      </c>
      <c r="AC910" s="2">
        <v>0</v>
      </c>
      <c r="AD910">
        <v>0</v>
      </c>
      <c r="AE910" t="s">
        <v>1862</v>
      </c>
      <c r="AF910">
        <v>3552.48</v>
      </c>
      <c r="AG910">
        <v>177624</v>
      </c>
      <c r="AH910">
        <v>7104.96</v>
      </c>
      <c r="AI910" s="1" t="s">
        <v>376</v>
      </c>
      <c r="AJ910">
        <v>94425978</v>
      </c>
      <c r="AK910" s="1" t="s">
        <v>1867</v>
      </c>
      <c r="AL910" t="s">
        <v>1980</v>
      </c>
      <c r="AN910" t="s">
        <v>2054</v>
      </c>
      <c r="AO910" t="s">
        <v>2067</v>
      </c>
      <c r="AP910" t="s">
        <v>2092</v>
      </c>
      <c r="AQ910">
        <v>130099</v>
      </c>
      <c r="AR910" s="3">
        <v>46203</v>
      </c>
      <c r="AS910" s="3">
        <v>46176</v>
      </c>
      <c r="AT910" s="3">
        <v>46199</v>
      </c>
      <c r="AU910" t="s">
        <v>2123</v>
      </c>
      <c r="AW910" s="3">
        <v>46208.53701449134</v>
      </c>
    </row>
    <row r="911" spans="1:49" ht="16" hidden="1" x14ac:dyDescent="0.2">
      <c r="A911" t="s">
        <v>69</v>
      </c>
      <c r="B911">
        <v>11418</v>
      </c>
      <c r="C911">
        <v>1162</v>
      </c>
      <c r="D911" t="s">
        <v>152</v>
      </c>
      <c r="E911" t="s">
        <v>376</v>
      </c>
      <c r="F911">
        <v>270573</v>
      </c>
      <c r="G911" t="s">
        <v>699</v>
      </c>
      <c r="H911">
        <v>592004</v>
      </c>
      <c r="I911" t="s">
        <v>1357</v>
      </c>
      <c r="J911">
        <v>94426018</v>
      </c>
      <c r="K911" t="s">
        <v>1839</v>
      </c>
      <c r="L911" t="s">
        <v>1850</v>
      </c>
      <c r="M911" s="1">
        <v>20</v>
      </c>
      <c r="N911" t="s">
        <v>23</v>
      </c>
      <c r="O911">
        <v>4487968</v>
      </c>
      <c r="P911" s="1">
        <v>79082.38</v>
      </c>
      <c r="S911" s="6" t="str">
        <f t="shared" si="14"/>
        <v xml:space="preserve"> </v>
      </c>
      <c r="T911" s="6">
        <f>IF(IF(COUNTIF(H$2:$H911,H911)=1,1,"")=1,SUMIF($H$2:$H$7997,H911,$S$2:$S$7997),"")</f>
        <v>0</v>
      </c>
      <c r="W911">
        <v>4487968</v>
      </c>
      <c r="X911">
        <v>4487968</v>
      </c>
      <c r="Y911">
        <v>0</v>
      </c>
      <c r="Z911">
        <v>0</v>
      </c>
      <c r="AA911" s="2">
        <v>1</v>
      </c>
      <c r="AB911" s="2">
        <v>0</v>
      </c>
      <c r="AC911" s="2">
        <v>0</v>
      </c>
      <c r="AD911">
        <v>0</v>
      </c>
      <c r="AE911" t="s">
        <v>1862</v>
      </c>
      <c r="AF911">
        <v>39541.19</v>
      </c>
      <c r="AG911">
        <v>3954119</v>
      </c>
      <c r="AH911">
        <v>79082.38</v>
      </c>
      <c r="AI911" s="1" t="s">
        <v>376</v>
      </c>
      <c r="AJ911">
        <v>94425978</v>
      </c>
      <c r="AK911" s="1" t="s">
        <v>1867</v>
      </c>
      <c r="AL911" t="s">
        <v>1980</v>
      </c>
      <c r="AN911" t="s">
        <v>2054</v>
      </c>
      <c r="AO911" t="s">
        <v>2067</v>
      </c>
      <c r="AP911" t="s">
        <v>2093</v>
      </c>
      <c r="AQ911">
        <v>130099</v>
      </c>
      <c r="AR911" s="3">
        <v>46203</v>
      </c>
      <c r="AS911" s="3">
        <v>46176</v>
      </c>
      <c r="AT911" s="3">
        <v>46203</v>
      </c>
      <c r="AU911" t="s">
        <v>2124</v>
      </c>
      <c r="AW911" s="3">
        <v>46208.53701449134</v>
      </c>
    </row>
    <row r="912" spans="1:49" ht="16" hidden="1" x14ac:dyDescent="0.2">
      <c r="A912" t="s">
        <v>69</v>
      </c>
      <c r="B912">
        <v>11418</v>
      </c>
      <c r="C912">
        <v>1162</v>
      </c>
      <c r="D912" t="s">
        <v>152</v>
      </c>
      <c r="E912" t="s">
        <v>376</v>
      </c>
      <c r="F912">
        <v>270573</v>
      </c>
      <c r="G912" t="s">
        <v>699</v>
      </c>
      <c r="H912">
        <v>592004</v>
      </c>
      <c r="I912" t="s">
        <v>1353</v>
      </c>
      <c r="J912">
        <v>94425997</v>
      </c>
      <c r="K912" t="s">
        <v>1840</v>
      </c>
      <c r="L912" t="s">
        <v>1850</v>
      </c>
      <c r="M912" s="1">
        <v>20</v>
      </c>
      <c r="N912" t="s">
        <v>23</v>
      </c>
      <c r="O912">
        <v>433794</v>
      </c>
      <c r="P912" s="1">
        <v>8000</v>
      </c>
      <c r="S912" s="6" t="str">
        <f t="shared" si="14"/>
        <v xml:space="preserve"> </v>
      </c>
      <c r="T912" s="6" t="str">
        <f>IF(IF(COUNTIF(H$2:$H912,H912)=1,1,"")=1,SUMIF($H$2:$H$7997,H912,$S$2:$S$7997),"")</f>
        <v/>
      </c>
      <c r="W912">
        <v>433794</v>
      </c>
      <c r="X912">
        <v>433794</v>
      </c>
      <c r="Y912">
        <v>0</v>
      </c>
      <c r="Z912">
        <v>0</v>
      </c>
      <c r="AA912" s="2">
        <v>1</v>
      </c>
      <c r="AB912" s="2">
        <v>0</v>
      </c>
      <c r="AC912" s="2">
        <v>0</v>
      </c>
      <c r="AD912">
        <v>0</v>
      </c>
      <c r="AE912" t="s">
        <v>1862</v>
      </c>
      <c r="AF912">
        <v>4000</v>
      </c>
      <c r="AG912">
        <v>400000</v>
      </c>
      <c r="AH912">
        <v>8000</v>
      </c>
      <c r="AI912" s="1" t="s">
        <v>376</v>
      </c>
      <c r="AJ912">
        <v>94425978</v>
      </c>
      <c r="AK912" s="1" t="s">
        <v>1867</v>
      </c>
      <c r="AL912" t="s">
        <v>1980</v>
      </c>
      <c r="AN912" t="s">
        <v>2054</v>
      </c>
      <c r="AO912" t="s">
        <v>2067</v>
      </c>
      <c r="AP912" t="s">
        <v>2083</v>
      </c>
      <c r="AQ912">
        <v>130099</v>
      </c>
      <c r="AR912" s="3">
        <v>46203</v>
      </c>
      <c r="AS912" s="3">
        <v>46176</v>
      </c>
      <c r="AT912" s="3">
        <v>46203</v>
      </c>
      <c r="AU912" t="s">
        <v>2123</v>
      </c>
      <c r="AW912" s="3">
        <v>46208.53701449134</v>
      </c>
    </row>
    <row r="913" spans="1:49" ht="16" hidden="1" x14ac:dyDescent="0.2">
      <c r="A913" t="s">
        <v>69</v>
      </c>
      <c r="B913">
        <v>11418</v>
      </c>
      <c r="C913">
        <v>1162</v>
      </c>
      <c r="D913" t="s">
        <v>152</v>
      </c>
      <c r="E913" t="s">
        <v>376</v>
      </c>
      <c r="F913">
        <v>270573</v>
      </c>
      <c r="G913" t="s">
        <v>698</v>
      </c>
      <c r="H913">
        <v>592007</v>
      </c>
      <c r="I913" t="s">
        <v>1351</v>
      </c>
      <c r="J913">
        <v>94425989</v>
      </c>
      <c r="K913" t="s">
        <v>1839</v>
      </c>
      <c r="L913" t="s">
        <v>1850</v>
      </c>
      <c r="M913" s="1">
        <v>20</v>
      </c>
      <c r="N913" t="s">
        <v>23</v>
      </c>
      <c r="O913">
        <v>2077518</v>
      </c>
      <c r="P913" s="1">
        <v>41550.36</v>
      </c>
      <c r="S913" s="6" t="str">
        <f t="shared" si="14"/>
        <v xml:space="preserve"> </v>
      </c>
      <c r="T913" s="6">
        <f>IF(IF(COUNTIF(H$2:$H913,H913)=1,1,"")=1,SUMIF($H$2:$H$7997,H913,$S$2:$S$7997),"")</f>
        <v>0</v>
      </c>
      <c r="W913">
        <v>2077518</v>
      </c>
      <c r="X913">
        <v>2077518</v>
      </c>
      <c r="Y913">
        <v>0</v>
      </c>
      <c r="Z913">
        <v>0</v>
      </c>
      <c r="AA913" s="2">
        <v>1</v>
      </c>
      <c r="AB913" s="2">
        <v>0</v>
      </c>
      <c r="AC913" s="2">
        <v>0</v>
      </c>
      <c r="AD913">
        <v>0</v>
      </c>
      <c r="AE913" t="s">
        <v>1862</v>
      </c>
      <c r="AF913">
        <v>20775.18</v>
      </c>
      <c r="AG913">
        <v>2077518</v>
      </c>
      <c r="AH913">
        <v>41550.36</v>
      </c>
      <c r="AI913" s="1" t="s">
        <v>376</v>
      </c>
      <c r="AJ913">
        <v>94425978</v>
      </c>
      <c r="AK913" s="1" t="s">
        <v>1867</v>
      </c>
      <c r="AL913" t="s">
        <v>1980</v>
      </c>
      <c r="AN913" t="s">
        <v>2054</v>
      </c>
      <c r="AO913" t="s">
        <v>2067</v>
      </c>
      <c r="AP913" t="s">
        <v>2093</v>
      </c>
      <c r="AQ913">
        <v>130099</v>
      </c>
      <c r="AR913" s="3">
        <v>46203</v>
      </c>
      <c r="AS913" s="3">
        <v>46176</v>
      </c>
      <c r="AT913" s="3">
        <v>46199</v>
      </c>
      <c r="AU913" t="s">
        <v>2124</v>
      </c>
      <c r="AW913" s="3">
        <v>46208.53701449134</v>
      </c>
    </row>
    <row r="914" spans="1:49" ht="16" hidden="1" x14ac:dyDescent="0.2">
      <c r="A914" t="s">
        <v>69</v>
      </c>
      <c r="B914">
        <v>11418</v>
      </c>
      <c r="C914">
        <v>1162</v>
      </c>
      <c r="D914" t="s">
        <v>152</v>
      </c>
      <c r="E914" t="s">
        <v>376</v>
      </c>
      <c r="F914">
        <v>270573</v>
      </c>
      <c r="G914" t="s">
        <v>698</v>
      </c>
      <c r="H914">
        <v>592007</v>
      </c>
      <c r="I914" t="s">
        <v>1356</v>
      </c>
      <c r="J914">
        <v>94426010</v>
      </c>
      <c r="K914" t="s">
        <v>1840</v>
      </c>
      <c r="L914" t="s">
        <v>1850</v>
      </c>
      <c r="M914" s="1">
        <v>20</v>
      </c>
      <c r="N914" t="s">
        <v>23</v>
      </c>
      <c r="O914">
        <v>1247676</v>
      </c>
      <c r="P914" s="1">
        <v>24660.26</v>
      </c>
      <c r="S914" s="6" t="str">
        <f t="shared" si="14"/>
        <v xml:space="preserve"> </v>
      </c>
      <c r="T914" s="6" t="str">
        <f>IF(IF(COUNTIF(H$2:$H914,H914)=1,1,"")=1,SUMIF($H$2:$H$7997,H914,$S$2:$S$7997),"")</f>
        <v/>
      </c>
      <c r="W914">
        <v>1247676</v>
      </c>
      <c r="X914">
        <v>1247676</v>
      </c>
      <c r="Y914">
        <v>0</v>
      </c>
      <c r="Z914">
        <v>0</v>
      </c>
      <c r="AA914" s="2">
        <v>1</v>
      </c>
      <c r="AB914" s="2">
        <v>0</v>
      </c>
      <c r="AC914" s="2">
        <v>0</v>
      </c>
      <c r="AD914">
        <v>0</v>
      </c>
      <c r="AE914" t="s">
        <v>1862</v>
      </c>
      <c r="AF914">
        <v>12330.13</v>
      </c>
      <c r="AG914">
        <v>1233013</v>
      </c>
      <c r="AH914">
        <v>24660.26</v>
      </c>
      <c r="AI914" s="1" t="s">
        <v>376</v>
      </c>
      <c r="AJ914">
        <v>94425978</v>
      </c>
      <c r="AK914" s="1" t="s">
        <v>1867</v>
      </c>
      <c r="AL914" t="s">
        <v>1980</v>
      </c>
      <c r="AN914" t="s">
        <v>2054</v>
      </c>
      <c r="AO914" t="s">
        <v>2067</v>
      </c>
      <c r="AP914" t="s">
        <v>2083</v>
      </c>
      <c r="AQ914">
        <v>130099</v>
      </c>
      <c r="AR914" s="3">
        <v>46203</v>
      </c>
      <c r="AS914" s="3">
        <v>46176</v>
      </c>
      <c r="AT914" s="3">
        <v>46199</v>
      </c>
      <c r="AU914" t="s">
        <v>2123</v>
      </c>
      <c r="AW914" s="3">
        <v>46208.53701449134</v>
      </c>
    </row>
    <row r="915" spans="1:49" ht="16" hidden="1" x14ac:dyDescent="0.2">
      <c r="A915" t="s">
        <v>69</v>
      </c>
      <c r="B915">
        <v>11418</v>
      </c>
      <c r="C915">
        <v>1162</v>
      </c>
      <c r="D915" t="s">
        <v>152</v>
      </c>
      <c r="E915" t="s">
        <v>289</v>
      </c>
      <c r="F915">
        <v>268012</v>
      </c>
      <c r="G915" t="s">
        <v>530</v>
      </c>
      <c r="H915">
        <v>585856</v>
      </c>
      <c r="I915" t="s">
        <v>1045</v>
      </c>
      <c r="J915">
        <v>93774912</v>
      </c>
      <c r="K915" t="s">
        <v>1839</v>
      </c>
      <c r="L915" t="s">
        <v>1850</v>
      </c>
      <c r="M915" s="1">
        <v>40</v>
      </c>
      <c r="N915" t="s">
        <v>23</v>
      </c>
      <c r="O915">
        <v>795538</v>
      </c>
      <c r="P915" s="1">
        <v>30970</v>
      </c>
      <c r="S915" s="6" t="str">
        <f t="shared" si="14"/>
        <v xml:space="preserve"> </v>
      </c>
      <c r="T915" s="6">
        <f>IF(IF(COUNTIF(H$2:$H915,H915)=1,1,"")=1,SUMIF($H$2:$H$7997,H915,$S$2:$S$7997),"")</f>
        <v>0</v>
      </c>
      <c r="W915">
        <v>795538</v>
      </c>
      <c r="X915">
        <v>795538</v>
      </c>
      <c r="Y915">
        <v>0</v>
      </c>
      <c r="Z915">
        <v>0</v>
      </c>
      <c r="AA915" s="2">
        <v>1</v>
      </c>
      <c r="AB915" s="2">
        <v>0</v>
      </c>
      <c r="AC915" s="2">
        <v>0</v>
      </c>
      <c r="AD915">
        <v>0</v>
      </c>
      <c r="AE915" t="s">
        <v>1862</v>
      </c>
      <c r="AF915">
        <v>15485</v>
      </c>
      <c r="AG915">
        <v>774250</v>
      </c>
      <c r="AH915">
        <v>30970</v>
      </c>
      <c r="AI915" s="1" t="s">
        <v>289</v>
      </c>
      <c r="AJ915">
        <v>93774889</v>
      </c>
      <c r="AK915" s="1" t="s">
        <v>1867</v>
      </c>
      <c r="AL915" t="s">
        <v>1923</v>
      </c>
      <c r="AN915" t="s">
        <v>2054</v>
      </c>
      <c r="AO915" t="s">
        <v>2067</v>
      </c>
      <c r="AP915" t="s">
        <v>2094</v>
      </c>
      <c r="AQ915">
        <v>127213</v>
      </c>
      <c r="AR915" s="3">
        <v>46203</v>
      </c>
      <c r="AS915" s="3">
        <v>46184</v>
      </c>
      <c r="AT915" s="3">
        <v>46203</v>
      </c>
      <c r="AU915" t="s">
        <v>2124</v>
      </c>
      <c r="AW915" s="3">
        <v>46208.53701449134</v>
      </c>
    </row>
    <row r="916" spans="1:49" ht="16" hidden="1" x14ac:dyDescent="0.2">
      <c r="A916" t="s">
        <v>69</v>
      </c>
      <c r="B916">
        <v>11418</v>
      </c>
      <c r="C916">
        <v>1162</v>
      </c>
      <c r="D916" t="s">
        <v>152</v>
      </c>
      <c r="E916" t="s">
        <v>289</v>
      </c>
      <c r="F916">
        <v>268012</v>
      </c>
      <c r="G916" t="s">
        <v>530</v>
      </c>
      <c r="H916">
        <v>585856</v>
      </c>
      <c r="I916" t="s">
        <v>1044</v>
      </c>
      <c r="J916">
        <v>93774909</v>
      </c>
      <c r="K916" t="s">
        <v>1835</v>
      </c>
      <c r="L916" t="s">
        <v>1850</v>
      </c>
      <c r="M916" s="1">
        <v>40</v>
      </c>
      <c r="N916" t="s">
        <v>23</v>
      </c>
      <c r="O916">
        <v>7866</v>
      </c>
      <c r="P916" s="1">
        <v>280</v>
      </c>
      <c r="S916" s="6" t="str">
        <f t="shared" si="14"/>
        <v xml:space="preserve"> </v>
      </c>
      <c r="T916" s="6" t="str">
        <f>IF(IF(COUNTIF(H$2:$H916,H916)=1,1,"")=1,SUMIF($H$2:$H$7997,H916,$S$2:$S$7997),"")</f>
        <v/>
      </c>
      <c r="W916">
        <v>7866</v>
      </c>
      <c r="X916">
        <v>7866</v>
      </c>
      <c r="Y916">
        <v>0</v>
      </c>
      <c r="Z916">
        <v>0</v>
      </c>
      <c r="AA916" s="2">
        <v>1</v>
      </c>
      <c r="AB916" s="2">
        <v>0</v>
      </c>
      <c r="AC916" s="2">
        <v>0</v>
      </c>
      <c r="AD916">
        <v>0</v>
      </c>
      <c r="AE916" t="s">
        <v>1862</v>
      </c>
      <c r="AF916">
        <v>140</v>
      </c>
      <c r="AG916">
        <v>7000</v>
      </c>
      <c r="AH916">
        <v>280</v>
      </c>
      <c r="AI916" s="1" t="s">
        <v>289</v>
      </c>
      <c r="AJ916">
        <v>93774889</v>
      </c>
      <c r="AK916" s="1" t="s">
        <v>1867</v>
      </c>
      <c r="AL916" t="s">
        <v>1923</v>
      </c>
      <c r="AN916" t="s">
        <v>2054</v>
      </c>
      <c r="AO916" t="s">
        <v>2067</v>
      </c>
      <c r="AP916" t="s">
        <v>2092</v>
      </c>
      <c r="AQ916">
        <v>127213</v>
      </c>
      <c r="AR916" s="3">
        <v>46203</v>
      </c>
      <c r="AS916" s="3">
        <v>46184</v>
      </c>
      <c r="AT916" s="3">
        <v>46203</v>
      </c>
      <c r="AU916" t="s">
        <v>2123</v>
      </c>
      <c r="AW916" s="3">
        <v>46208.53701449134</v>
      </c>
    </row>
    <row r="917" spans="1:49" ht="16" hidden="1" x14ac:dyDescent="0.2">
      <c r="A917" t="s">
        <v>69</v>
      </c>
      <c r="B917">
        <v>11418</v>
      </c>
      <c r="C917">
        <v>1162</v>
      </c>
      <c r="D917" t="s">
        <v>152</v>
      </c>
      <c r="E917" t="s">
        <v>289</v>
      </c>
      <c r="F917">
        <v>268012</v>
      </c>
      <c r="G917" t="s">
        <v>529</v>
      </c>
      <c r="H917">
        <v>585859</v>
      </c>
      <c r="I917" t="s">
        <v>1042</v>
      </c>
      <c r="J917">
        <v>93774902</v>
      </c>
      <c r="K917" t="s">
        <v>1839</v>
      </c>
      <c r="L917" t="s">
        <v>1850</v>
      </c>
      <c r="M917" s="1">
        <v>20</v>
      </c>
      <c r="N917" t="s">
        <v>23</v>
      </c>
      <c r="O917">
        <v>52748</v>
      </c>
      <c r="P917" s="1">
        <v>1054.96</v>
      </c>
      <c r="S917" s="6" t="str">
        <f t="shared" si="14"/>
        <v xml:space="preserve"> </v>
      </c>
      <c r="T917" s="6">
        <f>IF(IF(COUNTIF(H$2:$H917,H917)=1,1,"")=1,SUMIF($H$2:$H$7997,H917,$S$2:$S$7997),"")</f>
        <v>0</v>
      </c>
      <c r="W917">
        <v>2763918</v>
      </c>
      <c r="X917">
        <v>52748</v>
      </c>
      <c r="Y917">
        <v>0</v>
      </c>
      <c r="Z917">
        <v>0</v>
      </c>
      <c r="AA917" s="2">
        <v>1</v>
      </c>
      <c r="AB917" s="2">
        <v>0</v>
      </c>
      <c r="AC917" s="2">
        <v>0</v>
      </c>
      <c r="AD917">
        <v>0</v>
      </c>
      <c r="AE917" t="s">
        <v>1862</v>
      </c>
      <c r="AF917">
        <v>25624.5</v>
      </c>
      <c r="AG917">
        <v>2562450</v>
      </c>
      <c r="AH917">
        <v>51249</v>
      </c>
      <c r="AI917" s="1" t="s">
        <v>289</v>
      </c>
      <c r="AJ917">
        <v>93774889</v>
      </c>
      <c r="AK917" s="1" t="s">
        <v>1867</v>
      </c>
      <c r="AL917" t="s">
        <v>1923</v>
      </c>
      <c r="AN917" t="s">
        <v>2054</v>
      </c>
      <c r="AO917" t="s">
        <v>2067</v>
      </c>
      <c r="AP917" t="s">
        <v>2093</v>
      </c>
      <c r="AQ917">
        <v>127213</v>
      </c>
      <c r="AR917" s="3">
        <v>46203</v>
      </c>
      <c r="AS917" s="3">
        <v>46154</v>
      </c>
      <c r="AT917" s="3">
        <v>46203</v>
      </c>
      <c r="AU917" t="s">
        <v>2124</v>
      </c>
      <c r="AW917" s="3">
        <v>46208.53701449134</v>
      </c>
    </row>
    <row r="918" spans="1:49" ht="16" hidden="1" x14ac:dyDescent="0.2">
      <c r="A918" t="s">
        <v>69</v>
      </c>
      <c r="B918">
        <v>11418</v>
      </c>
      <c r="C918">
        <v>1162</v>
      </c>
      <c r="D918" t="s">
        <v>152</v>
      </c>
      <c r="E918" t="s">
        <v>289</v>
      </c>
      <c r="F918">
        <v>268012</v>
      </c>
      <c r="G918" t="s">
        <v>529</v>
      </c>
      <c r="H918">
        <v>585859</v>
      </c>
      <c r="I918" t="s">
        <v>1043</v>
      </c>
      <c r="J918">
        <v>93774905</v>
      </c>
      <c r="K918" t="s">
        <v>1840</v>
      </c>
      <c r="L918" t="s">
        <v>1850</v>
      </c>
      <c r="M918" s="1">
        <v>20</v>
      </c>
      <c r="N918" t="s">
        <v>23</v>
      </c>
      <c r="O918">
        <v>4497</v>
      </c>
      <c r="P918" s="1">
        <v>89.94</v>
      </c>
      <c r="S918" s="6" t="str">
        <f t="shared" si="14"/>
        <v xml:space="preserve"> </v>
      </c>
      <c r="T918" s="6" t="str">
        <f>IF(IF(COUNTIF(H$2:$H918,H918)=1,1,"")=1,SUMIF($H$2:$H$7997,H918,$S$2:$S$7997),"")</f>
        <v/>
      </c>
      <c r="W918">
        <v>159302</v>
      </c>
      <c r="X918">
        <v>4497</v>
      </c>
      <c r="Y918">
        <v>0</v>
      </c>
      <c r="Z918">
        <v>0</v>
      </c>
      <c r="AA918" s="2">
        <v>1</v>
      </c>
      <c r="AB918" s="2">
        <v>0</v>
      </c>
      <c r="AC918" s="2">
        <v>0</v>
      </c>
      <c r="AD918">
        <v>0</v>
      </c>
      <c r="AE918" t="s">
        <v>1862</v>
      </c>
      <c r="AF918">
        <v>1633</v>
      </c>
      <c r="AG918">
        <v>163300</v>
      </c>
      <c r="AH918">
        <v>3266</v>
      </c>
      <c r="AI918" s="1" t="s">
        <v>289</v>
      </c>
      <c r="AJ918">
        <v>93774889</v>
      </c>
      <c r="AK918" s="1" t="s">
        <v>1867</v>
      </c>
      <c r="AL918" t="s">
        <v>1923</v>
      </c>
      <c r="AN918" t="s">
        <v>2054</v>
      </c>
      <c r="AO918" t="s">
        <v>2067</v>
      </c>
      <c r="AP918" t="s">
        <v>2083</v>
      </c>
      <c r="AQ918">
        <v>127213</v>
      </c>
      <c r="AR918" s="3">
        <v>46203</v>
      </c>
      <c r="AS918" s="3">
        <v>46154</v>
      </c>
      <c r="AT918" s="3">
        <v>46203</v>
      </c>
      <c r="AU918" t="s">
        <v>2123</v>
      </c>
      <c r="AW918" s="3">
        <v>46208.53701449134</v>
      </c>
    </row>
    <row r="919" spans="1:49" ht="16" hidden="1" x14ac:dyDescent="0.2">
      <c r="A919" t="s">
        <v>69</v>
      </c>
      <c r="B919">
        <v>11418</v>
      </c>
      <c r="C919">
        <v>1162</v>
      </c>
      <c r="D919" t="s">
        <v>152</v>
      </c>
      <c r="E919" t="s">
        <v>289</v>
      </c>
      <c r="F919">
        <v>268012</v>
      </c>
      <c r="G919" t="s">
        <v>528</v>
      </c>
      <c r="H919">
        <v>585862</v>
      </c>
      <c r="I919" t="s">
        <v>1046</v>
      </c>
      <c r="J919">
        <v>93774915</v>
      </c>
      <c r="K919" t="s">
        <v>1839</v>
      </c>
      <c r="L919" t="s">
        <v>1850</v>
      </c>
      <c r="M919" s="1">
        <v>40</v>
      </c>
      <c r="N919" t="s">
        <v>23</v>
      </c>
      <c r="O919">
        <v>795616</v>
      </c>
      <c r="P919" s="1">
        <v>30970</v>
      </c>
      <c r="S919" s="6" t="str">
        <f t="shared" si="14"/>
        <v xml:space="preserve"> </v>
      </c>
      <c r="T919" s="6">
        <f>IF(IF(COUNTIF(H$2:$H919,H919)=1,1,"")=1,SUMIF($H$2:$H$7997,H919,$S$2:$S$7997),"")</f>
        <v>0</v>
      </c>
      <c r="W919">
        <v>795616</v>
      </c>
      <c r="X919">
        <v>795616</v>
      </c>
      <c r="Y919">
        <v>0</v>
      </c>
      <c r="Z919">
        <v>0</v>
      </c>
      <c r="AA919" s="2">
        <v>1</v>
      </c>
      <c r="AB919" s="2">
        <v>0</v>
      </c>
      <c r="AC919" s="2">
        <v>0</v>
      </c>
      <c r="AD919">
        <v>0</v>
      </c>
      <c r="AE919" t="s">
        <v>1862</v>
      </c>
      <c r="AF919">
        <v>15485</v>
      </c>
      <c r="AG919">
        <v>774250</v>
      </c>
      <c r="AH919">
        <v>30970</v>
      </c>
      <c r="AI919" s="1" t="s">
        <v>289</v>
      </c>
      <c r="AJ919">
        <v>93774889</v>
      </c>
      <c r="AK919" s="1" t="s">
        <v>1867</v>
      </c>
      <c r="AL919" t="s">
        <v>1923</v>
      </c>
      <c r="AN919" t="s">
        <v>2054</v>
      </c>
      <c r="AO919" t="s">
        <v>2067</v>
      </c>
      <c r="AP919" t="s">
        <v>2094</v>
      </c>
      <c r="AQ919">
        <v>127213</v>
      </c>
      <c r="AR919" s="3">
        <v>46203</v>
      </c>
      <c r="AS919" s="3">
        <v>46184</v>
      </c>
      <c r="AT919" s="3">
        <v>46203</v>
      </c>
      <c r="AU919" t="s">
        <v>2124</v>
      </c>
      <c r="AW919" s="3">
        <v>46208.53701449134</v>
      </c>
    </row>
    <row r="920" spans="1:49" ht="16" hidden="1" x14ac:dyDescent="0.2">
      <c r="A920" t="s">
        <v>69</v>
      </c>
      <c r="B920">
        <v>11418</v>
      </c>
      <c r="C920">
        <v>1162</v>
      </c>
      <c r="D920" t="s">
        <v>152</v>
      </c>
      <c r="E920" t="s">
        <v>289</v>
      </c>
      <c r="F920">
        <v>268012</v>
      </c>
      <c r="G920" t="s">
        <v>528</v>
      </c>
      <c r="H920">
        <v>585862</v>
      </c>
      <c r="I920" t="s">
        <v>1040</v>
      </c>
      <c r="J920">
        <v>93774896</v>
      </c>
      <c r="K920" t="s">
        <v>1835</v>
      </c>
      <c r="L920" t="s">
        <v>1850</v>
      </c>
      <c r="M920" s="1">
        <v>40</v>
      </c>
      <c r="N920" t="s">
        <v>23</v>
      </c>
      <c r="O920">
        <v>7874</v>
      </c>
      <c r="P920" s="1">
        <v>280</v>
      </c>
      <c r="S920" s="6" t="str">
        <f t="shared" si="14"/>
        <v xml:space="preserve"> </v>
      </c>
      <c r="T920" s="6" t="str">
        <f>IF(IF(COUNTIF(H$2:$H920,H920)=1,1,"")=1,SUMIF($H$2:$H$7997,H920,$S$2:$S$7997),"")</f>
        <v/>
      </c>
      <c r="W920">
        <v>7874</v>
      </c>
      <c r="X920">
        <v>7874</v>
      </c>
      <c r="Y920">
        <v>0</v>
      </c>
      <c r="Z920">
        <v>0</v>
      </c>
      <c r="AA920" s="2">
        <v>1</v>
      </c>
      <c r="AB920" s="2">
        <v>0</v>
      </c>
      <c r="AC920" s="2">
        <v>0</v>
      </c>
      <c r="AD920">
        <v>0</v>
      </c>
      <c r="AE920" t="s">
        <v>1862</v>
      </c>
      <c r="AF920">
        <v>140</v>
      </c>
      <c r="AG920">
        <v>7000</v>
      </c>
      <c r="AH920">
        <v>280</v>
      </c>
      <c r="AI920" s="1" t="s">
        <v>289</v>
      </c>
      <c r="AJ920">
        <v>93774889</v>
      </c>
      <c r="AK920" s="1" t="s">
        <v>1867</v>
      </c>
      <c r="AL920" t="s">
        <v>1923</v>
      </c>
      <c r="AN920" t="s">
        <v>2054</v>
      </c>
      <c r="AO920" t="s">
        <v>2067</v>
      </c>
      <c r="AP920" t="s">
        <v>2092</v>
      </c>
      <c r="AQ920">
        <v>127213</v>
      </c>
      <c r="AR920" s="3">
        <v>46203</v>
      </c>
      <c r="AS920" s="3">
        <v>46184</v>
      </c>
      <c r="AT920" s="3">
        <v>46203</v>
      </c>
      <c r="AU920" t="s">
        <v>2123</v>
      </c>
      <c r="AW920" s="3">
        <v>46208.53701449134</v>
      </c>
    </row>
    <row r="921" spans="1:49" ht="16" hidden="1" x14ac:dyDescent="0.2">
      <c r="A921" t="s">
        <v>69</v>
      </c>
      <c r="B921">
        <v>11418</v>
      </c>
      <c r="C921">
        <v>1162</v>
      </c>
      <c r="D921" t="s">
        <v>152</v>
      </c>
      <c r="E921" t="s">
        <v>289</v>
      </c>
      <c r="F921">
        <v>268012</v>
      </c>
      <c r="G921" t="s">
        <v>527</v>
      </c>
      <c r="H921">
        <v>585865</v>
      </c>
      <c r="I921" t="s">
        <v>1041</v>
      </c>
      <c r="J921">
        <v>93774899</v>
      </c>
      <c r="K921" t="s">
        <v>1839</v>
      </c>
      <c r="L921" t="s">
        <v>1850</v>
      </c>
      <c r="M921" s="1">
        <v>20</v>
      </c>
      <c r="N921" t="s">
        <v>23</v>
      </c>
      <c r="O921">
        <v>25728</v>
      </c>
      <c r="P921" s="1">
        <v>514.55999999999995</v>
      </c>
      <c r="S921" s="6" t="str">
        <f t="shared" si="14"/>
        <v xml:space="preserve"> </v>
      </c>
      <c r="T921" s="6">
        <f>IF(IF(COUNTIF(H$2:$H921,H921)=1,1,"")=1,SUMIF($H$2:$H$7997,H921,$S$2:$S$7997),"")</f>
        <v>0</v>
      </c>
      <c r="W921">
        <v>2969815</v>
      </c>
      <c r="X921">
        <v>25728</v>
      </c>
      <c r="Y921">
        <v>0</v>
      </c>
      <c r="Z921">
        <v>0</v>
      </c>
      <c r="AA921" s="2">
        <v>1</v>
      </c>
      <c r="AB921" s="2">
        <v>0</v>
      </c>
      <c r="AC921" s="2">
        <v>0</v>
      </c>
      <c r="AD921">
        <v>0</v>
      </c>
      <c r="AE921" t="s">
        <v>1862</v>
      </c>
      <c r="AF921">
        <v>27256.5</v>
      </c>
      <c r="AG921">
        <v>2725650</v>
      </c>
      <c r="AH921">
        <v>54513</v>
      </c>
      <c r="AI921" s="1" t="s">
        <v>289</v>
      </c>
      <c r="AJ921">
        <v>93774889</v>
      </c>
      <c r="AK921" s="1" t="s">
        <v>1867</v>
      </c>
      <c r="AL921" t="s">
        <v>1923</v>
      </c>
      <c r="AN921" t="s">
        <v>2054</v>
      </c>
      <c r="AO921" t="s">
        <v>2067</v>
      </c>
      <c r="AP921" t="s">
        <v>2093</v>
      </c>
      <c r="AQ921">
        <v>127213</v>
      </c>
      <c r="AR921" s="3">
        <v>46203</v>
      </c>
      <c r="AS921" s="3">
        <v>46154</v>
      </c>
      <c r="AT921" s="3">
        <v>46203</v>
      </c>
      <c r="AU921" t="s">
        <v>2124</v>
      </c>
      <c r="AW921" s="3">
        <v>46208.53701449134</v>
      </c>
    </row>
    <row r="922" spans="1:49" ht="16" hidden="1" x14ac:dyDescent="0.2">
      <c r="A922" t="s">
        <v>69</v>
      </c>
      <c r="B922">
        <v>11418</v>
      </c>
      <c r="C922">
        <v>1162</v>
      </c>
      <c r="D922" t="s">
        <v>152</v>
      </c>
      <c r="E922" t="s">
        <v>289</v>
      </c>
      <c r="F922">
        <v>268012</v>
      </c>
      <c r="G922" t="s">
        <v>527</v>
      </c>
      <c r="H922">
        <v>585865</v>
      </c>
      <c r="I922" t="s">
        <v>1039</v>
      </c>
      <c r="J922">
        <v>93774892</v>
      </c>
      <c r="K922" t="s">
        <v>1840</v>
      </c>
      <c r="L922" t="s">
        <v>1850</v>
      </c>
      <c r="M922" s="1">
        <v>20</v>
      </c>
      <c r="N922" t="s">
        <v>23</v>
      </c>
      <c r="O922">
        <v>1</v>
      </c>
      <c r="P922" s="1">
        <v>0.02</v>
      </c>
      <c r="S922" s="6" t="str">
        <f t="shared" si="14"/>
        <v xml:space="preserve"> </v>
      </c>
      <c r="T922" s="6" t="str">
        <f>IF(IF(COUNTIF(H$2:$H922,H922)=1,1,"")=1,SUMIF($H$2:$H$7997,H922,$S$2:$S$7997),"")</f>
        <v/>
      </c>
      <c r="W922">
        <v>159</v>
      </c>
      <c r="X922">
        <v>1</v>
      </c>
      <c r="Y922">
        <v>0</v>
      </c>
      <c r="Z922">
        <v>0</v>
      </c>
      <c r="AA922" s="2">
        <v>1</v>
      </c>
      <c r="AB922" s="2">
        <v>0</v>
      </c>
      <c r="AC922" s="2">
        <v>0</v>
      </c>
      <c r="AD922">
        <v>0</v>
      </c>
      <c r="AE922" t="s">
        <v>1862</v>
      </c>
      <c r="AF922">
        <v>1</v>
      </c>
      <c r="AG922">
        <v>100</v>
      </c>
      <c r="AH922">
        <v>2</v>
      </c>
      <c r="AI922" s="1" t="s">
        <v>289</v>
      </c>
      <c r="AJ922">
        <v>93774889</v>
      </c>
      <c r="AK922" s="1" t="s">
        <v>1867</v>
      </c>
      <c r="AL922" t="s">
        <v>1923</v>
      </c>
      <c r="AN922" t="s">
        <v>2054</v>
      </c>
      <c r="AO922" t="s">
        <v>2067</v>
      </c>
      <c r="AP922" t="s">
        <v>2083</v>
      </c>
      <c r="AQ922">
        <v>127213</v>
      </c>
      <c r="AR922" s="3">
        <v>46203</v>
      </c>
      <c r="AS922" s="3">
        <v>46154</v>
      </c>
      <c r="AT922" s="3">
        <v>46203</v>
      </c>
      <c r="AU922" t="s">
        <v>2123</v>
      </c>
      <c r="AW922" s="3">
        <v>46208.53701449134</v>
      </c>
    </row>
    <row r="923" spans="1:49" ht="16" hidden="1" x14ac:dyDescent="0.2">
      <c r="A923" t="s">
        <v>69</v>
      </c>
      <c r="B923">
        <v>11418</v>
      </c>
      <c r="C923">
        <v>1162</v>
      </c>
      <c r="D923" t="s">
        <v>152</v>
      </c>
      <c r="E923" t="s">
        <v>303</v>
      </c>
      <c r="F923">
        <v>268014</v>
      </c>
      <c r="G923" t="s">
        <v>554</v>
      </c>
      <c r="H923">
        <v>585893</v>
      </c>
      <c r="I923" t="s">
        <v>1091</v>
      </c>
      <c r="J923">
        <v>93917933</v>
      </c>
      <c r="K923" t="s">
        <v>1839</v>
      </c>
      <c r="L923" t="s">
        <v>1850</v>
      </c>
      <c r="M923" s="1">
        <v>40</v>
      </c>
      <c r="N923" t="s">
        <v>23</v>
      </c>
      <c r="O923">
        <v>1535558</v>
      </c>
      <c r="P923" s="1">
        <v>58580</v>
      </c>
      <c r="S923" s="6" t="str">
        <f t="shared" si="14"/>
        <v xml:space="preserve"> </v>
      </c>
      <c r="T923" s="6">
        <f>IF(IF(COUNTIF(H$2:$H923,H923)=1,1,"")=1,SUMIF($H$2:$H$7997,H923,$S$2:$S$7997),"")</f>
        <v>0</v>
      </c>
      <c r="W923">
        <v>1535558</v>
      </c>
      <c r="X923">
        <v>1535558</v>
      </c>
      <c r="Y923">
        <v>0</v>
      </c>
      <c r="Z923">
        <v>0</v>
      </c>
      <c r="AA923" s="2">
        <v>1</v>
      </c>
      <c r="AB923" s="2">
        <v>0</v>
      </c>
      <c r="AC923" s="2">
        <v>0</v>
      </c>
      <c r="AD923">
        <v>0</v>
      </c>
      <c r="AE923" t="s">
        <v>1862</v>
      </c>
      <c r="AF923">
        <v>29290</v>
      </c>
      <c r="AG923">
        <v>1464500</v>
      </c>
      <c r="AH923">
        <v>58580</v>
      </c>
      <c r="AI923" s="1" t="s">
        <v>303</v>
      </c>
      <c r="AJ923">
        <v>93917914</v>
      </c>
      <c r="AK923" s="1" t="s">
        <v>1867</v>
      </c>
      <c r="AL923" t="s">
        <v>1936</v>
      </c>
      <c r="AN923" t="s">
        <v>2054</v>
      </c>
      <c r="AO923" t="s">
        <v>2067</v>
      </c>
      <c r="AP923" t="s">
        <v>2094</v>
      </c>
      <c r="AQ923">
        <v>128048</v>
      </c>
      <c r="AR923" s="3">
        <v>46203</v>
      </c>
      <c r="AS923" s="3">
        <v>46174</v>
      </c>
      <c r="AT923" s="3">
        <v>46203</v>
      </c>
      <c r="AU923" t="s">
        <v>2124</v>
      </c>
      <c r="AW923" s="3">
        <v>46208.53701449134</v>
      </c>
    </row>
    <row r="924" spans="1:49" ht="16" hidden="1" x14ac:dyDescent="0.2">
      <c r="A924" t="s">
        <v>69</v>
      </c>
      <c r="B924">
        <v>11418</v>
      </c>
      <c r="C924">
        <v>1162</v>
      </c>
      <c r="D924" t="s">
        <v>152</v>
      </c>
      <c r="E924" t="s">
        <v>303</v>
      </c>
      <c r="F924">
        <v>268014</v>
      </c>
      <c r="G924" t="s">
        <v>554</v>
      </c>
      <c r="H924">
        <v>585893</v>
      </c>
      <c r="I924" t="s">
        <v>1090</v>
      </c>
      <c r="J924">
        <v>93917930</v>
      </c>
      <c r="K924" t="s">
        <v>1835</v>
      </c>
      <c r="L924" t="s">
        <v>1850</v>
      </c>
      <c r="M924" s="1">
        <v>40</v>
      </c>
      <c r="N924" t="s">
        <v>23</v>
      </c>
      <c r="O924">
        <v>131472</v>
      </c>
      <c r="P924" s="1">
        <v>3920</v>
      </c>
      <c r="S924" s="6" t="str">
        <f t="shared" si="14"/>
        <v xml:space="preserve"> </v>
      </c>
      <c r="T924" s="6" t="str">
        <f>IF(IF(COUNTIF(H$2:$H924,H924)=1,1,"")=1,SUMIF($H$2:$H$7997,H924,$S$2:$S$7997),"")</f>
        <v/>
      </c>
      <c r="W924">
        <v>131472</v>
      </c>
      <c r="X924">
        <v>131472</v>
      </c>
      <c r="Y924">
        <v>0</v>
      </c>
      <c r="Z924">
        <v>0</v>
      </c>
      <c r="AA924" s="2">
        <v>1</v>
      </c>
      <c r="AB924" s="2">
        <v>0</v>
      </c>
      <c r="AC924" s="2">
        <v>0</v>
      </c>
      <c r="AD924">
        <v>0</v>
      </c>
      <c r="AE924" t="s">
        <v>1862</v>
      </c>
      <c r="AF924">
        <v>1960</v>
      </c>
      <c r="AG924">
        <v>98000</v>
      </c>
      <c r="AH924">
        <v>3920</v>
      </c>
      <c r="AI924" s="1" t="s">
        <v>303</v>
      </c>
      <c r="AJ924">
        <v>93917914</v>
      </c>
      <c r="AK924" s="1" t="s">
        <v>1867</v>
      </c>
      <c r="AL924" t="s">
        <v>1936</v>
      </c>
      <c r="AN924" t="s">
        <v>2054</v>
      </c>
      <c r="AO924" t="s">
        <v>2067</v>
      </c>
      <c r="AP924" t="s">
        <v>2092</v>
      </c>
      <c r="AQ924">
        <v>128048</v>
      </c>
      <c r="AR924" s="3">
        <v>46203</v>
      </c>
      <c r="AS924" s="3">
        <v>46174</v>
      </c>
      <c r="AT924" s="3">
        <v>46203</v>
      </c>
      <c r="AU924" t="s">
        <v>2123</v>
      </c>
      <c r="AW924" s="3">
        <v>46208.53701449134</v>
      </c>
    </row>
    <row r="925" spans="1:49" ht="16" hidden="1" x14ac:dyDescent="0.2">
      <c r="A925" t="s">
        <v>69</v>
      </c>
      <c r="B925">
        <v>11418</v>
      </c>
      <c r="C925">
        <v>1162</v>
      </c>
      <c r="D925" t="s">
        <v>152</v>
      </c>
      <c r="E925" t="s">
        <v>303</v>
      </c>
      <c r="F925">
        <v>268014</v>
      </c>
      <c r="G925" t="s">
        <v>553</v>
      </c>
      <c r="H925">
        <v>585896</v>
      </c>
      <c r="I925" t="s">
        <v>1089</v>
      </c>
      <c r="J925">
        <v>93917927</v>
      </c>
      <c r="K925" t="s">
        <v>1839</v>
      </c>
      <c r="L925" t="s">
        <v>1850</v>
      </c>
      <c r="M925" s="1">
        <v>20</v>
      </c>
      <c r="N925" t="s">
        <v>23</v>
      </c>
      <c r="O925">
        <v>1025702</v>
      </c>
      <c r="P925" s="1">
        <v>20514.04</v>
      </c>
      <c r="S925" s="6" t="str">
        <f t="shared" si="14"/>
        <v xml:space="preserve"> </v>
      </c>
      <c r="T925" s="6">
        <f>IF(IF(COUNTIF(H$2:$H925,H925)=1,1,"")=1,SUMIF($H$2:$H$7997,H925,$S$2:$S$7997),"")</f>
        <v>0</v>
      </c>
      <c r="W925">
        <v>712135</v>
      </c>
      <c r="X925">
        <v>1025702</v>
      </c>
      <c r="Y925">
        <v>0</v>
      </c>
      <c r="Z925">
        <v>0</v>
      </c>
      <c r="AA925" s="2">
        <v>1</v>
      </c>
      <c r="AB925" s="2">
        <v>0</v>
      </c>
      <c r="AC925" s="2">
        <v>0</v>
      </c>
      <c r="AD925">
        <v>0</v>
      </c>
      <c r="AE925" t="s">
        <v>1862</v>
      </c>
      <c r="AF925">
        <v>7636.36</v>
      </c>
      <c r="AG925">
        <v>1686975</v>
      </c>
      <c r="AH925">
        <v>33739.5</v>
      </c>
      <c r="AI925" s="1" t="s">
        <v>303</v>
      </c>
      <c r="AJ925">
        <v>93917914</v>
      </c>
      <c r="AK925" s="1" t="s">
        <v>1867</v>
      </c>
      <c r="AL925" t="s">
        <v>1936</v>
      </c>
      <c r="AN925" t="s">
        <v>2054</v>
      </c>
      <c r="AO925" t="s">
        <v>2067</v>
      </c>
      <c r="AP925" t="s">
        <v>2093</v>
      </c>
      <c r="AQ925">
        <v>128048</v>
      </c>
      <c r="AR925" s="3">
        <v>46203</v>
      </c>
      <c r="AS925" s="3">
        <v>46154</v>
      </c>
      <c r="AT925" s="3">
        <v>46203</v>
      </c>
      <c r="AU925" t="s">
        <v>2124</v>
      </c>
      <c r="AW925" s="3">
        <v>46208.53701449134</v>
      </c>
    </row>
    <row r="926" spans="1:49" ht="16" hidden="1" x14ac:dyDescent="0.2">
      <c r="A926" t="s">
        <v>69</v>
      </c>
      <c r="B926">
        <v>11418</v>
      </c>
      <c r="C926">
        <v>1162</v>
      </c>
      <c r="D926" t="s">
        <v>152</v>
      </c>
      <c r="E926" t="s">
        <v>303</v>
      </c>
      <c r="F926">
        <v>268014</v>
      </c>
      <c r="G926" t="s">
        <v>553</v>
      </c>
      <c r="H926">
        <v>585896</v>
      </c>
      <c r="I926" t="s">
        <v>1088</v>
      </c>
      <c r="J926">
        <v>93917923</v>
      </c>
      <c r="K926" t="s">
        <v>1840</v>
      </c>
      <c r="L926" t="s">
        <v>1850</v>
      </c>
      <c r="M926" s="1">
        <v>20</v>
      </c>
      <c r="N926" t="s">
        <v>23</v>
      </c>
      <c r="O926">
        <v>513191</v>
      </c>
      <c r="P926" s="1">
        <v>10263.82</v>
      </c>
      <c r="S926" s="6" t="str">
        <f t="shared" si="14"/>
        <v xml:space="preserve"> </v>
      </c>
      <c r="T926" s="6" t="str">
        <f>IF(IF(COUNTIF(H$2:$H926,H926)=1,1,"")=1,SUMIF($H$2:$H$7997,H926,$S$2:$S$7997),"")</f>
        <v/>
      </c>
      <c r="W926">
        <v>618838</v>
      </c>
      <c r="X926">
        <v>513191</v>
      </c>
      <c r="Y926">
        <v>0</v>
      </c>
      <c r="Z926">
        <v>0</v>
      </c>
      <c r="AA926" s="2">
        <v>1</v>
      </c>
      <c r="AB926" s="2">
        <v>0</v>
      </c>
      <c r="AC926" s="2">
        <v>0</v>
      </c>
      <c r="AD926">
        <v>0</v>
      </c>
      <c r="AE926" t="s">
        <v>1862</v>
      </c>
      <c r="AF926">
        <v>5090.8999999999996</v>
      </c>
      <c r="AG926">
        <v>1124650</v>
      </c>
      <c r="AH926">
        <v>22493</v>
      </c>
      <c r="AI926" s="1" t="s">
        <v>303</v>
      </c>
      <c r="AJ926">
        <v>93917914</v>
      </c>
      <c r="AK926" s="1" t="s">
        <v>1867</v>
      </c>
      <c r="AL926" t="s">
        <v>1936</v>
      </c>
      <c r="AN926" t="s">
        <v>2054</v>
      </c>
      <c r="AO926" t="s">
        <v>2067</v>
      </c>
      <c r="AP926" t="s">
        <v>2083</v>
      </c>
      <c r="AQ926">
        <v>128048</v>
      </c>
      <c r="AR926" s="3">
        <v>46203</v>
      </c>
      <c r="AS926" s="3">
        <v>46154</v>
      </c>
      <c r="AT926" s="3">
        <v>46203</v>
      </c>
      <c r="AU926" t="s">
        <v>2123</v>
      </c>
      <c r="AW926" s="3">
        <v>46208.53701449134</v>
      </c>
    </row>
    <row r="927" spans="1:49" ht="16" hidden="1" x14ac:dyDescent="0.2">
      <c r="A927" t="s">
        <v>69</v>
      </c>
      <c r="B927">
        <v>11418</v>
      </c>
      <c r="C927">
        <v>1162</v>
      </c>
      <c r="D927" t="s">
        <v>152</v>
      </c>
      <c r="E927" t="s">
        <v>315</v>
      </c>
      <c r="F927">
        <v>267883</v>
      </c>
      <c r="G927" t="s">
        <v>586</v>
      </c>
      <c r="H927">
        <v>585798</v>
      </c>
      <c r="I927" t="s">
        <v>1149</v>
      </c>
      <c r="J927">
        <v>93989729</v>
      </c>
      <c r="K927" t="s">
        <v>1839</v>
      </c>
      <c r="L927" t="s">
        <v>1850</v>
      </c>
      <c r="M927" s="1">
        <v>40</v>
      </c>
      <c r="N927" t="s">
        <v>23</v>
      </c>
      <c r="O927">
        <v>803963</v>
      </c>
      <c r="P927" s="1">
        <v>30690</v>
      </c>
      <c r="S927" s="6" t="str">
        <f t="shared" si="14"/>
        <v xml:space="preserve"> </v>
      </c>
      <c r="T927" s="6">
        <f>IF(IF(COUNTIF(H$2:$H927,H927)=1,1,"")=1,SUMIF($H$2:$H$7997,H927,$S$2:$S$7997),"")</f>
        <v>0</v>
      </c>
      <c r="W927">
        <v>803963</v>
      </c>
      <c r="X927">
        <v>803963</v>
      </c>
      <c r="Y927">
        <v>0</v>
      </c>
      <c r="Z927">
        <v>0</v>
      </c>
      <c r="AA927" s="2">
        <v>1</v>
      </c>
      <c r="AB927" s="2">
        <v>0</v>
      </c>
      <c r="AC927" s="2">
        <v>0</v>
      </c>
      <c r="AD927">
        <v>0</v>
      </c>
      <c r="AE927" t="s">
        <v>1862</v>
      </c>
      <c r="AF927">
        <v>15345</v>
      </c>
      <c r="AG927">
        <v>767250</v>
      </c>
      <c r="AH927">
        <v>30690</v>
      </c>
      <c r="AI927" s="1" t="s">
        <v>315</v>
      </c>
      <c r="AJ927">
        <v>93989716</v>
      </c>
      <c r="AK927" s="1" t="s">
        <v>1867</v>
      </c>
      <c r="AL927" t="s">
        <v>1946</v>
      </c>
      <c r="AN927" t="s">
        <v>2054</v>
      </c>
      <c r="AO927" t="s">
        <v>2067</v>
      </c>
      <c r="AP927" t="s">
        <v>2094</v>
      </c>
      <c r="AQ927">
        <v>128045</v>
      </c>
      <c r="AR927" s="3">
        <v>46203</v>
      </c>
      <c r="AS927" s="3">
        <v>46174</v>
      </c>
      <c r="AT927" s="3">
        <v>46203</v>
      </c>
      <c r="AU927" t="s">
        <v>2124</v>
      </c>
      <c r="AW927" s="3">
        <v>46208.53701449134</v>
      </c>
    </row>
    <row r="928" spans="1:49" ht="16" hidden="1" x14ac:dyDescent="0.2">
      <c r="A928" t="s">
        <v>69</v>
      </c>
      <c r="B928">
        <v>11418</v>
      </c>
      <c r="C928">
        <v>1162</v>
      </c>
      <c r="D928" t="s">
        <v>152</v>
      </c>
      <c r="E928" t="s">
        <v>315</v>
      </c>
      <c r="F928">
        <v>267883</v>
      </c>
      <c r="G928" t="s">
        <v>586</v>
      </c>
      <c r="H928">
        <v>585798</v>
      </c>
      <c r="I928" t="s">
        <v>1153</v>
      </c>
      <c r="J928">
        <v>93989756</v>
      </c>
      <c r="K928" t="s">
        <v>1835</v>
      </c>
      <c r="L928" t="s">
        <v>1850</v>
      </c>
      <c r="M928" s="1">
        <v>40</v>
      </c>
      <c r="N928" t="s">
        <v>23</v>
      </c>
      <c r="O928">
        <v>14690</v>
      </c>
      <c r="P928" s="1">
        <v>560</v>
      </c>
      <c r="S928" s="6" t="str">
        <f t="shared" si="14"/>
        <v xml:space="preserve"> </v>
      </c>
      <c r="T928" s="6" t="str">
        <f>IF(IF(COUNTIF(H$2:$H928,H928)=1,1,"")=1,SUMIF($H$2:$H$7997,H928,$S$2:$S$7997),"")</f>
        <v/>
      </c>
      <c r="W928">
        <v>14690</v>
      </c>
      <c r="X928">
        <v>14690</v>
      </c>
      <c r="Y928">
        <v>0</v>
      </c>
      <c r="Z928">
        <v>0</v>
      </c>
      <c r="AA928" s="2">
        <v>1</v>
      </c>
      <c r="AB928" s="2">
        <v>0</v>
      </c>
      <c r="AC928" s="2">
        <v>0</v>
      </c>
      <c r="AD928">
        <v>0</v>
      </c>
      <c r="AE928" t="s">
        <v>1862</v>
      </c>
      <c r="AF928">
        <v>280</v>
      </c>
      <c r="AG928">
        <v>14000</v>
      </c>
      <c r="AH928">
        <v>560</v>
      </c>
      <c r="AI928" s="1" t="s">
        <v>315</v>
      </c>
      <c r="AJ928">
        <v>93989716</v>
      </c>
      <c r="AK928" s="1" t="s">
        <v>1867</v>
      </c>
      <c r="AL928" t="s">
        <v>1946</v>
      </c>
      <c r="AN928" t="s">
        <v>2054</v>
      </c>
      <c r="AO928" t="s">
        <v>2067</v>
      </c>
      <c r="AP928" t="s">
        <v>2092</v>
      </c>
      <c r="AQ928">
        <v>128045</v>
      </c>
      <c r="AR928" s="3">
        <v>46203</v>
      </c>
      <c r="AS928" s="3">
        <v>46174</v>
      </c>
      <c r="AT928" s="3">
        <v>46203</v>
      </c>
      <c r="AU928" t="s">
        <v>2123</v>
      </c>
      <c r="AW928" s="3">
        <v>46208.53701449134</v>
      </c>
    </row>
    <row r="929" spans="1:49" ht="16" hidden="1" x14ac:dyDescent="0.2">
      <c r="A929" t="s">
        <v>69</v>
      </c>
      <c r="B929">
        <v>11418</v>
      </c>
      <c r="C929">
        <v>1162</v>
      </c>
      <c r="D929" t="s">
        <v>152</v>
      </c>
      <c r="E929" t="s">
        <v>315</v>
      </c>
      <c r="F929">
        <v>267883</v>
      </c>
      <c r="G929" t="s">
        <v>587</v>
      </c>
      <c r="H929">
        <v>585818</v>
      </c>
      <c r="I929" t="s">
        <v>1150</v>
      </c>
      <c r="J929">
        <v>93989732</v>
      </c>
      <c r="K929" t="s">
        <v>1840</v>
      </c>
      <c r="L929" t="s">
        <v>1850</v>
      </c>
      <c r="M929" s="1">
        <v>20</v>
      </c>
      <c r="N929" t="s">
        <v>23</v>
      </c>
      <c r="O929">
        <v>793460</v>
      </c>
      <c r="P929" s="1">
        <v>15869.2</v>
      </c>
      <c r="S929" s="6" t="str">
        <f t="shared" si="14"/>
        <v xml:space="preserve"> </v>
      </c>
      <c r="T929" s="6">
        <f>IF(IF(COUNTIF(H$2:$H929,H929)=1,1,"")=1,SUMIF($H$2:$H$7997,H929,$S$2:$S$7997),"")</f>
        <v>0</v>
      </c>
      <c r="W929">
        <v>711721</v>
      </c>
      <c r="X929">
        <v>793460</v>
      </c>
      <c r="Y929">
        <v>0</v>
      </c>
      <c r="Z929">
        <v>0</v>
      </c>
      <c r="AA929" s="2">
        <v>1</v>
      </c>
      <c r="AB929" s="2">
        <v>0</v>
      </c>
      <c r="AC929" s="2">
        <v>0</v>
      </c>
      <c r="AD929">
        <v>0</v>
      </c>
      <c r="AE929" t="s">
        <v>1862</v>
      </c>
      <c r="AF929">
        <v>9118.2900000000009</v>
      </c>
      <c r="AG929">
        <v>1481280</v>
      </c>
      <c r="AH929">
        <v>29625.599999999999</v>
      </c>
      <c r="AI929" s="1" t="s">
        <v>315</v>
      </c>
      <c r="AJ929">
        <v>93989716</v>
      </c>
      <c r="AK929" s="1" t="s">
        <v>1867</v>
      </c>
      <c r="AL929" t="s">
        <v>1946</v>
      </c>
      <c r="AN929" t="s">
        <v>2054</v>
      </c>
      <c r="AO929" t="s">
        <v>2067</v>
      </c>
      <c r="AP929" t="s">
        <v>2083</v>
      </c>
      <c r="AQ929">
        <v>128045</v>
      </c>
      <c r="AR929" s="3">
        <v>46203</v>
      </c>
      <c r="AS929" s="3">
        <v>46154</v>
      </c>
      <c r="AT929" s="3">
        <v>46203</v>
      </c>
      <c r="AU929" t="s">
        <v>2123</v>
      </c>
      <c r="AW929" s="3">
        <v>46208.53701449134</v>
      </c>
    </row>
    <row r="930" spans="1:49" ht="16" hidden="1" x14ac:dyDescent="0.2">
      <c r="A930" t="s">
        <v>69</v>
      </c>
      <c r="B930">
        <v>11418</v>
      </c>
      <c r="C930">
        <v>1162</v>
      </c>
      <c r="D930" t="s">
        <v>152</v>
      </c>
      <c r="E930" t="s">
        <v>315</v>
      </c>
      <c r="F930">
        <v>267883</v>
      </c>
      <c r="G930" t="s">
        <v>587</v>
      </c>
      <c r="H930">
        <v>585818</v>
      </c>
      <c r="I930" t="s">
        <v>1151</v>
      </c>
      <c r="J930">
        <v>93989740</v>
      </c>
      <c r="K930" t="s">
        <v>1839</v>
      </c>
      <c r="L930" t="s">
        <v>1850</v>
      </c>
      <c r="M930" s="1">
        <v>20</v>
      </c>
      <c r="N930" t="s">
        <v>23</v>
      </c>
      <c r="O930">
        <v>1427865</v>
      </c>
      <c r="P930" s="1">
        <v>28557.3</v>
      </c>
      <c r="S930" s="6" t="str">
        <f t="shared" si="14"/>
        <v xml:space="preserve"> </v>
      </c>
      <c r="T930" s="6" t="str">
        <f>IF(IF(COUNTIF(H$2:$H930,H930)=1,1,"")=1,SUMIF($H$2:$H$7997,H930,$S$2:$S$7997),"")</f>
        <v/>
      </c>
      <c r="W930">
        <v>2996660</v>
      </c>
      <c r="X930">
        <v>1427865</v>
      </c>
      <c r="Y930">
        <v>0</v>
      </c>
      <c r="Z930">
        <v>0</v>
      </c>
      <c r="AA930" s="2">
        <v>1</v>
      </c>
      <c r="AB930" s="2">
        <v>0</v>
      </c>
      <c r="AC930" s="2">
        <v>0</v>
      </c>
      <c r="AD930">
        <v>0</v>
      </c>
      <c r="AE930" t="s">
        <v>1862</v>
      </c>
      <c r="AF930">
        <v>26450.46</v>
      </c>
      <c r="AG930">
        <v>4296920</v>
      </c>
      <c r="AH930">
        <v>85938.4</v>
      </c>
      <c r="AI930" s="1" t="s">
        <v>315</v>
      </c>
      <c r="AJ930">
        <v>93989716</v>
      </c>
      <c r="AK930" s="1" t="s">
        <v>1867</v>
      </c>
      <c r="AL930" t="s">
        <v>1946</v>
      </c>
      <c r="AN930" t="s">
        <v>2054</v>
      </c>
      <c r="AO930" t="s">
        <v>2067</v>
      </c>
      <c r="AP930" t="s">
        <v>2093</v>
      </c>
      <c r="AQ930">
        <v>128045</v>
      </c>
      <c r="AR930" s="3">
        <v>46203</v>
      </c>
      <c r="AS930" s="3">
        <v>46154</v>
      </c>
      <c r="AT930" s="3">
        <v>46203</v>
      </c>
      <c r="AU930" t="s">
        <v>2124</v>
      </c>
      <c r="AW930" s="3">
        <v>46208.53701449134</v>
      </c>
    </row>
    <row r="931" spans="1:49" ht="16" hidden="1" x14ac:dyDescent="0.2">
      <c r="A931" t="s">
        <v>69</v>
      </c>
      <c r="B931">
        <v>11418</v>
      </c>
      <c r="C931">
        <v>1162</v>
      </c>
      <c r="D931" t="s">
        <v>152</v>
      </c>
      <c r="E931" t="s">
        <v>315</v>
      </c>
      <c r="F931">
        <v>267883</v>
      </c>
      <c r="G931" t="s">
        <v>584</v>
      </c>
      <c r="H931">
        <v>585821</v>
      </c>
      <c r="I931" t="s">
        <v>1152</v>
      </c>
      <c r="J931">
        <v>93989751</v>
      </c>
      <c r="K931" t="s">
        <v>1839</v>
      </c>
      <c r="L931" t="s">
        <v>1850</v>
      </c>
      <c r="M931" s="1">
        <v>40</v>
      </c>
      <c r="N931" t="s">
        <v>23</v>
      </c>
      <c r="O931">
        <v>804246</v>
      </c>
      <c r="P931" s="1">
        <v>30690</v>
      </c>
      <c r="S931" s="6" t="str">
        <f t="shared" si="14"/>
        <v xml:space="preserve"> </v>
      </c>
      <c r="T931" s="6">
        <f>IF(IF(COUNTIF(H$2:$H931,H931)=1,1,"")=1,SUMIF($H$2:$H$7997,H931,$S$2:$S$7997),"")</f>
        <v>0</v>
      </c>
      <c r="W931">
        <v>804246</v>
      </c>
      <c r="X931">
        <v>804246</v>
      </c>
      <c r="Y931">
        <v>0</v>
      </c>
      <c r="Z931">
        <v>0</v>
      </c>
      <c r="AA931" s="2">
        <v>1</v>
      </c>
      <c r="AB931" s="2">
        <v>0</v>
      </c>
      <c r="AC931" s="2">
        <v>0</v>
      </c>
      <c r="AD931">
        <v>0</v>
      </c>
      <c r="AE931" t="s">
        <v>1862</v>
      </c>
      <c r="AF931">
        <v>15345</v>
      </c>
      <c r="AG931">
        <v>767250</v>
      </c>
      <c r="AH931">
        <v>30690</v>
      </c>
      <c r="AI931" s="1" t="s">
        <v>315</v>
      </c>
      <c r="AJ931">
        <v>93989716</v>
      </c>
      <c r="AK931" s="1" t="s">
        <v>1867</v>
      </c>
      <c r="AL931" t="s">
        <v>1946</v>
      </c>
      <c r="AN931" t="s">
        <v>2054</v>
      </c>
      <c r="AO931" t="s">
        <v>2067</v>
      </c>
      <c r="AP931" t="s">
        <v>2094</v>
      </c>
      <c r="AQ931">
        <v>128045</v>
      </c>
      <c r="AR931" s="3">
        <v>46203</v>
      </c>
      <c r="AS931" s="3">
        <v>46174</v>
      </c>
      <c r="AT931" s="3">
        <v>46203</v>
      </c>
      <c r="AU931" t="s">
        <v>2124</v>
      </c>
      <c r="AW931" s="3">
        <v>46208.53701449134</v>
      </c>
    </row>
    <row r="932" spans="1:49" ht="16" hidden="1" x14ac:dyDescent="0.2">
      <c r="A932" t="s">
        <v>69</v>
      </c>
      <c r="B932">
        <v>11418</v>
      </c>
      <c r="C932">
        <v>1162</v>
      </c>
      <c r="D932" t="s">
        <v>152</v>
      </c>
      <c r="E932" t="s">
        <v>315</v>
      </c>
      <c r="F932">
        <v>267883</v>
      </c>
      <c r="G932" t="s">
        <v>584</v>
      </c>
      <c r="H932">
        <v>585821</v>
      </c>
      <c r="I932" t="s">
        <v>1146</v>
      </c>
      <c r="J932">
        <v>93989719</v>
      </c>
      <c r="K932" t="s">
        <v>1835</v>
      </c>
      <c r="L932" t="s">
        <v>1850</v>
      </c>
      <c r="M932" s="1">
        <v>40</v>
      </c>
      <c r="N932" t="s">
        <v>23</v>
      </c>
      <c r="O932">
        <v>14691</v>
      </c>
      <c r="P932" s="1">
        <v>560</v>
      </c>
      <c r="S932" s="6" t="str">
        <f t="shared" si="14"/>
        <v xml:space="preserve"> </v>
      </c>
      <c r="T932" s="6" t="str">
        <f>IF(IF(COUNTIF(H$2:$H932,H932)=1,1,"")=1,SUMIF($H$2:$H$7997,H932,$S$2:$S$7997),"")</f>
        <v/>
      </c>
      <c r="W932">
        <v>14691</v>
      </c>
      <c r="X932">
        <v>14691</v>
      </c>
      <c r="Y932">
        <v>0</v>
      </c>
      <c r="Z932">
        <v>0</v>
      </c>
      <c r="AA932" s="2">
        <v>1</v>
      </c>
      <c r="AB932" s="2">
        <v>0</v>
      </c>
      <c r="AC932" s="2">
        <v>0</v>
      </c>
      <c r="AD932">
        <v>0</v>
      </c>
      <c r="AE932" t="s">
        <v>1862</v>
      </c>
      <c r="AF932">
        <v>280</v>
      </c>
      <c r="AG932">
        <v>14000</v>
      </c>
      <c r="AH932">
        <v>560</v>
      </c>
      <c r="AI932" s="1" t="s">
        <v>315</v>
      </c>
      <c r="AJ932">
        <v>93989716</v>
      </c>
      <c r="AK932" s="1" t="s">
        <v>1867</v>
      </c>
      <c r="AL932" t="s">
        <v>1946</v>
      </c>
      <c r="AN932" t="s">
        <v>2054</v>
      </c>
      <c r="AO932" t="s">
        <v>2067</v>
      </c>
      <c r="AP932" t="s">
        <v>2092</v>
      </c>
      <c r="AQ932">
        <v>128045</v>
      </c>
      <c r="AR932" s="3">
        <v>46203</v>
      </c>
      <c r="AS932" s="3">
        <v>46174</v>
      </c>
      <c r="AT932" s="3">
        <v>46203</v>
      </c>
      <c r="AU932" t="s">
        <v>2123</v>
      </c>
      <c r="AW932" s="3">
        <v>46208.53701449134</v>
      </c>
    </row>
    <row r="933" spans="1:49" ht="16" hidden="1" x14ac:dyDescent="0.2">
      <c r="A933" t="s">
        <v>69</v>
      </c>
      <c r="B933">
        <v>11418</v>
      </c>
      <c r="C933">
        <v>1162</v>
      </c>
      <c r="D933" t="s">
        <v>152</v>
      </c>
      <c r="E933" t="s">
        <v>315</v>
      </c>
      <c r="F933">
        <v>267883</v>
      </c>
      <c r="G933" t="s">
        <v>585</v>
      </c>
      <c r="H933">
        <v>585828</v>
      </c>
      <c r="I933" t="s">
        <v>1148</v>
      </c>
      <c r="J933">
        <v>93989725</v>
      </c>
      <c r="K933" t="s">
        <v>1840</v>
      </c>
      <c r="L933" t="s">
        <v>1850</v>
      </c>
      <c r="M933" s="1">
        <v>20</v>
      </c>
      <c r="N933" t="s">
        <v>23</v>
      </c>
      <c r="O933">
        <v>802628</v>
      </c>
      <c r="P933" s="1">
        <v>16052.56</v>
      </c>
      <c r="S933" s="6" t="str">
        <f t="shared" si="14"/>
        <v xml:space="preserve"> </v>
      </c>
      <c r="T933" s="6">
        <f>IF(IF(COUNTIF(H$2:$H933,H933)=1,1,"")=1,SUMIF($H$2:$H$7997,H933,$S$2:$S$7997),"")</f>
        <v>0</v>
      </c>
      <c r="W933">
        <v>222327</v>
      </c>
      <c r="X933">
        <v>802628</v>
      </c>
      <c r="Y933">
        <v>0</v>
      </c>
      <c r="Z933">
        <v>0</v>
      </c>
      <c r="AA933" s="2">
        <v>1</v>
      </c>
      <c r="AB933" s="2">
        <v>0</v>
      </c>
      <c r="AC933" s="2">
        <v>0</v>
      </c>
      <c r="AD933">
        <v>0</v>
      </c>
      <c r="AE933" t="s">
        <v>1862</v>
      </c>
      <c r="AF933">
        <v>6214.37</v>
      </c>
      <c r="AG933">
        <v>1011280</v>
      </c>
      <c r="AH933">
        <v>20225.599999999999</v>
      </c>
      <c r="AI933" s="1" t="s">
        <v>315</v>
      </c>
      <c r="AJ933">
        <v>93989716</v>
      </c>
      <c r="AK933" s="1" t="s">
        <v>1867</v>
      </c>
      <c r="AL933" t="s">
        <v>1946</v>
      </c>
      <c r="AN933" t="s">
        <v>2054</v>
      </c>
      <c r="AO933" t="s">
        <v>2067</v>
      </c>
      <c r="AP933" t="s">
        <v>2083</v>
      </c>
      <c r="AQ933">
        <v>128045</v>
      </c>
      <c r="AR933" s="3">
        <v>46203</v>
      </c>
      <c r="AS933" s="3">
        <v>46154</v>
      </c>
      <c r="AT933" s="3">
        <v>46203</v>
      </c>
      <c r="AU933" t="s">
        <v>2123</v>
      </c>
      <c r="AW933" s="3">
        <v>46208.53701449134</v>
      </c>
    </row>
    <row r="934" spans="1:49" ht="16" hidden="1" x14ac:dyDescent="0.2">
      <c r="A934" t="s">
        <v>69</v>
      </c>
      <c r="B934">
        <v>11418</v>
      </c>
      <c r="C934">
        <v>1162</v>
      </c>
      <c r="D934" t="s">
        <v>152</v>
      </c>
      <c r="E934" t="s">
        <v>315</v>
      </c>
      <c r="F934">
        <v>267883</v>
      </c>
      <c r="G934" t="s">
        <v>585</v>
      </c>
      <c r="H934">
        <v>585828</v>
      </c>
      <c r="I934" t="s">
        <v>1147</v>
      </c>
      <c r="J934">
        <v>93989722</v>
      </c>
      <c r="K934" t="s">
        <v>1839</v>
      </c>
      <c r="L934" t="s">
        <v>1850</v>
      </c>
      <c r="M934" s="1">
        <v>20</v>
      </c>
      <c r="N934" t="s">
        <v>23</v>
      </c>
      <c r="O934">
        <v>1424836</v>
      </c>
      <c r="P934" s="1">
        <v>28496.720000000001</v>
      </c>
      <c r="S934" s="6" t="str">
        <f t="shared" si="14"/>
        <v xml:space="preserve"> </v>
      </c>
      <c r="T934" s="6" t="str">
        <f>IF(IF(COUNTIF(H$2:$H934,H934)=1,1,"")=1,SUMIF($H$2:$H$7997,H934,$S$2:$S$7997),"")</f>
        <v/>
      </c>
      <c r="W934">
        <v>3482967</v>
      </c>
      <c r="X934">
        <v>1424836</v>
      </c>
      <c r="Y934">
        <v>0</v>
      </c>
      <c r="Z934">
        <v>0</v>
      </c>
      <c r="AA934" s="2">
        <v>1</v>
      </c>
      <c r="AB934" s="2">
        <v>0</v>
      </c>
      <c r="AC934" s="2">
        <v>0</v>
      </c>
      <c r="AD934">
        <v>0</v>
      </c>
      <c r="AE934" t="s">
        <v>1862</v>
      </c>
      <c r="AF934">
        <v>29292.99</v>
      </c>
      <c r="AG934">
        <v>4766920</v>
      </c>
      <c r="AH934">
        <v>95338.4</v>
      </c>
      <c r="AI934" s="1" t="s">
        <v>315</v>
      </c>
      <c r="AJ934">
        <v>93989716</v>
      </c>
      <c r="AK934" s="1" t="s">
        <v>1867</v>
      </c>
      <c r="AL934" t="s">
        <v>1946</v>
      </c>
      <c r="AN934" t="s">
        <v>2054</v>
      </c>
      <c r="AO934" t="s">
        <v>2067</v>
      </c>
      <c r="AP934" t="s">
        <v>2093</v>
      </c>
      <c r="AQ934">
        <v>128045</v>
      </c>
      <c r="AR934" s="3">
        <v>46203</v>
      </c>
      <c r="AS934" s="3">
        <v>46154</v>
      </c>
      <c r="AT934" s="3">
        <v>46203</v>
      </c>
      <c r="AU934" t="s">
        <v>2124</v>
      </c>
      <c r="AW934" s="3">
        <v>46208.53701449134</v>
      </c>
    </row>
    <row r="935" spans="1:49" ht="16" hidden="1" x14ac:dyDescent="0.2">
      <c r="A935" t="s">
        <v>69</v>
      </c>
      <c r="B935">
        <v>11418</v>
      </c>
      <c r="C935">
        <v>7034</v>
      </c>
      <c r="D935" t="s">
        <v>134</v>
      </c>
      <c r="E935" t="s">
        <v>258</v>
      </c>
      <c r="F935">
        <v>263599</v>
      </c>
      <c r="G935" t="s">
        <v>478</v>
      </c>
      <c r="H935">
        <v>569527</v>
      </c>
      <c r="I935" t="s">
        <v>970</v>
      </c>
      <c r="J935">
        <v>93030138</v>
      </c>
      <c r="K935" t="s">
        <v>1835</v>
      </c>
      <c r="L935" t="s">
        <v>1850</v>
      </c>
      <c r="M935" s="1">
        <v>23</v>
      </c>
      <c r="N935" t="s">
        <v>1853</v>
      </c>
      <c r="O935">
        <v>1340508</v>
      </c>
      <c r="P935" s="1">
        <v>0</v>
      </c>
      <c r="S935" s="6" t="str">
        <f t="shared" si="14"/>
        <v xml:space="preserve"> </v>
      </c>
      <c r="T935" s="6">
        <f>IF(IF(COUNTIF(H$2:$H935,H935)=1,1,"")=1,SUMIF($H$2:$H$7997,H935,$S$2:$S$7997),"")</f>
        <v>0</v>
      </c>
      <c r="W935">
        <v>1701182</v>
      </c>
      <c r="X935">
        <v>1200156</v>
      </c>
      <c r="Y935">
        <v>1900126</v>
      </c>
      <c r="Z935">
        <v>1340508</v>
      </c>
      <c r="AA935" s="2">
        <v>1</v>
      </c>
      <c r="AB935" s="2">
        <v>1.116944926876805</v>
      </c>
      <c r="AC935" s="2">
        <v>0</v>
      </c>
      <c r="AD935">
        <v>0</v>
      </c>
      <c r="AE935" t="s">
        <v>1862</v>
      </c>
      <c r="AF935">
        <v>0</v>
      </c>
      <c r="AG935">
        <v>4713882</v>
      </c>
      <c r="AH935">
        <v>0</v>
      </c>
      <c r="AI935" s="1" t="s">
        <v>258</v>
      </c>
      <c r="AJ935">
        <v>93030129</v>
      </c>
      <c r="AK935" s="1" t="s">
        <v>1867</v>
      </c>
      <c r="AL935" t="s">
        <v>1897</v>
      </c>
      <c r="AN935" t="s">
        <v>2054</v>
      </c>
      <c r="AO935" t="s">
        <v>2068</v>
      </c>
      <c r="AP935" t="s">
        <v>2071</v>
      </c>
      <c r="AQ935">
        <v>123956</v>
      </c>
      <c r="AR935" s="3">
        <v>46203</v>
      </c>
      <c r="AS935" s="3">
        <v>46113</v>
      </c>
      <c r="AT935" s="3">
        <v>46203</v>
      </c>
      <c r="AU935" t="s">
        <v>2123</v>
      </c>
      <c r="AW935" s="3">
        <v>46208.53701449134</v>
      </c>
    </row>
    <row r="936" spans="1:49" ht="16" hidden="1" x14ac:dyDescent="0.2">
      <c r="A936" t="s">
        <v>69</v>
      </c>
      <c r="B936">
        <v>11418</v>
      </c>
      <c r="C936">
        <v>3711</v>
      </c>
      <c r="D936" t="s">
        <v>132</v>
      </c>
      <c r="E936" t="s">
        <v>389</v>
      </c>
      <c r="F936">
        <v>261764</v>
      </c>
      <c r="G936" t="s">
        <v>717</v>
      </c>
      <c r="H936">
        <v>581693</v>
      </c>
      <c r="I936" t="s">
        <v>1388</v>
      </c>
      <c r="J936">
        <v>94517486</v>
      </c>
      <c r="K936" t="s">
        <v>1839</v>
      </c>
      <c r="L936" t="s">
        <v>1850</v>
      </c>
      <c r="M936" s="1">
        <v>40</v>
      </c>
      <c r="N936" t="s">
        <v>23</v>
      </c>
      <c r="O936">
        <v>1187068</v>
      </c>
      <c r="P936" s="1">
        <v>46900</v>
      </c>
      <c r="S936" s="6" t="str">
        <f t="shared" si="14"/>
        <v xml:space="preserve"> </v>
      </c>
      <c r="T936" s="6">
        <f>IF(IF(COUNTIF(H$2:$H936,H936)=1,1,"")=1,SUMIF($H$2:$H$7997,H936,$S$2:$S$7997),"")</f>
        <v>0</v>
      </c>
      <c r="W936">
        <v>1187068</v>
      </c>
      <c r="X936">
        <v>1187068</v>
      </c>
      <c r="Y936">
        <v>0</v>
      </c>
      <c r="Z936">
        <v>0</v>
      </c>
      <c r="AA936" s="2">
        <v>1</v>
      </c>
      <c r="AB936" s="2">
        <v>0</v>
      </c>
      <c r="AC936" s="2">
        <v>0</v>
      </c>
      <c r="AD936">
        <v>0</v>
      </c>
      <c r="AE936" t="s">
        <v>1862</v>
      </c>
      <c r="AF936">
        <v>23450</v>
      </c>
      <c r="AG936">
        <v>1172500</v>
      </c>
      <c r="AH936">
        <v>46900</v>
      </c>
      <c r="AI936" s="1" t="s">
        <v>389</v>
      </c>
      <c r="AJ936">
        <v>94517466</v>
      </c>
      <c r="AK936" s="1" t="s">
        <v>1867</v>
      </c>
      <c r="AL936" t="s">
        <v>2003</v>
      </c>
      <c r="AN936" t="s">
        <v>2054</v>
      </c>
      <c r="AO936" t="s">
        <v>2067</v>
      </c>
      <c r="AP936" t="s">
        <v>2094</v>
      </c>
      <c r="AQ936">
        <v>130574</v>
      </c>
      <c r="AR936" s="3">
        <v>46203</v>
      </c>
      <c r="AS936" s="3">
        <v>46195</v>
      </c>
      <c r="AT936" s="3">
        <v>46203</v>
      </c>
      <c r="AU936" t="s">
        <v>2124</v>
      </c>
      <c r="AW936" s="3">
        <v>46208.53701449134</v>
      </c>
    </row>
    <row r="937" spans="1:49" ht="16" hidden="1" x14ac:dyDescent="0.2">
      <c r="A937" t="s">
        <v>69</v>
      </c>
      <c r="B937">
        <v>11418</v>
      </c>
      <c r="C937">
        <v>3711</v>
      </c>
      <c r="D937" t="s">
        <v>132</v>
      </c>
      <c r="E937" t="s">
        <v>389</v>
      </c>
      <c r="F937">
        <v>261764</v>
      </c>
      <c r="G937" t="s">
        <v>717</v>
      </c>
      <c r="H937">
        <v>581693</v>
      </c>
      <c r="I937" t="s">
        <v>1397</v>
      </c>
      <c r="J937">
        <v>94517552</v>
      </c>
      <c r="K937" t="s">
        <v>1835</v>
      </c>
      <c r="L937" t="s">
        <v>1850</v>
      </c>
      <c r="M937" s="1">
        <v>40</v>
      </c>
      <c r="N937" t="s">
        <v>23</v>
      </c>
      <c r="O937">
        <v>510792</v>
      </c>
      <c r="P937" s="1">
        <v>20100</v>
      </c>
      <c r="S937" s="6" t="str">
        <f t="shared" si="14"/>
        <v xml:space="preserve"> </v>
      </c>
      <c r="T937" s="6" t="str">
        <f>IF(IF(COUNTIF(H$2:$H937,H937)=1,1,"")=1,SUMIF($H$2:$H$7997,H937,$S$2:$S$7997),"")</f>
        <v/>
      </c>
      <c r="W937">
        <v>510792</v>
      </c>
      <c r="X937">
        <v>510792</v>
      </c>
      <c r="Y937">
        <v>0</v>
      </c>
      <c r="Z937">
        <v>0</v>
      </c>
      <c r="AA937" s="2">
        <v>1</v>
      </c>
      <c r="AB937" s="2">
        <v>0</v>
      </c>
      <c r="AC937" s="2">
        <v>0</v>
      </c>
      <c r="AD937">
        <v>0</v>
      </c>
      <c r="AE937" t="s">
        <v>1862</v>
      </c>
      <c r="AF937">
        <v>10050</v>
      </c>
      <c r="AG937">
        <v>502500</v>
      </c>
      <c r="AH937">
        <v>20100</v>
      </c>
      <c r="AI937" s="1" t="s">
        <v>389</v>
      </c>
      <c r="AJ937">
        <v>94517466</v>
      </c>
      <c r="AK937" s="1" t="s">
        <v>1867</v>
      </c>
      <c r="AL937" t="s">
        <v>2003</v>
      </c>
      <c r="AN937" t="s">
        <v>2054</v>
      </c>
      <c r="AO937" t="s">
        <v>2067</v>
      </c>
      <c r="AP937" t="s">
        <v>2092</v>
      </c>
      <c r="AQ937">
        <v>130574</v>
      </c>
      <c r="AR937" s="3">
        <v>46203</v>
      </c>
      <c r="AS937" s="3">
        <v>46195</v>
      </c>
      <c r="AT937" s="3">
        <v>46203</v>
      </c>
      <c r="AU937" t="s">
        <v>2123</v>
      </c>
      <c r="AW937" s="3">
        <v>46208.53701449134</v>
      </c>
    </row>
    <row r="938" spans="1:49" ht="16" hidden="1" x14ac:dyDescent="0.2">
      <c r="A938" t="s">
        <v>69</v>
      </c>
      <c r="B938">
        <v>11418</v>
      </c>
      <c r="C938">
        <v>3711</v>
      </c>
      <c r="D938" t="s">
        <v>132</v>
      </c>
      <c r="E938" t="s">
        <v>389</v>
      </c>
      <c r="F938">
        <v>261764</v>
      </c>
      <c r="G938" t="s">
        <v>823</v>
      </c>
      <c r="H938">
        <v>581709</v>
      </c>
      <c r="I938" t="s">
        <v>1610</v>
      </c>
      <c r="J938">
        <v>7335421652</v>
      </c>
      <c r="K938" t="s">
        <v>1835</v>
      </c>
      <c r="L938" t="s">
        <v>1850</v>
      </c>
      <c r="M938" s="1">
        <v>6</v>
      </c>
      <c r="N938" t="s">
        <v>23</v>
      </c>
      <c r="O938">
        <v>0</v>
      </c>
      <c r="P938" s="1">
        <v>0</v>
      </c>
      <c r="S938" s="6" t="str">
        <f t="shared" si="14"/>
        <v xml:space="preserve"> </v>
      </c>
      <c r="T938" s="6">
        <f>IF(IF(COUNTIF(H$2:$H938,H938)=1,1,"")=1,SUMIF($H$2:$H$7997,H938,$S$2:$S$7997),"")</f>
        <v>0</v>
      </c>
      <c r="W938">
        <v>0</v>
      </c>
      <c r="X938">
        <v>0</v>
      </c>
      <c r="Y938">
        <v>0</v>
      </c>
      <c r="Z938">
        <v>0</v>
      </c>
      <c r="AA938" s="2">
        <v>1</v>
      </c>
      <c r="AB938" s="2">
        <v>0</v>
      </c>
      <c r="AC938" s="2">
        <v>0</v>
      </c>
      <c r="AD938">
        <v>0</v>
      </c>
      <c r="AE938" t="s">
        <v>1862</v>
      </c>
      <c r="AF938">
        <v>44957.42</v>
      </c>
      <c r="AG938">
        <v>60000000</v>
      </c>
      <c r="AH938">
        <v>360000</v>
      </c>
      <c r="AI938" s="1" t="s">
        <v>389</v>
      </c>
      <c r="AJ938">
        <v>261764</v>
      </c>
      <c r="AK938" s="1" t="s">
        <v>1867</v>
      </c>
      <c r="AL938" t="s">
        <v>2003</v>
      </c>
      <c r="AN938" t="s">
        <v>2054</v>
      </c>
      <c r="AO938" t="s">
        <v>2067</v>
      </c>
      <c r="AP938" t="s">
        <v>2103</v>
      </c>
      <c r="AQ938">
        <v>130574</v>
      </c>
      <c r="AR938" s="3">
        <v>46203</v>
      </c>
      <c r="AS938" s="3">
        <v>46181</v>
      </c>
      <c r="AT938" s="3">
        <v>46222</v>
      </c>
      <c r="AU938" t="s">
        <v>2126</v>
      </c>
      <c r="AW938" s="3">
        <v>46208.53701449134</v>
      </c>
    </row>
    <row r="939" spans="1:49" ht="16" hidden="1" x14ac:dyDescent="0.2">
      <c r="A939" t="s">
        <v>69</v>
      </c>
      <c r="B939">
        <v>11418</v>
      </c>
      <c r="C939">
        <v>3711</v>
      </c>
      <c r="D939" t="s">
        <v>132</v>
      </c>
      <c r="E939" t="s">
        <v>389</v>
      </c>
      <c r="F939">
        <v>261764</v>
      </c>
      <c r="G939" t="s">
        <v>719</v>
      </c>
      <c r="H939">
        <v>581823</v>
      </c>
      <c r="I939" t="s">
        <v>1390</v>
      </c>
      <c r="J939">
        <v>94517505</v>
      </c>
      <c r="K939" t="s">
        <v>1839</v>
      </c>
      <c r="L939" t="s">
        <v>1850</v>
      </c>
      <c r="M939" s="1">
        <v>20</v>
      </c>
      <c r="N939" t="s">
        <v>1855</v>
      </c>
      <c r="O939">
        <v>115431</v>
      </c>
      <c r="P939" s="1">
        <v>2308.62</v>
      </c>
      <c r="S939" s="6" t="str">
        <f t="shared" si="14"/>
        <v xml:space="preserve"> </v>
      </c>
      <c r="T939" s="6">
        <f>IF(IF(COUNTIF(H$2:$H939,H939)=1,1,"")=1,SUMIF($H$2:$H$7997,H939,$S$2:$S$7997),"")</f>
        <v>0</v>
      </c>
      <c r="W939">
        <v>115431</v>
      </c>
      <c r="X939">
        <v>115431</v>
      </c>
      <c r="Y939">
        <v>0</v>
      </c>
      <c r="Z939">
        <v>0</v>
      </c>
      <c r="AA939" s="2">
        <v>1</v>
      </c>
      <c r="AB939" s="2">
        <v>0</v>
      </c>
      <c r="AC939" s="2">
        <v>0</v>
      </c>
      <c r="AD939">
        <v>0</v>
      </c>
      <c r="AE939" t="s">
        <v>1862</v>
      </c>
      <c r="AF939">
        <v>1155.75</v>
      </c>
      <c r="AG939">
        <v>375000</v>
      </c>
      <c r="AH939">
        <v>7500</v>
      </c>
      <c r="AI939" s="1" t="s">
        <v>389</v>
      </c>
      <c r="AJ939">
        <v>94517466</v>
      </c>
      <c r="AK939" s="1" t="s">
        <v>1868</v>
      </c>
      <c r="AL939" t="s">
        <v>2003</v>
      </c>
      <c r="AN939" t="s">
        <v>2054</v>
      </c>
      <c r="AO939" t="s">
        <v>2067</v>
      </c>
      <c r="AP939" t="s">
        <v>2093</v>
      </c>
      <c r="AQ939">
        <v>130574</v>
      </c>
      <c r="AR939" s="3">
        <v>46203</v>
      </c>
      <c r="AS939" s="3">
        <v>46195</v>
      </c>
      <c r="AT939" s="3">
        <v>46234</v>
      </c>
      <c r="AU939" t="s">
        <v>2124</v>
      </c>
      <c r="AW939" s="3">
        <v>46208.53701449134</v>
      </c>
    </row>
    <row r="940" spans="1:49" ht="16" hidden="1" x14ac:dyDescent="0.2">
      <c r="A940" t="s">
        <v>69</v>
      </c>
      <c r="B940">
        <v>11418</v>
      </c>
      <c r="C940">
        <v>3711</v>
      </c>
      <c r="D940" t="s">
        <v>132</v>
      </c>
      <c r="E940" t="s">
        <v>389</v>
      </c>
      <c r="F940">
        <v>261764</v>
      </c>
      <c r="G940" t="s">
        <v>719</v>
      </c>
      <c r="H940">
        <v>581823</v>
      </c>
      <c r="I940" t="s">
        <v>1391</v>
      </c>
      <c r="J940">
        <v>94517511</v>
      </c>
      <c r="K940" t="s">
        <v>1840</v>
      </c>
      <c r="L940" t="s">
        <v>1850</v>
      </c>
      <c r="M940" s="1">
        <v>20</v>
      </c>
      <c r="N940" t="s">
        <v>1855</v>
      </c>
      <c r="O940">
        <v>71706</v>
      </c>
      <c r="P940" s="1">
        <v>1434.12</v>
      </c>
      <c r="S940" s="6" t="str">
        <f t="shared" si="14"/>
        <v xml:space="preserve"> </v>
      </c>
      <c r="T940" s="6" t="str">
        <f>IF(IF(COUNTIF(H$2:$H940,H940)=1,1,"")=1,SUMIF($H$2:$H$7997,H940,$S$2:$S$7997),"")</f>
        <v/>
      </c>
      <c r="W940">
        <v>71706</v>
      </c>
      <c r="X940">
        <v>71706</v>
      </c>
      <c r="Y940">
        <v>0</v>
      </c>
      <c r="Z940">
        <v>0</v>
      </c>
      <c r="AA940" s="2">
        <v>1</v>
      </c>
      <c r="AB940" s="2">
        <v>0</v>
      </c>
      <c r="AC940" s="2">
        <v>0</v>
      </c>
      <c r="AD940">
        <v>0</v>
      </c>
      <c r="AE940" t="s">
        <v>1862</v>
      </c>
      <c r="AF940">
        <v>770.5</v>
      </c>
      <c r="AG940">
        <v>250000</v>
      </c>
      <c r="AH940">
        <v>5000</v>
      </c>
      <c r="AI940" s="1" t="s">
        <v>389</v>
      </c>
      <c r="AJ940">
        <v>94517466</v>
      </c>
      <c r="AK940" s="1" t="s">
        <v>1868</v>
      </c>
      <c r="AL940" t="s">
        <v>2003</v>
      </c>
      <c r="AN940" t="s">
        <v>2054</v>
      </c>
      <c r="AO940" t="s">
        <v>2067</v>
      </c>
      <c r="AP940" t="s">
        <v>2083</v>
      </c>
      <c r="AQ940">
        <v>130574</v>
      </c>
      <c r="AR940" s="3">
        <v>46203</v>
      </c>
      <c r="AS940" s="3">
        <v>46195</v>
      </c>
      <c r="AT940" s="3">
        <v>46234</v>
      </c>
      <c r="AU940" t="s">
        <v>2123</v>
      </c>
      <c r="AW940" s="3">
        <v>46208.53701449134</v>
      </c>
    </row>
    <row r="941" spans="1:49" ht="16" hidden="1" x14ac:dyDescent="0.2">
      <c r="A941" t="s">
        <v>69</v>
      </c>
      <c r="B941">
        <v>11418</v>
      </c>
      <c r="C941">
        <v>3711</v>
      </c>
      <c r="D941" t="s">
        <v>132</v>
      </c>
      <c r="E941" t="s">
        <v>389</v>
      </c>
      <c r="F941">
        <v>261764</v>
      </c>
      <c r="G941" t="s">
        <v>849</v>
      </c>
      <c r="H941">
        <v>581826</v>
      </c>
      <c r="I941" t="s">
        <v>1784</v>
      </c>
      <c r="J941">
        <v>581827</v>
      </c>
      <c r="K941" t="s">
        <v>1846</v>
      </c>
      <c r="L941" t="s">
        <v>1851</v>
      </c>
      <c r="M941" s="1">
        <v>16666.669999999998</v>
      </c>
      <c r="N941" t="s">
        <v>1858</v>
      </c>
      <c r="O941">
        <v>0</v>
      </c>
      <c r="P941" s="1">
        <v>2678.57</v>
      </c>
      <c r="S941" s="6" t="str">
        <f t="shared" si="14"/>
        <v xml:space="preserve"> </v>
      </c>
      <c r="T941" s="6">
        <f>IF(IF(COUNTIF(H$2:$H941,H941)=1,1,"")=1,SUMIF($H$2:$H$7997,H941,$S$2:$S$7997),"")</f>
        <v>0</v>
      </c>
      <c r="W941">
        <v>0</v>
      </c>
      <c r="X941">
        <v>0</v>
      </c>
      <c r="Y941">
        <v>0</v>
      </c>
      <c r="Z941">
        <v>0</v>
      </c>
      <c r="AA941" s="2">
        <v>1</v>
      </c>
      <c r="AB941" s="2">
        <v>0</v>
      </c>
      <c r="AC941" s="2">
        <v>0</v>
      </c>
      <c r="AD941">
        <v>0</v>
      </c>
      <c r="AE941" t="s">
        <v>1863</v>
      </c>
      <c r="AF941">
        <v>2678.57</v>
      </c>
      <c r="AG941">
        <v>1</v>
      </c>
      <c r="AH941">
        <v>16666.669999999998</v>
      </c>
      <c r="AI941" s="1" t="s">
        <v>389</v>
      </c>
      <c r="AJ941">
        <v>261764</v>
      </c>
      <c r="AK941" s="1" t="s">
        <v>1867</v>
      </c>
      <c r="AL941" t="s">
        <v>2003</v>
      </c>
      <c r="AN941" t="s">
        <v>2054</v>
      </c>
      <c r="AO941" t="s">
        <v>2067</v>
      </c>
      <c r="AP941" t="s">
        <v>2110</v>
      </c>
      <c r="AQ941">
        <v>130574</v>
      </c>
      <c r="AR941" s="3">
        <v>46203</v>
      </c>
      <c r="AS941" s="3">
        <v>46195</v>
      </c>
      <c r="AT941" s="3">
        <v>46222</v>
      </c>
      <c r="AU941" t="s">
        <v>2128</v>
      </c>
      <c r="AW941" s="3">
        <v>46208.53701449134</v>
      </c>
    </row>
    <row r="942" spans="1:49" ht="16" hidden="1" x14ac:dyDescent="0.2">
      <c r="A942" t="s">
        <v>69</v>
      </c>
      <c r="B942">
        <v>11418</v>
      </c>
      <c r="C942">
        <v>3711</v>
      </c>
      <c r="D942" t="s">
        <v>132</v>
      </c>
      <c r="E942" t="s">
        <v>389</v>
      </c>
      <c r="F942">
        <v>261764</v>
      </c>
      <c r="G942" t="s">
        <v>849</v>
      </c>
      <c r="H942">
        <v>581826</v>
      </c>
      <c r="I942" t="s">
        <v>1808</v>
      </c>
      <c r="J942">
        <v>581830</v>
      </c>
      <c r="K942" t="s">
        <v>1844</v>
      </c>
      <c r="L942" t="s">
        <v>1851</v>
      </c>
      <c r="M942" s="1">
        <v>16666.669999999998</v>
      </c>
      <c r="N942" t="s">
        <v>1858</v>
      </c>
      <c r="O942">
        <v>0</v>
      </c>
      <c r="P942" s="1">
        <v>2678.57</v>
      </c>
      <c r="S942" s="6" t="str">
        <f t="shared" si="14"/>
        <v xml:space="preserve"> </v>
      </c>
      <c r="T942" s="6" t="str">
        <f>IF(IF(COUNTIF(H$2:$H942,H942)=1,1,"")=1,SUMIF($H$2:$H$7997,H942,$S$2:$S$7997),"")</f>
        <v/>
      </c>
      <c r="W942">
        <v>0</v>
      </c>
      <c r="X942">
        <v>0</v>
      </c>
      <c r="Y942">
        <v>0</v>
      </c>
      <c r="Z942">
        <v>0</v>
      </c>
      <c r="AA942" s="2">
        <v>1</v>
      </c>
      <c r="AB942" s="2">
        <v>0</v>
      </c>
      <c r="AC942" s="2">
        <v>0</v>
      </c>
      <c r="AD942">
        <v>0</v>
      </c>
      <c r="AE942" t="s">
        <v>1863</v>
      </c>
      <c r="AF942">
        <v>2678.57</v>
      </c>
      <c r="AG942">
        <v>1</v>
      </c>
      <c r="AH942">
        <v>16666.669999999998</v>
      </c>
      <c r="AI942" s="1" t="s">
        <v>389</v>
      </c>
      <c r="AJ942">
        <v>261764</v>
      </c>
      <c r="AK942" s="1" t="s">
        <v>1867</v>
      </c>
      <c r="AL942" t="s">
        <v>2003</v>
      </c>
      <c r="AN942" t="s">
        <v>2054</v>
      </c>
      <c r="AO942" t="s">
        <v>2067</v>
      </c>
      <c r="AP942" t="s">
        <v>2107</v>
      </c>
      <c r="AQ942">
        <v>130574</v>
      </c>
      <c r="AR942" s="3">
        <v>46203</v>
      </c>
      <c r="AS942" s="3">
        <v>46195</v>
      </c>
      <c r="AT942" s="3">
        <v>46222</v>
      </c>
      <c r="AU942" t="s">
        <v>2127</v>
      </c>
      <c r="AW942" s="3">
        <v>46208.53701449134</v>
      </c>
    </row>
    <row r="943" spans="1:49" ht="16" hidden="1" x14ac:dyDescent="0.2">
      <c r="A943" t="s">
        <v>69</v>
      </c>
      <c r="B943">
        <v>11418</v>
      </c>
      <c r="C943">
        <v>3711</v>
      </c>
      <c r="D943" t="s">
        <v>132</v>
      </c>
      <c r="E943" t="s">
        <v>389</v>
      </c>
      <c r="F943">
        <v>261764</v>
      </c>
      <c r="G943" t="s">
        <v>849</v>
      </c>
      <c r="H943">
        <v>581826</v>
      </c>
      <c r="I943" t="s">
        <v>1645</v>
      </c>
      <c r="J943">
        <v>581829</v>
      </c>
      <c r="K943" t="s">
        <v>1835</v>
      </c>
      <c r="L943" t="s">
        <v>1851</v>
      </c>
      <c r="M943" s="1">
        <v>16666.66</v>
      </c>
      <c r="N943" t="s">
        <v>1858</v>
      </c>
      <c r="O943">
        <v>0</v>
      </c>
      <c r="P943" s="1">
        <v>2678.57</v>
      </c>
      <c r="S943" s="6" t="str">
        <f t="shared" si="14"/>
        <v xml:space="preserve"> </v>
      </c>
      <c r="T943" s="6" t="str">
        <f>IF(IF(COUNTIF(H$2:$H943,H943)=1,1,"")=1,SUMIF($H$2:$H$7997,H943,$S$2:$S$7997),"")</f>
        <v/>
      </c>
      <c r="W943">
        <v>0</v>
      </c>
      <c r="X943">
        <v>0</v>
      </c>
      <c r="Y943">
        <v>0</v>
      </c>
      <c r="Z943">
        <v>0</v>
      </c>
      <c r="AA943" s="2">
        <v>1</v>
      </c>
      <c r="AB943" s="2">
        <v>0</v>
      </c>
      <c r="AC943" s="2">
        <v>0</v>
      </c>
      <c r="AD943">
        <v>0</v>
      </c>
      <c r="AE943" t="s">
        <v>1863</v>
      </c>
      <c r="AF943">
        <v>2678.57</v>
      </c>
      <c r="AG943">
        <v>1</v>
      </c>
      <c r="AH943">
        <v>16666.66</v>
      </c>
      <c r="AI943" s="1" t="s">
        <v>389</v>
      </c>
      <c r="AJ943">
        <v>261764</v>
      </c>
      <c r="AK943" s="1" t="s">
        <v>1867</v>
      </c>
      <c r="AL943" t="s">
        <v>2003</v>
      </c>
      <c r="AN943" t="s">
        <v>2054</v>
      </c>
      <c r="AO943" t="s">
        <v>2067</v>
      </c>
      <c r="AP943" t="s">
        <v>2109</v>
      </c>
      <c r="AQ943">
        <v>130574</v>
      </c>
      <c r="AR943" s="3">
        <v>46203</v>
      </c>
      <c r="AS943" s="3">
        <v>46195</v>
      </c>
      <c r="AT943" s="3">
        <v>46222</v>
      </c>
      <c r="AU943" t="s">
        <v>2129</v>
      </c>
      <c r="AW943" s="3">
        <v>46208.53701449134</v>
      </c>
    </row>
    <row r="944" spans="1:49" ht="16" hidden="1" x14ac:dyDescent="0.2">
      <c r="A944" t="s">
        <v>69</v>
      </c>
      <c r="B944">
        <v>11418</v>
      </c>
      <c r="C944">
        <v>3711</v>
      </c>
      <c r="D944" t="s">
        <v>132</v>
      </c>
      <c r="E944" t="s">
        <v>389</v>
      </c>
      <c r="F944">
        <v>261764</v>
      </c>
      <c r="G944" t="s">
        <v>722</v>
      </c>
      <c r="H944">
        <v>592687</v>
      </c>
      <c r="I944" t="s">
        <v>1394</v>
      </c>
      <c r="J944">
        <v>94517533</v>
      </c>
      <c r="K944" t="s">
        <v>1839</v>
      </c>
      <c r="L944" t="s">
        <v>1850</v>
      </c>
      <c r="M944" s="1">
        <v>40</v>
      </c>
      <c r="N944" t="s">
        <v>23</v>
      </c>
      <c r="O944">
        <v>1242649</v>
      </c>
      <c r="P944" s="1">
        <v>49705.96</v>
      </c>
      <c r="S944" s="6" t="str">
        <f t="shared" si="14"/>
        <v xml:space="preserve"> </v>
      </c>
      <c r="T944" s="6">
        <f>IF(IF(COUNTIF(H$2:$H944,H944)=1,1,"")=1,SUMIF($H$2:$H$7997,H944,$S$2:$S$7997),"")</f>
        <v>0</v>
      </c>
      <c r="W944">
        <v>1242649</v>
      </c>
      <c r="X944">
        <v>1242649</v>
      </c>
      <c r="Y944">
        <v>0</v>
      </c>
      <c r="Z944">
        <v>0</v>
      </c>
      <c r="AA944" s="2">
        <v>1</v>
      </c>
      <c r="AB944" s="2">
        <v>0</v>
      </c>
      <c r="AC944" s="2">
        <v>0</v>
      </c>
      <c r="AD944">
        <v>0</v>
      </c>
      <c r="AE944" t="s">
        <v>1862</v>
      </c>
      <c r="AF944">
        <v>25153.67</v>
      </c>
      <c r="AG944">
        <v>1872500</v>
      </c>
      <c r="AH944">
        <v>74900</v>
      </c>
      <c r="AI944" s="1" t="s">
        <v>389</v>
      </c>
      <c r="AJ944">
        <v>94517466</v>
      </c>
      <c r="AK944" s="1" t="s">
        <v>1867</v>
      </c>
      <c r="AL944" t="s">
        <v>2003</v>
      </c>
      <c r="AN944" t="s">
        <v>2054</v>
      </c>
      <c r="AO944" t="s">
        <v>2067</v>
      </c>
      <c r="AP944" t="s">
        <v>2094</v>
      </c>
      <c r="AQ944">
        <v>130574</v>
      </c>
      <c r="AR944" s="3">
        <v>46203</v>
      </c>
      <c r="AS944" s="3">
        <v>46181</v>
      </c>
      <c r="AT944" s="3">
        <v>46222</v>
      </c>
      <c r="AU944" t="s">
        <v>2124</v>
      </c>
      <c r="AW944" s="3">
        <v>46208.53701449134</v>
      </c>
    </row>
    <row r="945" spans="1:49" ht="16" hidden="1" x14ac:dyDescent="0.2">
      <c r="A945" t="s">
        <v>69</v>
      </c>
      <c r="B945">
        <v>11418</v>
      </c>
      <c r="C945">
        <v>3711</v>
      </c>
      <c r="D945" t="s">
        <v>132</v>
      </c>
      <c r="E945" t="s">
        <v>389</v>
      </c>
      <c r="F945">
        <v>261764</v>
      </c>
      <c r="G945" t="s">
        <v>722</v>
      </c>
      <c r="H945">
        <v>592687</v>
      </c>
      <c r="I945" t="s">
        <v>1398</v>
      </c>
      <c r="J945">
        <v>94517566</v>
      </c>
      <c r="K945" t="s">
        <v>1835</v>
      </c>
      <c r="L945" t="s">
        <v>1850</v>
      </c>
      <c r="M945" s="1">
        <v>40</v>
      </c>
      <c r="N945" t="s">
        <v>23</v>
      </c>
      <c r="O945">
        <v>545287</v>
      </c>
      <c r="P945" s="1">
        <v>21811.48</v>
      </c>
      <c r="S945" s="6" t="str">
        <f t="shared" si="14"/>
        <v xml:space="preserve"> </v>
      </c>
      <c r="T945" s="6" t="str">
        <f>IF(IF(COUNTIF(H$2:$H945,H945)=1,1,"")=1,SUMIF($H$2:$H$7997,H945,$S$2:$S$7997),"")</f>
        <v/>
      </c>
      <c r="W945">
        <v>545287</v>
      </c>
      <c r="X945">
        <v>545287</v>
      </c>
      <c r="Y945">
        <v>0</v>
      </c>
      <c r="Z945">
        <v>0</v>
      </c>
      <c r="AA945" s="2">
        <v>1</v>
      </c>
      <c r="AB945" s="2">
        <v>0</v>
      </c>
      <c r="AC945" s="2">
        <v>0</v>
      </c>
      <c r="AD945">
        <v>0</v>
      </c>
      <c r="AE945" t="s">
        <v>1862</v>
      </c>
      <c r="AF945">
        <v>10780.15</v>
      </c>
      <c r="AG945">
        <v>802500</v>
      </c>
      <c r="AH945">
        <v>32100</v>
      </c>
      <c r="AI945" s="1" t="s">
        <v>389</v>
      </c>
      <c r="AJ945">
        <v>94517466</v>
      </c>
      <c r="AK945" s="1" t="s">
        <v>1867</v>
      </c>
      <c r="AL945" t="s">
        <v>2003</v>
      </c>
      <c r="AN945" t="s">
        <v>2054</v>
      </c>
      <c r="AO945" t="s">
        <v>2067</v>
      </c>
      <c r="AP945" t="s">
        <v>2092</v>
      </c>
      <c r="AQ945">
        <v>130574</v>
      </c>
      <c r="AR945" s="3">
        <v>46203</v>
      </c>
      <c r="AS945" s="3">
        <v>46181</v>
      </c>
      <c r="AT945" s="3">
        <v>46222</v>
      </c>
      <c r="AU945" t="s">
        <v>2123</v>
      </c>
      <c r="AW945" s="3">
        <v>46208.53701449134</v>
      </c>
    </row>
    <row r="946" spans="1:49" ht="16" hidden="1" x14ac:dyDescent="0.2">
      <c r="A946" t="s">
        <v>69</v>
      </c>
      <c r="B946">
        <v>11418</v>
      </c>
      <c r="C946">
        <v>3711</v>
      </c>
      <c r="D946" t="s">
        <v>132</v>
      </c>
      <c r="E946" t="s">
        <v>389</v>
      </c>
      <c r="F946">
        <v>261764</v>
      </c>
      <c r="G946" t="s">
        <v>720</v>
      </c>
      <c r="H946">
        <v>592690</v>
      </c>
      <c r="I946" t="s">
        <v>1392</v>
      </c>
      <c r="J946">
        <v>94517517</v>
      </c>
      <c r="K946" t="s">
        <v>1839</v>
      </c>
      <c r="L946" t="s">
        <v>1850</v>
      </c>
      <c r="M946" s="1">
        <v>20</v>
      </c>
      <c r="N946" t="s">
        <v>1855</v>
      </c>
      <c r="O946">
        <v>758189</v>
      </c>
      <c r="P946" s="1">
        <v>15163.78</v>
      </c>
      <c r="S946" s="6" t="str">
        <f t="shared" si="14"/>
        <v xml:space="preserve"> </v>
      </c>
      <c r="T946" s="6">
        <f>IF(IF(COUNTIF(H$2:$H946,H946)=1,1,"")=1,SUMIF($H$2:$H$7997,H946,$S$2:$S$7997),"")</f>
        <v>0</v>
      </c>
      <c r="W946">
        <v>758189</v>
      </c>
      <c r="X946">
        <v>758189</v>
      </c>
      <c r="Y946">
        <v>0</v>
      </c>
      <c r="Z946">
        <v>0</v>
      </c>
      <c r="AA946" s="2">
        <v>1</v>
      </c>
      <c r="AB946" s="2">
        <v>0</v>
      </c>
      <c r="AC946" s="2">
        <v>0</v>
      </c>
      <c r="AD946">
        <v>0</v>
      </c>
      <c r="AE946" t="s">
        <v>1862</v>
      </c>
      <c r="AF946">
        <v>7507.13</v>
      </c>
      <c r="AG946">
        <v>1116095</v>
      </c>
      <c r="AH946">
        <v>22321.9</v>
      </c>
      <c r="AI946" s="1" t="s">
        <v>389</v>
      </c>
      <c r="AJ946">
        <v>94517466</v>
      </c>
      <c r="AK946" s="1" t="s">
        <v>1868</v>
      </c>
      <c r="AL946" t="s">
        <v>2003</v>
      </c>
      <c r="AN946" t="s">
        <v>2054</v>
      </c>
      <c r="AO946" t="s">
        <v>2067</v>
      </c>
      <c r="AP946" t="s">
        <v>2093</v>
      </c>
      <c r="AQ946">
        <v>130574</v>
      </c>
      <c r="AR946" s="3">
        <v>46203</v>
      </c>
      <c r="AS946" s="3">
        <v>46181</v>
      </c>
      <c r="AT946" s="3">
        <v>46222</v>
      </c>
      <c r="AU946" t="s">
        <v>2124</v>
      </c>
      <c r="AW946" s="3">
        <v>46208.53701449134</v>
      </c>
    </row>
    <row r="947" spans="1:49" ht="16" hidden="1" x14ac:dyDescent="0.2">
      <c r="A947" t="s">
        <v>69</v>
      </c>
      <c r="B947">
        <v>11418</v>
      </c>
      <c r="C947">
        <v>3711</v>
      </c>
      <c r="D947" t="s">
        <v>132</v>
      </c>
      <c r="E947" t="s">
        <v>389</v>
      </c>
      <c r="F947">
        <v>261764</v>
      </c>
      <c r="G947" t="s">
        <v>720</v>
      </c>
      <c r="H947">
        <v>592690</v>
      </c>
      <c r="I947" t="s">
        <v>1399</v>
      </c>
      <c r="J947">
        <v>94517569</v>
      </c>
      <c r="K947" t="s">
        <v>1840</v>
      </c>
      <c r="L947" t="s">
        <v>1850</v>
      </c>
      <c r="M947" s="1">
        <v>20</v>
      </c>
      <c r="N947" t="s">
        <v>1855</v>
      </c>
      <c r="O947">
        <v>302667</v>
      </c>
      <c r="P947" s="1">
        <v>6053.34</v>
      </c>
      <c r="S947" s="6" t="str">
        <f t="shared" si="14"/>
        <v xml:space="preserve"> </v>
      </c>
      <c r="T947" s="6" t="str">
        <f>IF(IF(COUNTIF(H$2:$H947,H947)=1,1,"")=1,SUMIF($H$2:$H$7997,H947,$S$2:$S$7997),"")</f>
        <v/>
      </c>
      <c r="W947">
        <v>302667</v>
      </c>
      <c r="X947">
        <v>302667</v>
      </c>
      <c r="Y947">
        <v>0</v>
      </c>
      <c r="Z947">
        <v>0</v>
      </c>
      <c r="AA947" s="2">
        <v>1</v>
      </c>
      <c r="AB947" s="2">
        <v>0</v>
      </c>
      <c r="AC947" s="2">
        <v>0</v>
      </c>
      <c r="AD947">
        <v>0</v>
      </c>
      <c r="AE947" t="s">
        <v>1862</v>
      </c>
      <c r="AF947">
        <v>3217.35</v>
      </c>
      <c r="AG947">
        <v>478328</v>
      </c>
      <c r="AH947">
        <v>9566.56</v>
      </c>
      <c r="AI947" s="1" t="s">
        <v>389</v>
      </c>
      <c r="AJ947">
        <v>94517466</v>
      </c>
      <c r="AK947" s="1" t="s">
        <v>1868</v>
      </c>
      <c r="AL947" t="s">
        <v>2003</v>
      </c>
      <c r="AN947" t="s">
        <v>2054</v>
      </c>
      <c r="AO947" t="s">
        <v>2067</v>
      </c>
      <c r="AP947" t="s">
        <v>2083</v>
      </c>
      <c r="AQ947">
        <v>130574</v>
      </c>
      <c r="AR947" s="3">
        <v>46203</v>
      </c>
      <c r="AS947" s="3">
        <v>46181</v>
      </c>
      <c r="AT947" s="3">
        <v>46222</v>
      </c>
      <c r="AU947" t="s">
        <v>2123</v>
      </c>
      <c r="AW947" s="3">
        <v>46208.53701449134</v>
      </c>
    </row>
    <row r="948" spans="1:49" ht="16" hidden="1" x14ac:dyDescent="0.2">
      <c r="A948" t="s">
        <v>69</v>
      </c>
      <c r="B948">
        <v>11418</v>
      </c>
      <c r="C948">
        <v>3711</v>
      </c>
      <c r="D948" t="s">
        <v>132</v>
      </c>
      <c r="E948" t="s">
        <v>389</v>
      </c>
      <c r="F948">
        <v>261764</v>
      </c>
      <c r="G948" t="s">
        <v>893</v>
      </c>
      <c r="H948">
        <v>592693</v>
      </c>
      <c r="I948" t="s">
        <v>1718</v>
      </c>
      <c r="J948">
        <v>592694</v>
      </c>
      <c r="K948" t="s">
        <v>1846</v>
      </c>
      <c r="L948" t="s">
        <v>1851</v>
      </c>
      <c r="M948" s="1">
        <v>100000</v>
      </c>
      <c r="N948" t="s">
        <v>1858</v>
      </c>
      <c r="O948">
        <v>0</v>
      </c>
      <c r="P948" s="1">
        <v>30612.240000000002</v>
      </c>
      <c r="S948" s="6" t="str">
        <f t="shared" si="14"/>
        <v xml:space="preserve"> </v>
      </c>
      <c r="T948" s="6">
        <f>IF(IF(COUNTIF(H$2:$H948,H948)=1,1,"")=1,SUMIF($H$2:$H$7997,H948,$S$2:$S$7997),"")</f>
        <v>0</v>
      </c>
      <c r="W948">
        <v>0</v>
      </c>
      <c r="X948">
        <v>0</v>
      </c>
      <c r="Y948">
        <v>0</v>
      </c>
      <c r="Z948">
        <v>0</v>
      </c>
      <c r="AA948" s="2">
        <v>1</v>
      </c>
      <c r="AB948" s="2">
        <v>0</v>
      </c>
      <c r="AC948" s="2">
        <v>0</v>
      </c>
      <c r="AD948">
        <v>0</v>
      </c>
      <c r="AE948" t="s">
        <v>1863</v>
      </c>
      <c r="AF948">
        <v>30612.240000000002</v>
      </c>
      <c r="AG948">
        <v>1</v>
      </c>
      <c r="AH948">
        <v>100000</v>
      </c>
      <c r="AI948" s="1" t="s">
        <v>389</v>
      </c>
      <c r="AJ948">
        <v>261764</v>
      </c>
      <c r="AK948" s="1" t="s">
        <v>1867</v>
      </c>
      <c r="AL948" t="s">
        <v>2003</v>
      </c>
      <c r="AN948" t="s">
        <v>2054</v>
      </c>
      <c r="AO948" t="s">
        <v>2067</v>
      </c>
      <c r="AP948" t="s">
        <v>2110</v>
      </c>
      <c r="AQ948">
        <v>130574</v>
      </c>
      <c r="AR948" s="3">
        <v>46203</v>
      </c>
      <c r="AS948" s="3">
        <v>46174</v>
      </c>
      <c r="AT948" s="3">
        <v>46222</v>
      </c>
      <c r="AU948" t="s">
        <v>2128</v>
      </c>
      <c r="AW948" s="3">
        <v>46208.53701449134</v>
      </c>
    </row>
    <row r="949" spans="1:49" ht="16" hidden="1" x14ac:dyDescent="0.2">
      <c r="A949" t="s">
        <v>69</v>
      </c>
      <c r="B949">
        <v>11418</v>
      </c>
      <c r="C949">
        <v>3711</v>
      </c>
      <c r="D949" t="s">
        <v>132</v>
      </c>
      <c r="E949" t="s">
        <v>389</v>
      </c>
      <c r="F949">
        <v>261764</v>
      </c>
      <c r="G949" t="s">
        <v>893</v>
      </c>
      <c r="H949">
        <v>592693</v>
      </c>
      <c r="I949" t="s">
        <v>1786</v>
      </c>
      <c r="J949">
        <v>592696</v>
      </c>
      <c r="K949" t="s">
        <v>1844</v>
      </c>
      <c r="L949" t="s">
        <v>1851</v>
      </c>
      <c r="M949" s="1">
        <v>100000</v>
      </c>
      <c r="N949" t="s">
        <v>1858</v>
      </c>
      <c r="O949">
        <v>0</v>
      </c>
      <c r="P949" s="1">
        <v>30612.240000000002</v>
      </c>
      <c r="S949" s="6" t="str">
        <f t="shared" si="14"/>
        <v xml:space="preserve"> </v>
      </c>
      <c r="T949" s="6" t="str">
        <f>IF(IF(COUNTIF(H$2:$H949,H949)=1,1,"")=1,SUMIF($H$2:$H$7997,H949,$S$2:$S$7997),"")</f>
        <v/>
      </c>
      <c r="W949">
        <v>0</v>
      </c>
      <c r="X949">
        <v>0</v>
      </c>
      <c r="Y949">
        <v>0</v>
      </c>
      <c r="Z949">
        <v>0</v>
      </c>
      <c r="AA949" s="2">
        <v>1</v>
      </c>
      <c r="AB949" s="2">
        <v>0</v>
      </c>
      <c r="AC949" s="2">
        <v>0</v>
      </c>
      <c r="AD949">
        <v>0</v>
      </c>
      <c r="AE949" t="s">
        <v>1863</v>
      </c>
      <c r="AF949">
        <v>30612.240000000002</v>
      </c>
      <c r="AG949">
        <v>1</v>
      </c>
      <c r="AH949">
        <v>100000</v>
      </c>
      <c r="AI949" s="1" t="s">
        <v>389</v>
      </c>
      <c r="AJ949">
        <v>261764</v>
      </c>
      <c r="AK949" s="1" t="s">
        <v>1867</v>
      </c>
      <c r="AL949" t="s">
        <v>2003</v>
      </c>
      <c r="AN949" t="s">
        <v>2054</v>
      </c>
      <c r="AO949" t="s">
        <v>2067</v>
      </c>
      <c r="AP949" t="s">
        <v>2107</v>
      </c>
      <c r="AQ949">
        <v>130574</v>
      </c>
      <c r="AR949" s="3">
        <v>46203</v>
      </c>
      <c r="AS949" s="3">
        <v>46174</v>
      </c>
      <c r="AT949" s="3">
        <v>46222</v>
      </c>
      <c r="AU949" t="s">
        <v>2127</v>
      </c>
      <c r="AW949" s="3">
        <v>46208.53701449134</v>
      </c>
    </row>
    <row r="950" spans="1:49" ht="16" hidden="1" x14ac:dyDescent="0.2">
      <c r="A950" t="s">
        <v>69</v>
      </c>
      <c r="B950">
        <v>11418</v>
      </c>
      <c r="C950">
        <v>3711</v>
      </c>
      <c r="D950" t="s">
        <v>132</v>
      </c>
      <c r="E950" t="s">
        <v>389</v>
      </c>
      <c r="F950">
        <v>261764</v>
      </c>
      <c r="G950" t="s">
        <v>893</v>
      </c>
      <c r="H950">
        <v>592693</v>
      </c>
      <c r="I950" t="s">
        <v>1814</v>
      </c>
      <c r="J950">
        <v>592695</v>
      </c>
      <c r="K950" t="s">
        <v>1835</v>
      </c>
      <c r="L950" t="s">
        <v>1851</v>
      </c>
      <c r="M950" s="1">
        <v>100000</v>
      </c>
      <c r="N950" t="s">
        <v>1858</v>
      </c>
      <c r="O950">
        <v>0</v>
      </c>
      <c r="P950" s="1">
        <v>30612.240000000002</v>
      </c>
      <c r="S950" s="6" t="str">
        <f t="shared" si="14"/>
        <v xml:space="preserve"> </v>
      </c>
      <c r="T950" s="6" t="str">
        <f>IF(IF(COUNTIF(H$2:$H950,H950)=1,1,"")=1,SUMIF($H$2:$H$7997,H950,$S$2:$S$7997),"")</f>
        <v/>
      </c>
      <c r="W950">
        <v>0</v>
      </c>
      <c r="X950">
        <v>0</v>
      </c>
      <c r="Y950">
        <v>0</v>
      </c>
      <c r="Z950">
        <v>0</v>
      </c>
      <c r="AA950" s="2">
        <v>1</v>
      </c>
      <c r="AB950" s="2">
        <v>0</v>
      </c>
      <c r="AC950" s="2">
        <v>0</v>
      </c>
      <c r="AD950">
        <v>0</v>
      </c>
      <c r="AE950" t="s">
        <v>1863</v>
      </c>
      <c r="AF950">
        <v>30612.240000000002</v>
      </c>
      <c r="AG950">
        <v>1</v>
      </c>
      <c r="AH950">
        <v>100000</v>
      </c>
      <c r="AI950" s="1" t="s">
        <v>389</v>
      </c>
      <c r="AJ950">
        <v>261764</v>
      </c>
      <c r="AK950" s="1" t="s">
        <v>1867</v>
      </c>
      <c r="AL950" t="s">
        <v>2003</v>
      </c>
      <c r="AN950" t="s">
        <v>2054</v>
      </c>
      <c r="AO950" t="s">
        <v>2067</v>
      </c>
      <c r="AP950" t="s">
        <v>2109</v>
      </c>
      <c r="AQ950">
        <v>130574</v>
      </c>
      <c r="AR950" s="3">
        <v>46203</v>
      </c>
      <c r="AS950" s="3">
        <v>46174</v>
      </c>
      <c r="AT950" s="3">
        <v>46222</v>
      </c>
      <c r="AU950" t="s">
        <v>2129</v>
      </c>
      <c r="AW950" s="3">
        <v>46208.53701449134</v>
      </c>
    </row>
    <row r="951" spans="1:49" ht="16" hidden="1" x14ac:dyDescent="0.2">
      <c r="A951" t="s">
        <v>69</v>
      </c>
      <c r="B951">
        <v>11418</v>
      </c>
      <c r="C951">
        <v>3711</v>
      </c>
      <c r="D951" t="s">
        <v>132</v>
      </c>
      <c r="E951" t="s">
        <v>389</v>
      </c>
      <c r="F951">
        <v>261764</v>
      </c>
      <c r="G951" t="s">
        <v>721</v>
      </c>
      <c r="H951">
        <v>592716</v>
      </c>
      <c r="I951" t="s">
        <v>1396</v>
      </c>
      <c r="J951">
        <v>94517543</v>
      </c>
      <c r="K951" t="s">
        <v>1839</v>
      </c>
      <c r="L951" t="s">
        <v>1850</v>
      </c>
      <c r="M951" s="1">
        <v>40</v>
      </c>
      <c r="N951" t="s">
        <v>23</v>
      </c>
      <c r="O951">
        <v>2163305</v>
      </c>
      <c r="P951" s="1">
        <v>86532.2</v>
      </c>
      <c r="S951" s="6" t="str">
        <f t="shared" si="14"/>
        <v xml:space="preserve"> </v>
      </c>
      <c r="T951" s="6">
        <f>IF(IF(COUNTIF(H$2:$H951,H951)=1,1,"")=1,SUMIF($H$2:$H$7997,H951,$S$2:$S$7997),"")</f>
        <v>0</v>
      </c>
      <c r="W951">
        <v>2163305</v>
      </c>
      <c r="X951">
        <v>2163305</v>
      </c>
      <c r="Y951">
        <v>0</v>
      </c>
      <c r="Z951">
        <v>0</v>
      </c>
      <c r="AA951" s="2">
        <v>1</v>
      </c>
      <c r="AB951" s="2">
        <v>0</v>
      </c>
      <c r="AC951" s="2">
        <v>0</v>
      </c>
      <c r="AD951">
        <v>0</v>
      </c>
      <c r="AE951" t="s">
        <v>1862</v>
      </c>
      <c r="AF951">
        <v>43604.9</v>
      </c>
      <c r="AG951">
        <v>3255000</v>
      </c>
      <c r="AH951">
        <v>130200</v>
      </c>
      <c r="AI951" s="1" t="s">
        <v>389</v>
      </c>
      <c r="AJ951">
        <v>94517466</v>
      </c>
      <c r="AK951" s="1" t="s">
        <v>1867</v>
      </c>
      <c r="AL951" t="s">
        <v>2003</v>
      </c>
      <c r="AN951" t="s">
        <v>2054</v>
      </c>
      <c r="AO951" t="s">
        <v>2067</v>
      </c>
      <c r="AP951" t="s">
        <v>2094</v>
      </c>
      <c r="AQ951">
        <v>130574</v>
      </c>
      <c r="AR951" s="3">
        <v>46203</v>
      </c>
      <c r="AS951" s="3">
        <v>46181</v>
      </c>
      <c r="AT951" s="3">
        <v>46222</v>
      </c>
      <c r="AU951" t="s">
        <v>2124</v>
      </c>
      <c r="AW951" s="3">
        <v>46208.53701449134</v>
      </c>
    </row>
    <row r="952" spans="1:49" ht="16" hidden="1" x14ac:dyDescent="0.2">
      <c r="A952" t="s">
        <v>69</v>
      </c>
      <c r="B952">
        <v>11418</v>
      </c>
      <c r="C952">
        <v>3711</v>
      </c>
      <c r="D952" t="s">
        <v>132</v>
      </c>
      <c r="E952" t="s">
        <v>389</v>
      </c>
      <c r="F952">
        <v>261764</v>
      </c>
      <c r="G952" t="s">
        <v>721</v>
      </c>
      <c r="H952">
        <v>592716</v>
      </c>
      <c r="I952" t="s">
        <v>1393</v>
      </c>
      <c r="J952">
        <v>94517527</v>
      </c>
      <c r="K952" t="s">
        <v>1835</v>
      </c>
      <c r="L952" t="s">
        <v>1850</v>
      </c>
      <c r="M952" s="1">
        <v>40</v>
      </c>
      <c r="N952" t="s">
        <v>23</v>
      </c>
      <c r="O952">
        <v>944872</v>
      </c>
      <c r="P952" s="1">
        <v>37794.879999999997</v>
      </c>
      <c r="S952" s="6" t="str">
        <f t="shared" si="14"/>
        <v xml:space="preserve"> </v>
      </c>
      <c r="T952" s="6" t="str">
        <f>IF(IF(COUNTIF(H$2:$H952,H952)=1,1,"")=1,SUMIF($H$2:$H$7997,H952,$S$2:$S$7997),"")</f>
        <v/>
      </c>
      <c r="W952">
        <v>944872</v>
      </c>
      <c r="X952">
        <v>944872</v>
      </c>
      <c r="Y952">
        <v>0</v>
      </c>
      <c r="Z952">
        <v>0</v>
      </c>
      <c r="AA952" s="2">
        <v>1</v>
      </c>
      <c r="AB952" s="2">
        <v>0</v>
      </c>
      <c r="AC952" s="2">
        <v>0</v>
      </c>
      <c r="AD952">
        <v>0</v>
      </c>
      <c r="AE952" t="s">
        <v>1862</v>
      </c>
      <c r="AF952">
        <v>18687.82</v>
      </c>
      <c r="AG952">
        <v>1395000</v>
      </c>
      <c r="AH952">
        <v>55800</v>
      </c>
      <c r="AI952" s="1" t="s">
        <v>389</v>
      </c>
      <c r="AJ952">
        <v>94517466</v>
      </c>
      <c r="AK952" s="1" t="s">
        <v>1867</v>
      </c>
      <c r="AL952" t="s">
        <v>2003</v>
      </c>
      <c r="AN952" t="s">
        <v>2054</v>
      </c>
      <c r="AO952" t="s">
        <v>2067</v>
      </c>
      <c r="AP952" t="s">
        <v>2092</v>
      </c>
      <c r="AQ952">
        <v>130574</v>
      </c>
      <c r="AR952" s="3">
        <v>46203</v>
      </c>
      <c r="AS952" s="3">
        <v>46181</v>
      </c>
      <c r="AT952" s="3">
        <v>46222</v>
      </c>
      <c r="AU952" t="s">
        <v>2123</v>
      </c>
      <c r="AW952" s="3">
        <v>46208.53701449134</v>
      </c>
    </row>
    <row r="953" spans="1:49" ht="16" hidden="1" x14ac:dyDescent="0.2">
      <c r="A953" t="s">
        <v>69</v>
      </c>
      <c r="B953">
        <v>11418</v>
      </c>
      <c r="C953">
        <v>3711</v>
      </c>
      <c r="D953" t="s">
        <v>132</v>
      </c>
      <c r="E953" t="s">
        <v>389</v>
      </c>
      <c r="F953">
        <v>261764</v>
      </c>
      <c r="G953" t="s">
        <v>718</v>
      </c>
      <c r="H953">
        <v>592720</v>
      </c>
      <c r="I953" t="s">
        <v>1389</v>
      </c>
      <c r="J953">
        <v>94517489</v>
      </c>
      <c r="K953" t="s">
        <v>1839</v>
      </c>
      <c r="L953" t="s">
        <v>1850</v>
      </c>
      <c r="M953" s="1">
        <v>20</v>
      </c>
      <c r="N953" t="s">
        <v>1855</v>
      </c>
      <c r="O953">
        <v>565213</v>
      </c>
      <c r="P953" s="1">
        <v>11304.26</v>
      </c>
      <c r="S953" s="6" t="str">
        <f t="shared" si="14"/>
        <v xml:space="preserve"> </v>
      </c>
      <c r="T953" s="6">
        <f>IF(IF(COUNTIF(H$2:$H953,H953)=1,1,"")=1,SUMIF($H$2:$H$7997,H953,$S$2:$S$7997),"")</f>
        <v>0</v>
      </c>
      <c r="W953">
        <v>565213</v>
      </c>
      <c r="X953">
        <v>565213</v>
      </c>
      <c r="Y953">
        <v>0</v>
      </c>
      <c r="Z953">
        <v>0</v>
      </c>
      <c r="AA953" s="2">
        <v>1</v>
      </c>
      <c r="AB953" s="2">
        <v>0</v>
      </c>
      <c r="AC953" s="2">
        <v>0</v>
      </c>
      <c r="AD953">
        <v>0</v>
      </c>
      <c r="AE953" t="s">
        <v>1862</v>
      </c>
      <c r="AF953">
        <v>5630.74</v>
      </c>
      <c r="AG953">
        <v>839020</v>
      </c>
      <c r="AH953">
        <v>16780.400000000001</v>
      </c>
      <c r="AI953" s="1" t="s">
        <v>389</v>
      </c>
      <c r="AJ953">
        <v>94517466</v>
      </c>
      <c r="AK953" s="1" t="s">
        <v>1868</v>
      </c>
      <c r="AL953" t="s">
        <v>2003</v>
      </c>
      <c r="AN953" t="s">
        <v>2054</v>
      </c>
      <c r="AO953" t="s">
        <v>2067</v>
      </c>
      <c r="AP953" t="s">
        <v>2093</v>
      </c>
      <c r="AQ953">
        <v>130574</v>
      </c>
      <c r="AR953" s="3">
        <v>46203</v>
      </c>
      <c r="AS953" s="3">
        <v>46181</v>
      </c>
      <c r="AT953" s="3">
        <v>46234</v>
      </c>
      <c r="AU953" t="s">
        <v>2124</v>
      </c>
      <c r="AW953" s="3">
        <v>46208.53701449134</v>
      </c>
    </row>
    <row r="954" spans="1:49" ht="16" hidden="1" x14ac:dyDescent="0.2">
      <c r="A954" t="s">
        <v>69</v>
      </c>
      <c r="B954">
        <v>11418</v>
      </c>
      <c r="C954">
        <v>3711</v>
      </c>
      <c r="D954" t="s">
        <v>132</v>
      </c>
      <c r="E954" t="s">
        <v>389</v>
      </c>
      <c r="F954">
        <v>261764</v>
      </c>
      <c r="G954" t="s">
        <v>718</v>
      </c>
      <c r="H954">
        <v>592720</v>
      </c>
      <c r="I954" t="s">
        <v>1395</v>
      </c>
      <c r="J954">
        <v>94517536</v>
      </c>
      <c r="K954" t="s">
        <v>1840</v>
      </c>
      <c r="L954" t="s">
        <v>1850</v>
      </c>
      <c r="M954" s="1">
        <v>20</v>
      </c>
      <c r="N954" t="s">
        <v>1855</v>
      </c>
      <c r="O954">
        <v>366865</v>
      </c>
      <c r="P954" s="1">
        <v>7337.3</v>
      </c>
      <c r="S954" s="6" t="str">
        <f t="shared" si="14"/>
        <v xml:space="preserve"> </v>
      </c>
      <c r="T954" s="6" t="str">
        <f>IF(IF(COUNTIF(H$2:$H954,H954)=1,1,"")=1,SUMIF($H$2:$H$7997,H954,$S$2:$S$7997),"")</f>
        <v/>
      </c>
      <c r="W954">
        <v>366865</v>
      </c>
      <c r="X954">
        <v>366865</v>
      </c>
      <c r="Y954">
        <v>0</v>
      </c>
      <c r="Z954">
        <v>0</v>
      </c>
      <c r="AA954" s="2">
        <v>1</v>
      </c>
      <c r="AB954" s="2">
        <v>0</v>
      </c>
      <c r="AC954" s="2">
        <v>0</v>
      </c>
      <c r="AD954">
        <v>0</v>
      </c>
      <c r="AE954" t="s">
        <v>1862</v>
      </c>
      <c r="AF954">
        <v>3753.83</v>
      </c>
      <c r="AG954">
        <v>559347</v>
      </c>
      <c r="AH954">
        <v>11186.94</v>
      </c>
      <c r="AI954" s="1" t="s">
        <v>389</v>
      </c>
      <c r="AJ954">
        <v>94517466</v>
      </c>
      <c r="AK954" s="1" t="s">
        <v>1868</v>
      </c>
      <c r="AL954" t="s">
        <v>2003</v>
      </c>
      <c r="AN954" t="s">
        <v>2054</v>
      </c>
      <c r="AO954" t="s">
        <v>2067</v>
      </c>
      <c r="AP954" t="s">
        <v>2083</v>
      </c>
      <c r="AQ954">
        <v>130574</v>
      </c>
      <c r="AR954" s="3">
        <v>46203</v>
      </c>
      <c r="AS954" s="3">
        <v>46181</v>
      </c>
      <c r="AT954" s="3">
        <v>46234</v>
      </c>
      <c r="AU954" t="s">
        <v>2123</v>
      </c>
      <c r="AW954" s="3">
        <v>46208.53701449134</v>
      </c>
    </row>
    <row r="955" spans="1:49" ht="16" hidden="1" x14ac:dyDescent="0.2">
      <c r="A955" t="s">
        <v>69</v>
      </c>
      <c r="B955">
        <v>11418</v>
      </c>
      <c r="C955">
        <v>3711</v>
      </c>
      <c r="D955" t="s">
        <v>132</v>
      </c>
      <c r="E955" t="s">
        <v>389</v>
      </c>
      <c r="F955">
        <v>261764</v>
      </c>
      <c r="G955" t="s">
        <v>858</v>
      </c>
      <c r="H955">
        <v>592724</v>
      </c>
      <c r="I955" t="s">
        <v>1789</v>
      </c>
      <c r="J955">
        <v>592725</v>
      </c>
      <c r="K955" t="s">
        <v>1846</v>
      </c>
      <c r="L955" t="s">
        <v>1851</v>
      </c>
      <c r="M955" s="1">
        <v>70000</v>
      </c>
      <c r="N955" t="s">
        <v>1858</v>
      </c>
      <c r="O955">
        <v>0</v>
      </c>
      <c r="P955" s="1">
        <v>21428.57</v>
      </c>
      <c r="S955" s="6" t="str">
        <f t="shared" si="14"/>
        <v xml:space="preserve"> </v>
      </c>
      <c r="T955" s="6">
        <f>IF(IF(COUNTIF(H$2:$H955,H955)=1,1,"")=1,SUMIF($H$2:$H$7997,H955,$S$2:$S$7997),"")</f>
        <v>0</v>
      </c>
      <c r="W955">
        <v>0</v>
      </c>
      <c r="X955">
        <v>0</v>
      </c>
      <c r="Y955">
        <v>0</v>
      </c>
      <c r="Z955">
        <v>0</v>
      </c>
      <c r="AA955" s="2">
        <v>1</v>
      </c>
      <c r="AB955" s="2">
        <v>0</v>
      </c>
      <c r="AC955" s="2">
        <v>0</v>
      </c>
      <c r="AD955">
        <v>0</v>
      </c>
      <c r="AE955" t="s">
        <v>1863</v>
      </c>
      <c r="AF955">
        <v>21428.57</v>
      </c>
      <c r="AG955">
        <v>1</v>
      </c>
      <c r="AH955">
        <v>70000</v>
      </c>
      <c r="AI955" s="1" t="s">
        <v>389</v>
      </c>
      <c r="AJ955">
        <v>261764</v>
      </c>
      <c r="AK955" s="1" t="s">
        <v>1867</v>
      </c>
      <c r="AL955" t="s">
        <v>2003</v>
      </c>
      <c r="AN955" t="s">
        <v>2054</v>
      </c>
      <c r="AO955" t="s">
        <v>2067</v>
      </c>
      <c r="AP955" t="s">
        <v>2110</v>
      </c>
      <c r="AQ955">
        <v>130574</v>
      </c>
      <c r="AR955" s="3">
        <v>46203</v>
      </c>
      <c r="AS955" s="3">
        <v>46174</v>
      </c>
      <c r="AT955" s="3">
        <v>46222</v>
      </c>
      <c r="AU955" t="s">
        <v>2128</v>
      </c>
      <c r="AW955" s="3">
        <v>46208.53701449134</v>
      </c>
    </row>
    <row r="956" spans="1:49" ht="16" hidden="1" x14ac:dyDescent="0.2">
      <c r="A956" t="s">
        <v>69</v>
      </c>
      <c r="B956">
        <v>11418</v>
      </c>
      <c r="C956">
        <v>3711</v>
      </c>
      <c r="D956" t="s">
        <v>132</v>
      </c>
      <c r="E956" t="s">
        <v>389</v>
      </c>
      <c r="F956">
        <v>261764</v>
      </c>
      <c r="G956" t="s">
        <v>858</v>
      </c>
      <c r="H956">
        <v>592724</v>
      </c>
      <c r="I956" t="s">
        <v>1741</v>
      </c>
      <c r="J956">
        <v>592727</v>
      </c>
      <c r="K956" t="s">
        <v>1844</v>
      </c>
      <c r="L956" t="s">
        <v>1851</v>
      </c>
      <c r="M956" s="1">
        <v>70000</v>
      </c>
      <c r="N956" t="s">
        <v>1858</v>
      </c>
      <c r="O956">
        <v>0</v>
      </c>
      <c r="P956" s="1">
        <v>21428.57</v>
      </c>
      <c r="S956" s="6" t="str">
        <f t="shared" si="14"/>
        <v xml:space="preserve"> </v>
      </c>
      <c r="T956" s="6" t="str">
        <f>IF(IF(COUNTIF(H$2:$H956,H956)=1,1,"")=1,SUMIF($H$2:$H$7997,H956,$S$2:$S$7997),"")</f>
        <v/>
      </c>
      <c r="W956">
        <v>0</v>
      </c>
      <c r="X956">
        <v>0</v>
      </c>
      <c r="Y956">
        <v>0</v>
      </c>
      <c r="Z956">
        <v>0</v>
      </c>
      <c r="AA956" s="2">
        <v>1</v>
      </c>
      <c r="AB956" s="2">
        <v>0</v>
      </c>
      <c r="AC956" s="2">
        <v>0</v>
      </c>
      <c r="AD956">
        <v>0</v>
      </c>
      <c r="AE956" t="s">
        <v>1863</v>
      </c>
      <c r="AF956">
        <v>21428.57</v>
      </c>
      <c r="AG956">
        <v>1</v>
      </c>
      <c r="AH956">
        <v>70000</v>
      </c>
      <c r="AI956" s="1" t="s">
        <v>389</v>
      </c>
      <c r="AJ956">
        <v>261764</v>
      </c>
      <c r="AK956" s="1" t="s">
        <v>1867</v>
      </c>
      <c r="AL956" t="s">
        <v>2003</v>
      </c>
      <c r="AN956" t="s">
        <v>2054</v>
      </c>
      <c r="AO956" t="s">
        <v>2067</v>
      </c>
      <c r="AP956" t="s">
        <v>2107</v>
      </c>
      <c r="AQ956">
        <v>130574</v>
      </c>
      <c r="AR956" s="3">
        <v>46203</v>
      </c>
      <c r="AS956" s="3">
        <v>46174</v>
      </c>
      <c r="AT956" s="3">
        <v>46222</v>
      </c>
      <c r="AU956" t="s">
        <v>2127</v>
      </c>
      <c r="AW956" s="3">
        <v>46208.53701449134</v>
      </c>
    </row>
    <row r="957" spans="1:49" ht="16" hidden="1" x14ac:dyDescent="0.2">
      <c r="A957" t="s">
        <v>69</v>
      </c>
      <c r="B957">
        <v>11418</v>
      </c>
      <c r="C957">
        <v>3711</v>
      </c>
      <c r="D957" t="s">
        <v>132</v>
      </c>
      <c r="E957" t="s">
        <v>389</v>
      </c>
      <c r="F957">
        <v>261764</v>
      </c>
      <c r="G957" t="s">
        <v>858</v>
      </c>
      <c r="H957">
        <v>592724</v>
      </c>
      <c r="I957" t="s">
        <v>1654</v>
      </c>
      <c r="J957">
        <v>592726</v>
      </c>
      <c r="K957" t="s">
        <v>1835</v>
      </c>
      <c r="L957" t="s">
        <v>1851</v>
      </c>
      <c r="M957" s="1">
        <v>70000</v>
      </c>
      <c r="N957" t="s">
        <v>1858</v>
      </c>
      <c r="O957">
        <v>0</v>
      </c>
      <c r="P957" s="1">
        <v>21428.57</v>
      </c>
      <c r="S957" s="6" t="str">
        <f t="shared" si="14"/>
        <v xml:space="preserve"> </v>
      </c>
      <c r="T957" s="6" t="str">
        <f>IF(IF(COUNTIF(H$2:$H957,H957)=1,1,"")=1,SUMIF($H$2:$H$7997,H957,$S$2:$S$7997),"")</f>
        <v/>
      </c>
      <c r="W957">
        <v>0</v>
      </c>
      <c r="X957">
        <v>0</v>
      </c>
      <c r="Y957">
        <v>0</v>
      </c>
      <c r="Z957">
        <v>0</v>
      </c>
      <c r="AA957" s="2">
        <v>1</v>
      </c>
      <c r="AB957" s="2">
        <v>0</v>
      </c>
      <c r="AC957" s="2">
        <v>0</v>
      </c>
      <c r="AD957">
        <v>0</v>
      </c>
      <c r="AE957" t="s">
        <v>1863</v>
      </c>
      <c r="AF957">
        <v>21428.57</v>
      </c>
      <c r="AG957">
        <v>1</v>
      </c>
      <c r="AH957">
        <v>70000</v>
      </c>
      <c r="AI957" s="1" t="s">
        <v>389</v>
      </c>
      <c r="AJ957">
        <v>261764</v>
      </c>
      <c r="AK957" s="1" t="s">
        <v>1867</v>
      </c>
      <c r="AL957" t="s">
        <v>2003</v>
      </c>
      <c r="AN957" t="s">
        <v>2054</v>
      </c>
      <c r="AO957" t="s">
        <v>2067</v>
      </c>
      <c r="AP957" t="s">
        <v>2109</v>
      </c>
      <c r="AQ957">
        <v>130574</v>
      </c>
      <c r="AR957" s="3">
        <v>46203</v>
      </c>
      <c r="AS957" s="3">
        <v>46174</v>
      </c>
      <c r="AT957" s="3">
        <v>46222</v>
      </c>
      <c r="AU957" t="s">
        <v>2129</v>
      </c>
      <c r="AW957" s="3">
        <v>46208.53701449134</v>
      </c>
    </row>
    <row r="958" spans="1:49" ht="16" hidden="1" x14ac:dyDescent="0.2">
      <c r="A958" t="s">
        <v>69</v>
      </c>
      <c r="B958">
        <v>11418</v>
      </c>
      <c r="C958">
        <v>3711</v>
      </c>
      <c r="D958" t="s">
        <v>132</v>
      </c>
      <c r="E958" t="s">
        <v>356</v>
      </c>
      <c r="F958">
        <v>268021</v>
      </c>
      <c r="G958" t="s">
        <v>660</v>
      </c>
      <c r="H958">
        <v>585996</v>
      </c>
      <c r="I958" t="s">
        <v>1284</v>
      </c>
      <c r="J958">
        <v>94294223</v>
      </c>
      <c r="K958" t="s">
        <v>1839</v>
      </c>
      <c r="L958" t="s">
        <v>1850</v>
      </c>
      <c r="M958" s="1">
        <v>16.46</v>
      </c>
      <c r="N958" t="s">
        <v>1855</v>
      </c>
      <c r="O958">
        <v>782724</v>
      </c>
      <c r="P958" s="1">
        <v>12500</v>
      </c>
      <c r="S958" s="6" t="str">
        <f t="shared" si="14"/>
        <v xml:space="preserve"> </v>
      </c>
      <c r="T958" s="6">
        <f>IF(IF(COUNTIF(H$2:$H958,H958)=1,1,"")=1,SUMIF($H$2:$H$7997,H958,$S$2:$S$7997),"")</f>
        <v>0</v>
      </c>
      <c r="W958">
        <v>782724</v>
      </c>
      <c r="X958">
        <v>782724</v>
      </c>
      <c r="Y958">
        <v>0</v>
      </c>
      <c r="Z958">
        <v>0</v>
      </c>
      <c r="AA958" s="2">
        <v>1</v>
      </c>
      <c r="AB958" s="2">
        <v>0</v>
      </c>
      <c r="AC958" s="2">
        <v>0</v>
      </c>
      <c r="AD958">
        <v>0</v>
      </c>
      <c r="AE958" t="s">
        <v>1862</v>
      </c>
      <c r="AF958">
        <v>6250</v>
      </c>
      <c r="AG958">
        <v>759417</v>
      </c>
      <c r="AH958">
        <v>12500</v>
      </c>
      <c r="AI958" s="1" t="s">
        <v>356</v>
      </c>
      <c r="AJ958">
        <v>94294220</v>
      </c>
      <c r="AK958" s="1" t="s">
        <v>1868</v>
      </c>
      <c r="AL958" t="s">
        <v>1977</v>
      </c>
      <c r="AN958" t="s">
        <v>2050</v>
      </c>
      <c r="AO958" t="s">
        <v>2067</v>
      </c>
      <c r="AP958" t="s">
        <v>2093</v>
      </c>
      <c r="AQ958">
        <v>129374</v>
      </c>
      <c r="AR958" s="3">
        <v>46203</v>
      </c>
      <c r="AS958" s="3">
        <v>46181</v>
      </c>
      <c r="AT958" s="3">
        <v>46201</v>
      </c>
      <c r="AU958" t="s">
        <v>2124</v>
      </c>
      <c r="AW958" s="3">
        <v>46208.53701449134</v>
      </c>
    </row>
    <row r="959" spans="1:49" ht="16" hidden="1" x14ac:dyDescent="0.2">
      <c r="A959" t="s">
        <v>69</v>
      </c>
      <c r="B959">
        <v>11418</v>
      </c>
      <c r="C959">
        <v>3711</v>
      </c>
      <c r="D959" t="s">
        <v>132</v>
      </c>
      <c r="E959" t="s">
        <v>356</v>
      </c>
      <c r="F959">
        <v>268021</v>
      </c>
      <c r="G959" t="s">
        <v>660</v>
      </c>
      <c r="H959">
        <v>585996</v>
      </c>
      <c r="I959" t="s">
        <v>1285</v>
      </c>
      <c r="J959">
        <v>94294226</v>
      </c>
      <c r="K959" t="s">
        <v>1840</v>
      </c>
      <c r="L959" t="s">
        <v>1850</v>
      </c>
      <c r="M959" s="1">
        <v>16.46</v>
      </c>
      <c r="N959" t="s">
        <v>1855</v>
      </c>
      <c r="O959">
        <v>7016399</v>
      </c>
      <c r="P959" s="1">
        <v>112500</v>
      </c>
      <c r="S959" s="6" t="str">
        <f t="shared" si="14"/>
        <v xml:space="preserve"> </v>
      </c>
      <c r="T959" s="6" t="str">
        <f>IF(IF(COUNTIF(H$2:$H959,H959)=1,1,"")=1,SUMIF($H$2:$H$7997,H959,$S$2:$S$7997),"")</f>
        <v/>
      </c>
      <c r="W959">
        <v>7016399</v>
      </c>
      <c r="X959">
        <v>7016399</v>
      </c>
      <c r="Y959">
        <v>0</v>
      </c>
      <c r="Z959">
        <v>0</v>
      </c>
      <c r="AA959" s="2">
        <v>1</v>
      </c>
      <c r="AB959" s="2">
        <v>0</v>
      </c>
      <c r="AC959" s="2">
        <v>0</v>
      </c>
      <c r="AD959">
        <v>0</v>
      </c>
      <c r="AE959" t="s">
        <v>1862</v>
      </c>
      <c r="AF959">
        <v>56250</v>
      </c>
      <c r="AG959">
        <v>6834751</v>
      </c>
      <c r="AH959">
        <v>112500</v>
      </c>
      <c r="AI959" s="1" t="s">
        <v>356</v>
      </c>
      <c r="AJ959">
        <v>94294220</v>
      </c>
      <c r="AK959" s="1" t="s">
        <v>1868</v>
      </c>
      <c r="AL959" t="s">
        <v>1977</v>
      </c>
      <c r="AN959" t="s">
        <v>2050</v>
      </c>
      <c r="AO959" t="s">
        <v>2067</v>
      </c>
      <c r="AP959" t="s">
        <v>2083</v>
      </c>
      <c r="AQ959">
        <v>129374</v>
      </c>
      <c r="AR959" s="3">
        <v>46203</v>
      </c>
      <c r="AS959" s="3">
        <v>46181</v>
      </c>
      <c r="AT959" s="3">
        <v>46201</v>
      </c>
      <c r="AU959" t="s">
        <v>2123</v>
      </c>
      <c r="AW959" s="3">
        <v>46208.53701449134</v>
      </c>
    </row>
    <row r="960" spans="1:49" ht="16" hidden="1" x14ac:dyDescent="0.2">
      <c r="A960" t="s">
        <v>69</v>
      </c>
      <c r="B960">
        <v>11418</v>
      </c>
      <c r="C960">
        <v>3711</v>
      </c>
      <c r="D960" t="s">
        <v>132</v>
      </c>
      <c r="E960" t="s">
        <v>255</v>
      </c>
      <c r="F960">
        <v>266431</v>
      </c>
      <c r="G960" t="s">
        <v>469</v>
      </c>
      <c r="H960">
        <v>578855</v>
      </c>
      <c r="I960" t="s">
        <v>961</v>
      </c>
      <c r="J960">
        <v>92986531</v>
      </c>
      <c r="K960" t="s">
        <v>1835</v>
      </c>
      <c r="L960" t="s">
        <v>1850</v>
      </c>
      <c r="M960" s="1">
        <v>29.21</v>
      </c>
      <c r="N960" t="s">
        <v>1853</v>
      </c>
      <c r="O960">
        <v>15129</v>
      </c>
      <c r="P960" s="1">
        <v>0</v>
      </c>
      <c r="S960" s="6" t="str">
        <f t="shared" si="14"/>
        <v xml:space="preserve"> </v>
      </c>
      <c r="T960" s="6">
        <f>IF(IF(COUNTIF(H$2:$H960,H960)=1,1,"")=1,SUMIF($H$2:$H$7997,H960,$S$2:$S$7997),"")</f>
        <v>0</v>
      </c>
      <c r="W960">
        <v>5744</v>
      </c>
      <c r="X960">
        <v>26629</v>
      </c>
      <c r="Y960">
        <v>3263</v>
      </c>
      <c r="Z960">
        <v>15129</v>
      </c>
      <c r="AA960" s="2">
        <v>1</v>
      </c>
      <c r="AB960" s="2">
        <v>0.56814621409921673</v>
      </c>
      <c r="AC960" s="2">
        <v>0</v>
      </c>
      <c r="AD960">
        <v>0</v>
      </c>
      <c r="AE960" t="s">
        <v>1864</v>
      </c>
      <c r="AF960">
        <v>0</v>
      </c>
      <c r="AG960">
        <v>18465</v>
      </c>
      <c r="AH960">
        <v>539.36</v>
      </c>
      <c r="AI960" s="1" t="s">
        <v>255</v>
      </c>
      <c r="AJ960">
        <v>92986528</v>
      </c>
      <c r="AK960" s="1" t="s">
        <v>1870</v>
      </c>
      <c r="AL960" t="s">
        <v>1894</v>
      </c>
      <c r="AN960" t="s">
        <v>2054</v>
      </c>
      <c r="AO960" t="s">
        <v>2067</v>
      </c>
      <c r="AP960" t="s">
        <v>2071</v>
      </c>
      <c r="AQ960">
        <v>123556</v>
      </c>
      <c r="AR960" s="3">
        <v>46203</v>
      </c>
      <c r="AS960" s="3">
        <v>46143</v>
      </c>
      <c r="AT960" s="3">
        <v>46180</v>
      </c>
      <c r="AU960" t="s">
        <v>2123</v>
      </c>
      <c r="AW960" s="3">
        <v>46208.53701449134</v>
      </c>
    </row>
    <row r="961" spans="1:49" ht="16" hidden="1" x14ac:dyDescent="0.2">
      <c r="A961" t="s">
        <v>69</v>
      </c>
      <c r="B961">
        <v>11418</v>
      </c>
      <c r="C961">
        <v>3711</v>
      </c>
      <c r="D961" t="s">
        <v>132</v>
      </c>
      <c r="E961" t="s">
        <v>255</v>
      </c>
      <c r="F961">
        <v>266431</v>
      </c>
      <c r="G961" t="s">
        <v>470</v>
      </c>
      <c r="H961">
        <v>578857</v>
      </c>
      <c r="I961" t="s">
        <v>962</v>
      </c>
      <c r="J961">
        <v>92986539</v>
      </c>
      <c r="K961" t="s">
        <v>1835</v>
      </c>
      <c r="L961" t="s">
        <v>1850</v>
      </c>
      <c r="M961" s="1">
        <v>29.21</v>
      </c>
      <c r="N961" t="s">
        <v>1853</v>
      </c>
      <c r="O961">
        <v>172526</v>
      </c>
      <c r="P961" s="1">
        <v>2486.94</v>
      </c>
      <c r="S961" s="6" t="str">
        <f t="shared" si="14"/>
        <v xml:space="preserve"> </v>
      </c>
      <c r="T961" s="6">
        <f>IF(IF(COUNTIF(H$2:$H961,H961)=1,1,"")=1,SUMIF($H$2:$H$7997,H961,$S$2:$S$7997),"")</f>
        <v>0</v>
      </c>
      <c r="W961">
        <v>209364</v>
      </c>
      <c r="X961">
        <v>209364</v>
      </c>
      <c r="Y961">
        <v>172526</v>
      </c>
      <c r="Z961">
        <v>172526</v>
      </c>
      <c r="AA961" s="2">
        <v>1</v>
      </c>
      <c r="AB961" s="2">
        <v>0.82405218645387124</v>
      </c>
      <c r="AC961" s="2">
        <v>0</v>
      </c>
      <c r="AD961">
        <v>0</v>
      </c>
      <c r="AE961" t="s">
        <v>1864</v>
      </c>
      <c r="AF961">
        <v>2486.94</v>
      </c>
      <c r="AG961">
        <v>170280</v>
      </c>
      <c r="AH961">
        <v>4973.88</v>
      </c>
      <c r="AI961" s="1" t="s">
        <v>255</v>
      </c>
      <c r="AJ961">
        <v>92986528</v>
      </c>
      <c r="AK961" s="1" t="s">
        <v>1870</v>
      </c>
      <c r="AL961" t="s">
        <v>1894</v>
      </c>
      <c r="AN961" t="s">
        <v>2054</v>
      </c>
      <c r="AO961" t="s">
        <v>2067</v>
      </c>
      <c r="AP961" t="s">
        <v>2071</v>
      </c>
      <c r="AQ961">
        <v>123556</v>
      </c>
      <c r="AR961" s="3">
        <v>46203</v>
      </c>
      <c r="AS961" s="3">
        <v>46195</v>
      </c>
      <c r="AT961" s="3">
        <v>46201</v>
      </c>
      <c r="AU961" t="s">
        <v>2123</v>
      </c>
      <c r="AW961" s="3">
        <v>46208.53701449134</v>
      </c>
    </row>
    <row r="962" spans="1:49" ht="16" hidden="1" x14ac:dyDescent="0.2">
      <c r="A962" t="s">
        <v>69</v>
      </c>
      <c r="B962">
        <v>11418</v>
      </c>
      <c r="C962">
        <v>3711</v>
      </c>
      <c r="D962" t="s">
        <v>132</v>
      </c>
      <c r="E962" t="s">
        <v>255</v>
      </c>
      <c r="F962">
        <v>266431</v>
      </c>
      <c r="G962" t="s">
        <v>471</v>
      </c>
      <c r="H962">
        <v>578859</v>
      </c>
      <c r="I962" t="s">
        <v>963</v>
      </c>
      <c r="J962">
        <v>92986543</v>
      </c>
      <c r="K962" t="s">
        <v>1835</v>
      </c>
      <c r="L962" t="s">
        <v>1850</v>
      </c>
      <c r="M962" s="1">
        <v>29.21</v>
      </c>
      <c r="N962" t="s">
        <v>1853</v>
      </c>
      <c r="O962">
        <v>567648</v>
      </c>
      <c r="P962" s="1">
        <v>9455.25</v>
      </c>
      <c r="S962" s="6" t="str">
        <f t="shared" si="14"/>
        <v xml:space="preserve"> </v>
      </c>
      <c r="T962" s="6">
        <f>IF(IF(COUNTIF(H$2:$H962,H962)=1,1,"")=1,SUMIF($H$2:$H$7997,H962,$S$2:$S$7997),"")</f>
        <v>0</v>
      </c>
      <c r="W962">
        <v>889350</v>
      </c>
      <c r="X962">
        <v>753851</v>
      </c>
      <c r="Y962">
        <v>669678</v>
      </c>
      <c r="Z962">
        <v>567648</v>
      </c>
      <c r="AA962" s="2">
        <v>1</v>
      </c>
      <c r="AB962" s="2">
        <v>0.75299809487863834</v>
      </c>
      <c r="AC962" s="2">
        <v>0</v>
      </c>
      <c r="AD962">
        <v>0</v>
      </c>
      <c r="AE962" t="s">
        <v>1864</v>
      </c>
      <c r="AF962">
        <v>9455.25</v>
      </c>
      <c r="AG962">
        <v>1097919</v>
      </c>
      <c r="AH962">
        <v>32070.21</v>
      </c>
      <c r="AI962" s="1" t="s">
        <v>255</v>
      </c>
      <c r="AJ962">
        <v>92986528</v>
      </c>
      <c r="AK962" s="1" t="s">
        <v>1870</v>
      </c>
      <c r="AL962" t="s">
        <v>1894</v>
      </c>
      <c r="AN962" t="s">
        <v>2054</v>
      </c>
      <c r="AO962" t="s">
        <v>2067</v>
      </c>
      <c r="AP962" t="s">
        <v>2071</v>
      </c>
      <c r="AQ962">
        <v>123556</v>
      </c>
      <c r="AR962" s="3">
        <v>46203</v>
      </c>
      <c r="AS962" s="3">
        <v>46146</v>
      </c>
      <c r="AT962" s="3">
        <v>46194</v>
      </c>
      <c r="AU962" t="s">
        <v>2123</v>
      </c>
      <c r="AW962" s="3">
        <v>46208.53701449134</v>
      </c>
    </row>
    <row r="963" spans="1:49" ht="16" hidden="1" x14ac:dyDescent="0.2">
      <c r="A963" t="s">
        <v>69</v>
      </c>
      <c r="B963">
        <v>11418</v>
      </c>
      <c r="C963">
        <v>3711</v>
      </c>
      <c r="D963" t="s">
        <v>132</v>
      </c>
      <c r="E963" t="s">
        <v>255</v>
      </c>
      <c r="F963">
        <v>266431</v>
      </c>
      <c r="G963" t="s">
        <v>472</v>
      </c>
      <c r="H963">
        <v>578865</v>
      </c>
      <c r="I963" t="s">
        <v>964</v>
      </c>
      <c r="J963">
        <v>92986547</v>
      </c>
      <c r="K963" t="s">
        <v>1835</v>
      </c>
      <c r="L963" t="s">
        <v>1850</v>
      </c>
      <c r="M963" s="1">
        <v>29.21</v>
      </c>
      <c r="N963" t="s">
        <v>1853</v>
      </c>
      <c r="O963">
        <v>627036</v>
      </c>
      <c r="P963" s="1">
        <v>9038.7999999999993</v>
      </c>
      <c r="S963" s="6" t="str">
        <f t="shared" ref="S963:S964" si="15">IF(ISBLANK(R963)," ",ROUND(R963*(IF(ISBLANK(Q963),(M963/1000),(Q963/1000))),2))</f>
        <v xml:space="preserve"> </v>
      </c>
      <c r="T963" s="6">
        <f>IF(IF(COUNTIF(H$2:$H963,H963)=1,1,"")=1,SUMIF($H$2:$H$7997,H963,$S$2:$S$7997),"")</f>
        <v>0</v>
      </c>
      <c r="W963">
        <v>899051</v>
      </c>
      <c r="X963">
        <v>864570</v>
      </c>
      <c r="Y963">
        <v>652044</v>
      </c>
      <c r="Z963">
        <v>627036</v>
      </c>
      <c r="AA963" s="2">
        <v>1</v>
      </c>
      <c r="AB963" s="2">
        <v>0.72525860497784023</v>
      </c>
      <c r="AC963" s="2">
        <v>0</v>
      </c>
      <c r="AD963">
        <v>0</v>
      </c>
      <c r="AE963" t="s">
        <v>1864</v>
      </c>
      <c r="AF963">
        <v>9038.7999999999993</v>
      </c>
      <c r="AG963">
        <v>1144136</v>
      </c>
      <c r="AH963">
        <v>33420.21</v>
      </c>
      <c r="AI963" s="1" t="s">
        <v>255</v>
      </c>
      <c r="AJ963">
        <v>92986528</v>
      </c>
      <c r="AK963" s="1" t="s">
        <v>1870</v>
      </c>
      <c r="AL963" t="s">
        <v>1894</v>
      </c>
      <c r="AN963" t="s">
        <v>2054</v>
      </c>
      <c r="AO963" t="s">
        <v>2067</v>
      </c>
      <c r="AP963" t="s">
        <v>2071</v>
      </c>
      <c r="AQ963">
        <v>123556</v>
      </c>
      <c r="AR963" s="3">
        <v>46203</v>
      </c>
      <c r="AS963" s="3">
        <v>46146</v>
      </c>
      <c r="AT963" s="3">
        <v>46194</v>
      </c>
      <c r="AU963" t="s">
        <v>2123</v>
      </c>
      <c r="AW963" s="3">
        <v>46208.53701449134</v>
      </c>
    </row>
    <row r="964" spans="1:49" ht="16" hidden="1" x14ac:dyDescent="0.2">
      <c r="A964" t="s">
        <v>69</v>
      </c>
      <c r="B964">
        <v>11418</v>
      </c>
      <c r="C964">
        <v>3711</v>
      </c>
      <c r="D964" t="s">
        <v>132</v>
      </c>
      <c r="E964" t="s">
        <v>255</v>
      </c>
      <c r="F964">
        <v>266431</v>
      </c>
      <c r="G964" t="s">
        <v>473</v>
      </c>
      <c r="H964">
        <v>578869</v>
      </c>
      <c r="I964" t="s">
        <v>965</v>
      </c>
      <c r="J964">
        <v>92986551</v>
      </c>
      <c r="K964" t="s">
        <v>1835</v>
      </c>
      <c r="L964" t="s">
        <v>1850</v>
      </c>
      <c r="M964" s="1">
        <v>29.21</v>
      </c>
      <c r="N964" t="s">
        <v>1853</v>
      </c>
      <c r="O964">
        <v>630142</v>
      </c>
      <c r="P964" s="1">
        <v>5883.06</v>
      </c>
      <c r="S964" s="6" t="str">
        <f t="shared" si="15"/>
        <v xml:space="preserve"> </v>
      </c>
      <c r="T964" s="6">
        <f>IF(IF(COUNTIF(H$2:$H964,H964)=1,1,"")=1,SUMIF($H$2:$H$7997,H964,$S$2:$S$7997),"")</f>
        <v>0</v>
      </c>
      <c r="W964">
        <v>580823</v>
      </c>
      <c r="X964">
        <v>847406</v>
      </c>
      <c r="Y964">
        <v>431907</v>
      </c>
      <c r="Z964">
        <v>630142</v>
      </c>
      <c r="AA964" s="2">
        <v>1</v>
      </c>
      <c r="AB964" s="2">
        <v>0.74361297243031943</v>
      </c>
      <c r="AC964" s="2">
        <v>0</v>
      </c>
      <c r="AD964">
        <v>0</v>
      </c>
      <c r="AE964" t="s">
        <v>1864</v>
      </c>
      <c r="AF964">
        <v>5883.06</v>
      </c>
      <c r="AG964">
        <v>960040</v>
      </c>
      <c r="AH964">
        <v>28042.77</v>
      </c>
      <c r="AI964" s="1" t="s">
        <v>255</v>
      </c>
      <c r="AJ964">
        <v>92986528</v>
      </c>
      <c r="AK964" s="1" t="s">
        <v>1870</v>
      </c>
      <c r="AL964" t="s">
        <v>1894</v>
      </c>
      <c r="AN964" t="s">
        <v>2054</v>
      </c>
      <c r="AO964" t="s">
        <v>2067</v>
      </c>
      <c r="AP964" t="s">
        <v>2071</v>
      </c>
      <c r="AQ964">
        <v>123556</v>
      </c>
      <c r="AR964" s="3">
        <v>46203</v>
      </c>
      <c r="AS964" s="3">
        <v>46143</v>
      </c>
      <c r="AT964" s="3">
        <v>46201</v>
      </c>
      <c r="AU964" t="s">
        <v>2123</v>
      </c>
      <c r="AW964" s="3">
        <v>46208.53701449134</v>
      </c>
    </row>
  </sheetData>
  <autoFilter ref="A1:AW964" xr:uid="{00000000-0001-0000-0000-000000000000}">
    <filterColumn colId="5">
      <filters>
        <filter val="258950"/>
      </filters>
    </filterColumn>
  </autoFilter>
  <sortState xmlns:xlrd2="http://schemas.microsoft.com/office/spreadsheetml/2017/richdata2" ref="A2:AW964">
    <sortCondition ref="A2:A964"/>
    <sortCondition ref="D2:D964"/>
    <sortCondition ref="AI2:AI964"/>
    <sortCondition ref="E2:E964"/>
    <sortCondition ref="H2:H964"/>
    <sortCondition ref="I2:I9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4ACC-ACEB-D04B-B574-77D5EEEFB020}">
  <dimension ref="A3:B232"/>
  <sheetViews>
    <sheetView workbookViewId="0">
      <selection activeCell="B5" sqref="B5"/>
    </sheetView>
  </sheetViews>
  <sheetFormatPr baseColWidth="10" defaultRowHeight="15" x14ac:dyDescent="0.2"/>
  <cols>
    <col min="1" max="1" width="12.1640625" bestFit="1" customWidth="1"/>
    <col min="2" max="2" width="22.5" style="7" bestFit="1" customWidth="1"/>
  </cols>
  <sheetData>
    <row r="3" spans="1:2" x14ac:dyDescent="0.2">
      <c r="A3" s="8" t="s">
        <v>2138</v>
      </c>
      <c r="B3" s="7" t="s">
        <v>2140</v>
      </c>
    </row>
    <row r="4" spans="1:2" x14ac:dyDescent="0.2">
      <c r="A4" s="9">
        <v>250383</v>
      </c>
      <c r="B4" s="7">
        <v>0</v>
      </c>
    </row>
    <row r="5" spans="1:2" x14ac:dyDescent="0.2">
      <c r="A5" s="9">
        <v>250390</v>
      </c>
      <c r="B5" s="7">
        <v>0</v>
      </c>
    </row>
    <row r="6" spans="1:2" x14ac:dyDescent="0.2">
      <c r="A6" s="9">
        <v>250528</v>
      </c>
      <c r="B6" s="7">
        <v>0</v>
      </c>
    </row>
    <row r="7" spans="1:2" x14ac:dyDescent="0.2">
      <c r="A7" s="9">
        <v>251184</v>
      </c>
      <c r="B7" s="7">
        <v>0</v>
      </c>
    </row>
    <row r="8" spans="1:2" x14ac:dyDescent="0.2">
      <c r="A8" s="9">
        <v>251751</v>
      </c>
      <c r="B8" s="7">
        <v>0</v>
      </c>
    </row>
    <row r="9" spans="1:2" x14ac:dyDescent="0.2">
      <c r="A9" s="9">
        <v>251886</v>
      </c>
      <c r="B9" s="7">
        <v>6741.12</v>
      </c>
    </row>
    <row r="10" spans="1:2" x14ac:dyDescent="0.2">
      <c r="A10" s="9">
        <v>252064</v>
      </c>
      <c r="B10" s="7">
        <v>0</v>
      </c>
    </row>
    <row r="11" spans="1:2" x14ac:dyDescent="0.2">
      <c r="A11" s="9">
        <v>252135</v>
      </c>
      <c r="B11" s="7">
        <v>0</v>
      </c>
    </row>
    <row r="12" spans="1:2" x14ac:dyDescent="0.2">
      <c r="A12" s="9">
        <v>252293</v>
      </c>
      <c r="B12" s="7">
        <v>0</v>
      </c>
    </row>
    <row r="13" spans="1:2" x14ac:dyDescent="0.2">
      <c r="A13" s="9">
        <v>252314</v>
      </c>
      <c r="B13" s="7">
        <v>0</v>
      </c>
    </row>
    <row r="14" spans="1:2" x14ac:dyDescent="0.2">
      <c r="A14" s="9">
        <v>252340</v>
      </c>
      <c r="B14" s="7">
        <v>30427.134999999998</v>
      </c>
    </row>
    <row r="15" spans="1:2" x14ac:dyDescent="0.2">
      <c r="A15" s="9">
        <v>252528</v>
      </c>
      <c r="B15" s="7">
        <v>0</v>
      </c>
    </row>
    <row r="16" spans="1:2" x14ac:dyDescent="0.2">
      <c r="A16" s="9">
        <v>252732</v>
      </c>
      <c r="B16" s="7">
        <v>55218.55</v>
      </c>
    </row>
    <row r="17" spans="1:2" x14ac:dyDescent="0.2">
      <c r="A17" s="9">
        <v>252733</v>
      </c>
      <c r="B17" s="7">
        <v>30351.205000000002</v>
      </c>
    </row>
    <row r="18" spans="1:2" x14ac:dyDescent="0.2">
      <c r="A18" s="9">
        <v>252736</v>
      </c>
      <c r="B18" s="7">
        <v>40738.017999999996</v>
      </c>
    </row>
    <row r="19" spans="1:2" x14ac:dyDescent="0.2">
      <c r="A19" s="9">
        <v>252928</v>
      </c>
      <c r="B19" s="7">
        <v>0</v>
      </c>
    </row>
    <row r="20" spans="1:2" x14ac:dyDescent="0.2">
      <c r="A20" s="9">
        <v>253348</v>
      </c>
      <c r="B20" s="7">
        <v>7189.9211000000005</v>
      </c>
    </row>
    <row r="21" spans="1:2" x14ac:dyDescent="0.2">
      <c r="A21" s="9">
        <v>253612</v>
      </c>
      <c r="B21" s="7">
        <v>0</v>
      </c>
    </row>
    <row r="22" spans="1:2" x14ac:dyDescent="0.2">
      <c r="A22" s="9">
        <v>254371</v>
      </c>
      <c r="B22" s="7">
        <v>8689.4958000000006</v>
      </c>
    </row>
    <row r="23" spans="1:2" x14ac:dyDescent="0.2">
      <c r="A23" s="9">
        <v>256503</v>
      </c>
      <c r="B23" s="7">
        <v>0</v>
      </c>
    </row>
    <row r="24" spans="1:2" x14ac:dyDescent="0.2">
      <c r="A24" s="9">
        <v>256852</v>
      </c>
      <c r="B24" s="7">
        <v>331386.48</v>
      </c>
    </row>
    <row r="25" spans="1:2" x14ac:dyDescent="0.2">
      <c r="A25" s="9">
        <v>257222</v>
      </c>
      <c r="B25" s="7">
        <v>667936.27</v>
      </c>
    </row>
    <row r="26" spans="1:2" x14ac:dyDescent="0.2">
      <c r="A26" s="9">
        <v>257491</v>
      </c>
      <c r="B26" s="7">
        <v>1348077.8900000004</v>
      </c>
    </row>
    <row r="27" spans="1:2" x14ac:dyDescent="0.2">
      <c r="A27" s="9">
        <v>257492</v>
      </c>
      <c r="B27" s="7">
        <v>35510.553599999999</v>
      </c>
    </row>
    <row r="28" spans="1:2" x14ac:dyDescent="0.2">
      <c r="A28" s="9">
        <v>257531</v>
      </c>
      <c r="B28" s="7">
        <v>842179.49259999988</v>
      </c>
    </row>
    <row r="29" spans="1:2" x14ac:dyDescent="0.2">
      <c r="A29" s="9">
        <v>257594</v>
      </c>
      <c r="B29" s="7">
        <v>344838.9277</v>
      </c>
    </row>
    <row r="30" spans="1:2" x14ac:dyDescent="0.2">
      <c r="A30" s="9">
        <v>257634</v>
      </c>
      <c r="B30" s="7">
        <v>1625000.02</v>
      </c>
    </row>
    <row r="31" spans="1:2" x14ac:dyDescent="0.2">
      <c r="A31" s="9">
        <v>257639</v>
      </c>
      <c r="B31" s="7">
        <v>551510.58099999989</v>
      </c>
    </row>
    <row r="32" spans="1:2" x14ac:dyDescent="0.2">
      <c r="A32" s="9">
        <v>257663</v>
      </c>
      <c r="B32" s="7">
        <v>136595.27119999999</v>
      </c>
    </row>
    <row r="33" spans="1:2" x14ac:dyDescent="0.2">
      <c r="A33" s="9">
        <v>258950</v>
      </c>
      <c r="B33" s="7">
        <v>550164.58920000005</v>
      </c>
    </row>
    <row r="34" spans="1:2" x14ac:dyDescent="0.2">
      <c r="A34" s="9">
        <v>258952</v>
      </c>
      <c r="B34" s="7">
        <v>1400000.02</v>
      </c>
    </row>
    <row r="35" spans="1:2" x14ac:dyDescent="0.2">
      <c r="A35" s="9">
        <v>259125</v>
      </c>
      <c r="B35" s="7">
        <v>535320.42500000005</v>
      </c>
    </row>
    <row r="36" spans="1:2" x14ac:dyDescent="0.2">
      <c r="A36" s="9">
        <v>259143</v>
      </c>
      <c r="B36" s="7">
        <v>320036.84000000003</v>
      </c>
    </row>
    <row r="37" spans="1:2" x14ac:dyDescent="0.2">
      <c r="A37" s="9">
        <v>259149</v>
      </c>
      <c r="B37" s="7">
        <v>839208.29680000001</v>
      </c>
    </row>
    <row r="38" spans="1:2" x14ac:dyDescent="0.2">
      <c r="A38" s="9">
        <v>259151</v>
      </c>
      <c r="B38" s="7">
        <v>869053.18409999995</v>
      </c>
    </row>
    <row r="39" spans="1:2" x14ac:dyDescent="0.2">
      <c r="A39" s="9">
        <v>259155</v>
      </c>
      <c r="B39" s="7">
        <v>612244.89800000004</v>
      </c>
    </row>
    <row r="40" spans="1:2" x14ac:dyDescent="0.2">
      <c r="A40" s="9">
        <v>259248</v>
      </c>
      <c r="B40" s="7">
        <v>0</v>
      </c>
    </row>
    <row r="41" spans="1:2" x14ac:dyDescent="0.2">
      <c r="A41" s="9">
        <v>259270</v>
      </c>
      <c r="B41" s="7">
        <v>890280</v>
      </c>
    </row>
    <row r="42" spans="1:2" x14ac:dyDescent="0.2">
      <c r="A42" s="9">
        <v>259271</v>
      </c>
      <c r="B42" s="7">
        <v>0</v>
      </c>
    </row>
    <row r="43" spans="1:2" x14ac:dyDescent="0.2">
      <c r="A43" s="9">
        <v>259301</v>
      </c>
      <c r="B43" s="7">
        <v>532099.52</v>
      </c>
    </row>
    <row r="44" spans="1:2" x14ac:dyDescent="0.2">
      <c r="A44" s="9">
        <v>259315</v>
      </c>
      <c r="B44" s="7">
        <v>362444.7683</v>
      </c>
    </row>
    <row r="45" spans="1:2" x14ac:dyDescent="0.2">
      <c r="A45" s="9">
        <v>259384</v>
      </c>
      <c r="B45" s="7">
        <v>1177408.1634</v>
      </c>
    </row>
    <row r="46" spans="1:2" x14ac:dyDescent="0.2">
      <c r="A46" s="9">
        <v>259418</v>
      </c>
      <c r="B46" s="7">
        <v>9778.2456000000002</v>
      </c>
    </row>
    <row r="47" spans="1:2" x14ac:dyDescent="0.2">
      <c r="A47" s="9">
        <v>259419</v>
      </c>
      <c r="B47" s="7">
        <v>0</v>
      </c>
    </row>
    <row r="48" spans="1:2" x14ac:dyDescent="0.2">
      <c r="A48" s="9">
        <v>259421</v>
      </c>
      <c r="B48" s="7">
        <v>0.05</v>
      </c>
    </row>
    <row r="49" spans="1:2" x14ac:dyDescent="0.2">
      <c r="A49" s="9">
        <v>259423</v>
      </c>
      <c r="B49" s="7">
        <v>5454.8450000000003</v>
      </c>
    </row>
    <row r="50" spans="1:2" x14ac:dyDescent="0.2">
      <c r="A50" s="9">
        <v>259424</v>
      </c>
      <c r="B50" s="7">
        <v>3549.558</v>
      </c>
    </row>
    <row r="51" spans="1:2" x14ac:dyDescent="0.2">
      <c r="A51" s="9">
        <v>259461</v>
      </c>
      <c r="B51" s="7">
        <v>1779115.1154</v>
      </c>
    </row>
    <row r="52" spans="1:2" x14ac:dyDescent="0.2">
      <c r="A52" s="9">
        <v>259462</v>
      </c>
      <c r="B52" s="7">
        <v>601580.35970000003</v>
      </c>
    </row>
    <row r="53" spans="1:2" x14ac:dyDescent="0.2">
      <c r="A53" s="9">
        <v>259726</v>
      </c>
      <c r="B53" s="7">
        <v>664484.72</v>
      </c>
    </row>
    <row r="54" spans="1:2" x14ac:dyDescent="0.2">
      <c r="A54" s="9">
        <v>259734</v>
      </c>
      <c r="B54" s="7">
        <v>445907.76489999995</v>
      </c>
    </row>
    <row r="55" spans="1:2" x14ac:dyDescent="0.2">
      <c r="A55" s="9">
        <v>259933</v>
      </c>
      <c r="B55" s="7">
        <v>9373.7124999999996</v>
      </c>
    </row>
    <row r="56" spans="1:2" x14ac:dyDescent="0.2">
      <c r="A56" s="9">
        <v>259968</v>
      </c>
      <c r="B56" s="7">
        <v>0.54</v>
      </c>
    </row>
    <row r="57" spans="1:2" x14ac:dyDescent="0.2">
      <c r="A57" s="9">
        <v>260564</v>
      </c>
      <c r="B57" s="7">
        <v>1061946.9025999999</v>
      </c>
    </row>
    <row r="58" spans="1:2" x14ac:dyDescent="0.2">
      <c r="A58" s="9">
        <v>260800</v>
      </c>
      <c r="B58" s="7">
        <v>2345.3231000000001</v>
      </c>
    </row>
    <row r="59" spans="1:2" x14ac:dyDescent="0.2">
      <c r="A59" s="9">
        <v>261310</v>
      </c>
      <c r="B59" s="7">
        <v>0</v>
      </c>
    </row>
    <row r="60" spans="1:2" x14ac:dyDescent="0.2">
      <c r="A60" s="9">
        <v>261387</v>
      </c>
      <c r="B60" s="7">
        <v>1282083.094</v>
      </c>
    </row>
    <row r="61" spans="1:2" x14ac:dyDescent="0.2">
      <c r="A61" s="9">
        <v>261759</v>
      </c>
      <c r="B61" s="7">
        <v>235650.11200000002</v>
      </c>
    </row>
    <row r="62" spans="1:2" x14ac:dyDescent="0.2">
      <c r="A62" s="9">
        <v>261763</v>
      </c>
      <c r="B62" s="7">
        <v>800000</v>
      </c>
    </row>
    <row r="63" spans="1:2" x14ac:dyDescent="0.2">
      <c r="A63" s="9">
        <v>261764</v>
      </c>
      <c r="B63" s="7">
        <v>725754.83650000009</v>
      </c>
    </row>
    <row r="64" spans="1:2" x14ac:dyDescent="0.2">
      <c r="A64" s="9">
        <v>261931</v>
      </c>
      <c r="B64" s="7">
        <v>1507197.4816999999</v>
      </c>
    </row>
    <row r="65" spans="1:2" x14ac:dyDescent="0.2">
      <c r="A65" s="9">
        <v>261946</v>
      </c>
      <c r="B65" s="7">
        <v>386553.21100000001</v>
      </c>
    </row>
    <row r="66" spans="1:2" x14ac:dyDescent="0.2">
      <c r="A66" s="9">
        <v>261965</v>
      </c>
      <c r="B66" s="7">
        <v>21567.68</v>
      </c>
    </row>
    <row r="67" spans="1:2" x14ac:dyDescent="0.2">
      <c r="A67" s="9">
        <v>262032</v>
      </c>
      <c r="B67" s="7">
        <v>252179.25270000001</v>
      </c>
    </row>
    <row r="68" spans="1:2" x14ac:dyDescent="0.2">
      <c r="A68" s="9">
        <v>262034</v>
      </c>
      <c r="B68" s="7">
        <v>113279.24900000001</v>
      </c>
    </row>
    <row r="69" spans="1:2" x14ac:dyDescent="0.2">
      <c r="A69" s="9">
        <v>262385</v>
      </c>
      <c r="B69" s="7">
        <v>243993.25</v>
      </c>
    </row>
    <row r="70" spans="1:2" x14ac:dyDescent="0.2">
      <c r="A70" s="9">
        <v>262498</v>
      </c>
      <c r="B70" s="7">
        <v>14285.55</v>
      </c>
    </row>
    <row r="71" spans="1:2" x14ac:dyDescent="0.2">
      <c r="A71" s="9">
        <v>262576</v>
      </c>
      <c r="B71" s="7">
        <v>1052766.564</v>
      </c>
    </row>
    <row r="72" spans="1:2" x14ac:dyDescent="0.2">
      <c r="A72" s="9">
        <v>262833</v>
      </c>
      <c r="B72" s="7">
        <v>366464.10499999998</v>
      </c>
    </row>
    <row r="73" spans="1:2" x14ac:dyDescent="0.2">
      <c r="A73" s="9">
        <v>262910</v>
      </c>
      <c r="B73" s="7">
        <v>9090.9143000000004</v>
      </c>
    </row>
    <row r="74" spans="1:2" x14ac:dyDescent="0.2">
      <c r="A74" s="9">
        <v>262938</v>
      </c>
      <c r="B74" s="7">
        <v>273032.38829999999</v>
      </c>
    </row>
    <row r="75" spans="1:2" x14ac:dyDescent="0.2">
      <c r="A75" s="9">
        <v>263026</v>
      </c>
      <c r="B75" s="7">
        <v>243729.39120000001</v>
      </c>
    </row>
    <row r="76" spans="1:2" x14ac:dyDescent="0.2">
      <c r="A76" s="9">
        <v>263588</v>
      </c>
      <c r="B76" s="7">
        <v>41426.75</v>
      </c>
    </row>
    <row r="77" spans="1:2" x14ac:dyDescent="0.2">
      <c r="A77" s="9">
        <v>263599</v>
      </c>
      <c r="B77" s="7">
        <v>0</v>
      </c>
    </row>
    <row r="78" spans="1:2" x14ac:dyDescent="0.2">
      <c r="A78" s="9">
        <v>263735</v>
      </c>
      <c r="B78" s="7">
        <v>12774.3</v>
      </c>
    </row>
    <row r="79" spans="1:2" x14ac:dyDescent="0.2">
      <c r="A79" s="9">
        <v>264043</v>
      </c>
      <c r="B79" s="7">
        <v>79594.924799999993</v>
      </c>
    </row>
    <row r="80" spans="1:2" x14ac:dyDescent="0.2">
      <c r="A80" s="9">
        <v>264071</v>
      </c>
      <c r="B80" s="7">
        <v>334147.56599999999</v>
      </c>
    </row>
    <row r="81" spans="1:2" x14ac:dyDescent="0.2">
      <c r="A81" s="9">
        <v>264255</v>
      </c>
      <c r="B81" s="7">
        <v>9580.77</v>
      </c>
    </row>
    <row r="82" spans="1:2" x14ac:dyDescent="0.2">
      <c r="A82" s="9">
        <v>264278</v>
      </c>
      <c r="B82" s="7">
        <v>0</v>
      </c>
    </row>
    <row r="83" spans="1:2" x14ac:dyDescent="0.2">
      <c r="A83" s="9">
        <v>264415</v>
      </c>
      <c r="B83" s="7">
        <v>20321.82</v>
      </c>
    </row>
    <row r="84" spans="1:2" x14ac:dyDescent="0.2">
      <c r="A84" s="9">
        <v>264419</v>
      </c>
      <c r="B84" s="7">
        <v>19894.72</v>
      </c>
    </row>
    <row r="85" spans="1:2" x14ac:dyDescent="0.2">
      <c r="A85" s="9">
        <v>264662</v>
      </c>
      <c r="B85" s="7">
        <v>1666</v>
      </c>
    </row>
    <row r="86" spans="1:2" x14ac:dyDescent="0.2">
      <c r="A86" s="9">
        <v>264707</v>
      </c>
      <c r="B86" s="7">
        <v>153846.16</v>
      </c>
    </row>
    <row r="87" spans="1:2" x14ac:dyDescent="0.2">
      <c r="A87" s="9">
        <v>264794</v>
      </c>
      <c r="B87" s="7">
        <v>2788.0749999999998</v>
      </c>
    </row>
    <row r="88" spans="1:2" x14ac:dyDescent="0.2">
      <c r="A88" s="9">
        <v>264809</v>
      </c>
      <c r="B88" s="7">
        <v>114375.6776</v>
      </c>
    </row>
    <row r="89" spans="1:2" x14ac:dyDescent="0.2">
      <c r="A89" s="9">
        <v>264810</v>
      </c>
      <c r="B89" s="7">
        <v>29198.32</v>
      </c>
    </row>
    <row r="90" spans="1:2" x14ac:dyDescent="0.2">
      <c r="A90" s="9">
        <v>264814</v>
      </c>
      <c r="B90" s="7">
        <v>100391.19500000001</v>
      </c>
    </row>
    <row r="91" spans="1:2" x14ac:dyDescent="0.2">
      <c r="A91" s="9">
        <v>264953</v>
      </c>
      <c r="B91" s="7">
        <v>1237.5574999999999</v>
      </c>
    </row>
    <row r="92" spans="1:2" x14ac:dyDescent="0.2">
      <c r="A92" s="9">
        <v>264954</v>
      </c>
      <c r="B92" s="7">
        <v>23.086300000000001</v>
      </c>
    </row>
    <row r="93" spans="1:2" x14ac:dyDescent="0.2">
      <c r="A93" s="9">
        <v>264956</v>
      </c>
      <c r="B93" s="7">
        <v>30861.52</v>
      </c>
    </row>
    <row r="94" spans="1:2" x14ac:dyDescent="0.2">
      <c r="A94" s="9">
        <v>265056</v>
      </c>
      <c r="B94" s="7">
        <v>49019.705900000001</v>
      </c>
    </row>
    <row r="95" spans="1:2" x14ac:dyDescent="0.2">
      <c r="A95" s="9">
        <v>265065</v>
      </c>
      <c r="B95" s="7">
        <v>991974.11579999991</v>
      </c>
    </row>
    <row r="96" spans="1:2" x14ac:dyDescent="0.2">
      <c r="A96" s="9">
        <v>265069</v>
      </c>
      <c r="B96" s="7">
        <v>306122.44900000002</v>
      </c>
    </row>
    <row r="97" spans="1:2" x14ac:dyDescent="0.2">
      <c r="A97" s="9">
        <v>265136</v>
      </c>
      <c r="B97" s="7">
        <v>0</v>
      </c>
    </row>
    <row r="98" spans="1:2" x14ac:dyDescent="0.2">
      <c r="A98" s="9">
        <v>265145</v>
      </c>
      <c r="B98" s="7">
        <v>6.7403000000000004</v>
      </c>
    </row>
    <row r="99" spans="1:2" x14ac:dyDescent="0.2">
      <c r="A99" s="9">
        <v>265152</v>
      </c>
      <c r="B99" s="7">
        <v>0</v>
      </c>
    </row>
    <row r="100" spans="1:2" x14ac:dyDescent="0.2">
      <c r="A100" s="9">
        <v>265310</v>
      </c>
      <c r="B100" s="7">
        <v>15162.177799999999</v>
      </c>
    </row>
    <row r="101" spans="1:2" x14ac:dyDescent="0.2">
      <c r="A101" s="9">
        <v>265319</v>
      </c>
      <c r="B101" s="7">
        <v>0</v>
      </c>
    </row>
    <row r="102" spans="1:2" x14ac:dyDescent="0.2">
      <c r="A102" s="9">
        <v>265377</v>
      </c>
      <c r="B102" s="7">
        <v>12304.861999999999</v>
      </c>
    </row>
    <row r="103" spans="1:2" x14ac:dyDescent="0.2">
      <c r="A103" s="9">
        <v>265472</v>
      </c>
      <c r="B103" s="7">
        <v>602741.60000000009</v>
      </c>
    </row>
    <row r="104" spans="1:2" x14ac:dyDescent="0.2">
      <c r="A104" s="9">
        <v>265595</v>
      </c>
      <c r="B104" s="7">
        <v>108607.36</v>
      </c>
    </row>
    <row r="105" spans="1:2" x14ac:dyDescent="0.2">
      <c r="A105" s="9">
        <v>265747</v>
      </c>
      <c r="B105" s="7">
        <v>1406922.8206</v>
      </c>
    </row>
    <row r="106" spans="1:2" x14ac:dyDescent="0.2">
      <c r="A106" s="9">
        <v>265754</v>
      </c>
      <c r="B106" s="7">
        <v>6194.3374999999996</v>
      </c>
    </row>
    <row r="107" spans="1:2" x14ac:dyDescent="0.2">
      <c r="A107" s="9">
        <v>265769</v>
      </c>
      <c r="B107" s="7">
        <v>112674.03880000001</v>
      </c>
    </row>
    <row r="108" spans="1:2" x14ac:dyDescent="0.2">
      <c r="A108" s="9">
        <v>265792</v>
      </c>
      <c r="B108" s="7">
        <v>9415.3320000000003</v>
      </c>
    </row>
    <row r="109" spans="1:2" x14ac:dyDescent="0.2">
      <c r="A109" s="9">
        <v>265809</v>
      </c>
      <c r="B109" s="7">
        <v>12072.572</v>
      </c>
    </row>
    <row r="110" spans="1:2" x14ac:dyDescent="0.2">
      <c r="A110" s="9">
        <v>265850</v>
      </c>
      <c r="B110" s="7">
        <v>6666.7</v>
      </c>
    </row>
    <row r="111" spans="1:2" x14ac:dyDescent="0.2">
      <c r="A111" s="9">
        <v>265853</v>
      </c>
      <c r="B111" s="7">
        <v>296703.1349</v>
      </c>
    </row>
    <row r="112" spans="1:2" x14ac:dyDescent="0.2">
      <c r="A112" s="9">
        <v>266090</v>
      </c>
      <c r="B112" s="7">
        <v>129073.88</v>
      </c>
    </row>
    <row r="113" spans="1:2" x14ac:dyDescent="0.2">
      <c r="A113" s="9">
        <v>266094</v>
      </c>
      <c r="B113" s="7">
        <v>28837.191999999999</v>
      </c>
    </row>
    <row r="114" spans="1:2" x14ac:dyDescent="0.2">
      <c r="A114" s="9">
        <v>266130</v>
      </c>
      <c r="B114" s="7">
        <v>2868.17</v>
      </c>
    </row>
    <row r="115" spans="1:2" x14ac:dyDescent="0.2">
      <c r="A115" s="9">
        <v>266239</v>
      </c>
      <c r="B115" s="7">
        <v>67528.53</v>
      </c>
    </row>
    <row r="116" spans="1:2" x14ac:dyDescent="0.2">
      <c r="A116" s="9">
        <v>266308</v>
      </c>
      <c r="B116" s="7">
        <v>0</v>
      </c>
    </row>
    <row r="117" spans="1:2" x14ac:dyDescent="0.2">
      <c r="A117" s="9">
        <v>266368</v>
      </c>
      <c r="B117" s="7">
        <v>75284.350000000006</v>
      </c>
    </row>
    <row r="118" spans="1:2" x14ac:dyDescent="0.2">
      <c r="A118" s="9">
        <v>266431</v>
      </c>
      <c r="B118" s="7">
        <v>53728.1</v>
      </c>
    </row>
    <row r="119" spans="1:2" x14ac:dyDescent="0.2">
      <c r="A119" s="9">
        <v>266630</v>
      </c>
      <c r="B119" s="7">
        <v>5236.4875000000002</v>
      </c>
    </row>
    <row r="120" spans="1:2" x14ac:dyDescent="0.2">
      <c r="A120" s="9">
        <v>266666</v>
      </c>
      <c r="B120" s="7">
        <v>35.093499999999999</v>
      </c>
    </row>
    <row r="121" spans="1:2" x14ac:dyDescent="0.2">
      <c r="A121" s="9">
        <v>266692</v>
      </c>
      <c r="B121" s="7">
        <v>1801.9638</v>
      </c>
    </row>
    <row r="122" spans="1:2" x14ac:dyDescent="0.2">
      <c r="A122" s="9">
        <v>266704</v>
      </c>
      <c r="B122" s="7">
        <v>398272.2671</v>
      </c>
    </row>
    <row r="123" spans="1:2" x14ac:dyDescent="0.2">
      <c r="A123" s="9">
        <v>266710</v>
      </c>
      <c r="B123" s="7">
        <v>334774.29009999998</v>
      </c>
    </row>
    <row r="124" spans="1:2" x14ac:dyDescent="0.2">
      <c r="A124" s="9">
        <v>266711</v>
      </c>
      <c r="B124" s="7">
        <v>193237.46950000001</v>
      </c>
    </row>
    <row r="125" spans="1:2" x14ac:dyDescent="0.2">
      <c r="A125" s="9">
        <v>266866</v>
      </c>
      <c r="B125" s="7">
        <v>61495.384700000002</v>
      </c>
    </row>
    <row r="126" spans="1:2" x14ac:dyDescent="0.2">
      <c r="A126" s="9">
        <v>266869</v>
      </c>
      <c r="B126" s="7">
        <v>93455.384699999995</v>
      </c>
    </row>
    <row r="127" spans="1:2" x14ac:dyDescent="0.2">
      <c r="A127" s="9">
        <v>266871</v>
      </c>
      <c r="B127" s="7">
        <v>29534.892400000001</v>
      </c>
    </row>
    <row r="128" spans="1:2" x14ac:dyDescent="0.2">
      <c r="A128" s="9">
        <v>266872</v>
      </c>
      <c r="B128" s="7">
        <v>61495.384700000002</v>
      </c>
    </row>
    <row r="129" spans="1:2" x14ac:dyDescent="0.2">
      <c r="A129" s="9">
        <v>266874</v>
      </c>
      <c r="B129" s="7">
        <v>61494.892399999997</v>
      </c>
    </row>
    <row r="130" spans="1:2" x14ac:dyDescent="0.2">
      <c r="A130" s="9">
        <v>266911</v>
      </c>
      <c r="B130" s="7">
        <v>306122.44900000002</v>
      </c>
    </row>
    <row r="131" spans="1:2" x14ac:dyDescent="0.2">
      <c r="A131" s="9">
        <v>266929</v>
      </c>
      <c r="B131" s="7">
        <v>24282.424999999999</v>
      </c>
    </row>
    <row r="132" spans="1:2" x14ac:dyDescent="0.2">
      <c r="A132" s="9">
        <v>266966</v>
      </c>
      <c r="B132" s="7">
        <v>585786.54570000002</v>
      </c>
    </row>
    <row r="133" spans="1:2" x14ac:dyDescent="0.2">
      <c r="A133" s="9">
        <v>267002</v>
      </c>
      <c r="B133" s="7">
        <v>1013212.4336999999</v>
      </c>
    </row>
    <row r="134" spans="1:2" x14ac:dyDescent="0.2">
      <c r="A134" s="9">
        <v>267088</v>
      </c>
      <c r="B134" s="7">
        <v>657899.71990000003</v>
      </c>
    </row>
    <row r="135" spans="1:2" x14ac:dyDescent="0.2">
      <c r="A135" s="9">
        <v>267090</v>
      </c>
      <c r="B135" s="7">
        <v>571200.03</v>
      </c>
    </row>
    <row r="136" spans="1:2" x14ac:dyDescent="0.2">
      <c r="A136" s="9">
        <v>267105</v>
      </c>
      <c r="B136" s="7">
        <v>459183.67349999998</v>
      </c>
    </row>
    <row r="137" spans="1:2" x14ac:dyDescent="0.2">
      <c r="A137" s="9">
        <v>267136</v>
      </c>
      <c r="B137" s="7">
        <v>35319.502399999998</v>
      </c>
    </row>
    <row r="138" spans="1:2" x14ac:dyDescent="0.2">
      <c r="A138" s="9">
        <v>267191</v>
      </c>
      <c r="B138" s="7">
        <v>114978.11499999999</v>
      </c>
    </row>
    <row r="139" spans="1:2" x14ac:dyDescent="0.2">
      <c r="A139" s="9">
        <v>267395</v>
      </c>
      <c r="B139" s="7">
        <v>662189.52</v>
      </c>
    </row>
    <row r="140" spans="1:2" x14ac:dyDescent="0.2">
      <c r="A140" s="9">
        <v>267432</v>
      </c>
      <c r="B140" s="7">
        <v>153877.64000000001</v>
      </c>
    </row>
    <row r="141" spans="1:2" x14ac:dyDescent="0.2">
      <c r="A141" s="9">
        <v>267453</v>
      </c>
      <c r="B141" s="7">
        <v>49784.176999999996</v>
      </c>
    </row>
    <row r="142" spans="1:2" x14ac:dyDescent="0.2">
      <c r="A142" s="9">
        <v>267640</v>
      </c>
      <c r="B142" s="7">
        <v>7209.0145000000002</v>
      </c>
    </row>
    <row r="143" spans="1:2" x14ac:dyDescent="0.2">
      <c r="A143" s="9">
        <v>267694</v>
      </c>
      <c r="B143" s="7">
        <v>102637.9035</v>
      </c>
    </row>
    <row r="144" spans="1:2" x14ac:dyDescent="0.2">
      <c r="A144" s="9">
        <v>267744</v>
      </c>
      <c r="B144" s="7">
        <v>76849.483300000007</v>
      </c>
    </row>
    <row r="145" spans="1:2" x14ac:dyDescent="0.2">
      <c r="A145" s="9">
        <v>267764</v>
      </c>
      <c r="B145" s="7">
        <v>31454.595000000001</v>
      </c>
    </row>
    <row r="146" spans="1:2" x14ac:dyDescent="0.2">
      <c r="A146" s="9">
        <v>267803</v>
      </c>
      <c r="B146" s="7">
        <v>749728.6614000001</v>
      </c>
    </row>
    <row r="147" spans="1:2" x14ac:dyDescent="0.2">
      <c r="A147" s="9">
        <v>267883</v>
      </c>
      <c r="B147" s="7">
        <v>503583.636</v>
      </c>
    </row>
    <row r="148" spans="1:2" x14ac:dyDescent="0.2">
      <c r="A148" s="9">
        <v>267884</v>
      </c>
      <c r="B148" s="7">
        <v>292389.55379999999</v>
      </c>
    </row>
    <row r="149" spans="1:2" x14ac:dyDescent="0.2">
      <c r="A149" s="9">
        <v>267903</v>
      </c>
      <c r="B149" s="7">
        <v>85566.448000000004</v>
      </c>
    </row>
    <row r="150" spans="1:2" x14ac:dyDescent="0.2">
      <c r="A150" s="9">
        <v>267910</v>
      </c>
      <c r="B150" s="7">
        <v>314125.84030000004</v>
      </c>
    </row>
    <row r="151" spans="1:2" x14ac:dyDescent="0.2">
      <c r="A151" s="9">
        <v>267935</v>
      </c>
      <c r="B151" s="7">
        <v>3618.18</v>
      </c>
    </row>
    <row r="152" spans="1:2" x14ac:dyDescent="0.2">
      <c r="A152" s="9">
        <v>267962</v>
      </c>
      <c r="B152" s="7">
        <v>632984.77</v>
      </c>
    </row>
    <row r="153" spans="1:2" x14ac:dyDescent="0.2">
      <c r="A153" s="9">
        <v>267963</v>
      </c>
      <c r="B153" s="7">
        <v>199918.46000000002</v>
      </c>
    </row>
    <row r="154" spans="1:2" x14ac:dyDescent="0.2">
      <c r="A154" s="9">
        <v>267967</v>
      </c>
      <c r="B154" s="7">
        <v>142529.97999999998</v>
      </c>
    </row>
    <row r="155" spans="1:2" x14ac:dyDescent="0.2">
      <c r="A155" s="9">
        <v>267992</v>
      </c>
      <c r="B155" s="7">
        <v>193560.34409999999</v>
      </c>
    </row>
    <row r="156" spans="1:2" x14ac:dyDescent="0.2">
      <c r="A156" s="9">
        <v>268009</v>
      </c>
      <c r="B156" s="7">
        <v>492852.89</v>
      </c>
    </row>
    <row r="157" spans="1:2" x14ac:dyDescent="0.2">
      <c r="A157" s="9">
        <v>268012</v>
      </c>
      <c r="B157" s="7">
        <v>426254.42799999996</v>
      </c>
    </row>
    <row r="158" spans="1:2" x14ac:dyDescent="0.2">
      <c r="A158" s="9">
        <v>268013</v>
      </c>
      <c r="B158" s="7">
        <v>41745.704100000003</v>
      </c>
    </row>
    <row r="159" spans="1:2" x14ac:dyDescent="0.2">
      <c r="A159" s="9">
        <v>268014</v>
      </c>
      <c r="B159" s="7">
        <v>87954.52</v>
      </c>
    </row>
    <row r="160" spans="1:2" x14ac:dyDescent="0.2">
      <c r="A160" s="9">
        <v>268021</v>
      </c>
      <c r="B160" s="7">
        <v>125000</v>
      </c>
    </row>
    <row r="161" spans="1:2" x14ac:dyDescent="0.2">
      <c r="A161" s="9">
        <v>268091</v>
      </c>
      <c r="B161" s="7">
        <v>151281.24</v>
      </c>
    </row>
    <row r="162" spans="1:2" x14ac:dyDescent="0.2">
      <c r="A162" s="9">
        <v>268132</v>
      </c>
      <c r="B162" s="7">
        <v>79446.383999999991</v>
      </c>
    </row>
    <row r="163" spans="1:2" x14ac:dyDescent="0.2">
      <c r="A163" s="9">
        <v>268217</v>
      </c>
      <c r="B163" s="7">
        <v>197389.74</v>
      </c>
    </row>
    <row r="164" spans="1:2" x14ac:dyDescent="0.2">
      <c r="A164" s="9">
        <v>268218</v>
      </c>
      <c r="B164" s="7">
        <v>29780.574999999997</v>
      </c>
    </row>
    <row r="165" spans="1:2" x14ac:dyDescent="0.2">
      <c r="A165" s="9">
        <v>268274</v>
      </c>
      <c r="B165" s="7">
        <v>1.05</v>
      </c>
    </row>
    <row r="166" spans="1:2" x14ac:dyDescent="0.2">
      <c r="A166" s="9">
        <v>268353</v>
      </c>
      <c r="B166" s="7">
        <v>2.0699999999999998</v>
      </c>
    </row>
    <row r="167" spans="1:2" x14ac:dyDescent="0.2">
      <c r="A167" s="9">
        <v>268444</v>
      </c>
      <c r="B167" s="7">
        <v>0</v>
      </c>
    </row>
    <row r="168" spans="1:2" x14ac:dyDescent="0.2">
      <c r="A168" s="9">
        <v>269003</v>
      </c>
      <c r="B168" s="7">
        <v>606406.48849999998</v>
      </c>
    </row>
    <row r="169" spans="1:2" x14ac:dyDescent="0.2">
      <c r="A169" s="9">
        <v>269280</v>
      </c>
      <c r="B169" s="7">
        <v>581293.98469999991</v>
      </c>
    </row>
    <row r="170" spans="1:2" x14ac:dyDescent="0.2">
      <c r="A170" s="9">
        <v>269478</v>
      </c>
      <c r="B170" s="7">
        <v>677000.1</v>
      </c>
    </row>
    <row r="171" spans="1:2" x14ac:dyDescent="0.2">
      <c r="A171" s="9">
        <v>269479</v>
      </c>
      <c r="B171" s="7">
        <v>159024.59</v>
      </c>
    </row>
    <row r="172" spans="1:2" x14ac:dyDescent="0.2">
      <c r="A172" s="9">
        <v>269480</v>
      </c>
      <c r="B172" s="7">
        <v>92083.627999999997</v>
      </c>
    </row>
    <row r="173" spans="1:2" x14ac:dyDescent="0.2">
      <c r="A173" s="9">
        <v>269482</v>
      </c>
      <c r="B173" s="7">
        <v>73899.16399999999</v>
      </c>
    </row>
    <row r="174" spans="1:2" x14ac:dyDescent="0.2">
      <c r="A174" s="9">
        <v>269483</v>
      </c>
      <c r="B174" s="7">
        <v>127792.86199999999</v>
      </c>
    </row>
    <row r="175" spans="1:2" x14ac:dyDescent="0.2">
      <c r="A175" s="9">
        <v>269582</v>
      </c>
      <c r="B175" s="7">
        <v>30193.073000000004</v>
      </c>
    </row>
    <row r="176" spans="1:2" x14ac:dyDescent="0.2">
      <c r="A176" s="9">
        <v>269583</v>
      </c>
      <c r="B176" s="7">
        <v>108528.71799999999</v>
      </c>
    </row>
    <row r="177" spans="1:2" x14ac:dyDescent="0.2">
      <c r="A177" s="9">
        <v>269584</v>
      </c>
      <c r="B177" s="7">
        <v>35031.718000000001</v>
      </c>
    </row>
    <row r="178" spans="1:2" x14ac:dyDescent="0.2">
      <c r="A178" s="9">
        <v>269585</v>
      </c>
      <c r="B178" s="7">
        <v>83514.429999999993</v>
      </c>
    </row>
    <row r="179" spans="1:2" x14ac:dyDescent="0.2">
      <c r="A179" s="9">
        <v>269586</v>
      </c>
      <c r="B179" s="7">
        <v>145492.17600000001</v>
      </c>
    </row>
    <row r="180" spans="1:2" x14ac:dyDescent="0.2">
      <c r="A180" s="9">
        <v>269587</v>
      </c>
      <c r="B180" s="7">
        <v>109591.226</v>
      </c>
    </row>
    <row r="181" spans="1:2" x14ac:dyDescent="0.2">
      <c r="A181" s="9">
        <v>269597</v>
      </c>
      <c r="B181" s="7">
        <v>13568.16</v>
      </c>
    </row>
    <row r="182" spans="1:2" x14ac:dyDescent="0.2">
      <c r="A182" s="9">
        <v>269600</v>
      </c>
      <c r="B182" s="7">
        <v>186575.75400000002</v>
      </c>
    </row>
    <row r="183" spans="1:2" x14ac:dyDescent="0.2">
      <c r="A183" s="9">
        <v>269662</v>
      </c>
      <c r="B183" s="7">
        <v>228834.24829999998</v>
      </c>
    </row>
    <row r="184" spans="1:2" x14ac:dyDescent="0.2">
      <c r="A184" s="9">
        <v>269710</v>
      </c>
      <c r="B184" s="7">
        <v>13150.02</v>
      </c>
    </row>
    <row r="185" spans="1:2" x14ac:dyDescent="0.2">
      <c r="A185" s="9">
        <v>269719</v>
      </c>
      <c r="B185" s="7">
        <v>106603.5478</v>
      </c>
    </row>
    <row r="186" spans="1:2" x14ac:dyDescent="0.2">
      <c r="A186" s="9">
        <v>269721</v>
      </c>
      <c r="B186" s="7">
        <v>366935.03940000001</v>
      </c>
    </row>
    <row r="187" spans="1:2" x14ac:dyDescent="0.2">
      <c r="A187" s="9">
        <v>269736</v>
      </c>
      <c r="B187" s="7">
        <v>117274.32</v>
      </c>
    </row>
    <row r="188" spans="1:2" x14ac:dyDescent="0.2">
      <c r="A188" s="9">
        <v>269737</v>
      </c>
      <c r="B188" s="7">
        <v>153061.22450000001</v>
      </c>
    </row>
    <row r="189" spans="1:2" x14ac:dyDescent="0.2">
      <c r="A189" s="9">
        <v>269740</v>
      </c>
      <c r="B189" s="7">
        <v>197449.0509</v>
      </c>
    </row>
    <row r="190" spans="1:2" x14ac:dyDescent="0.2">
      <c r="A190" s="9">
        <v>269909</v>
      </c>
      <c r="B190" s="7">
        <v>1884095.8373999998</v>
      </c>
    </row>
    <row r="191" spans="1:2" x14ac:dyDescent="0.2">
      <c r="A191" s="9">
        <v>269931</v>
      </c>
      <c r="B191" s="7">
        <v>18231.8423</v>
      </c>
    </row>
    <row r="192" spans="1:2" x14ac:dyDescent="0.2">
      <c r="A192" s="9">
        <v>269943</v>
      </c>
      <c r="B192" s="7">
        <v>37242.305399999997</v>
      </c>
    </row>
    <row r="193" spans="1:2" x14ac:dyDescent="0.2">
      <c r="A193" s="9">
        <v>269990</v>
      </c>
      <c r="B193" s="7">
        <v>966538.80599999987</v>
      </c>
    </row>
    <row r="194" spans="1:2" x14ac:dyDescent="0.2">
      <c r="A194" s="9">
        <v>270111</v>
      </c>
      <c r="B194" s="7">
        <v>273838.5821</v>
      </c>
    </row>
    <row r="195" spans="1:2" x14ac:dyDescent="0.2">
      <c r="A195" s="9">
        <v>270352</v>
      </c>
      <c r="B195" s="7">
        <v>60000</v>
      </c>
    </row>
    <row r="196" spans="1:2" x14ac:dyDescent="0.2">
      <c r="A196" s="9">
        <v>270359</v>
      </c>
      <c r="B196" s="7">
        <v>300000.01</v>
      </c>
    </row>
    <row r="197" spans="1:2" x14ac:dyDescent="0.2">
      <c r="A197" s="9">
        <v>270419</v>
      </c>
      <c r="B197" s="7">
        <v>1419039.5210000002</v>
      </c>
    </row>
    <row r="198" spans="1:2" x14ac:dyDescent="0.2">
      <c r="A198" s="9">
        <v>270425</v>
      </c>
      <c r="B198" s="7">
        <v>174774.99600000001</v>
      </c>
    </row>
    <row r="199" spans="1:2" x14ac:dyDescent="0.2">
      <c r="A199" s="9">
        <v>270436</v>
      </c>
      <c r="B199" s="7">
        <v>215669.87400000001</v>
      </c>
    </row>
    <row r="200" spans="1:2" x14ac:dyDescent="0.2">
      <c r="A200" s="9">
        <v>270448</v>
      </c>
      <c r="B200" s="7">
        <v>101180.37239999999</v>
      </c>
    </row>
    <row r="201" spans="1:2" x14ac:dyDescent="0.2">
      <c r="A201" s="9">
        <v>270497</v>
      </c>
      <c r="B201" s="7">
        <v>307727.03200000001</v>
      </c>
    </row>
    <row r="202" spans="1:2" x14ac:dyDescent="0.2">
      <c r="A202" s="9">
        <v>270546</v>
      </c>
      <c r="B202" s="7">
        <v>616256.152</v>
      </c>
    </row>
    <row r="203" spans="1:2" x14ac:dyDescent="0.2">
      <c r="A203" s="9">
        <v>270547</v>
      </c>
      <c r="B203" s="7">
        <v>214725.655</v>
      </c>
    </row>
    <row r="204" spans="1:2" x14ac:dyDescent="0.2">
      <c r="A204" s="9">
        <v>270566</v>
      </c>
      <c r="B204" s="7">
        <v>34689.729500000001</v>
      </c>
    </row>
    <row r="205" spans="1:2" x14ac:dyDescent="0.2">
      <c r="A205" s="9">
        <v>270573</v>
      </c>
      <c r="B205" s="7">
        <v>914898.26800000016</v>
      </c>
    </row>
    <row r="206" spans="1:2" x14ac:dyDescent="0.2">
      <c r="A206" s="9">
        <v>270641</v>
      </c>
      <c r="B206" s="7">
        <v>239635.68</v>
      </c>
    </row>
    <row r="207" spans="1:2" x14ac:dyDescent="0.2">
      <c r="A207" s="9">
        <v>270643</v>
      </c>
      <c r="B207" s="7">
        <v>55528.84</v>
      </c>
    </row>
    <row r="208" spans="1:2" x14ac:dyDescent="0.2">
      <c r="A208" s="9">
        <v>270734</v>
      </c>
      <c r="B208" s="7">
        <v>99064.72</v>
      </c>
    </row>
    <row r="209" spans="1:2" x14ac:dyDescent="0.2">
      <c r="A209" s="9">
        <v>270746</v>
      </c>
      <c r="B209" s="7">
        <v>0</v>
      </c>
    </row>
    <row r="210" spans="1:2" x14ac:dyDescent="0.2">
      <c r="A210" s="9">
        <v>270752</v>
      </c>
      <c r="B210" s="7">
        <v>181523.45799999998</v>
      </c>
    </row>
    <row r="211" spans="1:2" x14ac:dyDescent="0.2">
      <c r="A211" s="9">
        <v>270775</v>
      </c>
      <c r="B211" s="7">
        <v>304370.386</v>
      </c>
    </row>
    <row r="212" spans="1:2" x14ac:dyDescent="0.2">
      <c r="A212" s="9">
        <v>270964</v>
      </c>
      <c r="B212" s="7">
        <v>97994.880000000005</v>
      </c>
    </row>
    <row r="213" spans="1:2" x14ac:dyDescent="0.2">
      <c r="A213" s="9">
        <v>271008</v>
      </c>
      <c r="B213" s="7">
        <v>1421.4658999999999</v>
      </c>
    </row>
    <row r="214" spans="1:2" x14ac:dyDescent="0.2">
      <c r="A214" s="9">
        <v>271227</v>
      </c>
      <c r="B214" s="7">
        <v>0</v>
      </c>
    </row>
    <row r="215" spans="1:2" x14ac:dyDescent="0.2">
      <c r="A215" s="9">
        <v>271381</v>
      </c>
      <c r="B215" s="7">
        <v>253.29900000000001</v>
      </c>
    </row>
    <row r="216" spans="1:2" x14ac:dyDescent="0.2">
      <c r="A216" s="9">
        <v>271386</v>
      </c>
      <c r="B216" s="7">
        <v>183263.1998</v>
      </c>
    </row>
    <row r="217" spans="1:2" x14ac:dyDescent="0.2">
      <c r="A217" s="9">
        <v>271405</v>
      </c>
      <c r="B217" s="7">
        <v>534157.65399999998</v>
      </c>
    </row>
    <row r="218" spans="1:2" x14ac:dyDescent="0.2">
      <c r="A218" s="9">
        <v>271465</v>
      </c>
      <c r="B218" s="7">
        <v>249063.33529999998</v>
      </c>
    </row>
    <row r="219" spans="1:2" x14ac:dyDescent="0.2">
      <c r="A219" s="9">
        <v>271496</v>
      </c>
      <c r="B219" s="7">
        <v>3625.3389000000002</v>
      </c>
    </row>
    <row r="220" spans="1:2" x14ac:dyDescent="0.2">
      <c r="A220" s="9">
        <v>271544</v>
      </c>
      <c r="B220" s="7">
        <v>5494.5054</v>
      </c>
    </row>
    <row r="221" spans="1:2" x14ac:dyDescent="0.2">
      <c r="A221" s="9">
        <v>271603</v>
      </c>
      <c r="B221" s="7">
        <v>5772.5910999999996</v>
      </c>
    </row>
    <row r="222" spans="1:2" x14ac:dyDescent="0.2">
      <c r="A222" s="9">
        <v>271670</v>
      </c>
      <c r="B222" s="7">
        <v>604.7627</v>
      </c>
    </row>
    <row r="223" spans="1:2" x14ac:dyDescent="0.2">
      <c r="A223" s="9">
        <v>271686</v>
      </c>
      <c r="B223" s="7">
        <v>42992.2575</v>
      </c>
    </row>
    <row r="224" spans="1:2" x14ac:dyDescent="0.2">
      <c r="A224" s="9">
        <v>271861</v>
      </c>
      <c r="B224" s="7">
        <v>2791.5608000000002</v>
      </c>
    </row>
    <row r="225" spans="1:2" x14ac:dyDescent="0.2">
      <c r="A225" s="9">
        <v>272050</v>
      </c>
      <c r="B225" s="7">
        <v>28.34</v>
      </c>
    </row>
    <row r="226" spans="1:2" x14ac:dyDescent="0.2">
      <c r="A226" s="9">
        <v>272062</v>
      </c>
      <c r="B226" s="7">
        <v>2792.4283999999998</v>
      </c>
    </row>
    <row r="227" spans="1:2" x14ac:dyDescent="0.2">
      <c r="A227" s="9">
        <v>272063</v>
      </c>
      <c r="B227" s="7">
        <v>5554.9681</v>
      </c>
    </row>
    <row r="228" spans="1:2" x14ac:dyDescent="0.2">
      <c r="A228" s="9">
        <v>272138</v>
      </c>
      <c r="B228" s="7">
        <v>68232.03</v>
      </c>
    </row>
    <row r="229" spans="1:2" x14ac:dyDescent="0.2">
      <c r="A229" s="9">
        <v>272146</v>
      </c>
      <c r="B229" s="7">
        <v>4606.0998</v>
      </c>
    </row>
    <row r="230" spans="1:2" x14ac:dyDescent="0.2">
      <c r="A230" s="9">
        <v>272533</v>
      </c>
      <c r="B230" s="7">
        <v>12818.96</v>
      </c>
    </row>
    <row r="231" spans="1:2" x14ac:dyDescent="0.2">
      <c r="A231" s="9">
        <v>272782</v>
      </c>
      <c r="B231" s="7">
        <v>0</v>
      </c>
    </row>
    <row r="232" spans="1:2" x14ac:dyDescent="0.2">
      <c r="A232" s="9" t="s">
        <v>2139</v>
      </c>
      <c r="B232" s="7">
        <v>56204190.942600027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C607-FE9D-6B4A-A400-FEE22B9ED291}">
  <sheetPr filterMode="1"/>
  <dimension ref="A1:AJ570"/>
  <sheetViews>
    <sheetView topLeftCell="U1" workbookViewId="0">
      <selection activeCell="Y263" sqref="Y263"/>
    </sheetView>
  </sheetViews>
  <sheetFormatPr baseColWidth="10" defaultRowHeight="15" x14ac:dyDescent="0.2"/>
  <cols>
    <col min="1" max="1" width="16.1640625" bestFit="1" customWidth="1"/>
    <col min="2" max="2" width="44.6640625" bestFit="1" customWidth="1"/>
    <col min="3" max="3" width="18.83203125" bestFit="1" customWidth="1"/>
    <col min="4" max="4" width="75.1640625" bestFit="1" customWidth="1"/>
    <col min="5" max="5" width="9.6640625" bestFit="1" customWidth="1"/>
    <col min="6" max="6" width="57.33203125" bestFit="1" customWidth="1"/>
    <col min="7" max="7" width="12.5" bestFit="1" customWidth="1"/>
    <col min="8" max="8" width="13.1640625" bestFit="1" customWidth="1"/>
    <col min="9" max="9" width="110" bestFit="1" customWidth="1"/>
    <col min="10" max="10" width="19.83203125" bestFit="1" customWidth="1"/>
    <col min="11" max="11" width="18.83203125" bestFit="1" customWidth="1"/>
    <col min="12" max="12" width="29.33203125" bestFit="1" customWidth="1"/>
    <col min="13" max="13" width="21.83203125" bestFit="1" customWidth="1"/>
    <col min="14" max="14" width="22.33203125" bestFit="1" customWidth="1"/>
    <col min="15" max="15" width="18.33203125" bestFit="1" customWidth="1"/>
    <col min="16" max="16" width="18.5" bestFit="1" customWidth="1"/>
    <col min="17" max="17" width="15.83203125" bestFit="1" customWidth="1"/>
    <col min="18" max="18" width="39.1640625" bestFit="1" customWidth="1"/>
    <col min="19" max="19" width="38.1640625" bestFit="1" customWidth="1"/>
    <col min="20" max="20" width="40.33203125" bestFit="1" customWidth="1"/>
    <col min="21" max="21" width="28.5" bestFit="1" customWidth="1"/>
    <col min="22" max="22" width="21.5" bestFit="1" customWidth="1"/>
    <col min="23" max="23" width="35.83203125" bestFit="1" customWidth="1"/>
    <col min="24" max="24" width="27" bestFit="1" customWidth="1"/>
    <col min="25" max="25" width="19.5" bestFit="1" customWidth="1"/>
    <col min="26" max="26" width="21.1640625" bestFit="1" customWidth="1"/>
    <col min="27" max="27" width="20.6640625" bestFit="1" customWidth="1"/>
    <col min="28" max="28" width="23" bestFit="1" customWidth="1"/>
    <col min="29" max="29" width="17" bestFit="1" customWidth="1"/>
    <col min="30" max="30" width="16" bestFit="1" customWidth="1"/>
    <col min="31" max="31" width="24.5" bestFit="1" customWidth="1"/>
    <col min="32" max="32" width="15" bestFit="1" customWidth="1"/>
    <col min="33" max="33" width="19.5" bestFit="1" customWidth="1"/>
    <col min="34" max="34" width="15.83203125" bestFit="1" customWidth="1"/>
    <col min="35" max="35" width="11.6640625" bestFit="1" customWidth="1"/>
    <col min="36" max="36" width="20.1640625" bestFit="1" customWidth="1"/>
  </cols>
  <sheetData>
    <row r="1" spans="1:36" ht="16" x14ac:dyDescent="0.2">
      <c r="A1" s="10" t="s">
        <v>2141</v>
      </c>
      <c r="B1" s="10" t="s">
        <v>2142</v>
      </c>
      <c r="C1" s="10" t="s">
        <v>2143</v>
      </c>
      <c r="D1" s="10" t="s">
        <v>2144</v>
      </c>
      <c r="E1" s="10" t="s">
        <v>2145</v>
      </c>
      <c r="F1" s="10" t="s">
        <v>2146</v>
      </c>
      <c r="G1" s="10" t="s">
        <v>2147</v>
      </c>
      <c r="H1" s="10" t="s">
        <v>2148</v>
      </c>
      <c r="I1" s="10" t="s">
        <v>2149</v>
      </c>
      <c r="J1" s="10" t="s">
        <v>2150</v>
      </c>
      <c r="K1" s="10" t="s">
        <v>2151</v>
      </c>
      <c r="L1" s="10" t="s">
        <v>2152</v>
      </c>
      <c r="M1" s="10" t="s">
        <v>2153</v>
      </c>
      <c r="N1" s="10" t="s">
        <v>2154</v>
      </c>
      <c r="O1" s="10" t="s">
        <v>2155</v>
      </c>
      <c r="P1" s="10" t="s">
        <v>2156</v>
      </c>
      <c r="Q1" s="10" t="s">
        <v>2157</v>
      </c>
      <c r="R1" s="10" t="s">
        <v>2158</v>
      </c>
      <c r="S1" s="10" t="s">
        <v>2159</v>
      </c>
      <c r="T1" s="10" t="s">
        <v>2160</v>
      </c>
      <c r="U1" s="10" t="s">
        <v>2161</v>
      </c>
      <c r="V1" s="10" t="s">
        <v>2162</v>
      </c>
      <c r="W1" s="10" t="s">
        <v>2163</v>
      </c>
      <c r="X1" s="10" t="s">
        <v>2164</v>
      </c>
      <c r="Y1" s="10" t="s">
        <v>31</v>
      </c>
      <c r="Z1" s="10" t="s">
        <v>2165</v>
      </c>
      <c r="AA1" s="10" t="s">
        <v>2166</v>
      </c>
      <c r="AB1" s="10" t="s">
        <v>2167</v>
      </c>
      <c r="AC1" s="10" t="s">
        <v>2168</v>
      </c>
      <c r="AD1" s="10" t="s">
        <v>2169</v>
      </c>
      <c r="AE1" s="10" t="s">
        <v>2170</v>
      </c>
      <c r="AF1" s="10" t="s">
        <v>2171</v>
      </c>
      <c r="AG1" s="10" t="s">
        <v>2172</v>
      </c>
      <c r="AH1" s="10" t="s">
        <v>2173</v>
      </c>
      <c r="AI1" s="10" t="s">
        <v>42</v>
      </c>
      <c r="AJ1" s="10" t="s">
        <v>39</v>
      </c>
    </row>
    <row r="2" spans="1:36" hidden="1" x14ac:dyDescent="0.2">
      <c r="A2" t="s">
        <v>2174</v>
      </c>
      <c r="B2" t="s">
        <v>116</v>
      </c>
      <c r="C2" t="s">
        <v>2175</v>
      </c>
      <c r="D2" t="s">
        <v>230</v>
      </c>
      <c r="E2">
        <v>250528</v>
      </c>
      <c r="F2" t="s">
        <v>2176</v>
      </c>
      <c r="G2">
        <v>3535</v>
      </c>
      <c r="H2">
        <v>538245</v>
      </c>
      <c r="I2" t="s">
        <v>441</v>
      </c>
      <c r="J2" s="11">
        <v>46202</v>
      </c>
      <c r="K2" s="11">
        <v>46292</v>
      </c>
      <c r="L2" t="s">
        <v>2177</v>
      </c>
      <c r="M2" t="s">
        <v>1850</v>
      </c>
      <c r="N2">
        <v>19</v>
      </c>
      <c r="O2">
        <v>39470842</v>
      </c>
      <c r="P2">
        <v>749946</v>
      </c>
      <c r="Q2" t="s">
        <v>2178</v>
      </c>
      <c r="R2" t="s">
        <v>2179</v>
      </c>
      <c r="S2">
        <v>0</v>
      </c>
      <c r="T2">
        <v>0</v>
      </c>
      <c r="U2" t="s">
        <v>2179</v>
      </c>
      <c r="V2">
        <v>0</v>
      </c>
      <c r="W2" t="s">
        <v>2180</v>
      </c>
      <c r="X2">
        <v>0</v>
      </c>
      <c r="Y2">
        <v>0</v>
      </c>
      <c r="Z2">
        <v>0</v>
      </c>
      <c r="AC2" s="11">
        <v>46202</v>
      </c>
      <c r="AD2" s="11">
        <v>46292</v>
      </c>
      <c r="AE2" t="s">
        <v>2181</v>
      </c>
      <c r="AF2" t="s">
        <v>2182</v>
      </c>
      <c r="AG2" t="s">
        <v>2183</v>
      </c>
      <c r="AH2">
        <v>749946</v>
      </c>
      <c r="AI2">
        <v>95194</v>
      </c>
      <c r="AJ2" t="s">
        <v>2044</v>
      </c>
    </row>
    <row r="3" spans="1:36" hidden="1" x14ac:dyDescent="0.2">
      <c r="A3" t="s">
        <v>2184</v>
      </c>
      <c r="B3" t="s">
        <v>2185</v>
      </c>
      <c r="C3" t="s">
        <v>2186</v>
      </c>
      <c r="D3" t="s">
        <v>2187</v>
      </c>
      <c r="E3">
        <v>251184</v>
      </c>
      <c r="F3" t="s">
        <v>2176</v>
      </c>
      <c r="G3">
        <v>3535</v>
      </c>
      <c r="H3">
        <v>537460</v>
      </c>
      <c r="I3" t="s">
        <v>2188</v>
      </c>
      <c r="J3" s="11">
        <v>46149</v>
      </c>
      <c r="K3" s="11">
        <v>46201</v>
      </c>
      <c r="L3" t="s">
        <v>2177</v>
      </c>
      <c r="M3" t="s">
        <v>1850</v>
      </c>
      <c r="N3">
        <v>0</v>
      </c>
      <c r="O3">
        <v>0</v>
      </c>
      <c r="P3">
        <v>0</v>
      </c>
      <c r="Q3" t="s">
        <v>2178</v>
      </c>
      <c r="R3" t="s">
        <v>2179</v>
      </c>
      <c r="S3">
        <v>0</v>
      </c>
      <c r="T3">
        <v>0</v>
      </c>
      <c r="U3" t="s">
        <v>2179</v>
      </c>
      <c r="V3">
        <v>0</v>
      </c>
      <c r="W3" t="s">
        <v>2180</v>
      </c>
      <c r="X3">
        <v>0</v>
      </c>
      <c r="Y3">
        <v>0</v>
      </c>
      <c r="Z3">
        <v>0</v>
      </c>
      <c r="AC3" s="11">
        <v>46149</v>
      </c>
      <c r="AD3" s="11">
        <v>46201</v>
      </c>
      <c r="AE3" t="s">
        <v>2189</v>
      </c>
      <c r="AF3" t="s">
        <v>2182</v>
      </c>
      <c r="AG3" t="s">
        <v>2183</v>
      </c>
      <c r="AH3">
        <v>0</v>
      </c>
      <c r="AI3">
        <v>101604</v>
      </c>
      <c r="AJ3" t="s">
        <v>2044</v>
      </c>
    </row>
    <row r="4" spans="1:36" hidden="1" x14ac:dyDescent="0.2">
      <c r="A4" t="s">
        <v>2190</v>
      </c>
      <c r="B4" t="s">
        <v>139</v>
      </c>
      <c r="C4" t="s">
        <v>2191</v>
      </c>
      <c r="D4" t="s">
        <v>268</v>
      </c>
      <c r="E4">
        <v>251886</v>
      </c>
      <c r="F4" t="s">
        <v>2192</v>
      </c>
      <c r="G4">
        <v>1</v>
      </c>
      <c r="H4">
        <v>534730</v>
      </c>
      <c r="I4" t="s">
        <v>497</v>
      </c>
      <c r="J4" s="11">
        <v>46113</v>
      </c>
      <c r="K4" s="11">
        <v>46203</v>
      </c>
      <c r="M4" t="s">
        <v>1850</v>
      </c>
      <c r="N4">
        <v>25</v>
      </c>
      <c r="O4">
        <v>4135880</v>
      </c>
      <c r="P4">
        <v>103397.01</v>
      </c>
      <c r="R4" t="s">
        <v>2179</v>
      </c>
      <c r="S4">
        <v>0</v>
      </c>
      <c r="T4">
        <v>0</v>
      </c>
      <c r="U4" t="s">
        <v>2179</v>
      </c>
      <c r="V4">
        <v>269644</v>
      </c>
      <c r="W4" t="s">
        <v>2180</v>
      </c>
      <c r="X4">
        <v>6741.12</v>
      </c>
      <c r="Y4">
        <v>6741.12</v>
      </c>
      <c r="Z4">
        <v>6741.12</v>
      </c>
      <c r="AA4">
        <v>615694</v>
      </c>
      <c r="AB4">
        <v>0</v>
      </c>
      <c r="AC4" s="11">
        <v>46113</v>
      </c>
      <c r="AD4" s="11">
        <v>46203</v>
      </c>
      <c r="AE4" t="s">
        <v>2193</v>
      </c>
      <c r="AF4" t="s">
        <v>2182</v>
      </c>
      <c r="AG4" t="s">
        <v>2183</v>
      </c>
      <c r="AH4">
        <v>200000.03</v>
      </c>
      <c r="AI4">
        <v>96408</v>
      </c>
      <c r="AJ4" t="s">
        <v>2057</v>
      </c>
    </row>
    <row r="5" spans="1:36" hidden="1" x14ac:dyDescent="0.2">
      <c r="A5" t="s">
        <v>2194</v>
      </c>
      <c r="B5" t="s">
        <v>131</v>
      </c>
      <c r="C5" t="s">
        <v>2195</v>
      </c>
      <c r="D5" t="s">
        <v>2196</v>
      </c>
      <c r="E5">
        <v>252293</v>
      </c>
      <c r="F5" t="s">
        <v>2192</v>
      </c>
      <c r="G5">
        <v>1</v>
      </c>
      <c r="H5">
        <v>537073</v>
      </c>
      <c r="I5" t="s">
        <v>2197</v>
      </c>
      <c r="J5" s="11">
        <v>46202</v>
      </c>
      <c r="K5" s="11">
        <v>46292</v>
      </c>
      <c r="L5" t="s">
        <v>2177</v>
      </c>
      <c r="M5" t="s">
        <v>1850</v>
      </c>
      <c r="N5">
        <v>0</v>
      </c>
      <c r="O5">
        <v>0</v>
      </c>
      <c r="P5">
        <v>0</v>
      </c>
      <c r="Q5" t="s">
        <v>2178</v>
      </c>
      <c r="R5" t="s">
        <v>2179</v>
      </c>
      <c r="S5">
        <v>0</v>
      </c>
      <c r="T5">
        <v>0</v>
      </c>
      <c r="U5" t="s">
        <v>2179</v>
      </c>
      <c r="V5">
        <v>0</v>
      </c>
      <c r="W5" t="s">
        <v>2180</v>
      </c>
      <c r="X5">
        <v>0</v>
      </c>
      <c r="Y5">
        <v>0</v>
      </c>
      <c r="Z5">
        <v>0</v>
      </c>
      <c r="AC5" s="11">
        <v>46202</v>
      </c>
      <c r="AD5" s="11">
        <v>46292</v>
      </c>
      <c r="AE5" t="s">
        <v>2198</v>
      </c>
      <c r="AF5" t="s">
        <v>2182</v>
      </c>
      <c r="AG5" t="s">
        <v>2183</v>
      </c>
      <c r="AH5">
        <v>0</v>
      </c>
      <c r="AI5">
        <v>95920</v>
      </c>
      <c r="AJ5" t="s">
        <v>2053</v>
      </c>
    </row>
    <row r="6" spans="1:36" hidden="1" x14ac:dyDescent="0.2">
      <c r="A6" t="s">
        <v>2199</v>
      </c>
      <c r="B6" t="s">
        <v>117</v>
      </c>
      <c r="C6" t="s">
        <v>2200</v>
      </c>
      <c r="D6" t="s">
        <v>231</v>
      </c>
      <c r="E6">
        <v>252314</v>
      </c>
      <c r="F6" t="s">
        <v>2176</v>
      </c>
      <c r="G6">
        <v>3535</v>
      </c>
      <c r="H6">
        <v>537026</v>
      </c>
      <c r="I6" t="s">
        <v>442</v>
      </c>
      <c r="J6" s="11">
        <v>46202</v>
      </c>
      <c r="K6" s="11">
        <v>46292</v>
      </c>
      <c r="L6" t="s">
        <v>2177</v>
      </c>
      <c r="M6" t="s">
        <v>1850</v>
      </c>
      <c r="N6">
        <v>33.57</v>
      </c>
      <c r="O6">
        <v>7447126</v>
      </c>
      <c r="P6">
        <v>250000.02</v>
      </c>
      <c r="Q6" t="s">
        <v>2201</v>
      </c>
      <c r="R6" t="s">
        <v>2179</v>
      </c>
      <c r="S6">
        <v>0</v>
      </c>
      <c r="T6">
        <v>0</v>
      </c>
      <c r="U6" t="s">
        <v>2179</v>
      </c>
      <c r="V6">
        <v>0</v>
      </c>
      <c r="W6" t="s">
        <v>2180</v>
      </c>
      <c r="X6">
        <v>0</v>
      </c>
      <c r="Y6">
        <v>0</v>
      </c>
      <c r="Z6">
        <v>0</v>
      </c>
      <c r="AC6" s="11">
        <v>46202</v>
      </c>
      <c r="AD6" s="11">
        <v>46292</v>
      </c>
      <c r="AE6" t="s">
        <v>2202</v>
      </c>
      <c r="AF6" t="s">
        <v>2182</v>
      </c>
      <c r="AG6" t="s">
        <v>2183</v>
      </c>
      <c r="AH6">
        <v>830000.67</v>
      </c>
      <c r="AI6">
        <v>96341</v>
      </c>
      <c r="AJ6" t="s">
        <v>2045</v>
      </c>
    </row>
    <row r="7" spans="1:36" hidden="1" x14ac:dyDescent="0.2">
      <c r="A7" t="s">
        <v>2203</v>
      </c>
      <c r="B7" t="s">
        <v>120</v>
      </c>
      <c r="C7" t="s">
        <v>2204</v>
      </c>
      <c r="D7" t="s">
        <v>237</v>
      </c>
      <c r="E7">
        <v>253348</v>
      </c>
      <c r="H7">
        <v>538224</v>
      </c>
      <c r="I7" t="s">
        <v>450</v>
      </c>
      <c r="J7" s="11">
        <v>46074</v>
      </c>
      <c r="K7" s="11">
        <v>46387</v>
      </c>
      <c r="L7" t="s">
        <v>2177</v>
      </c>
      <c r="M7" t="s">
        <v>2205</v>
      </c>
      <c r="N7">
        <v>75000</v>
      </c>
      <c r="O7">
        <v>1</v>
      </c>
      <c r="P7">
        <v>75000</v>
      </c>
      <c r="Q7" t="s">
        <v>1987</v>
      </c>
      <c r="R7" t="s">
        <v>2206</v>
      </c>
      <c r="S7">
        <v>0</v>
      </c>
      <c r="T7">
        <v>7165.6050999999998</v>
      </c>
      <c r="U7" t="s">
        <v>2206</v>
      </c>
      <c r="V7">
        <v>0</v>
      </c>
      <c r="W7" t="s">
        <v>2180</v>
      </c>
      <c r="X7">
        <v>6768.0042000000003</v>
      </c>
      <c r="Y7">
        <v>6768.0042000000003</v>
      </c>
      <c r="Z7">
        <v>6768.0042000000003</v>
      </c>
      <c r="AC7" s="11">
        <v>46074</v>
      </c>
      <c r="AD7" s="11">
        <v>46387</v>
      </c>
      <c r="AE7" t="s">
        <v>2189</v>
      </c>
      <c r="AF7" t="s">
        <v>2182</v>
      </c>
      <c r="AG7" t="s">
        <v>2183</v>
      </c>
      <c r="AH7">
        <v>85000.05</v>
      </c>
      <c r="AI7">
        <v>101619</v>
      </c>
      <c r="AJ7" t="s">
        <v>2047</v>
      </c>
    </row>
    <row r="8" spans="1:36" hidden="1" x14ac:dyDescent="0.2">
      <c r="A8" t="s">
        <v>2203</v>
      </c>
      <c r="B8" t="s">
        <v>120</v>
      </c>
      <c r="C8" t="s">
        <v>2204</v>
      </c>
      <c r="D8" t="s">
        <v>237</v>
      </c>
      <c r="E8">
        <v>253348</v>
      </c>
      <c r="F8" t="s">
        <v>2192</v>
      </c>
      <c r="G8">
        <v>1</v>
      </c>
      <c r="H8">
        <v>538226</v>
      </c>
      <c r="I8" t="s">
        <v>449</v>
      </c>
      <c r="J8" s="11">
        <v>46074</v>
      </c>
      <c r="K8" s="11">
        <v>46387</v>
      </c>
      <c r="L8" t="s">
        <v>2177</v>
      </c>
      <c r="M8" t="s">
        <v>1850</v>
      </c>
      <c r="N8">
        <v>25.7</v>
      </c>
      <c r="O8">
        <v>389106</v>
      </c>
      <c r="P8">
        <v>10000.02</v>
      </c>
      <c r="Q8" t="s">
        <v>2201</v>
      </c>
      <c r="R8" t="s">
        <v>2179</v>
      </c>
      <c r="S8">
        <v>0</v>
      </c>
      <c r="T8">
        <v>0</v>
      </c>
      <c r="U8" t="s">
        <v>2179</v>
      </c>
      <c r="V8">
        <v>16417</v>
      </c>
      <c r="W8" t="s">
        <v>2180</v>
      </c>
      <c r="X8">
        <v>421.9169</v>
      </c>
      <c r="Y8">
        <v>421.9169</v>
      </c>
      <c r="Z8">
        <v>421.9169</v>
      </c>
      <c r="AA8">
        <v>17205</v>
      </c>
      <c r="AB8">
        <v>16417</v>
      </c>
      <c r="AC8" s="11">
        <v>46074</v>
      </c>
      <c r="AD8" s="11">
        <v>46387</v>
      </c>
      <c r="AE8" t="s">
        <v>2189</v>
      </c>
      <c r="AF8" t="s">
        <v>2182</v>
      </c>
      <c r="AG8" t="s">
        <v>2183</v>
      </c>
      <c r="AH8">
        <v>85000.05</v>
      </c>
      <c r="AI8">
        <v>101619</v>
      </c>
      <c r="AJ8" t="s">
        <v>2047</v>
      </c>
    </row>
    <row r="9" spans="1:36" hidden="1" x14ac:dyDescent="0.2">
      <c r="A9" t="s">
        <v>2207</v>
      </c>
      <c r="B9" t="s">
        <v>147</v>
      </c>
      <c r="C9" t="s">
        <v>2208</v>
      </c>
      <c r="D9" t="s">
        <v>282</v>
      </c>
      <c r="E9">
        <v>254371</v>
      </c>
      <c r="F9" t="s">
        <v>2209</v>
      </c>
      <c r="G9">
        <v>7968</v>
      </c>
      <c r="H9">
        <v>585268</v>
      </c>
      <c r="I9" t="s">
        <v>517</v>
      </c>
      <c r="J9" s="11">
        <v>46136</v>
      </c>
      <c r="K9" s="11">
        <v>46201</v>
      </c>
      <c r="M9" t="s">
        <v>1850</v>
      </c>
      <c r="N9">
        <v>27.97</v>
      </c>
      <c r="O9">
        <v>3166932</v>
      </c>
      <c r="P9">
        <v>88579.09</v>
      </c>
      <c r="Q9" t="s">
        <v>2178</v>
      </c>
      <c r="R9" t="s">
        <v>2179</v>
      </c>
      <c r="S9">
        <v>0</v>
      </c>
      <c r="T9">
        <v>0</v>
      </c>
      <c r="U9" t="s">
        <v>2179</v>
      </c>
      <c r="V9">
        <v>310672</v>
      </c>
      <c r="W9" t="s">
        <v>2180</v>
      </c>
      <c r="X9">
        <v>8689.4958000000006</v>
      </c>
      <c r="Y9">
        <v>8689.4958000000006</v>
      </c>
      <c r="Z9">
        <v>8689.4958000000006</v>
      </c>
      <c r="AA9">
        <v>327357</v>
      </c>
      <c r="AB9">
        <v>310672</v>
      </c>
      <c r="AC9" s="11">
        <v>46136</v>
      </c>
      <c r="AD9" s="11">
        <v>46201</v>
      </c>
      <c r="AE9" t="s">
        <v>2210</v>
      </c>
      <c r="AF9" t="s">
        <v>2182</v>
      </c>
      <c r="AG9" t="s">
        <v>2183</v>
      </c>
      <c r="AH9">
        <v>199999.99</v>
      </c>
      <c r="AI9">
        <v>109200</v>
      </c>
      <c r="AJ9" t="s">
        <v>2060</v>
      </c>
    </row>
    <row r="10" spans="1:36" hidden="1" x14ac:dyDescent="0.2">
      <c r="A10" t="s">
        <v>2190</v>
      </c>
      <c r="B10" t="s">
        <v>118</v>
      </c>
      <c r="C10" t="s">
        <v>2211</v>
      </c>
      <c r="D10" t="s">
        <v>232</v>
      </c>
      <c r="E10">
        <v>257492</v>
      </c>
      <c r="F10" t="s">
        <v>2212</v>
      </c>
      <c r="G10">
        <v>2789</v>
      </c>
      <c r="H10">
        <v>549546</v>
      </c>
      <c r="I10" t="s">
        <v>444</v>
      </c>
      <c r="J10" s="11">
        <v>46125</v>
      </c>
      <c r="K10" s="11">
        <v>46295</v>
      </c>
      <c r="L10" t="s">
        <v>2177</v>
      </c>
      <c r="M10" t="s">
        <v>1850</v>
      </c>
      <c r="N10">
        <v>20.100000000000001</v>
      </c>
      <c r="O10">
        <v>9950249</v>
      </c>
      <c r="P10">
        <v>200000</v>
      </c>
      <c r="Q10" t="s">
        <v>2201</v>
      </c>
      <c r="R10" t="s">
        <v>2179</v>
      </c>
      <c r="S10">
        <v>0</v>
      </c>
      <c r="T10">
        <v>0</v>
      </c>
      <c r="U10" t="s">
        <v>2179</v>
      </c>
      <c r="V10">
        <v>488055</v>
      </c>
      <c r="W10" t="s">
        <v>2180</v>
      </c>
      <c r="X10">
        <v>9809.9055000000008</v>
      </c>
      <c r="Y10">
        <v>9809.9055000000008</v>
      </c>
      <c r="Z10">
        <v>9809.9055000000008</v>
      </c>
      <c r="AA10">
        <v>502244</v>
      </c>
      <c r="AB10">
        <v>488055</v>
      </c>
      <c r="AC10" s="11">
        <v>46125</v>
      </c>
      <c r="AD10" s="11">
        <v>46295</v>
      </c>
      <c r="AE10" t="s">
        <v>2193</v>
      </c>
      <c r="AF10" t="s">
        <v>2182</v>
      </c>
      <c r="AG10" t="s">
        <v>2183</v>
      </c>
      <c r="AH10">
        <v>300000.01</v>
      </c>
      <c r="AI10">
        <v>105784</v>
      </c>
      <c r="AJ10" t="s">
        <v>2046</v>
      </c>
    </row>
    <row r="11" spans="1:36" hidden="1" x14ac:dyDescent="0.2">
      <c r="A11" t="s">
        <v>2190</v>
      </c>
      <c r="B11" t="s">
        <v>118</v>
      </c>
      <c r="C11" t="s">
        <v>2211</v>
      </c>
      <c r="D11" t="s">
        <v>232</v>
      </c>
      <c r="E11">
        <v>257492</v>
      </c>
      <c r="F11" t="s">
        <v>2212</v>
      </c>
      <c r="G11">
        <v>2789</v>
      </c>
      <c r="H11">
        <v>549549</v>
      </c>
      <c r="I11" t="s">
        <v>443</v>
      </c>
      <c r="J11" s="11">
        <v>46162</v>
      </c>
      <c r="K11" s="11">
        <v>46177</v>
      </c>
      <c r="L11" t="s">
        <v>2213</v>
      </c>
      <c r="M11" t="s">
        <v>1850</v>
      </c>
      <c r="N11">
        <v>34</v>
      </c>
      <c r="O11">
        <v>1470589</v>
      </c>
      <c r="P11">
        <v>50000.03</v>
      </c>
      <c r="Q11" t="s">
        <v>2201</v>
      </c>
      <c r="R11" t="s">
        <v>2179</v>
      </c>
      <c r="S11">
        <v>0</v>
      </c>
      <c r="T11">
        <v>0</v>
      </c>
      <c r="U11" t="s">
        <v>2179</v>
      </c>
      <c r="V11">
        <v>221142</v>
      </c>
      <c r="W11" t="s">
        <v>2180</v>
      </c>
      <c r="X11">
        <v>7518.83</v>
      </c>
      <c r="Y11">
        <v>7518.83</v>
      </c>
      <c r="Z11">
        <v>7518.83</v>
      </c>
      <c r="AA11">
        <v>264775</v>
      </c>
      <c r="AB11">
        <v>0</v>
      </c>
      <c r="AC11" s="11">
        <v>46162</v>
      </c>
      <c r="AD11" s="11">
        <v>46177</v>
      </c>
      <c r="AE11" t="s">
        <v>2193</v>
      </c>
      <c r="AF11" t="s">
        <v>2182</v>
      </c>
      <c r="AG11" t="s">
        <v>2183</v>
      </c>
      <c r="AH11">
        <v>300000.01</v>
      </c>
      <c r="AI11">
        <v>105784</v>
      </c>
      <c r="AJ11" t="s">
        <v>2046</v>
      </c>
    </row>
    <row r="12" spans="1:36" hidden="1" x14ac:dyDescent="0.2">
      <c r="A12" t="s">
        <v>2190</v>
      </c>
      <c r="B12" t="s">
        <v>118</v>
      </c>
      <c r="C12" t="s">
        <v>2211</v>
      </c>
      <c r="D12" t="s">
        <v>232</v>
      </c>
      <c r="E12">
        <v>257492</v>
      </c>
      <c r="H12">
        <v>549554</v>
      </c>
      <c r="I12" t="s">
        <v>828</v>
      </c>
      <c r="J12" s="11">
        <v>46160</v>
      </c>
      <c r="K12" s="11">
        <v>46181</v>
      </c>
      <c r="L12" t="s">
        <v>2213</v>
      </c>
      <c r="M12" t="s">
        <v>2205</v>
      </c>
      <c r="N12">
        <v>50000</v>
      </c>
      <c r="O12">
        <v>1</v>
      </c>
      <c r="P12">
        <v>50000</v>
      </c>
      <c r="Q12" t="s">
        <v>2178</v>
      </c>
      <c r="R12" t="s">
        <v>2206</v>
      </c>
      <c r="S12">
        <v>0</v>
      </c>
      <c r="T12">
        <v>18181.8181</v>
      </c>
      <c r="U12" t="s">
        <v>2206</v>
      </c>
      <c r="V12">
        <v>0</v>
      </c>
      <c r="W12" t="s">
        <v>2180</v>
      </c>
      <c r="X12">
        <v>18181.8181</v>
      </c>
      <c r="Y12">
        <v>18181.8181</v>
      </c>
      <c r="Z12">
        <v>18181.8181</v>
      </c>
      <c r="AC12" s="11">
        <v>46160</v>
      </c>
      <c r="AD12" s="11">
        <v>46181</v>
      </c>
      <c r="AE12" t="s">
        <v>2193</v>
      </c>
      <c r="AF12" t="s">
        <v>2182</v>
      </c>
      <c r="AG12" t="s">
        <v>2183</v>
      </c>
      <c r="AH12">
        <v>300000.01</v>
      </c>
      <c r="AI12">
        <v>105784</v>
      </c>
      <c r="AJ12" t="s">
        <v>2046</v>
      </c>
    </row>
    <row r="13" spans="1:36" hidden="1" x14ac:dyDescent="0.2">
      <c r="A13" t="s">
        <v>2190</v>
      </c>
      <c r="B13" t="s">
        <v>155</v>
      </c>
      <c r="C13" t="s">
        <v>2214</v>
      </c>
      <c r="D13" t="s">
        <v>292</v>
      </c>
      <c r="E13">
        <v>257594</v>
      </c>
      <c r="F13" t="s">
        <v>2215</v>
      </c>
      <c r="G13">
        <v>8005</v>
      </c>
      <c r="H13">
        <v>580820</v>
      </c>
      <c r="I13" t="s">
        <v>534</v>
      </c>
      <c r="J13" s="11">
        <v>46174</v>
      </c>
      <c r="K13" s="11">
        <v>46222</v>
      </c>
      <c r="L13" t="s">
        <v>2177</v>
      </c>
      <c r="M13" t="s">
        <v>1850</v>
      </c>
      <c r="N13">
        <v>35</v>
      </c>
      <c r="O13">
        <v>5400000</v>
      </c>
      <c r="P13">
        <v>189000</v>
      </c>
      <c r="Q13" t="s">
        <v>2178</v>
      </c>
      <c r="R13" t="s">
        <v>2179</v>
      </c>
      <c r="S13">
        <v>0</v>
      </c>
      <c r="T13">
        <v>0</v>
      </c>
      <c r="U13" t="s">
        <v>2179</v>
      </c>
      <c r="V13">
        <v>2428121</v>
      </c>
      <c r="W13" t="s">
        <v>2180</v>
      </c>
      <c r="X13">
        <v>84984.235000000001</v>
      </c>
      <c r="Y13">
        <v>84984.235000000001</v>
      </c>
      <c r="Z13">
        <v>84984.235000000001</v>
      </c>
      <c r="AA13">
        <v>2429157</v>
      </c>
      <c r="AB13">
        <v>2428121</v>
      </c>
      <c r="AC13" s="11">
        <v>46174</v>
      </c>
      <c r="AD13" s="11">
        <v>46222</v>
      </c>
      <c r="AE13" t="s">
        <v>2193</v>
      </c>
      <c r="AF13" t="s">
        <v>2182</v>
      </c>
      <c r="AG13" t="s">
        <v>2183</v>
      </c>
      <c r="AH13">
        <v>600000.03</v>
      </c>
      <c r="AI13">
        <v>127378</v>
      </c>
      <c r="AJ13" t="s">
        <v>2057</v>
      </c>
    </row>
    <row r="14" spans="1:36" hidden="1" x14ac:dyDescent="0.2">
      <c r="A14" t="s">
        <v>2190</v>
      </c>
      <c r="B14" t="s">
        <v>155</v>
      </c>
      <c r="C14" t="s">
        <v>2214</v>
      </c>
      <c r="D14" t="s">
        <v>292</v>
      </c>
      <c r="E14">
        <v>257594</v>
      </c>
      <c r="F14" t="s">
        <v>2216</v>
      </c>
      <c r="G14">
        <v>8002</v>
      </c>
      <c r="H14">
        <v>580823</v>
      </c>
      <c r="I14" t="s">
        <v>535</v>
      </c>
      <c r="J14" s="11">
        <v>46174</v>
      </c>
      <c r="K14" s="11">
        <v>46222</v>
      </c>
      <c r="L14" t="s">
        <v>2177</v>
      </c>
      <c r="M14" t="s">
        <v>1850</v>
      </c>
      <c r="N14">
        <v>25</v>
      </c>
      <c r="O14">
        <v>1000000</v>
      </c>
      <c r="P14">
        <v>25000</v>
      </c>
      <c r="Q14" t="s">
        <v>2178</v>
      </c>
      <c r="R14" t="s">
        <v>2179</v>
      </c>
      <c r="S14">
        <v>0</v>
      </c>
      <c r="T14">
        <v>0</v>
      </c>
      <c r="U14" t="s">
        <v>2179</v>
      </c>
      <c r="V14">
        <v>415842</v>
      </c>
      <c r="W14" t="s">
        <v>2180</v>
      </c>
      <c r="X14">
        <v>10396.049999999999</v>
      </c>
      <c r="Y14">
        <v>10396.049999999999</v>
      </c>
      <c r="Z14">
        <v>10396.049999999999</v>
      </c>
      <c r="AA14">
        <v>425246</v>
      </c>
      <c r="AB14">
        <v>415842</v>
      </c>
      <c r="AC14" s="11">
        <v>46174</v>
      </c>
      <c r="AD14" s="11">
        <v>46222</v>
      </c>
      <c r="AE14" t="s">
        <v>2193</v>
      </c>
      <c r="AF14" t="s">
        <v>2182</v>
      </c>
      <c r="AG14" t="s">
        <v>2183</v>
      </c>
      <c r="AH14">
        <v>600000.03</v>
      </c>
      <c r="AI14">
        <v>127378</v>
      </c>
      <c r="AJ14" t="s">
        <v>2057</v>
      </c>
    </row>
    <row r="15" spans="1:36" hidden="1" x14ac:dyDescent="0.2">
      <c r="A15" t="s">
        <v>2190</v>
      </c>
      <c r="B15" t="s">
        <v>155</v>
      </c>
      <c r="C15" t="s">
        <v>2214</v>
      </c>
      <c r="D15" t="s">
        <v>292</v>
      </c>
      <c r="E15">
        <v>257594</v>
      </c>
      <c r="F15" t="s">
        <v>2217</v>
      </c>
      <c r="G15">
        <v>8004</v>
      </c>
      <c r="H15">
        <v>580825</v>
      </c>
      <c r="I15" t="s">
        <v>779</v>
      </c>
      <c r="J15" s="11">
        <v>46174</v>
      </c>
      <c r="K15" s="11">
        <v>46222</v>
      </c>
      <c r="L15" t="s">
        <v>2177</v>
      </c>
      <c r="M15" t="s">
        <v>1850</v>
      </c>
      <c r="N15">
        <v>6</v>
      </c>
      <c r="O15">
        <v>8333333</v>
      </c>
      <c r="P15">
        <v>50000</v>
      </c>
      <c r="Q15" t="s">
        <v>2178</v>
      </c>
      <c r="R15" t="s">
        <v>2179</v>
      </c>
      <c r="S15">
        <v>0</v>
      </c>
      <c r="T15">
        <v>0</v>
      </c>
      <c r="U15" t="s">
        <v>2179</v>
      </c>
      <c r="V15">
        <v>6061028</v>
      </c>
      <c r="W15" t="s">
        <v>2180</v>
      </c>
      <c r="X15">
        <v>36366.167999999998</v>
      </c>
      <c r="Y15">
        <v>36366.167999999998</v>
      </c>
      <c r="Z15">
        <v>36366.167999999998</v>
      </c>
      <c r="AA15">
        <v>6062382</v>
      </c>
      <c r="AB15">
        <v>6061028</v>
      </c>
      <c r="AC15" s="11">
        <v>46174</v>
      </c>
      <c r="AD15" s="11">
        <v>46222</v>
      </c>
      <c r="AE15" t="s">
        <v>2193</v>
      </c>
      <c r="AF15" t="s">
        <v>2182</v>
      </c>
      <c r="AG15" t="s">
        <v>2183</v>
      </c>
      <c r="AH15">
        <v>600000.03</v>
      </c>
      <c r="AI15">
        <v>127378</v>
      </c>
      <c r="AJ15" t="s">
        <v>2057</v>
      </c>
    </row>
    <row r="16" spans="1:36" hidden="1" x14ac:dyDescent="0.2">
      <c r="A16" t="s">
        <v>2190</v>
      </c>
      <c r="B16" t="s">
        <v>155</v>
      </c>
      <c r="C16" t="s">
        <v>2214</v>
      </c>
      <c r="D16" t="s">
        <v>292</v>
      </c>
      <c r="E16">
        <v>257594</v>
      </c>
      <c r="F16" t="s">
        <v>2218</v>
      </c>
      <c r="G16">
        <v>8000</v>
      </c>
      <c r="H16">
        <v>580840</v>
      </c>
      <c r="I16" t="s">
        <v>888</v>
      </c>
      <c r="J16" s="11">
        <v>46174</v>
      </c>
      <c r="K16" s="11">
        <v>46222</v>
      </c>
      <c r="L16" t="s">
        <v>2213</v>
      </c>
      <c r="M16" t="s">
        <v>2205</v>
      </c>
      <c r="N16">
        <v>180000</v>
      </c>
      <c r="O16">
        <v>3</v>
      </c>
      <c r="P16">
        <v>180000</v>
      </c>
      <c r="Q16" t="s">
        <v>1987</v>
      </c>
      <c r="R16" t="s">
        <v>2206</v>
      </c>
      <c r="S16">
        <v>2</v>
      </c>
      <c r="T16">
        <v>110204.0817</v>
      </c>
      <c r="U16" t="s">
        <v>2206</v>
      </c>
      <c r="V16">
        <v>2</v>
      </c>
      <c r="W16" t="s">
        <v>2180</v>
      </c>
      <c r="X16">
        <v>110204.0817</v>
      </c>
      <c r="Y16">
        <v>110204.0817</v>
      </c>
      <c r="Z16">
        <v>110204.0817</v>
      </c>
      <c r="AC16" s="11">
        <v>46174</v>
      </c>
      <c r="AD16" s="11">
        <v>46222</v>
      </c>
      <c r="AE16" t="s">
        <v>2193</v>
      </c>
      <c r="AF16" t="s">
        <v>2182</v>
      </c>
      <c r="AG16" t="s">
        <v>2183</v>
      </c>
      <c r="AH16">
        <v>600000.03</v>
      </c>
      <c r="AI16">
        <v>127378</v>
      </c>
      <c r="AJ16" t="s">
        <v>2057</v>
      </c>
    </row>
    <row r="17" spans="1:36" hidden="1" x14ac:dyDescent="0.2">
      <c r="A17" t="s">
        <v>2190</v>
      </c>
      <c r="B17" t="s">
        <v>155</v>
      </c>
      <c r="C17" t="s">
        <v>2214</v>
      </c>
      <c r="D17" t="s">
        <v>292</v>
      </c>
      <c r="E17">
        <v>257594</v>
      </c>
      <c r="F17" t="s">
        <v>2219</v>
      </c>
      <c r="G17">
        <v>7998</v>
      </c>
      <c r="H17">
        <v>582660</v>
      </c>
      <c r="I17" t="s">
        <v>536</v>
      </c>
      <c r="J17" s="11">
        <v>46174</v>
      </c>
      <c r="K17" s="11">
        <v>46222</v>
      </c>
      <c r="L17" t="s">
        <v>2177</v>
      </c>
      <c r="M17" t="s">
        <v>1850</v>
      </c>
      <c r="N17">
        <v>21</v>
      </c>
      <c r="O17">
        <v>7380953</v>
      </c>
      <c r="P17">
        <v>155000.01</v>
      </c>
      <c r="Q17" t="s">
        <v>2178</v>
      </c>
      <c r="R17" t="s">
        <v>2179</v>
      </c>
      <c r="S17">
        <v>0</v>
      </c>
      <c r="T17">
        <v>0</v>
      </c>
      <c r="U17" t="s">
        <v>2179</v>
      </c>
      <c r="V17">
        <v>4889067</v>
      </c>
      <c r="W17" t="s">
        <v>2180</v>
      </c>
      <c r="X17">
        <v>102670.40700000001</v>
      </c>
      <c r="Y17">
        <v>102670.40700000001</v>
      </c>
      <c r="Z17">
        <v>102670.40700000001</v>
      </c>
      <c r="AA17">
        <v>4881622</v>
      </c>
      <c r="AB17">
        <v>4889067</v>
      </c>
      <c r="AC17" s="11">
        <v>46174</v>
      </c>
      <c r="AD17" s="11">
        <v>46222</v>
      </c>
      <c r="AE17" t="s">
        <v>2193</v>
      </c>
      <c r="AF17" t="s">
        <v>2182</v>
      </c>
      <c r="AG17" t="s">
        <v>2183</v>
      </c>
      <c r="AH17">
        <v>600000.03</v>
      </c>
      <c r="AI17">
        <v>127378</v>
      </c>
      <c r="AJ17" t="s">
        <v>2057</v>
      </c>
    </row>
    <row r="18" spans="1:36" hidden="1" x14ac:dyDescent="0.2">
      <c r="A18" t="s">
        <v>2190</v>
      </c>
      <c r="B18" t="s">
        <v>155</v>
      </c>
      <c r="C18" t="s">
        <v>2214</v>
      </c>
      <c r="D18" t="s">
        <v>292</v>
      </c>
      <c r="E18">
        <v>257594</v>
      </c>
      <c r="F18" t="s">
        <v>2220</v>
      </c>
      <c r="G18">
        <v>8001</v>
      </c>
      <c r="H18">
        <v>587925</v>
      </c>
      <c r="I18" t="s">
        <v>790</v>
      </c>
      <c r="J18" s="11">
        <v>46174</v>
      </c>
      <c r="K18" s="11">
        <v>46222</v>
      </c>
      <c r="L18" t="s">
        <v>2177</v>
      </c>
      <c r="M18" t="s">
        <v>1850</v>
      </c>
      <c r="N18">
        <v>6</v>
      </c>
      <c r="O18">
        <v>166667</v>
      </c>
      <c r="P18">
        <v>1000</v>
      </c>
      <c r="Q18" t="s">
        <v>2178</v>
      </c>
      <c r="R18" t="s">
        <v>2179</v>
      </c>
      <c r="S18">
        <v>0</v>
      </c>
      <c r="T18">
        <v>0</v>
      </c>
      <c r="U18" t="s">
        <v>2179</v>
      </c>
      <c r="V18">
        <v>36331</v>
      </c>
      <c r="W18" t="s">
        <v>2180</v>
      </c>
      <c r="X18">
        <v>217.98599999999999</v>
      </c>
      <c r="Y18">
        <v>217.98599999999999</v>
      </c>
      <c r="Z18">
        <v>217.98599999999999</v>
      </c>
      <c r="AA18">
        <v>36336</v>
      </c>
      <c r="AB18">
        <v>36331</v>
      </c>
      <c r="AC18" s="11">
        <v>46174</v>
      </c>
      <c r="AD18" s="11">
        <v>46222</v>
      </c>
      <c r="AE18" t="s">
        <v>2193</v>
      </c>
      <c r="AF18" t="s">
        <v>2182</v>
      </c>
      <c r="AG18" t="s">
        <v>2183</v>
      </c>
      <c r="AH18">
        <v>600000.03</v>
      </c>
      <c r="AI18">
        <v>127378</v>
      </c>
      <c r="AJ18" t="s">
        <v>2057</v>
      </c>
    </row>
    <row r="19" spans="1:36" hidden="1" x14ac:dyDescent="0.2">
      <c r="A19" t="s">
        <v>2194</v>
      </c>
      <c r="B19" t="s">
        <v>189</v>
      </c>
      <c r="C19" t="s">
        <v>2221</v>
      </c>
      <c r="D19" t="s">
        <v>352</v>
      </c>
      <c r="E19">
        <v>259125</v>
      </c>
      <c r="F19" t="s">
        <v>2218</v>
      </c>
      <c r="G19">
        <v>8000</v>
      </c>
      <c r="H19">
        <v>582320</v>
      </c>
      <c r="I19" t="s">
        <v>833</v>
      </c>
      <c r="J19" s="11">
        <v>46174</v>
      </c>
      <c r="K19" s="11">
        <v>46201</v>
      </c>
      <c r="L19" t="s">
        <v>2213</v>
      </c>
      <c r="M19" t="s">
        <v>2205</v>
      </c>
      <c r="N19">
        <v>99700</v>
      </c>
      <c r="O19">
        <v>3</v>
      </c>
      <c r="P19">
        <v>99700</v>
      </c>
      <c r="Q19" t="s">
        <v>1987</v>
      </c>
      <c r="R19" t="s">
        <v>2206</v>
      </c>
      <c r="S19">
        <v>3</v>
      </c>
      <c r="T19">
        <v>99700</v>
      </c>
      <c r="U19" t="s">
        <v>2206</v>
      </c>
      <c r="V19">
        <v>3</v>
      </c>
      <c r="W19" t="s">
        <v>2180</v>
      </c>
      <c r="X19">
        <v>99700</v>
      </c>
      <c r="Y19">
        <v>99700</v>
      </c>
      <c r="Z19">
        <v>99700</v>
      </c>
      <c r="AC19" s="11">
        <v>46174</v>
      </c>
      <c r="AD19" s="11">
        <v>46201</v>
      </c>
      <c r="AE19" t="s">
        <v>2222</v>
      </c>
      <c r="AF19" t="s">
        <v>2182</v>
      </c>
      <c r="AG19" t="s">
        <v>2183</v>
      </c>
      <c r="AH19">
        <v>598482</v>
      </c>
      <c r="AI19">
        <v>129149</v>
      </c>
      <c r="AJ19" t="s">
        <v>2039</v>
      </c>
    </row>
    <row r="20" spans="1:36" hidden="1" x14ac:dyDescent="0.2">
      <c r="A20" t="s">
        <v>2194</v>
      </c>
      <c r="B20" t="s">
        <v>189</v>
      </c>
      <c r="C20" t="s">
        <v>2221</v>
      </c>
      <c r="D20" t="s">
        <v>352</v>
      </c>
      <c r="E20">
        <v>259125</v>
      </c>
      <c r="F20" t="s">
        <v>2215</v>
      </c>
      <c r="G20">
        <v>8005</v>
      </c>
      <c r="H20">
        <v>582328</v>
      </c>
      <c r="I20" t="s">
        <v>652</v>
      </c>
      <c r="J20" s="11">
        <v>46174</v>
      </c>
      <c r="K20" s="11">
        <v>46201</v>
      </c>
      <c r="L20" t="s">
        <v>2223</v>
      </c>
      <c r="M20" t="s">
        <v>1850</v>
      </c>
      <c r="N20">
        <v>40</v>
      </c>
      <c r="O20">
        <v>7500000</v>
      </c>
      <c r="P20">
        <v>300000</v>
      </c>
      <c r="Q20" t="s">
        <v>2178</v>
      </c>
      <c r="R20" t="s">
        <v>2179</v>
      </c>
      <c r="S20">
        <v>0</v>
      </c>
      <c r="T20">
        <v>0</v>
      </c>
      <c r="U20" t="s">
        <v>2179</v>
      </c>
      <c r="V20">
        <v>7500000</v>
      </c>
      <c r="W20" t="s">
        <v>2180</v>
      </c>
      <c r="X20">
        <v>300000</v>
      </c>
      <c r="Y20">
        <v>300000</v>
      </c>
      <c r="Z20">
        <v>300000</v>
      </c>
      <c r="AA20">
        <v>7707810</v>
      </c>
      <c r="AB20">
        <v>7723698</v>
      </c>
      <c r="AC20" s="11">
        <v>46174</v>
      </c>
      <c r="AD20" s="11">
        <v>46201</v>
      </c>
      <c r="AE20" t="s">
        <v>2222</v>
      </c>
      <c r="AF20" t="s">
        <v>2182</v>
      </c>
      <c r="AG20" t="s">
        <v>2183</v>
      </c>
      <c r="AH20">
        <v>598482</v>
      </c>
      <c r="AI20">
        <v>129149</v>
      </c>
      <c r="AJ20" t="s">
        <v>2039</v>
      </c>
    </row>
    <row r="21" spans="1:36" hidden="1" x14ac:dyDescent="0.2">
      <c r="A21" t="s">
        <v>2194</v>
      </c>
      <c r="B21" t="s">
        <v>189</v>
      </c>
      <c r="C21" t="s">
        <v>2221</v>
      </c>
      <c r="D21" t="s">
        <v>352</v>
      </c>
      <c r="E21">
        <v>259125</v>
      </c>
      <c r="F21" t="s">
        <v>2216</v>
      </c>
      <c r="G21">
        <v>8002</v>
      </c>
      <c r="H21">
        <v>582346</v>
      </c>
      <c r="I21" t="s">
        <v>653</v>
      </c>
      <c r="J21" s="11">
        <v>46174</v>
      </c>
      <c r="K21" s="11">
        <v>46201</v>
      </c>
      <c r="L21" t="s">
        <v>2223</v>
      </c>
      <c r="M21" t="s">
        <v>1850</v>
      </c>
      <c r="N21">
        <v>25</v>
      </c>
      <c r="O21">
        <v>7951280</v>
      </c>
      <c r="P21">
        <v>198782</v>
      </c>
      <c r="R21" t="s">
        <v>2179</v>
      </c>
      <c r="S21">
        <v>0</v>
      </c>
      <c r="T21">
        <v>0</v>
      </c>
      <c r="U21" t="s">
        <v>2179</v>
      </c>
      <c r="V21">
        <v>5424817</v>
      </c>
      <c r="W21" t="s">
        <v>2180</v>
      </c>
      <c r="X21">
        <v>135620.42499999999</v>
      </c>
      <c r="Y21">
        <v>135620.42499999999</v>
      </c>
      <c r="Z21">
        <v>135620.42499999999</v>
      </c>
      <c r="AA21">
        <v>5380998</v>
      </c>
      <c r="AB21">
        <v>5424817</v>
      </c>
      <c r="AC21" s="11">
        <v>46174</v>
      </c>
      <c r="AD21" s="11">
        <v>46201</v>
      </c>
      <c r="AE21" t="s">
        <v>2222</v>
      </c>
      <c r="AF21" t="s">
        <v>2182</v>
      </c>
      <c r="AG21" t="s">
        <v>2183</v>
      </c>
      <c r="AH21">
        <v>598482</v>
      </c>
      <c r="AI21">
        <v>129149</v>
      </c>
      <c r="AJ21" t="s">
        <v>2039</v>
      </c>
    </row>
    <row r="22" spans="1:36" hidden="1" x14ac:dyDescent="0.2">
      <c r="A22" t="s">
        <v>2224</v>
      </c>
      <c r="B22" t="s">
        <v>142</v>
      </c>
      <c r="C22" t="s">
        <v>2225</v>
      </c>
      <c r="D22" t="s">
        <v>271</v>
      </c>
      <c r="E22">
        <v>259149</v>
      </c>
      <c r="F22" t="s">
        <v>2215</v>
      </c>
      <c r="G22">
        <v>8005</v>
      </c>
      <c r="H22">
        <v>582769</v>
      </c>
      <c r="I22" t="s">
        <v>502</v>
      </c>
      <c r="J22" s="11">
        <v>46174</v>
      </c>
      <c r="K22" s="11">
        <v>46222</v>
      </c>
      <c r="L22" t="s">
        <v>2223</v>
      </c>
      <c r="M22" t="s">
        <v>1850</v>
      </c>
      <c r="N22">
        <v>40</v>
      </c>
      <c r="O22">
        <v>17500000</v>
      </c>
      <c r="P22">
        <v>700000</v>
      </c>
      <c r="Q22" t="s">
        <v>2178</v>
      </c>
      <c r="R22" t="s">
        <v>2179</v>
      </c>
      <c r="S22">
        <v>0</v>
      </c>
      <c r="T22">
        <v>0</v>
      </c>
      <c r="U22" t="s">
        <v>2179</v>
      </c>
      <c r="V22">
        <v>11628821</v>
      </c>
      <c r="W22" t="s">
        <v>2180</v>
      </c>
      <c r="X22">
        <v>465152.84</v>
      </c>
      <c r="Y22">
        <v>465152.84</v>
      </c>
      <c r="Z22">
        <v>465152.84</v>
      </c>
      <c r="AA22">
        <v>11607293</v>
      </c>
      <c r="AB22">
        <v>11628821</v>
      </c>
      <c r="AC22" s="11">
        <v>46174</v>
      </c>
      <c r="AD22" s="11">
        <v>46222</v>
      </c>
      <c r="AE22" t="s">
        <v>2226</v>
      </c>
      <c r="AF22" t="s">
        <v>2182</v>
      </c>
      <c r="AG22" t="s">
        <v>2183</v>
      </c>
      <c r="AH22">
        <v>1275000.02</v>
      </c>
      <c r="AI22">
        <v>126262</v>
      </c>
      <c r="AJ22" t="s">
        <v>2039</v>
      </c>
    </row>
    <row r="23" spans="1:36" hidden="1" x14ac:dyDescent="0.2">
      <c r="A23" t="s">
        <v>2224</v>
      </c>
      <c r="B23" t="s">
        <v>142</v>
      </c>
      <c r="C23" t="s">
        <v>2225</v>
      </c>
      <c r="D23" t="s">
        <v>271</v>
      </c>
      <c r="E23">
        <v>259149</v>
      </c>
      <c r="F23" t="s">
        <v>2219</v>
      </c>
      <c r="G23">
        <v>7998</v>
      </c>
      <c r="H23">
        <v>582772</v>
      </c>
      <c r="I23" t="s">
        <v>501</v>
      </c>
      <c r="J23" s="11">
        <v>46174</v>
      </c>
      <c r="K23" s="11">
        <v>46222</v>
      </c>
      <c r="L23" t="s">
        <v>2223</v>
      </c>
      <c r="M23" t="s">
        <v>1850</v>
      </c>
      <c r="N23">
        <v>18.25</v>
      </c>
      <c r="O23">
        <v>17808220</v>
      </c>
      <c r="P23">
        <v>325000.02</v>
      </c>
      <c r="Q23" t="s">
        <v>2178</v>
      </c>
      <c r="R23" t="s">
        <v>2179</v>
      </c>
      <c r="S23">
        <v>0</v>
      </c>
      <c r="T23">
        <v>0</v>
      </c>
      <c r="U23" t="s">
        <v>2179</v>
      </c>
      <c r="V23">
        <v>12109273</v>
      </c>
      <c r="W23" t="s">
        <v>2180</v>
      </c>
      <c r="X23">
        <v>220994.2323</v>
      </c>
      <c r="Y23">
        <v>220994.2323</v>
      </c>
      <c r="Z23">
        <v>220994.2323</v>
      </c>
      <c r="AA23">
        <v>12124261</v>
      </c>
      <c r="AB23">
        <v>12109273</v>
      </c>
      <c r="AC23" s="11">
        <v>46174</v>
      </c>
      <c r="AD23" s="11">
        <v>46222</v>
      </c>
      <c r="AE23" t="s">
        <v>2226</v>
      </c>
      <c r="AF23" t="s">
        <v>2182</v>
      </c>
      <c r="AG23" t="s">
        <v>2183</v>
      </c>
      <c r="AH23">
        <v>1275000.02</v>
      </c>
      <c r="AI23">
        <v>126262</v>
      </c>
      <c r="AJ23" t="s">
        <v>2039</v>
      </c>
    </row>
    <row r="24" spans="1:36" hidden="1" x14ac:dyDescent="0.2">
      <c r="A24" t="s">
        <v>2224</v>
      </c>
      <c r="B24" t="s">
        <v>142</v>
      </c>
      <c r="C24" t="s">
        <v>2225</v>
      </c>
      <c r="D24" t="s">
        <v>271</v>
      </c>
      <c r="E24">
        <v>259149</v>
      </c>
      <c r="F24" t="s">
        <v>2218</v>
      </c>
      <c r="G24">
        <v>8000</v>
      </c>
      <c r="H24">
        <v>582785</v>
      </c>
      <c r="I24" t="s">
        <v>916</v>
      </c>
      <c r="J24" s="11">
        <v>46174</v>
      </c>
      <c r="K24" s="11">
        <v>46222</v>
      </c>
      <c r="L24" t="s">
        <v>2213</v>
      </c>
      <c r="M24" t="s">
        <v>2205</v>
      </c>
      <c r="N24">
        <v>250000</v>
      </c>
      <c r="O24">
        <v>1</v>
      </c>
      <c r="P24">
        <v>250000</v>
      </c>
      <c r="Q24" t="s">
        <v>1987</v>
      </c>
      <c r="R24" t="s">
        <v>2206</v>
      </c>
      <c r="S24">
        <v>1</v>
      </c>
      <c r="T24">
        <v>153061.22450000001</v>
      </c>
      <c r="U24" t="s">
        <v>2206</v>
      </c>
      <c r="V24">
        <v>1</v>
      </c>
      <c r="W24" t="s">
        <v>2180</v>
      </c>
      <c r="X24">
        <v>153061.22450000001</v>
      </c>
      <c r="Y24">
        <v>153061.22450000001</v>
      </c>
      <c r="Z24">
        <v>153061.22450000001</v>
      </c>
      <c r="AC24" s="11">
        <v>46174</v>
      </c>
      <c r="AD24" s="11">
        <v>46222</v>
      </c>
      <c r="AE24" t="s">
        <v>2226</v>
      </c>
      <c r="AF24" t="s">
        <v>2182</v>
      </c>
      <c r="AG24" t="s">
        <v>2183</v>
      </c>
      <c r="AH24">
        <v>1275000.02</v>
      </c>
      <c r="AI24">
        <v>126262</v>
      </c>
      <c r="AJ24" t="s">
        <v>2039</v>
      </c>
    </row>
    <row r="25" spans="1:36" hidden="1" x14ac:dyDescent="0.2">
      <c r="A25" t="s">
        <v>2224</v>
      </c>
      <c r="B25" t="s">
        <v>153</v>
      </c>
      <c r="C25" t="s">
        <v>2227</v>
      </c>
      <c r="D25" t="s">
        <v>423</v>
      </c>
      <c r="E25">
        <v>259155</v>
      </c>
      <c r="F25" t="s">
        <v>2218</v>
      </c>
      <c r="G25">
        <v>8000</v>
      </c>
      <c r="H25">
        <v>581608</v>
      </c>
      <c r="I25" t="s">
        <v>844</v>
      </c>
      <c r="J25" s="11">
        <v>46174</v>
      </c>
      <c r="K25" s="11">
        <v>46222</v>
      </c>
      <c r="L25" t="s">
        <v>2213</v>
      </c>
      <c r="M25" t="s">
        <v>2205</v>
      </c>
      <c r="N25">
        <v>1000000</v>
      </c>
      <c r="O25">
        <v>3</v>
      </c>
      <c r="P25">
        <v>1000000</v>
      </c>
      <c r="Q25" t="s">
        <v>1987</v>
      </c>
      <c r="R25" t="s">
        <v>2206</v>
      </c>
      <c r="S25">
        <v>2</v>
      </c>
      <c r="T25">
        <v>612244.89800000004</v>
      </c>
      <c r="U25" t="s">
        <v>2206</v>
      </c>
      <c r="V25">
        <v>2</v>
      </c>
      <c r="W25" t="s">
        <v>2180</v>
      </c>
      <c r="X25">
        <v>612244.89800000004</v>
      </c>
      <c r="Y25">
        <v>612244.89800000004</v>
      </c>
      <c r="Z25">
        <v>612244.89800000004</v>
      </c>
      <c r="AC25" s="11">
        <v>46174</v>
      </c>
      <c r="AD25" s="11">
        <v>46222</v>
      </c>
      <c r="AE25" t="s">
        <v>2226</v>
      </c>
      <c r="AF25" t="s">
        <v>2182</v>
      </c>
      <c r="AG25" t="s">
        <v>2183</v>
      </c>
      <c r="AH25">
        <v>1000000</v>
      </c>
      <c r="AI25">
        <v>127440</v>
      </c>
      <c r="AJ25" t="s">
        <v>2039</v>
      </c>
    </row>
    <row r="26" spans="1:36" hidden="1" x14ac:dyDescent="0.2">
      <c r="A26" t="s">
        <v>2228</v>
      </c>
      <c r="B26" t="s">
        <v>2229</v>
      </c>
      <c r="C26" t="s">
        <v>2230</v>
      </c>
      <c r="D26" t="s">
        <v>2231</v>
      </c>
      <c r="E26">
        <v>259248</v>
      </c>
      <c r="F26" t="s">
        <v>2212</v>
      </c>
      <c r="G26">
        <v>2789</v>
      </c>
      <c r="H26">
        <v>554207</v>
      </c>
      <c r="I26" t="s">
        <v>2232</v>
      </c>
      <c r="J26" s="11">
        <v>46083</v>
      </c>
      <c r="K26" s="11">
        <v>46387</v>
      </c>
      <c r="M26" t="s">
        <v>1850</v>
      </c>
      <c r="N26">
        <v>24.9</v>
      </c>
      <c r="O26">
        <v>6024097</v>
      </c>
      <c r="P26">
        <v>150000.01999999999</v>
      </c>
      <c r="Q26" t="s">
        <v>2201</v>
      </c>
      <c r="R26" t="s">
        <v>2179</v>
      </c>
      <c r="S26">
        <v>0</v>
      </c>
      <c r="T26">
        <v>0</v>
      </c>
      <c r="U26" t="s">
        <v>2179</v>
      </c>
      <c r="V26">
        <v>0</v>
      </c>
      <c r="W26" t="s">
        <v>2180</v>
      </c>
      <c r="X26">
        <v>0</v>
      </c>
      <c r="Y26">
        <v>0</v>
      </c>
      <c r="Z26">
        <v>0</v>
      </c>
      <c r="AC26" s="11">
        <v>46083</v>
      </c>
      <c r="AD26" s="11">
        <v>46387</v>
      </c>
      <c r="AE26" t="s">
        <v>2233</v>
      </c>
      <c r="AF26" t="s">
        <v>2182</v>
      </c>
      <c r="AG26" t="s">
        <v>2183</v>
      </c>
      <c r="AH26">
        <v>150000.03</v>
      </c>
      <c r="AI26">
        <v>119053</v>
      </c>
      <c r="AJ26" t="s">
        <v>2059</v>
      </c>
    </row>
    <row r="27" spans="1:36" hidden="1" x14ac:dyDescent="0.2">
      <c r="A27" t="s">
        <v>2224</v>
      </c>
      <c r="B27" t="s">
        <v>221</v>
      </c>
      <c r="C27" t="s">
        <v>2234</v>
      </c>
      <c r="D27" t="s">
        <v>427</v>
      </c>
      <c r="E27">
        <v>259270</v>
      </c>
      <c r="F27" t="s">
        <v>2218</v>
      </c>
      <c r="G27">
        <v>8000</v>
      </c>
      <c r="H27">
        <v>581380</v>
      </c>
      <c r="I27" t="s">
        <v>871</v>
      </c>
      <c r="J27" s="11">
        <v>46174</v>
      </c>
      <c r="K27" s="11">
        <v>46222</v>
      </c>
      <c r="L27" t="s">
        <v>2213</v>
      </c>
      <c r="M27" t="s">
        <v>2205</v>
      </c>
      <c r="N27">
        <v>1454124</v>
      </c>
      <c r="O27">
        <v>3</v>
      </c>
      <c r="P27">
        <v>1454124</v>
      </c>
      <c r="Q27" t="s">
        <v>1987</v>
      </c>
      <c r="R27" t="s">
        <v>2206</v>
      </c>
      <c r="S27">
        <v>2</v>
      </c>
      <c r="T27">
        <v>890280</v>
      </c>
      <c r="U27" t="s">
        <v>2206</v>
      </c>
      <c r="V27">
        <v>2</v>
      </c>
      <c r="W27" t="s">
        <v>2180</v>
      </c>
      <c r="X27">
        <v>890280</v>
      </c>
      <c r="Y27">
        <v>890280</v>
      </c>
      <c r="Z27">
        <v>890280</v>
      </c>
      <c r="AC27" s="11">
        <v>46174</v>
      </c>
      <c r="AD27" s="11">
        <v>46222</v>
      </c>
      <c r="AE27" t="s">
        <v>2226</v>
      </c>
      <c r="AF27" t="s">
        <v>2182</v>
      </c>
      <c r="AG27" t="s">
        <v>2183</v>
      </c>
      <c r="AH27">
        <v>1454124</v>
      </c>
      <c r="AI27">
        <v>128025</v>
      </c>
      <c r="AJ27" t="s">
        <v>2039</v>
      </c>
    </row>
    <row r="28" spans="1:36" hidden="1" x14ac:dyDescent="0.2">
      <c r="A28" t="s">
        <v>2235</v>
      </c>
      <c r="B28" t="s">
        <v>2236</v>
      </c>
      <c r="C28" t="s">
        <v>2237</v>
      </c>
      <c r="D28" t="s">
        <v>2238</v>
      </c>
      <c r="E28">
        <v>259271</v>
      </c>
      <c r="F28" t="s">
        <v>2176</v>
      </c>
      <c r="G28">
        <v>3535</v>
      </c>
      <c r="H28">
        <v>554320</v>
      </c>
      <c r="I28" t="s">
        <v>2239</v>
      </c>
      <c r="J28" s="11">
        <v>46113</v>
      </c>
      <c r="K28" s="11">
        <v>46203</v>
      </c>
      <c r="L28" t="s">
        <v>2223</v>
      </c>
      <c r="M28" t="s">
        <v>1850</v>
      </c>
      <c r="N28">
        <v>0</v>
      </c>
      <c r="O28">
        <v>0</v>
      </c>
      <c r="P28">
        <v>0</v>
      </c>
      <c r="Q28" t="s">
        <v>2178</v>
      </c>
      <c r="R28" t="s">
        <v>2179</v>
      </c>
      <c r="S28">
        <v>0</v>
      </c>
      <c r="T28">
        <v>0</v>
      </c>
      <c r="U28" t="s">
        <v>2179</v>
      </c>
      <c r="V28">
        <v>0</v>
      </c>
      <c r="W28" t="s">
        <v>2180</v>
      </c>
      <c r="X28">
        <v>0</v>
      </c>
      <c r="Y28">
        <v>0</v>
      </c>
      <c r="Z28">
        <v>0</v>
      </c>
      <c r="AC28" s="11">
        <v>46113</v>
      </c>
      <c r="AD28" s="11">
        <v>46203</v>
      </c>
      <c r="AE28" t="s">
        <v>2240</v>
      </c>
      <c r="AF28" t="s">
        <v>2182</v>
      </c>
      <c r="AG28" t="s">
        <v>2183</v>
      </c>
      <c r="AH28">
        <v>192951.5</v>
      </c>
      <c r="AI28">
        <v>111881</v>
      </c>
      <c r="AJ28" t="s">
        <v>2133</v>
      </c>
    </row>
    <row r="29" spans="1:36" hidden="1" x14ac:dyDescent="0.2">
      <c r="A29" t="s">
        <v>2194</v>
      </c>
      <c r="B29" t="s">
        <v>190</v>
      </c>
      <c r="C29" t="s">
        <v>2241</v>
      </c>
      <c r="D29" t="s">
        <v>354</v>
      </c>
      <c r="E29">
        <v>259384</v>
      </c>
      <c r="F29" t="s">
        <v>2217</v>
      </c>
      <c r="G29">
        <v>8004</v>
      </c>
      <c r="H29">
        <v>582844</v>
      </c>
      <c r="I29" t="s">
        <v>815</v>
      </c>
      <c r="J29" s="11">
        <v>46174</v>
      </c>
      <c r="K29" s="11">
        <v>46222</v>
      </c>
      <c r="L29" t="s">
        <v>2177</v>
      </c>
      <c r="M29" t="s">
        <v>1850</v>
      </c>
      <c r="N29">
        <v>6</v>
      </c>
      <c r="O29">
        <v>41666667</v>
      </c>
      <c r="P29">
        <v>250000</v>
      </c>
      <c r="Q29" t="s">
        <v>2178</v>
      </c>
      <c r="R29" t="s">
        <v>2206</v>
      </c>
      <c r="S29">
        <v>25510205</v>
      </c>
      <c r="T29">
        <v>153061.22450000001</v>
      </c>
      <c r="U29" t="s">
        <v>2206</v>
      </c>
      <c r="V29">
        <v>25510205</v>
      </c>
      <c r="W29" t="s">
        <v>2180</v>
      </c>
      <c r="X29">
        <v>153061.22450000001</v>
      </c>
      <c r="Y29">
        <v>153061.22450000001</v>
      </c>
      <c r="Z29">
        <v>153061.22450000001</v>
      </c>
      <c r="AA29">
        <v>14689500</v>
      </c>
      <c r="AB29">
        <v>14687116</v>
      </c>
      <c r="AC29" s="11">
        <v>46174</v>
      </c>
      <c r="AD29" s="11">
        <v>46222</v>
      </c>
      <c r="AE29" t="s">
        <v>2222</v>
      </c>
      <c r="AF29" t="s">
        <v>2182</v>
      </c>
      <c r="AG29" t="s">
        <v>2183</v>
      </c>
      <c r="AH29">
        <v>1733100.01</v>
      </c>
      <c r="AI29">
        <v>129141</v>
      </c>
      <c r="AJ29" t="s">
        <v>2039</v>
      </c>
    </row>
    <row r="30" spans="1:36" hidden="1" x14ac:dyDescent="0.2">
      <c r="A30" t="s">
        <v>2194</v>
      </c>
      <c r="B30" t="s">
        <v>190</v>
      </c>
      <c r="C30" t="s">
        <v>2241</v>
      </c>
      <c r="D30" t="s">
        <v>354</v>
      </c>
      <c r="E30">
        <v>259384</v>
      </c>
      <c r="F30" t="s">
        <v>2215</v>
      </c>
      <c r="G30">
        <v>8005</v>
      </c>
      <c r="H30">
        <v>582848</v>
      </c>
      <c r="I30" t="s">
        <v>657</v>
      </c>
      <c r="J30" s="11">
        <v>46174</v>
      </c>
      <c r="K30" s="11">
        <v>46222</v>
      </c>
      <c r="L30" t="s">
        <v>2213</v>
      </c>
      <c r="M30" t="s">
        <v>1850</v>
      </c>
      <c r="N30">
        <v>40</v>
      </c>
      <c r="O30">
        <v>15625000</v>
      </c>
      <c r="P30">
        <v>625000</v>
      </c>
      <c r="Q30" t="s">
        <v>2178</v>
      </c>
      <c r="R30" t="s">
        <v>2206</v>
      </c>
      <c r="S30">
        <v>9566327</v>
      </c>
      <c r="T30">
        <v>382653.0613</v>
      </c>
      <c r="U30" t="s">
        <v>2206</v>
      </c>
      <c r="V30">
        <v>9566327</v>
      </c>
      <c r="W30" t="s">
        <v>2180</v>
      </c>
      <c r="X30">
        <v>382653.0613</v>
      </c>
      <c r="Y30">
        <v>382653.0613</v>
      </c>
      <c r="Z30">
        <v>382653.0613</v>
      </c>
      <c r="AA30">
        <v>10361861</v>
      </c>
      <c r="AB30">
        <v>0</v>
      </c>
      <c r="AC30" s="11">
        <v>46174</v>
      </c>
      <c r="AD30" s="11">
        <v>46222</v>
      </c>
      <c r="AE30" t="s">
        <v>2222</v>
      </c>
      <c r="AF30" t="s">
        <v>2182</v>
      </c>
      <c r="AG30" t="s">
        <v>2183</v>
      </c>
      <c r="AH30">
        <v>1733100.01</v>
      </c>
      <c r="AI30">
        <v>129141</v>
      </c>
      <c r="AJ30" t="s">
        <v>2039</v>
      </c>
    </row>
    <row r="31" spans="1:36" hidden="1" x14ac:dyDescent="0.2">
      <c r="A31" t="s">
        <v>2194</v>
      </c>
      <c r="B31" t="s">
        <v>190</v>
      </c>
      <c r="C31" t="s">
        <v>2241</v>
      </c>
      <c r="D31" t="s">
        <v>354</v>
      </c>
      <c r="E31">
        <v>259384</v>
      </c>
      <c r="F31" t="s">
        <v>2242</v>
      </c>
      <c r="G31">
        <v>8003</v>
      </c>
      <c r="H31">
        <v>582860</v>
      </c>
      <c r="I31" t="s">
        <v>807</v>
      </c>
      <c r="J31" s="11">
        <v>46189</v>
      </c>
      <c r="K31" s="11">
        <v>46189</v>
      </c>
      <c r="L31" t="s">
        <v>2177</v>
      </c>
      <c r="M31" t="s">
        <v>2243</v>
      </c>
      <c r="N31">
        <v>50000</v>
      </c>
      <c r="O31">
        <v>6</v>
      </c>
      <c r="P31">
        <v>300000</v>
      </c>
      <c r="Q31" t="s">
        <v>2244</v>
      </c>
      <c r="R31" t="s">
        <v>2206</v>
      </c>
      <c r="S31">
        <v>6</v>
      </c>
      <c r="T31">
        <v>300000</v>
      </c>
      <c r="U31" t="s">
        <v>2206</v>
      </c>
      <c r="V31">
        <v>6</v>
      </c>
      <c r="W31" t="s">
        <v>2180</v>
      </c>
      <c r="X31">
        <v>300000</v>
      </c>
      <c r="Y31">
        <v>300000</v>
      </c>
      <c r="Z31">
        <v>300000</v>
      </c>
      <c r="AA31">
        <v>0</v>
      </c>
      <c r="AB31">
        <v>0</v>
      </c>
      <c r="AC31" s="11">
        <v>46189</v>
      </c>
      <c r="AD31" s="11">
        <v>46189</v>
      </c>
      <c r="AE31" t="s">
        <v>2222</v>
      </c>
      <c r="AF31" t="s">
        <v>2182</v>
      </c>
      <c r="AG31" t="s">
        <v>2183</v>
      </c>
      <c r="AH31">
        <v>1733100.01</v>
      </c>
      <c r="AI31">
        <v>129141</v>
      </c>
      <c r="AJ31" t="s">
        <v>2039</v>
      </c>
    </row>
    <row r="32" spans="1:36" hidden="1" x14ac:dyDescent="0.2">
      <c r="A32" t="s">
        <v>2194</v>
      </c>
      <c r="B32" t="s">
        <v>190</v>
      </c>
      <c r="C32" t="s">
        <v>2241</v>
      </c>
      <c r="D32" t="s">
        <v>354</v>
      </c>
      <c r="E32">
        <v>259384</v>
      </c>
      <c r="F32" t="s">
        <v>2216</v>
      </c>
      <c r="G32">
        <v>8002</v>
      </c>
      <c r="H32">
        <v>582873</v>
      </c>
      <c r="I32" t="s">
        <v>655</v>
      </c>
      <c r="J32" s="11">
        <v>46174</v>
      </c>
      <c r="K32" s="11">
        <v>46222</v>
      </c>
      <c r="L32" t="s">
        <v>2213</v>
      </c>
      <c r="M32" t="s">
        <v>1850</v>
      </c>
      <c r="N32">
        <v>25</v>
      </c>
      <c r="O32">
        <v>2200000</v>
      </c>
      <c r="P32">
        <v>55000</v>
      </c>
      <c r="R32" t="s">
        <v>2206</v>
      </c>
      <c r="S32">
        <v>1346939</v>
      </c>
      <c r="T32">
        <v>33673.469400000002</v>
      </c>
      <c r="U32" t="s">
        <v>2206</v>
      </c>
      <c r="V32">
        <v>1346939</v>
      </c>
      <c r="W32" t="s">
        <v>2180</v>
      </c>
      <c r="X32">
        <v>33673.469400000002</v>
      </c>
      <c r="Y32">
        <v>33673.469400000002</v>
      </c>
      <c r="Z32">
        <v>33673.469400000002</v>
      </c>
      <c r="AA32">
        <v>892237</v>
      </c>
      <c r="AB32">
        <v>0</v>
      </c>
      <c r="AC32" s="11">
        <v>46174</v>
      </c>
      <c r="AD32" s="11">
        <v>46222</v>
      </c>
      <c r="AE32" t="s">
        <v>2222</v>
      </c>
      <c r="AF32" t="s">
        <v>2182</v>
      </c>
      <c r="AG32" t="s">
        <v>2183</v>
      </c>
      <c r="AH32">
        <v>1733100.01</v>
      </c>
      <c r="AI32">
        <v>129141</v>
      </c>
      <c r="AJ32" t="s">
        <v>2039</v>
      </c>
    </row>
    <row r="33" spans="1:36" hidden="1" x14ac:dyDescent="0.2">
      <c r="A33" t="s">
        <v>2194</v>
      </c>
      <c r="B33" t="s">
        <v>190</v>
      </c>
      <c r="C33" t="s">
        <v>2241</v>
      </c>
      <c r="D33" t="s">
        <v>354</v>
      </c>
      <c r="E33">
        <v>259384</v>
      </c>
      <c r="F33" t="s">
        <v>2219</v>
      </c>
      <c r="G33">
        <v>7998</v>
      </c>
      <c r="H33">
        <v>582880</v>
      </c>
      <c r="I33" t="s">
        <v>656</v>
      </c>
      <c r="J33" s="11">
        <v>46174</v>
      </c>
      <c r="K33" s="11">
        <v>46222</v>
      </c>
      <c r="L33" t="s">
        <v>2213</v>
      </c>
      <c r="M33" t="s">
        <v>1850</v>
      </c>
      <c r="N33">
        <v>20</v>
      </c>
      <c r="O33">
        <v>12655000</v>
      </c>
      <c r="P33">
        <v>253100</v>
      </c>
      <c r="Q33" t="s">
        <v>2178</v>
      </c>
      <c r="R33" t="s">
        <v>2206</v>
      </c>
      <c r="S33">
        <v>7747960</v>
      </c>
      <c r="T33">
        <v>154959.18369999999</v>
      </c>
      <c r="U33" t="s">
        <v>2206</v>
      </c>
      <c r="V33">
        <v>7747960</v>
      </c>
      <c r="W33" t="s">
        <v>2180</v>
      </c>
      <c r="X33">
        <v>154959.18369999999</v>
      </c>
      <c r="Y33">
        <v>154959.18369999999</v>
      </c>
      <c r="Z33">
        <v>154959.18369999999</v>
      </c>
      <c r="AA33">
        <v>8596683</v>
      </c>
      <c r="AB33">
        <v>0</v>
      </c>
      <c r="AC33" s="11">
        <v>46174</v>
      </c>
      <c r="AD33" s="11">
        <v>46222</v>
      </c>
      <c r="AE33" t="s">
        <v>2222</v>
      </c>
      <c r="AF33" t="s">
        <v>2182</v>
      </c>
      <c r="AG33" t="s">
        <v>2183</v>
      </c>
      <c r="AH33">
        <v>1733100.01</v>
      </c>
      <c r="AI33">
        <v>129141</v>
      </c>
      <c r="AJ33" t="s">
        <v>2039</v>
      </c>
    </row>
    <row r="34" spans="1:36" hidden="1" x14ac:dyDescent="0.2">
      <c r="A34" t="s">
        <v>2194</v>
      </c>
      <c r="B34" t="s">
        <v>190</v>
      </c>
      <c r="C34" t="s">
        <v>2241</v>
      </c>
      <c r="D34" t="s">
        <v>354</v>
      </c>
      <c r="E34">
        <v>259384</v>
      </c>
      <c r="F34" t="s">
        <v>2218</v>
      </c>
      <c r="G34">
        <v>8000</v>
      </c>
      <c r="H34">
        <v>582957</v>
      </c>
      <c r="I34" t="s">
        <v>912</v>
      </c>
      <c r="J34" s="11">
        <v>46174</v>
      </c>
      <c r="K34" s="11">
        <v>46222</v>
      </c>
      <c r="L34" t="s">
        <v>2213</v>
      </c>
      <c r="M34" t="s">
        <v>2205</v>
      </c>
      <c r="N34">
        <v>250000</v>
      </c>
      <c r="O34">
        <v>1</v>
      </c>
      <c r="P34">
        <v>250000</v>
      </c>
      <c r="Q34" t="s">
        <v>1987</v>
      </c>
      <c r="R34" t="s">
        <v>2206</v>
      </c>
      <c r="S34">
        <v>1</v>
      </c>
      <c r="T34">
        <v>153061.22450000001</v>
      </c>
      <c r="U34" t="s">
        <v>2206</v>
      </c>
      <c r="V34">
        <v>1</v>
      </c>
      <c r="W34" t="s">
        <v>2180</v>
      </c>
      <c r="X34">
        <v>153061.22450000001</v>
      </c>
      <c r="Y34">
        <v>153061.22450000001</v>
      </c>
      <c r="Z34">
        <v>153061.22450000001</v>
      </c>
      <c r="AC34" s="11">
        <v>46174</v>
      </c>
      <c r="AD34" s="11">
        <v>46222</v>
      </c>
      <c r="AE34" t="s">
        <v>2222</v>
      </c>
      <c r="AF34" t="s">
        <v>2182</v>
      </c>
      <c r="AG34" t="s">
        <v>2183</v>
      </c>
      <c r="AH34">
        <v>1733100.01</v>
      </c>
      <c r="AI34">
        <v>129141</v>
      </c>
      <c r="AJ34" t="s">
        <v>2039</v>
      </c>
    </row>
    <row r="35" spans="1:36" hidden="1" x14ac:dyDescent="0.2">
      <c r="A35" t="s">
        <v>2245</v>
      </c>
      <c r="B35" t="s">
        <v>119</v>
      </c>
      <c r="C35" t="s">
        <v>2246</v>
      </c>
      <c r="D35" t="s">
        <v>233</v>
      </c>
      <c r="E35">
        <v>259418</v>
      </c>
      <c r="F35" t="s">
        <v>2212</v>
      </c>
      <c r="G35">
        <v>2789</v>
      </c>
      <c r="H35">
        <v>556247</v>
      </c>
      <c r="I35" t="s">
        <v>445</v>
      </c>
      <c r="J35" s="11">
        <v>46113</v>
      </c>
      <c r="K35" s="11">
        <v>46203</v>
      </c>
      <c r="L35" t="s">
        <v>2247</v>
      </c>
      <c r="M35" t="s">
        <v>1850</v>
      </c>
      <c r="N35">
        <v>42.4</v>
      </c>
      <c r="O35">
        <v>1768868</v>
      </c>
      <c r="P35">
        <v>75000</v>
      </c>
      <c r="Q35" t="s">
        <v>2178</v>
      </c>
      <c r="R35" t="s">
        <v>2179</v>
      </c>
      <c r="S35">
        <v>0</v>
      </c>
      <c r="T35">
        <v>0</v>
      </c>
      <c r="U35" t="s">
        <v>2179</v>
      </c>
      <c r="V35">
        <v>230619</v>
      </c>
      <c r="W35" t="s">
        <v>2180</v>
      </c>
      <c r="X35">
        <v>9778.2456000000002</v>
      </c>
      <c r="Y35">
        <v>9778.2456000000002</v>
      </c>
      <c r="Z35">
        <v>9778.2456000000002</v>
      </c>
      <c r="AA35">
        <v>216609</v>
      </c>
      <c r="AB35">
        <v>230619</v>
      </c>
      <c r="AC35" s="11">
        <v>46113</v>
      </c>
      <c r="AD35" s="11">
        <v>46203</v>
      </c>
      <c r="AE35" t="s">
        <v>2193</v>
      </c>
      <c r="AF35" t="s">
        <v>2182</v>
      </c>
      <c r="AG35" t="s">
        <v>2183</v>
      </c>
      <c r="AH35">
        <v>150000.04</v>
      </c>
      <c r="AI35">
        <v>108708</v>
      </c>
      <c r="AJ35" t="s">
        <v>2046</v>
      </c>
    </row>
    <row r="36" spans="1:36" hidden="1" x14ac:dyDescent="0.2">
      <c r="A36" t="s">
        <v>2245</v>
      </c>
      <c r="B36" t="s">
        <v>119</v>
      </c>
      <c r="C36" t="s">
        <v>2246</v>
      </c>
      <c r="D36" t="s">
        <v>267</v>
      </c>
      <c r="E36">
        <v>259424</v>
      </c>
      <c r="F36" t="s">
        <v>2248</v>
      </c>
      <c r="G36">
        <v>3534</v>
      </c>
      <c r="H36">
        <v>556649</v>
      </c>
      <c r="I36" t="s">
        <v>496</v>
      </c>
      <c r="J36" s="11">
        <v>46113</v>
      </c>
      <c r="K36" s="11">
        <v>46191</v>
      </c>
      <c r="L36" t="s">
        <v>2247</v>
      </c>
      <c r="M36" t="s">
        <v>1850</v>
      </c>
      <c r="N36">
        <v>59</v>
      </c>
      <c r="O36">
        <v>81017</v>
      </c>
      <c r="P36">
        <v>4780</v>
      </c>
      <c r="Q36" t="s">
        <v>2178</v>
      </c>
      <c r="R36" t="s">
        <v>2179</v>
      </c>
      <c r="S36">
        <v>0</v>
      </c>
      <c r="T36">
        <v>0</v>
      </c>
      <c r="U36" t="s">
        <v>2179</v>
      </c>
      <c r="V36">
        <v>60162</v>
      </c>
      <c r="W36" t="s">
        <v>2180</v>
      </c>
      <c r="X36">
        <v>3549.558</v>
      </c>
      <c r="Y36">
        <v>3549.558</v>
      </c>
      <c r="Z36">
        <v>3549.558</v>
      </c>
      <c r="AA36">
        <v>61060</v>
      </c>
      <c r="AB36">
        <v>60162</v>
      </c>
      <c r="AC36" s="11">
        <v>46113</v>
      </c>
      <c r="AD36" s="11">
        <v>46191</v>
      </c>
      <c r="AE36" t="s">
        <v>2193</v>
      </c>
      <c r="AF36" t="s">
        <v>2182</v>
      </c>
      <c r="AG36" t="s">
        <v>2183</v>
      </c>
      <c r="AH36">
        <v>119707.91</v>
      </c>
      <c r="AI36">
        <v>109443</v>
      </c>
      <c r="AJ36" t="s">
        <v>2057</v>
      </c>
    </row>
    <row r="37" spans="1:36" hidden="1" x14ac:dyDescent="0.2">
      <c r="A37" t="s">
        <v>2249</v>
      </c>
      <c r="B37" t="s">
        <v>203</v>
      </c>
      <c r="C37" t="s">
        <v>2250</v>
      </c>
      <c r="D37" t="s">
        <v>384</v>
      </c>
      <c r="E37">
        <v>259461</v>
      </c>
      <c r="F37" t="s">
        <v>2215</v>
      </c>
      <c r="G37">
        <v>8005</v>
      </c>
      <c r="H37">
        <v>582793</v>
      </c>
      <c r="I37" t="s">
        <v>709</v>
      </c>
      <c r="J37" s="11">
        <v>46177</v>
      </c>
      <c r="K37" s="11">
        <v>46222</v>
      </c>
      <c r="L37" t="s">
        <v>2177</v>
      </c>
      <c r="M37" t="s">
        <v>1850</v>
      </c>
      <c r="N37">
        <v>40</v>
      </c>
      <c r="O37">
        <v>18750000</v>
      </c>
      <c r="P37">
        <v>750000</v>
      </c>
      <c r="Q37" t="s">
        <v>2178</v>
      </c>
      <c r="R37" t="s">
        <v>2179</v>
      </c>
      <c r="S37">
        <v>0</v>
      </c>
      <c r="T37">
        <v>0</v>
      </c>
      <c r="U37" t="s">
        <v>2179</v>
      </c>
      <c r="V37">
        <v>12524712</v>
      </c>
      <c r="W37" t="s">
        <v>2180</v>
      </c>
      <c r="X37">
        <v>500988.48</v>
      </c>
      <c r="Y37">
        <v>500988.48</v>
      </c>
      <c r="Z37">
        <v>500988.48</v>
      </c>
      <c r="AA37">
        <v>12681744</v>
      </c>
      <c r="AB37">
        <v>12524712</v>
      </c>
      <c r="AC37" s="11">
        <v>46177</v>
      </c>
      <c r="AD37" s="11">
        <v>46222</v>
      </c>
      <c r="AE37" t="s">
        <v>2251</v>
      </c>
      <c r="AF37" t="s">
        <v>2182</v>
      </c>
      <c r="AG37" t="s">
        <v>2183</v>
      </c>
      <c r="AH37">
        <v>3000000.03</v>
      </c>
      <c r="AI37">
        <v>130306</v>
      </c>
      <c r="AJ37" t="s">
        <v>2057</v>
      </c>
    </row>
    <row r="38" spans="1:36" hidden="1" x14ac:dyDescent="0.2">
      <c r="A38" t="s">
        <v>2249</v>
      </c>
      <c r="B38" t="s">
        <v>203</v>
      </c>
      <c r="C38" t="s">
        <v>2250</v>
      </c>
      <c r="D38" t="s">
        <v>384</v>
      </c>
      <c r="E38">
        <v>259461</v>
      </c>
      <c r="F38" t="s">
        <v>2218</v>
      </c>
      <c r="G38">
        <v>8000</v>
      </c>
      <c r="H38">
        <v>582794</v>
      </c>
      <c r="I38" t="s">
        <v>904</v>
      </c>
      <c r="J38" s="11">
        <v>46174</v>
      </c>
      <c r="K38" s="11">
        <v>46222</v>
      </c>
      <c r="M38" t="s">
        <v>2205</v>
      </c>
      <c r="N38">
        <v>1250000</v>
      </c>
      <c r="O38">
        <v>3</v>
      </c>
      <c r="P38">
        <v>1250000</v>
      </c>
      <c r="Q38" t="s">
        <v>1987</v>
      </c>
      <c r="R38" t="s">
        <v>2206</v>
      </c>
      <c r="S38">
        <v>2</v>
      </c>
      <c r="T38">
        <v>765306.12250000006</v>
      </c>
      <c r="U38" t="s">
        <v>2206</v>
      </c>
      <c r="V38">
        <v>2</v>
      </c>
      <c r="W38" t="s">
        <v>2180</v>
      </c>
      <c r="X38">
        <v>765306.12250000006</v>
      </c>
      <c r="Y38">
        <v>765306.12250000006</v>
      </c>
      <c r="Z38">
        <v>765306.12250000006</v>
      </c>
      <c r="AC38" s="11">
        <v>46174</v>
      </c>
      <c r="AD38" s="11">
        <v>46222</v>
      </c>
      <c r="AE38" t="s">
        <v>2251</v>
      </c>
      <c r="AF38" t="s">
        <v>2182</v>
      </c>
      <c r="AG38" t="s">
        <v>2183</v>
      </c>
      <c r="AH38">
        <v>3000000.03</v>
      </c>
      <c r="AI38">
        <v>130306</v>
      </c>
      <c r="AJ38" t="s">
        <v>2057</v>
      </c>
    </row>
    <row r="39" spans="1:36" hidden="1" x14ac:dyDescent="0.2">
      <c r="A39" t="s">
        <v>2249</v>
      </c>
      <c r="B39" t="s">
        <v>203</v>
      </c>
      <c r="C39" t="s">
        <v>2250</v>
      </c>
      <c r="D39" t="s">
        <v>384</v>
      </c>
      <c r="E39">
        <v>259461</v>
      </c>
      <c r="F39" t="s">
        <v>2218</v>
      </c>
      <c r="G39">
        <v>8000</v>
      </c>
      <c r="H39">
        <v>593458</v>
      </c>
      <c r="I39" t="s">
        <v>847</v>
      </c>
      <c r="J39" s="11">
        <v>46184</v>
      </c>
      <c r="K39" s="11">
        <v>46222</v>
      </c>
      <c r="M39" t="s">
        <v>2205</v>
      </c>
      <c r="N39">
        <v>1000000</v>
      </c>
      <c r="O39">
        <v>3</v>
      </c>
      <c r="P39">
        <v>1000000</v>
      </c>
      <c r="Q39" t="s">
        <v>1987</v>
      </c>
      <c r="R39" t="s">
        <v>2206</v>
      </c>
      <c r="S39">
        <v>2</v>
      </c>
      <c r="T39">
        <v>512820.51289999997</v>
      </c>
      <c r="U39" t="s">
        <v>2206</v>
      </c>
      <c r="V39">
        <v>2</v>
      </c>
      <c r="W39" t="s">
        <v>2180</v>
      </c>
      <c r="X39">
        <v>512820.51289999997</v>
      </c>
      <c r="Y39">
        <v>512820.51289999997</v>
      </c>
      <c r="Z39">
        <v>512820.51289999997</v>
      </c>
      <c r="AC39" s="11">
        <v>46184</v>
      </c>
      <c r="AD39" s="11">
        <v>46222</v>
      </c>
      <c r="AE39" t="s">
        <v>2251</v>
      </c>
      <c r="AF39" t="s">
        <v>2182</v>
      </c>
      <c r="AG39" t="s">
        <v>2183</v>
      </c>
      <c r="AH39">
        <v>3000000.03</v>
      </c>
      <c r="AI39">
        <v>130306</v>
      </c>
      <c r="AJ39" t="s">
        <v>2057</v>
      </c>
    </row>
    <row r="40" spans="1:36" hidden="1" x14ac:dyDescent="0.2">
      <c r="A40" t="s">
        <v>2252</v>
      </c>
      <c r="B40" t="s">
        <v>133</v>
      </c>
      <c r="C40" t="s">
        <v>2253</v>
      </c>
      <c r="D40" t="s">
        <v>341</v>
      </c>
      <c r="E40">
        <v>259734</v>
      </c>
      <c r="F40" t="s">
        <v>2215</v>
      </c>
      <c r="G40">
        <v>8005</v>
      </c>
      <c r="H40">
        <v>582242</v>
      </c>
      <c r="I40" t="s">
        <v>637</v>
      </c>
      <c r="J40" s="11">
        <v>46174</v>
      </c>
      <c r="K40" s="11">
        <v>46222</v>
      </c>
      <c r="L40" t="s">
        <v>2254</v>
      </c>
      <c r="M40" t="s">
        <v>1850</v>
      </c>
      <c r="N40">
        <v>40</v>
      </c>
      <c r="O40">
        <v>8906250</v>
      </c>
      <c r="P40">
        <v>356250</v>
      </c>
      <c r="Q40" t="s">
        <v>2178</v>
      </c>
      <c r="R40" t="s">
        <v>2179</v>
      </c>
      <c r="S40">
        <v>0</v>
      </c>
      <c r="T40">
        <v>0</v>
      </c>
      <c r="U40" t="s">
        <v>2179</v>
      </c>
      <c r="V40">
        <v>5694888</v>
      </c>
      <c r="W40" t="s">
        <v>2180</v>
      </c>
      <c r="X40">
        <v>227795.52</v>
      </c>
      <c r="Y40">
        <v>227795.52</v>
      </c>
      <c r="Z40">
        <v>227795.52</v>
      </c>
      <c r="AA40">
        <v>5919640</v>
      </c>
      <c r="AB40">
        <v>5694888</v>
      </c>
      <c r="AC40" s="11">
        <v>46174</v>
      </c>
      <c r="AD40" s="11">
        <v>46222</v>
      </c>
      <c r="AE40" t="s">
        <v>2198</v>
      </c>
      <c r="AF40" t="s">
        <v>2182</v>
      </c>
      <c r="AG40" t="s">
        <v>2183</v>
      </c>
      <c r="AH40">
        <v>712500.03</v>
      </c>
      <c r="AI40">
        <v>129262</v>
      </c>
      <c r="AJ40" t="s">
        <v>2053</v>
      </c>
    </row>
    <row r="41" spans="1:36" hidden="1" x14ac:dyDescent="0.2">
      <c r="A41" t="s">
        <v>2252</v>
      </c>
      <c r="B41" t="s">
        <v>133</v>
      </c>
      <c r="C41" t="s">
        <v>2253</v>
      </c>
      <c r="D41" t="s">
        <v>341</v>
      </c>
      <c r="E41">
        <v>259734</v>
      </c>
      <c r="F41" t="s">
        <v>2218</v>
      </c>
      <c r="G41">
        <v>8000</v>
      </c>
      <c r="H41">
        <v>582245</v>
      </c>
      <c r="I41" t="s">
        <v>873</v>
      </c>
      <c r="J41" s="11">
        <v>46174</v>
      </c>
      <c r="K41" s="11">
        <v>46222</v>
      </c>
      <c r="L41" t="s">
        <v>2254</v>
      </c>
      <c r="M41" t="s">
        <v>2205</v>
      </c>
      <c r="N41">
        <v>356250</v>
      </c>
      <c r="O41">
        <v>3</v>
      </c>
      <c r="P41">
        <v>356250</v>
      </c>
      <c r="Q41" t="s">
        <v>1987</v>
      </c>
      <c r="R41" t="s">
        <v>2206</v>
      </c>
      <c r="S41">
        <v>2</v>
      </c>
      <c r="T41">
        <v>218112.24489999999</v>
      </c>
      <c r="U41" t="s">
        <v>2206</v>
      </c>
      <c r="V41">
        <v>2</v>
      </c>
      <c r="W41" t="s">
        <v>2180</v>
      </c>
      <c r="X41">
        <v>218112.24489999999</v>
      </c>
      <c r="Y41">
        <v>218112.24489999999</v>
      </c>
      <c r="Z41">
        <v>218112.24489999999</v>
      </c>
      <c r="AC41" s="11">
        <v>46174</v>
      </c>
      <c r="AD41" s="11">
        <v>46222</v>
      </c>
      <c r="AE41" t="s">
        <v>2198</v>
      </c>
      <c r="AF41" t="s">
        <v>2182</v>
      </c>
      <c r="AG41" t="s">
        <v>2183</v>
      </c>
      <c r="AH41">
        <v>712500.03</v>
      </c>
      <c r="AI41">
        <v>129262</v>
      </c>
      <c r="AJ41" t="s">
        <v>2053</v>
      </c>
    </row>
    <row r="42" spans="1:36" hidden="1" x14ac:dyDescent="0.2">
      <c r="A42" t="s">
        <v>2255</v>
      </c>
      <c r="B42" t="s">
        <v>122</v>
      </c>
      <c r="C42" t="s">
        <v>2256</v>
      </c>
      <c r="D42" t="s">
        <v>241</v>
      </c>
      <c r="E42">
        <v>259968</v>
      </c>
      <c r="F42" t="s">
        <v>2192</v>
      </c>
      <c r="G42">
        <v>1</v>
      </c>
      <c r="H42">
        <v>556835</v>
      </c>
      <c r="I42" t="s">
        <v>454</v>
      </c>
      <c r="J42" s="11">
        <v>46181</v>
      </c>
      <c r="K42" s="11">
        <v>46203</v>
      </c>
      <c r="L42" t="s">
        <v>2254</v>
      </c>
      <c r="M42" t="s">
        <v>1850</v>
      </c>
      <c r="N42">
        <v>15</v>
      </c>
      <c r="O42">
        <v>2083394</v>
      </c>
      <c r="P42">
        <v>31250.92</v>
      </c>
      <c r="Q42" t="s">
        <v>2178</v>
      </c>
      <c r="R42" t="s">
        <v>2179</v>
      </c>
      <c r="S42">
        <v>0</v>
      </c>
      <c r="T42">
        <v>0</v>
      </c>
      <c r="U42" t="s">
        <v>2179</v>
      </c>
      <c r="V42">
        <v>36</v>
      </c>
      <c r="W42" t="s">
        <v>2180</v>
      </c>
      <c r="X42">
        <v>0.54</v>
      </c>
      <c r="Y42">
        <v>0.54</v>
      </c>
      <c r="Z42">
        <v>0.54</v>
      </c>
      <c r="AA42">
        <v>368</v>
      </c>
      <c r="AB42">
        <v>36</v>
      </c>
      <c r="AC42" s="11">
        <v>46181</v>
      </c>
      <c r="AD42" s="11">
        <v>46203</v>
      </c>
      <c r="AE42" t="s">
        <v>2202</v>
      </c>
      <c r="AF42" t="s">
        <v>2182</v>
      </c>
      <c r="AG42" t="s">
        <v>2183</v>
      </c>
      <c r="AH42">
        <v>31250.92</v>
      </c>
      <c r="AI42">
        <v>121116</v>
      </c>
      <c r="AJ42" t="s">
        <v>2049</v>
      </c>
    </row>
    <row r="43" spans="1:36" hidden="1" x14ac:dyDescent="0.2">
      <c r="A43" t="s">
        <v>2257</v>
      </c>
      <c r="B43" t="s">
        <v>141</v>
      </c>
      <c r="C43" t="s">
        <v>2258</v>
      </c>
      <c r="D43" t="s">
        <v>270</v>
      </c>
      <c r="E43">
        <v>260800</v>
      </c>
      <c r="F43" t="s">
        <v>2192</v>
      </c>
      <c r="G43">
        <v>1</v>
      </c>
      <c r="H43">
        <v>559447</v>
      </c>
      <c r="I43" t="s">
        <v>500</v>
      </c>
      <c r="J43" s="11">
        <v>46111</v>
      </c>
      <c r="K43" s="11">
        <v>46201</v>
      </c>
      <c r="L43" t="s">
        <v>2177</v>
      </c>
      <c r="M43" t="s">
        <v>1850</v>
      </c>
      <c r="N43">
        <v>21.79</v>
      </c>
      <c r="O43">
        <v>2914182</v>
      </c>
      <c r="P43">
        <v>63500.02</v>
      </c>
      <c r="R43" t="s">
        <v>2179</v>
      </c>
      <c r="S43">
        <v>0</v>
      </c>
      <c r="T43">
        <v>0</v>
      </c>
      <c r="U43" t="s">
        <v>2179</v>
      </c>
      <c r="V43">
        <v>107633</v>
      </c>
      <c r="W43" t="s">
        <v>2180</v>
      </c>
      <c r="X43">
        <v>2345.3231000000001</v>
      </c>
      <c r="Y43">
        <v>2345.3231000000001</v>
      </c>
      <c r="Z43">
        <v>2345.3231000000001</v>
      </c>
      <c r="AA43">
        <v>108257</v>
      </c>
      <c r="AB43">
        <v>107633</v>
      </c>
      <c r="AC43" s="11">
        <v>46111</v>
      </c>
      <c r="AD43" s="11">
        <v>46201</v>
      </c>
      <c r="AE43" t="s">
        <v>2222</v>
      </c>
      <c r="AF43" t="s">
        <v>2182</v>
      </c>
      <c r="AG43" t="s">
        <v>2183</v>
      </c>
      <c r="AH43">
        <v>127500.01</v>
      </c>
      <c r="AI43">
        <v>111730</v>
      </c>
      <c r="AJ43" t="s">
        <v>2039</v>
      </c>
    </row>
    <row r="44" spans="1:36" hidden="1" x14ac:dyDescent="0.2">
      <c r="A44" t="s">
        <v>2259</v>
      </c>
      <c r="B44" t="s">
        <v>132</v>
      </c>
      <c r="C44" t="s">
        <v>2260</v>
      </c>
      <c r="D44" t="s">
        <v>389</v>
      </c>
      <c r="E44">
        <v>261764</v>
      </c>
      <c r="F44" t="s">
        <v>2215</v>
      </c>
      <c r="G44">
        <v>8005</v>
      </c>
      <c r="H44">
        <v>581693</v>
      </c>
      <c r="I44" t="s">
        <v>717</v>
      </c>
      <c r="J44" s="11">
        <v>46195</v>
      </c>
      <c r="K44" s="11">
        <v>46203</v>
      </c>
      <c r="L44" t="s">
        <v>2223</v>
      </c>
      <c r="M44" t="s">
        <v>1850</v>
      </c>
      <c r="N44">
        <v>40</v>
      </c>
      <c r="O44">
        <v>1675000</v>
      </c>
      <c r="P44">
        <v>67000</v>
      </c>
      <c r="Q44" t="s">
        <v>2178</v>
      </c>
      <c r="R44" t="s">
        <v>2179</v>
      </c>
      <c r="S44">
        <v>0</v>
      </c>
      <c r="T44">
        <v>0</v>
      </c>
      <c r="U44" t="s">
        <v>2179</v>
      </c>
      <c r="V44">
        <v>1675000</v>
      </c>
      <c r="W44" t="s">
        <v>2180</v>
      </c>
      <c r="X44">
        <v>67000</v>
      </c>
      <c r="Y44">
        <v>67000</v>
      </c>
      <c r="Z44">
        <v>67000</v>
      </c>
      <c r="AA44">
        <v>1697860</v>
      </c>
      <c r="AB44">
        <v>1706824</v>
      </c>
      <c r="AC44" s="11">
        <v>46195</v>
      </c>
      <c r="AD44" s="11">
        <v>46203</v>
      </c>
      <c r="AE44" t="s">
        <v>2226</v>
      </c>
      <c r="AF44" t="s">
        <v>2182</v>
      </c>
      <c r="AG44" t="s">
        <v>2183</v>
      </c>
      <c r="AH44">
        <v>1870000.04</v>
      </c>
      <c r="AI44">
        <v>130574</v>
      </c>
      <c r="AJ44" t="s">
        <v>2054</v>
      </c>
    </row>
    <row r="45" spans="1:36" hidden="1" x14ac:dyDescent="0.2">
      <c r="A45" t="s">
        <v>2259</v>
      </c>
      <c r="B45" t="s">
        <v>132</v>
      </c>
      <c r="C45" t="s">
        <v>2260</v>
      </c>
      <c r="D45" t="s">
        <v>389</v>
      </c>
      <c r="E45">
        <v>261764</v>
      </c>
      <c r="F45" t="s">
        <v>2217</v>
      </c>
      <c r="G45">
        <v>8004</v>
      </c>
      <c r="H45">
        <v>581709</v>
      </c>
      <c r="I45" t="s">
        <v>823</v>
      </c>
      <c r="J45" s="11">
        <v>46181</v>
      </c>
      <c r="K45" s="11">
        <v>46222</v>
      </c>
      <c r="L45" t="s">
        <v>2177</v>
      </c>
      <c r="M45" t="s">
        <v>1850</v>
      </c>
      <c r="N45">
        <v>6</v>
      </c>
      <c r="O45">
        <v>60000000</v>
      </c>
      <c r="P45">
        <v>360000</v>
      </c>
      <c r="Q45" t="s">
        <v>2178</v>
      </c>
      <c r="R45" t="s">
        <v>2179</v>
      </c>
      <c r="S45">
        <v>0</v>
      </c>
      <c r="T45">
        <v>0</v>
      </c>
      <c r="U45" t="s">
        <v>2179</v>
      </c>
      <c r="V45">
        <v>14985805</v>
      </c>
      <c r="W45" t="s">
        <v>2180</v>
      </c>
      <c r="X45">
        <v>89914.83</v>
      </c>
      <c r="Y45">
        <v>89914.83</v>
      </c>
      <c r="Z45">
        <v>89914.83</v>
      </c>
      <c r="AA45">
        <v>15269308</v>
      </c>
      <c r="AB45">
        <v>14985805</v>
      </c>
      <c r="AC45" s="11">
        <v>46181</v>
      </c>
      <c r="AD45" s="11">
        <v>46222</v>
      </c>
      <c r="AE45" t="s">
        <v>2226</v>
      </c>
      <c r="AF45" t="s">
        <v>2182</v>
      </c>
      <c r="AG45" t="s">
        <v>2183</v>
      </c>
      <c r="AH45">
        <v>1870000.04</v>
      </c>
      <c r="AI45">
        <v>130574</v>
      </c>
      <c r="AJ45" t="s">
        <v>2054</v>
      </c>
    </row>
    <row r="46" spans="1:36" hidden="1" x14ac:dyDescent="0.2">
      <c r="A46" t="s">
        <v>2259</v>
      </c>
      <c r="B46" t="s">
        <v>132</v>
      </c>
      <c r="C46" t="s">
        <v>2260</v>
      </c>
      <c r="D46" t="s">
        <v>389</v>
      </c>
      <c r="E46">
        <v>261764</v>
      </c>
      <c r="F46" t="s">
        <v>2219</v>
      </c>
      <c r="G46">
        <v>7998</v>
      </c>
      <c r="H46">
        <v>581823</v>
      </c>
      <c r="I46" t="s">
        <v>719</v>
      </c>
      <c r="J46" s="11">
        <v>46195</v>
      </c>
      <c r="K46" s="11">
        <v>46234</v>
      </c>
      <c r="L46" t="s">
        <v>2223</v>
      </c>
      <c r="M46" t="s">
        <v>1850</v>
      </c>
      <c r="N46">
        <v>20</v>
      </c>
      <c r="O46">
        <v>625000</v>
      </c>
      <c r="P46">
        <v>12500</v>
      </c>
      <c r="Q46" t="s">
        <v>2178</v>
      </c>
      <c r="R46" t="s">
        <v>2179</v>
      </c>
      <c r="S46">
        <v>0</v>
      </c>
      <c r="T46">
        <v>0</v>
      </c>
      <c r="U46" t="s">
        <v>2179</v>
      </c>
      <c r="V46">
        <v>192625</v>
      </c>
      <c r="W46" t="s">
        <v>2180</v>
      </c>
      <c r="X46">
        <v>3852.5</v>
      </c>
      <c r="Y46">
        <v>3852.5</v>
      </c>
      <c r="Z46">
        <v>3852.5</v>
      </c>
      <c r="AA46">
        <v>187137</v>
      </c>
      <c r="AB46">
        <v>192625</v>
      </c>
      <c r="AC46" s="11">
        <v>46195</v>
      </c>
      <c r="AD46" s="11">
        <v>46234</v>
      </c>
      <c r="AE46" t="s">
        <v>2226</v>
      </c>
      <c r="AF46" t="s">
        <v>2182</v>
      </c>
      <c r="AG46" t="s">
        <v>2183</v>
      </c>
      <c r="AH46">
        <v>1870000.04</v>
      </c>
      <c r="AI46">
        <v>130574</v>
      </c>
      <c r="AJ46" t="s">
        <v>2054</v>
      </c>
    </row>
    <row r="47" spans="1:36" hidden="1" x14ac:dyDescent="0.2">
      <c r="A47" t="s">
        <v>2259</v>
      </c>
      <c r="B47" t="s">
        <v>132</v>
      </c>
      <c r="C47" t="s">
        <v>2260</v>
      </c>
      <c r="D47" t="s">
        <v>389</v>
      </c>
      <c r="E47">
        <v>261764</v>
      </c>
      <c r="F47" t="s">
        <v>2218</v>
      </c>
      <c r="G47">
        <v>8000</v>
      </c>
      <c r="H47">
        <v>581826</v>
      </c>
      <c r="I47" t="s">
        <v>849</v>
      </c>
      <c r="J47" s="11">
        <v>46195</v>
      </c>
      <c r="K47" s="11">
        <v>46222</v>
      </c>
      <c r="M47" t="s">
        <v>2205</v>
      </c>
      <c r="N47">
        <v>50000</v>
      </c>
      <c r="O47">
        <v>3</v>
      </c>
      <c r="P47">
        <v>50000</v>
      </c>
      <c r="Q47" t="s">
        <v>1987</v>
      </c>
      <c r="R47" t="s">
        <v>2206</v>
      </c>
      <c r="S47">
        <v>0</v>
      </c>
      <c r="T47">
        <v>16071.4285</v>
      </c>
      <c r="U47" t="s">
        <v>2206</v>
      </c>
      <c r="V47">
        <v>0</v>
      </c>
      <c r="W47" t="s">
        <v>2180</v>
      </c>
      <c r="X47">
        <v>16071.4285</v>
      </c>
      <c r="Y47">
        <v>16071.4285</v>
      </c>
      <c r="Z47">
        <v>16071.4285</v>
      </c>
      <c r="AC47" s="11">
        <v>46195</v>
      </c>
      <c r="AD47" s="11">
        <v>46222</v>
      </c>
      <c r="AE47" t="s">
        <v>2226</v>
      </c>
      <c r="AF47" t="s">
        <v>2182</v>
      </c>
      <c r="AG47" t="s">
        <v>2183</v>
      </c>
      <c r="AH47">
        <v>1870000.04</v>
      </c>
      <c r="AI47">
        <v>130574</v>
      </c>
      <c r="AJ47" t="s">
        <v>2054</v>
      </c>
    </row>
    <row r="48" spans="1:36" hidden="1" x14ac:dyDescent="0.2">
      <c r="A48" t="s">
        <v>2259</v>
      </c>
      <c r="B48" t="s">
        <v>132</v>
      </c>
      <c r="C48" t="s">
        <v>2260</v>
      </c>
      <c r="D48" t="s">
        <v>389</v>
      </c>
      <c r="E48">
        <v>261764</v>
      </c>
      <c r="F48" t="s">
        <v>2215</v>
      </c>
      <c r="G48">
        <v>8005</v>
      </c>
      <c r="H48">
        <v>592687</v>
      </c>
      <c r="I48" t="s">
        <v>722</v>
      </c>
      <c r="J48" s="11">
        <v>46181</v>
      </c>
      <c r="K48" s="11">
        <v>46222</v>
      </c>
      <c r="L48" t="s">
        <v>2223</v>
      </c>
      <c r="M48" t="s">
        <v>1850</v>
      </c>
      <c r="N48">
        <v>40</v>
      </c>
      <c r="O48">
        <v>2675000</v>
      </c>
      <c r="P48">
        <v>107000</v>
      </c>
      <c r="Q48" t="s">
        <v>2178</v>
      </c>
      <c r="R48" t="s">
        <v>2179</v>
      </c>
      <c r="S48">
        <v>0</v>
      </c>
      <c r="T48">
        <v>0</v>
      </c>
      <c r="U48" t="s">
        <v>2179</v>
      </c>
      <c r="V48">
        <v>1796691</v>
      </c>
      <c r="W48" t="s">
        <v>2180</v>
      </c>
      <c r="X48">
        <v>71867.64</v>
      </c>
      <c r="Y48">
        <v>71867.64</v>
      </c>
      <c r="Z48">
        <v>71867.64</v>
      </c>
      <c r="AA48">
        <v>1787936</v>
      </c>
      <c r="AB48">
        <v>1796691</v>
      </c>
      <c r="AC48" s="11">
        <v>46181</v>
      </c>
      <c r="AD48" s="11">
        <v>46222</v>
      </c>
      <c r="AE48" t="s">
        <v>2226</v>
      </c>
      <c r="AF48" t="s">
        <v>2182</v>
      </c>
      <c r="AG48" t="s">
        <v>2183</v>
      </c>
      <c r="AH48">
        <v>1870000.04</v>
      </c>
      <c r="AI48">
        <v>130574</v>
      </c>
      <c r="AJ48" t="s">
        <v>2054</v>
      </c>
    </row>
    <row r="49" spans="1:36" hidden="1" x14ac:dyDescent="0.2">
      <c r="A49" t="s">
        <v>2259</v>
      </c>
      <c r="B49" t="s">
        <v>132</v>
      </c>
      <c r="C49" t="s">
        <v>2260</v>
      </c>
      <c r="D49" t="s">
        <v>389</v>
      </c>
      <c r="E49">
        <v>261764</v>
      </c>
      <c r="F49" t="s">
        <v>2219</v>
      </c>
      <c r="G49">
        <v>7998</v>
      </c>
      <c r="H49">
        <v>592690</v>
      </c>
      <c r="I49" t="s">
        <v>720</v>
      </c>
      <c r="J49" s="11">
        <v>46181</v>
      </c>
      <c r="K49" s="11">
        <v>46222</v>
      </c>
      <c r="L49" t="s">
        <v>2223</v>
      </c>
      <c r="M49" t="s">
        <v>1850</v>
      </c>
      <c r="N49">
        <v>20</v>
      </c>
      <c r="O49">
        <v>1594423</v>
      </c>
      <c r="P49">
        <v>31888.46</v>
      </c>
      <c r="Q49" t="s">
        <v>2178</v>
      </c>
      <c r="R49" t="s">
        <v>2179</v>
      </c>
      <c r="S49">
        <v>0</v>
      </c>
      <c r="T49">
        <v>0</v>
      </c>
      <c r="U49" t="s">
        <v>2179</v>
      </c>
      <c r="V49">
        <v>1072448</v>
      </c>
      <c r="W49" t="s">
        <v>2180</v>
      </c>
      <c r="X49">
        <v>21448.959999999999</v>
      </c>
      <c r="Y49">
        <v>21448.959999999999</v>
      </c>
      <c r="Z49">
        <v>21448.959999999999</v>
      </c>
      <c r="AA49">
        <v>1060856</v>
      </c>
      <c r="AB49">
        <v>1072448</v>
      </c>
      <c r="AC49" s="11">
        <v>46181</v>
      </c>
      <c r="AD49" s="11">
        <v>46222</v>
      </c>
      <c r="AE49" t="s">
        <v>2226</v>
      </c>
      <c r="AF49" t="s">
        <v>2182</v>
      </c>
      <c r="AG49" t="s">
        <v>2183</v>
      </c>
      <c r="AH49">
        <v>1870000.04</v>
      </c>
      <c r="AI49">
        <v>130574</v>
      </c>
      <c r="AJ49" t="s">
        <v>2054</v>
      </c>
    </row>
    <row r="50" spans="1:36" hidden="1" x14ac:dyDescent="0.2">
      <c r="A50" t="s">
        <v>2259</v>
      </c>
      <c r="B50" t="s">
        <v>132</v>
      </c>
      <c r="C50" t="s">
        <v>2260</v>
      </c>
      <c r="D50" t="s">
        <v>389</v>
      </c>
      <c r="E50">
        <v>261764</v>
      </c>
      <c r="F50" t="s">
        <v>2218</v>
      </c>
      <c r="G50">
        <v>8000</v>
      </c>
      <c r="H50">
        <v>592693</v>
      </c>
      <c r="I50" t="s">
        <v>893</v>
      </c>
      <c r="J50" s="11">
        <v>46174</v>
      </c>
      <c r="K50" s="11">
        <v>46222</v>
      </c>
      <c r="M50" t="s">
        <v>2205</v>
      </c>
      <c r="N50">
        <v>300000</v>
      </c>
      <c r="O50">
        <v>3</v>
      </c>
      <c r="P50">
        <v>300000</v>
      </c>
      <c r="Q50" t="s">
        <v>1987</v>
      </c>
      <c r="R50" t="s">
        <v>2206</v>
      </c>
      <c r="S50">
        <v>2</v>
      </c>
      <c r="T50">
        <v>183673.4694</v>
      </c>
      <c r="U50" t="s">
        <v>2206</v>
      </c>
      <c r="V50">
        <v>2</v>
      </c>
      <c r="W50" t="s">
        <v>2180</v>
      </c>
      <c r="X50">
        <v>183673.4694</v>
      </c>
      <c r="Y50">
        <v>183673.4694</v>
      </c>
      <c r="Z50">
        <v>183673.4694</v>
      </c>
      <c r="AC50" s="11">
        <v>46174</v>
      </c>
      <c r="AD50" s="11">
        <v>46222</v>
      </c>
      <c r="AE50" t="s">
        <v>2226</v>
      </c>
      <c r="AF50" t="s">
        <v>2182</v>
      </c>
      <c r="AG50" t="s">
        <v>2183</v>
      </c>
      <c r="AH50">
        <v>1870000.04</v>
      </c>
      <c r="AI50">
        <v>130574</v>
      </c>
      <c r="AJ50" t="s">
        <v>2054</v>
      </c>
    </row>
    <row r="51" spans="1:36" hidden="1" x14ac:dyDescent="0.2">
      <c r="A51" t="s">
        <v>2259</v>
      </c>
      <c r="B51" t="s">
        <v>132</v>
      </c>
      <c r="C51" t="s">
        <v>2260</v>
      </c>
      <c r="D51" t="s">
        <v>389</v>
      </c>
      <c r="E51">
        <v>261764</v>
      </c>
      <c r="F51" t="s">
        <v>2215</v>
      </c>
      <c r="G51">
        <v>8005</v>
      </c>
      <c r="H51">
        <v>592716</v>
      </c>
      <c r="I51" t="s">
        <v>721</v>
      </c>
      <c r="J51" s="11">
        <v>46181</v>
      </c>
      <c r="K51" s="11">
        <v>46222</v>
      </c>
      <c r="L51" t="s">
        <v>2223</v>
      </c>
      <c r="M51" t="s">
        <v>1850</v>
      </c>
      <c r="N51">
        <v>40</v>
      </c>
      <c r="O51">
        <v>4650000</v>
      </c>
      <c r="P51">
        <v>186000</v>
      </c>
      <c r="Q51" t="s">
        <v>2178</v>
      </c>
      <c r="R51" t="s">
        <v>2179</v>
      </c>
      <c r="S51">
        <v>0</v>
      </c>
      <c r="T51">
        <v>0</v>
      </c>
      <c r="U51" t="s">
        <v>2179</v>
      </c>
      <c r="V51">
        <v>3114636</v>
      </c>
      <c r="W51" t="s">
        <v>2180</v>
      </c>
      <c r="X51">
        <v>124585.44</v>
      </c>
      <c r="Y51">
        <v>124585.44</v>
      </c>
      <c r="Z51">
        <v>124585.44</v>
      </c>
      <c r="AA51">
        <v>3108177</v>
      </c>
      <c r="AB51">
        <v>3114636</v>
      </c>
      <c r="AC51" s="11">
        <v>46181</v>
      </c>
      <c r="AD51" s="11">
        <v>46222</v>
      </c>
      <c r="AE51" t="s">
        <v>2226</v>
      </c>
      <c r="AF51" t="s">
        <v>2182</v>
      </c>
      <c r="AG51" t="s">
        <v>2183</v>
      </c>
      <c r="AH51">
        <v>1870000.04</v>
      </c>
      <c r="AI51">
        <v>130574</v>
      </c>
      <c r="AJ51" t="s">
        <v>2054</v>
      </c>
    </row>
    <row r="52" spans="1:36" hidden="1" x14ac:dyDescent="0.2">
      <c r="A52" t="s">
        <v>2259</v>
      </c>
      <c r="B52" t="s">
        <v>132</v>
      </c>
      <c r="C52" t="s">
        <v>2260</v>
      </c>
      <c r="D52" t="s">
        <v>389</v>
      </c>
      <c r="E52">
        <v>261764</v>
      </c>
      <c r="F52" t="s">
        <v>2219</v>
      </c>
      <c r="G52">
        <v>7998</v>
      </c>
      <c r="H52">
        <v>592720</v>
      </c>
      <c r="I52" t="s">
        <v>718</v>
      </c>
      <c r="J52" s="11">
        <v>46181</v>
      </c>
      <c r="K52" s="11">
        <v>46234</v>
      </c>
      <c r="L52" t="s">
        <v>2223</v>
      </c>
      <c r="M52" t="s">
        <v>1850</v>
      </c>
      <c r="N52">
        <v>20</v>
      </c>
      <c r="O52">
        <v>1398367</v>
      </c>
      <c r="P52">
        <v>27967.34</v>
      </c>
      <c r="Q52" t="s">
        <v>2178</v>
      </c>
      <c r="R52" t="s">
        <v>2179</v>
      </c>
      <c r="S52">
        <v>0</v>
      </c>
      <c r="T52">
        <v>0</v>
      </c>
      <c r="U52" t="s">
        <v>2179</v>
      </c>
      <c r="V52">
        <v>938457</v>
      </c>
      <c r="W52" t="s">
        <v>2180</v>
      </c>
      <c r="X52">
        <v>18769.14</v>
      </c>
      <c r="Y52">
        <v>18769.14</v>
      </c>
      <c r="Z52">
        <v>18769.14</v>
      </c>
      <c r="AA52">
        <v>932078</v>
      </c>
      <c r="AB52">
        <v>938457</v>
      </c>
      <c r="AC52" s="11">
        <v>46181</v>
      </c>
      <c r="AD52" s="11">
        <v>46234</v>
      </c>
      <c r="AE52" t="s">
        <v>2226</v>
      </c>
      <c r="AF52" t="s">
        <v>2182</v>
      </c>
      <c r="AG52" t="s">
        <v>2183</v>
      </c>
      <c r="AH52">
        <v>1870000.04</v>
      </c>
      <c r="AI52">
        <v>130574</v>
      </c>
      <c r="AJ52" t="s">
        <v>2054</v>
      </c>
    </row>
    <row r="53" spans="1:36" hidden="1" x14ac:dyDescent="0.2">
      <c r="A53" t="s">
        <v>2259</v>
      </c>
      <c r="B53" t="s">
        <v>132</v>
      </c>
      <c r="C53" t="s">
        <v>2260</v>
      </c>
      <c r="D53" t="s">
        <v>389</v>
      </c>
      <c r="E53">
        <v>261764</v>
      </c>
      <c r="F53" t="s">
        <v>2218</v>
      </c>
      <c r="G53">
        <v>8000</v>
      </c>
      <c r="H53">
        <v>592724</v>
      </c>
      <c r="I53" t="s">
        <v>858</v>
      </c>
      <c r="J53" s="11">
        <v>46174</v>
      </c>
      <c r="K53" s="11">
        <v>46222</v>
      </c>
      <c r="M53" t="s">
        <v>2205</v>
      </c>
      <c r="N53">
        <v>210000</v>
      </c>
      <c r="O53">
        <v>3</v>
      </c>
      <c r="P53">
        <v>210000</v>
      </c>
      <c r="Q53" t="s">
        <v>1987</v>
      </c>
      <c r="R53" t="s">
        <v>2206</v>
      </c>
      <c r="S53">
        <v>2</v>
      </c>
      <c r="T53">
        <v>128571.4286</v>
      </c>
      <c r="U53" t="s">
        <v>2206</v>
      </c>
      <c r="V53">
        <v>2</v>
      </c>
      <c r="W53" t="s">
        <v>2180</v>
      </c>
      <c r="X53">
        <v>128571.4286</v>
      </c>
      <c r="Y53">
        <v>128571.4286</v>
      </c>
      <c r="Z53">
        <v>128571.4286</v>
      </c>
      <c r="AC53" s="11">
        <v>46174</v>
      </c>
      <c r="AD53" s="11">
        <v>46222</v>
      </c>
      <c r="AE53" t="s">
        <v>2226</v>
      </c>
      <c r="AF53" t="s">
        <v>2182</v>
      </c>
      <c r="AG53" t="s">
        <v>2183</v>
      </c>
      <c r="AH53">
        <v>1870000.04</v>
      </c>
      <c r="AI53">
        <v>130574</v>
      </c>
      <c r="AJ53" t="s">
        <v>2054</v>
      </c>
    </row>
    <row r="54" spans="1:36" hidden="1" x14ac:dyDescent="0.2">
      <c r="A54" t="s">
        <v>2199</v>
      </c>
      <c r="B54" t="s">
        <v>144</v>
      </c>
      <c r="C54" t="s">
        <v>2261</v>
      </c>
      <c r="D54" t="s">
        <v>273</v>
      </c>
      <c r="E54">
        <v>261946</v>
      </c>
      <c r="F54" t="s">
        <v>2217</v>
      </c>
      <c r="G54">
        <v>8004</v>
      </c>
      <c r="H54">
        <v>581295</v>
      </c>
      <c r="I54" t="s">
        <v>777</v>
      </c>
      <c r="J54" s="11">
        <v>46174</v>
      </c>
      <c r="K54" s="11">
        <v>46222</v>
      </c>
      <c r="L54" t="s">
        <v>2177</v>
      </c>
      <c r="M54" t="s">
        <v>1850</v>
      </c>
      <c r="N54">
        <v>10</v>
      </c>
      <c r="O54">
        <v>5000000</v>
      </c>
      <c r="P54">
        <v>50000</v>
      </c>
      <c r="Q54" t="s">
        <v>2178</v>
      </c>
      <c r="R54" t="s">
        <v>2179</v>
      </c>
      <c r="S54">
        <v>0</v>
      </c>
      <c r="T54">
        <v>0</v>
      </c>
      <c r="U54" t="s">
        <v>2179</v>
      </c>
      <c r="V54">
        <v>3671918</v>
      </c>
      <c r="W54" t="s">
        <v>2180</v>
      </c>
      <c r="X54">
        <v>36719.18</v>
      </c>
      <c r="Y54">
        <v>36719.18</v>
      </c>
      <c r="Z54">
        <v>36719.18</v>
      </c>
      <c r="AA54">
        <v>4194623</v>
      </c>
      <c r="AB54">
        <v>3671918</v>
      </c>
      <c r="AC54" s="11">
        <v>46174</v>
      </c>
      <c r="AD54" s="11">
        <v>46222</v>
      </c>
      <c r="AE54" t="s">
        <v>2202</v>
      </c>
      <c r="AF54" t="s">
        <v>2182</v>
      </c>
      <c r="AG54" t="s">
        <v>2183</v>
      </c>
      <c r="AH54">
        <v>850000.32</v>
      </c>
      <c r="AI54">
        <v>126577</v>
      </c>
      <c r="AJ54" t="s">
        <v>2041</v>
      </c>
    </row>
    <row r="55" spans="1:36" hidden="1" x14ac:dyDescent="0.2">
      <c r="A55" t="s">
        <v>2199</v>
      </c>
      <c r="B55" t="s">
        <v>144</v>
      </c>
      <c r="C55" t="s">
        <v>2261</v>
      </c>
      <c r="D55" t="s">
        <v>273</v>
      </c>
      <c r="E55">
        <v>261946</v>
      </c>
      <c r="F55" t="s">
        <v>2218</v>
      </c>
      <c r="G55">
        <v>8000</v>
      </c>
      <c r="H55">
        <v>582460</v>
      </c>
      <c r="I55" t="s">
        <v>850</v>
      </c>
      <c r="J55" s="11">
        <v>46174</v>
      </c>
      <c r="K55" s="11">
        <v>46222</v>
      </c>
      <c r="M55" t="s">
        <v>1852</v>
      </c>
      <c r="N55">
        <v>0.15</v>
      </c>
      <c r="O55">
        <v>1000002</v>
      </c>
      <c r="P55">
        <v>150000.29999999999</v>
      </c>
      <c r="Q55" t="s">
        <v>2262</v>
      </c>
      <c r="R55" t="s">
        <v>2263</v>
      </c>
      <c r="S55">
        <v>500001</v>
      </c>
      <c r="T55">
        <v>75000.149999999994</v>
      </c>
      <c r="U55" t="s">
        <v>2263</v>
      </c>
      <c r="V55">
        <v>500001</v>
      </c>
      <c r="W55" t="s">
        <v>2180</v>
      </c>
      <c r="X55">
        <v>75000.149999999994</v>
      </c>
      <c r="Y55">
        <v>75000.149999999994</v>
      </c>
      <c r="Z55">
        <v>75000.149999999994</v>
      </c>
      <c r="AC55" s="11">
        <v>46174</v>
      </c>
      <c r="AD55" s="11">
        <v>46222</v>
      </c>
      <c r="AE55" t="s">
        <v>2202</v>
      </c>
      <c r="AF55" t="s">
        <v>2182</v>
      </c>
      <c r="AG55" t="s">
        <v>2183</v>
      </c>
      <c r="AH55">
        <v>850000.32</v>
      </c>
      <c r="AI55">
        <v>126577</v>
      </c>
      <c r="AJ55" t="s">
        <v>2041</v>
      </c>
    </row>
    <row r="56" spans="1:36" hidden="1" x14ac:dyDescent="0.2">
      <c r="A56" t="s">
        <v>2199</v>
      </c>
      <c r="B56" t="s">
        <v>144</v>
      </c>
      <c r="C56" t="s">
        <v>2261</v>
      </c>
      <c r="D56" t="s">
        <v>273</v>
      </c>
      <c r="E56">
        <v>261946</v>
      </c>
      <c r="F56" t="s">
        <v>2215</v>
      </c>
      <c r="G56">
        <v>8005</v>
      </c>
      <c r="H56">
        <v>582466</v>
      </c>
      <c r="I56" t="s">
        <v>505</v>
      </c>
      <c r="J56" s="11">
        <v>46174</v>
      </c>
      <c r="K56" s="11">
        <v>46222</v>
      </c>
      <c r="L56" t="s">
        <v>2177</v>
      </c>
      <c r="M56" t="s">
        <v>1850</v>
      </c>
      <c r="N56">
        <v>40</v>
      </c>
      <c r="O56">
        <v>10000000</v>
      </c>
      <c r="P56">
        <v>400000</v>
      </c>
      <c r="Q56" t="s">
        <v>2178</v>
      </c>
      <c r="R56" t="s">
        <v>2179</v>
      </c>
      <c r="S56">
        <v>0</v>
      </c>
      <c r="T56">
        <v>0</v>
      </c>
      <c r="U56" t="s">
        <v>2179</v>
      </c>
      <c r="V56">
        <v>3777132</v>
      </c>
      <c r="W56" t="s">
        <v>2180</v>
      </c>
      <c r="X56">
        <v>151085.28</v>
      </c>
      <c r="Y56">
        <v>151085.28</v>
      </c>
      <c r="Z56">
        <v>151085.28</v>
      </c>
      <c r="AA56">
        <v>3765120</v>
      </c>
      <c r="AB56">
        <v>1152277</v>
      </c>
      <c r="AC56" s="11">
        <v>46174</v>
      </c>
      <c r="AD56" s="11">
        <v>46222</v>
      </c>
      <c r="AE56" t="s">
        <v>2202</v>
      </c>
      <c r="AF56" t="s">
        <v>2182</v>
      </c>
      <c r="AG56" t="s">
        <v>2183</v>
      </c>
      <c r="AH56">
        <v>850000.32</v>
      </c>
      <c r="AI56">
        <v>126577</v>
      </c>
      <c r="AJ56" t="s">
        <v>2041</v>
      </c>
    </row>
    <row r="57" spans="1:36" hidden="1" x14ac:dyDescent="0.2">
      <c r="A57" t="s">
        <v>2199</v>
      </c>
      <c r="B57" t="s">
        <v>144</v>
      </c>
      <c r="C57" t="s">
        <v>2261</v>
      </c>
      <c r="D57" t="s">
        <v>273</v>
      </c>
      <c r="E57">
        <v>261946</v>
      </c>
      <c r="F57" t="s">
        <v>2220</v>
      </c>
      <c r="G57">
        <v>8001</v>
      </c>
      <c r="H57">
        <v>582471</v>
      </c>
      <c r="I57" t="s">
        <v>778</v>
      </c>
      <c r="J57" s="11">
        <v>46174</v>
      </c>
      <c r="K57" s="11">
        <v>46234</v>
      </c>
      <c r="L57" t="s">
        <v>2177</v>
      </c>
      <c r="M57" t="s">
        <v>1850</v>
      </c>
      <c r="N57">
        <v>5</v>
      </c>
      <c r="O57">
        <v>20000000</v>
      </c>
      <c r="P57">
        <v>100000</v>
      </c>
      <c r="Q57" t="s">
        <v>2178</v>
      </c>
      <c r="R57" t="s">
        <v>2179</v>
      </c>
      <c r="S57">
        <v>0</v>
      </c>
      <c r="T57">
        <v>0</v>
      </c>
      <c r="U57" t="s">
        <v>2179</v>
      </c>
      <c r="V57">
        <v>13637077</v>
      </c>
      <c r="W57" t="s">
        <v>2180</v>
      </c>
      <c r="X57">
        <v>68185.384999999995</v>
      </c>
      <c r="Y57">
        <v>68185.384999999995</v>
      </c>
      <c r="Z57">
        <v>68185.384999999995</v>
      </c>
      <c r="AA57">
        <v>12836084</v>
      </c>
      <c r="AB57">
        <v>13637077</v>
      </c>
      <c r="AC57" s="11">
        <v>46174</v>
      </c>
      <c r="AD57" s="11">
        <v>46234</v>
      </c>
      <c r="AE57" t="s">
        <v>2202</v>
      </c>
      <c r="AF57" t="s">
        <v>2182</v>
      </c>
      <c r="AG57" t="s">
        <v>2183</v>
      </c>
      <c r="AH57">
        <v>850000.32</v>
      </c>
      <c r="AI57">
        <v>126577</v>
      </c>
      <c r="AJ57" t="s">
        <v>2041</v>
      </c>
    </row>
    <row r="58" spans="1:36" hidden="1" x14ac:dyDescent="0.2">
      <c r="A58" t="s">
        <v>2199</v>
      </c>
      <c r="B58" t="s">
        <v>144</v>
      </c>
      <c r="C58" t="s">
        <v>2261</v>
      </c>
      <c r="D58" t="s">
        <v>273</v>
      </c>
      <c r="E58">
        <v>261946</v>
      </c>
      <c r="F58" t="s">
        <v>2219</v>
      </c>
      <c r="G58">
        <v>7998</v>
      </c>
      <c r="H58">
        <v>582565</v>
      </c>
      <c r="I58" t="s">
        <v>504</v>
      </c>
      <c r="J58" s="11">
        <v>46174</v>
      </c>
      <c r="K58" s="11">
        <v>46222</v>
      </c>
      <c r="L58" t="s">
        <v>2177</v>
      </c>
      <c r="M58" t="s">
        <v>1850</v>
      </c>
      <c r="N58">
        <v>23</v>
      </c>
      <c r="O58">
        <v>6521740</v>
      </c>
      <c r="P58">
        <v>150000.01999999999</v>
      </c>
      <c r="Q58" t="s">
        <v>2178</v>
      </c>
      <c r="R58" t="s">
        <v>2179</v>
      </c>
      <c r="S58">
        <v>0</v>
      </c>
      <c r="T58">
        <v>0</v>
      </c>
      <c r="U58" t="s">
        <v>2179</v>
      </c>
      <c r="V58">
        <v>2415792</v>
      </c>
      <c r="W58" t="s">
        <v>2180</v>
      </c>
      <c r="X58">
        <v>55563.216</v>
      </c>
      <c r="Y58">
        <v>55563.216</v>
      </c>
      <c r="Z58">
        <v>55563.216</v>
      </c>
      <c r="AA58">
        <v>2380338</v>
      </c>
      <c r="AB58">
        <v>2415792</v>
      </c>
      <c r="AC58" s="11">
        <v>46174</v>
      </c>
      <c r="AD58" s="11">
        <v>46222</v>
      </c>
      <c r="AE58" t="s">
        <v>2202</v>
      </c>
      <c r="AF58" t="s">
        <v>2182</v>
      </c>
      <c r="AG58" t="s">
        <v>2183</v>
      </c>
      <c r="AH58">
        <v>850000.32</v>
      </c>
      <c r="AI58">
        <v>126577</v>
      </c>
      <c r="AJ58" t="s">
        <v>2041</v>
      </c>
    </row>
    <row r="59" spans="1:36" hidden="1" x14ac:dyDescent="0.2">
      <c r="A59" t="s">
        <v>2264</v>
      </c>
      <c r="B59" t="s">
        <v>157</v>
      </c>
      <c r="C59" t="s">
        <v>2265</v>
      </c>
      <c r="D59" t="s">
        <v>374</v>
      </c>
      <c r="E59">
        <v>261965</v>
      </c>
      <c r="F59" t="s">
        <v>2215</v>
      </c>
      <c r="G59">
        <v>8005</v>
      </c>
      <c r="H59">
        <v>581358</v>
      </c>
      <c r="I59" t="s">
        <v>695</v>
      </c>
      <c r="J59" s="11">
        <v>46184</v>
      </c>
      <c r="K59" s="11">
        <v>46192</v>
      </c>
      <c r="L59" t="s">
        <v>2177</v>
      </c>
      <c r="M59" t="s">
        <v>1850</v>
      </c>
      <c r="N59">
        <v>40</v>
      </c>
      <c r="O59">
        <v>539275</v>
      </c>
      <c r="P59">
        <v>21571</v>
      </c>
      <c r="Q59" t="s">
        <v>2178</v>
      </c>
      <c r="R59" t="s">
        <v>2179</v>
      </c>
      <c r="S59">
        <v>0</v>
      </c>
      <c r="T59">
        <v>0</v>
      </c>
      <c r="U59" t="s">
        <v>2179</v>
      </c>
      <c r="V59">
        <v>539192</v>
      </c>
      <c r="W59" t="s">
        <v>2180</v>
      </c>
      <c r="X59">
        <v>21567.68</v>
      </c>
      <c r="Y59">
        <v>21567.68</v>
      </c>
      <c r="Z59">
        <v>21567.68</v>
      </c>
      <c r="AA59">
        <v>538604</v>
      </c>
      <c r="AB59">
        <v>539192</v>
      </c>
      <c r="AC59" s="11">
        <v>46184</v>
      </c>
      <c r="AD59" s="11">
        <v>46192</v>
      </c>
      <c r="AE59" t="s">
        <v>2266</v>
      </c>
      <c r="AF59" t="s">
        <v>2182</v>
      </c>
      <c r="AG59" t="s">
        <v>2183</v>
      </c>
      <c r="AH59">
        <v>21571</v>
      </c>
      <c r="AI59">
        <v>130009</v>
      </c>
      <c r="AJ59" t="s">
        <v>2061</v>
      </c>
    </row>
    <row r="60" spans="1:36" hidden="1" x14ac:dyDescent="0.2">
      <c r="A60" t="s">
        <v>2267</v>
      </c>
      <c r="B60" t="s">
        <v>188</v>
      </c>
      <c r="C60" t="s">
        <v>2268</v>
      </c>
      <c r="D60" t="s">
        <v>351</v>
      </c>
      <c r="E60">
        <v>262032</v>
      </c>
      <c r="F60" t="s">
        <v>2218</v>
      </c>
      <c r="G60">
        <v>8000</v>
      </c>
      <c r="H60">
        <v>582127</v>
      </c>
      <c r="I60" t="s">
        <v>829</v>
      </c>
      <c r="J60" s="11">
        <v>46174</v>
      </c>
      <c r="K60" s="11">
        <v>46222</v>
      </c>
      <c r="L60" t="s">
        <v>2213</v>
      </c>
      <c r="M60" t="s">
        <v>2205</v>
      </c>
      <c r="N60">
        <v>199000</v>
      </c>
      <c r="O60">
        <v>3</v>
      </c>
      <c r="P60">
        <v>199000</v>
      </c>
      <c r="Q60" t="s">
        <v>1987</v>
      </c>
      <c r="R60" t="s">
        <v>2206</v>
      </c>
      <c r="S60">
        <v>2</v>
      </c>
      <c r="T60">
        <v>121836.7347</v>
      </c>
      <c r="U60" t="s">
        <v>2206</v>
      </c>
      <c r="V60">
        <v>2</v>
      </c>
      <c r="W60" t="s">
        <v>2180</v>
      </c>
      <c r="X60">
        <v>121836.7347</v>
      </c>
      <c r="Y60">
        <v>121836.7347</v>
      </c>
      <c r="Z60">
        <v>121836.7347</v>
      </c>
      <c r="AC60" s="11">
        <v>46174</v>
      </c>
      <c r="AD60" s="11">
        <v>46222</v>
      </c>
      <c r="AE60" t="s">
        <v>2222</v>
      </c>
      <c r="AF60" t="s">
        <v>2182</v>
      </c>
      <c r="AG60" t="s">
        <v>2183</v>
      </c>
      <c r="AH60">
        <v>397600</v>
      </c>
      <c r="AI60">
        <v>128489</v>
      </c>
      <c r="AJ60" t="s">
        <v>2039</v>
      </c>
    </row>
    <row r="61" spans="1:36" hidden="1" x14ac:dyDescent="0.2">
      <c r="A61" t="s">
        <v>2267</v>
      </c>
      <c r="B61" t="s">
        <v>188</v>
      </c>
      <c r="C61" t="s">
        <v>2268</v>
      </c>
      <c r="D61" t="s">
        <v>351</v>
      </c>
      <c r="E61">
        <v>262032</v>
      </c>
      <c r="F61" t="s">
        <v>2217</v>
      </c>
      <c r="G61">
        <v>8004</v>
      </c>
      <c r="H61">
        <v>582145</v>
      </c>
      <c r="I61" t="s">
        <v>793</v>
      </c>
      <c r="J61" s="11">
        <v>46174</v>
      </c>
      <c r="K61" s="11">
        <v>46222</v>
      </c>
      <c r="L61" t="s">
        <v>2177</v>
      </c>
      <c r="M61" t="s">
        <v>1850</v>
      </c>
      <c r="N61">
        <v>6</v>
      </c>
      <c r="O61">
        <v>5583333</v>
      </c>
      <c r="P61">
        <v>33500</v>
      </c>
      <c r="Q61" t="s">
        <v>2178</v>
      </c>
      <c r="R61" t="s">
        <v>2179</v>
      </c>
      <c r="S61">
        <v>0</v>
      </c>
      <c r="T61">
        <v>0</v>
      </c>
      <c r="U61" t="s">
        <v>2179</v>
      </c>
      <c r="V61">
        <v>4093433</v>
      </c>
      <c r="W61" t="s">
        <v>2180</v>
      </c>
      <c r="X61">
        <v>24560.598000000002</v>
      </c>
      <c r="Y61">
        <v>24560.598000000002</v>
      </c>
      <c r="Z61">
        <v>24560.598000000002</v>
      </c>
      <c r="AA61">
        <v>4078551</v>
      </c>
      <c r="AB61">
        <v>4093433</v>
      </c>
      <c r="AC61" s="11">
        <v>46174</v>
      </c>
      <c r="AD61" s="11">
        <v>46222</v>
      </c>
      <c r="AE61" t="s">
        <v>2222</v>
      </c>
      <c r="AF61" t="s">
        <v>2182</v>
      </c>
      <c r="AG61" t="s">
        <v>2183</v>
      </c>
      <c r="AH61">
        <v>397600</v>
      </c>
      <c r="AI61">
        <v>128489</v>
      </c>
      <c r="AJ61" t="s">
        <v>2039</v>
      </c>
    </row>
    <row r="62" spans="1:36" hidden="1" x14ac:dyDescent="0.2">
      <c r="A62" t="s">
        <v>2267</v>
      </c>
      <c r="B62" t="s">
        <v>188</v>
      </c>
      <c r="C62" t="s">
        <v>2268</v>
      </c>
      <c r="D62" t="s">
        <v>351</v>
      </c>
      <c r="E62">
        <v>262032</v>
      </c>
      <c r="F62" t="s">
        <v>2215</v>
      </c>
      <c r="G62">
        <v>8005</v>
      </c>
      <c r="H62">
        <v>582166</v>
      </c>
      <c r="I62" t="s">
        <v>651</v>
      </c>
      <c r="J62" s="11">
        <v>46174</v>
      </c>
      <c r="K62" s="11">
        <v>46222</v>
      </c>
      <c r="L62" t="s">
        <v>2254</v>
      </c>
      <c r="M62" t="s">
        <v>1850</v>
      </c>
      <c r="N62">
        <v>40</v>
      </c>
      <c r="O62">
        <v>4127500</v>
      </c>
      <c r="P62">
        <v>165100</v>
      </c>
      <c r="Q62" t="s">
        <v>2178</v>
      </c>
      <c r="R62" t="s">
        <v>2179</v>
      </c>
      <c r="S62">
        <v>0</v>
      </c>
      <c r="T62">
        <v>0</v>
      </c>
      <c r="U62" t="s">
        <v>2179</v>
      </c>
      <c r="V62">
        <v>2644548</v>
      </c>
      <c r="W62" t="s">
        <v>2180</v>
      </c>
      <c r="X62">
        <v>105781.92</v>
      </c>
      <c r="Y62">
        <v>105781.92</v>
      </c>
      <c r="Z62">
        <v>105781.92</v>
      </c>
      <c r="AA62">
        <v>2762569</v>
      </c>
      <c r="AB62">
        <v>2644548</v>
      </c>
      <c r="AC62" s="11">
        <v>46174</v>
      </c>
      <c r="AD62" s="11">
        <v>46222</v>
      </c>
      <c r="AE62" t="s">
        <v>2222</v>
      </c>
      <c r="AF62" t="s">
        <v>2182</v>
      </c>
      <c r="AG62" t="s">
        <v>2183</v>
      </c>
      <c r="AH62">
        <v>397600</v>
      </c>
      <c r="AI62">
        <v>128489</v>
      </c>
      <c r="AJ62" t="s">
        <v>2039</v>
      </c>
    </row>
    <row r="63" spans="1:36" hidden="1" x14ac:dyDescent="0.2">
      <c r="A63" t="s">
        <v>2269</v>
      </c>
      <c r="B63" t="s">
        <v>220</v>
      </c>
      <c r="C63" t="s">
        <v>2270</v>
      </c>
      <c r="D63" t="s">
        <v>426</v>
      </c>
      <c r="E63">
        <v>262498</v>
      </c>
      <c r="F63" t="s">
        <v>2271</v>
      </c>
      <c r="G63">
        <v>7993</v>
      </c>
      <c r="H63">
        <v>570374</v>
      </c>
      <c r="I63" t="s">
        <v>868</v>
      </c>
      <c r="J63" s="11">
        <v>46082</v>
      </c>
      <c r="K63" s="11">
        <v>46278</v>
      </c>
      <c r="L63" t="s">
        <v>2213</v>
      </c>
      <c r="M63" t="s">
        <v>1852</v>
      </c>
      <c r="N63">
        <v>0.15</v>
      </c>
      <c r="O63">
        <v>666668</v>
      </c>
      <c r="P63">
        <v>100000.2</v>
      </c>
      <c r="Q63" t="s">
        <v>2262</v>
      </c>
      <c r="R63" t="s">
        <v>2263</v>
      </c>
      <c r="S63">
        <v>95238</v>
      </c>
      <c r="T63">
        <v>14285.742899999999</v>
      </c>
      <c r="U63" t="s">
        <v>2263</v>
      </c>
      <c r="V63">
        <v>95237</v>
      </c>
      <c r="W63" t="s">
        <v>2180</v>
      </c>
      <c r="X63">
        <v>14285.55</v>
      </c>
      <c r="Y63">
        <v>14285.55</v>
      </c>
      <c r="Z63">
        <v>14285.55</v>
      </c>
      <c r="AC63" s="11">
        <v>46082</v>
      </c>
      <c r="AD63" s="11">
        <v>46278</v>
      </c>
      <c r="AE63" t="s">
        <v>2189</v>
      </c>
      <c r="AF63" t="s">
        <v>2182</v>
      </c>
      <c r="AG63" t="s">
        <v>2183</v>
      </c>
      <c r="AH63">
        <v>100000.2</v>
      </c>
      <c r="AI63">
        <v>118690</v>
      </c>
      <c r="AJ63" t="s">
        <v>2058</v>
      </c>
    </row>
    <row r="64" spans="1:36" hidden="1" x14ac:dyDescent="0.2">
      <c r="A64" t="s">
        <v>2272</v>
      </c>
      <c r="B64" t="s">
        <v>124</v>
      </c>
      <c r="C64" t="s">
        <v>2273</v>
      </c>
      <c r="D64" t="s">
        <v>244</v>
      </c>
      <c r="E64">
        <v>263735</v>
      </c>
      <c r="F64" t="s">
        <v>2274</v>
      </c>
      <c r="G64">
        <v>7950</v>
      </c>
      <c r="H64">
        <v>569809</v>
      </c>
      <c r="I64" t="s">
        <v>244</v>
      </c>
      <c r="J64" s="11">
        <v>46118</v>
      </c>
      <c r="K64" s="11">
        <v>46203</v>
      </c>
      <c r="L64" t="s">
        <v>2247</v>
      </c>
      <c r="M64" t="s">
        <v>1850</v>
      </c>
      <c r="N64">
        <v>28</v>
      </c>
      <c r="O64">
        <v>1446429</v>
      </c>
      <c r="P64">
        <v>40500.01</v>
      </c>
      <c r="Q64" t="s">
        <v>2178</v>
      </c>
      <c r="R64" t="s">
        <v>2179</v>
      </c>
      <c r="S64">
        <v>0</v>
      </c>
      <c r="T64">
        <v>0</v>
      </c>
      <c r="U64" t="s">
        <v>2179</v>
      </c>
      <c r="V64">
        <v>456225</v>
      </c>
      <c r="W64" t="s">
        <v>2180</v>
      </c>
      <c r="X64">
        <v>12774.3</v>
      </c>
      <c r="Y64">
        <v>12774.3</v>
      </c>
      <c r="Z64">
        <v>12774.3</v>
      </c>
      <c r="AA64">
        <v>454400</v>
      </c>
      <c r="AB64">
        <v>456225</v>
      </c>
      <c r="AC64" s="11">
        <v>46118</v>
      </c>
      <c r="AD64" s="11">
        <v>46203</v>
      </c>
      <c r="AE64" t="s">
        <v>2251</v>
      </c>
      <c r="AF64" t="s">
        <v>2182</v>
      </c>
      <c r="AG64" t="s">
        <v>2183</v>
      </c>
      <c r="AH64">
        <v>40500.01</v>
      </c>
      <c r="AI64">
        <v>120963</v>
      </c>
      <c r="AJ64" t="s">
        <v>2052</v>
      </c>
    </row>
    <row r="65" spans="1:36" hidden="1" x14ac:dyDescent="0.2">
      <c r="A65" t="s">
        <v>2275</v>
      </c>
      <c r="B65" t="s">
        <v>126</v>
      </c>
      <c r="C65" t="s">
        <v>2276</v>
      </c>
      <c r="D65" t="s">
        <v>246</v>
      </c>
      <c r="E65">
        <v>264662</v>
      </c>
      <c r="F65" t="s">
        <v>2192</v>
      </c>
      <c r="G65">
        <v>1</v>
      </c>
      <c r="H65">
        <v>572919</v>
      </c>
      <c r="I65" t="s">
        <v>458</v>
      </c>
      <c r="J65" s="11">
        <v>46113</v>
      </c>
      <c r="K65" s="11">
        <v>46203</v>
      </c>
      <c r="L65" t="s">
        <v>2223</v>
      </c>
      <c r="M65" t="s">
        <v>1850</v>
      </c>
      <c r="N65">
        <v>27.92</v>
      </c>
      <c r="O65">
        <v>179083</v>
      </c>
      <c r="P65">
        <v>5000</v>
      </c>
      <c r="R65" t="s">
        <v>2263</v>
      </c>
      <c r="S65">
        <v>59694</v>
      </c>
      <c r="T65">
        <v>1666.6666</v>
      </c>
      <c r="U65" t="s">
        <v>2263</v>
      </c>
      <c r="V65">
        <v>59671</v>
      </c>
      <c r="W65" t="s">
        <v>2180</v>
      </c>
      <c r="X65">
        <v>1666</v>
      </c>
      <c r="Y65">
        <v>1666</v>
      </c>
      <c r="Z65">
        <v>1666</v>
      </c>
      <c r="AA65">
        <v>13114</v>
      </c>
      <c r="AB65">
        <v>13044</v>
      </c>
      <c r="AC65" s="11">
        <v>46113</v>
      </c>
      <c r="AD65" s="11">
        <v>46203</v>
      </c>
      <c r="AE65" t="s">
        <v>2202</v>
      </c>
      <c r="AF65" t="s">
        <v>2182</v>
      </c>
      <c r="AG65" t="s">
        <v>2183</v>
      </c>
      <c r="AH65">
        <v>5000</v>
      </c>
      <c r="AI65">
        <v>121258</v>
      </c>
      <c r="AJ65" t="s">
        <v>2043</v>
      </c>
    </row>
    <row r="66" spans="1:36" hidden="1" x14ac:dyDescent="0.2">
      <c r="A66" t="s">
        <v>2277</v>
      </c>
      <c r="B66" t="s">
        <v>130</v>
      </c>
      <c r="C66" t="s">
        <v>2278</v>
      </c>
      <c r="D66" t="s">
        <v>252</v>
      </c>
      <c r="E66">
        <v>264810</v>
      </c>
      <c r="F66" t="s">
        <v>2192</v>
      </c>
      <c r="G66">
        <v>1</v>
      </c>
      <c r="H66">
        <v>573336</v>
      </c>
      <c r="I66" t="s">
        <v>465</v>
      </c>
      <c r="J66" s="11">
        <v>46113</v>
      </c>
      <c r="K66" s="11">
        <v>46201</v>
      </c>
      <c r="L66" t="s">
        <v>2177</v>
      </c>
      <c r="M66" t="s">
        <v>1850</v>
      </c>
      <c r="N66">
        <v>17.46</v>
      </c>
      <c r="O66">
        <v>7159221</v>
      </c>
      <c r="P66">
        <v>125000</v>
      </c>
      <c r="Q66" t="s">
        <v>2178</v>
      </c>
      <c r="R66" t="s">
        <v>2179</v>
      </c>
      <c r="S66">
        <v>0</v>
      </c>
      <c r="T66">
        <v>0</v>
      </c>
      <c r="U66" t="s">
        <v>2279</v>
      </c>
      <c r="V66">
        <v>1672298</v>
      </c>
      <c r="W66" t="s">
        <v>2180</v>
      </c>
      <c r="X66">
        <v>29198.32</v>
      </c>
      <c r="Y66">
        <v>29198.32</v>
      </c>
      <c r="Z66">
        <v>29198.32</v>
      </c>
      <c r="AA66">
        <v>1790055</v>
      </c>
      <c r="AB66">
        <v>1793149</v>
      </c>
      <c r="AC66" s="11">
        <v>46113</v>
      </c>
      <c r="AD66" s="11">
        <v>46201</v>
      </c>
      <c r="AE66" t="s">
        <v>2226</v>
      </c>
      <c r="AF66" t="s">
        <v>2182</v>
      </c>
      <c r="AG66" t="s">
        <v>2183</v>
      </c>
      <c r="AH66">
        <v>125000</v>
      </c>
      <c r="AI66">
        <v>122756</v>
      </c>
      <c r="AJ66" t="s">
        <v>2050</v>
      </c>
    </row>
    <row r="67" spans="1:36" hidden="1" x14ac:dyDescent="0.2">
      <c r="A67" t="s">
        <v>2280</v>
      </c>
      <c r="B67" t="s">
        <v>121</v>
      </c>
      <c r="C67" t="s">
        <v>2281</v>
      </c>
      <c r="D67" t="s">
        <v>238</v>
      </c>
      <c r="E67">
        <v>264814</v>
      </c>
      <c r="F67" t="s">
        <v>2176</v>
      </c>
      <c r="G67">
        <v>3535</v>
      </c>
      <c r="H67">
        <v>573368</v>
      </c>
      <c r="I67" t="s">
        <v>451</v>
      </c>
      <c r="J67" s="11">
        <v>46125</v>
      </c>
      <c r="K67" s="11">
        <v>46201</v>
      </c>
      <c r="L67" t="s">
        <v>2223</v>
      </c>
      <c r="M67" t="s">
        <v>1850</v>
      </c>
      <c r="N67">
        <v>27.6</v>
      </c>
      <c r="O67">
        <v>9494131</v>
      </c>
      <c r="P67">
        <v>262038.02</v>
      </c>
      <c r="Q67" t="s">
        <v>2201</v>
      </c>
      <c r="R67" t="s">
        <v>2263</v>
      </c>
      <c r="S67">
        <v>3164710</v>
      </c>
      <c r="T67">
        <v>87346.006599999993</v>
      </c>
      <c r="U67" t="s">
        <v>2263</v>
      </c>
      <c r="V67">
        <v>3637362</v>
      </c>
      <c r="W67" t="s">
        <v>2180</v>
      </c>
      <c r="X67">
        <v>100391.19500000001</v>
      </c>
      <c r="Y67">
        <v>100391.19500000001</v>
      </c>
      <c r="Z67">
        <v>100391.19500000001</v>
      </c>
      <c r="AA67">
        <v>3326982</v>
      </c>
      <c r="AB67">
        <v>3179268</v>
      </c>
      <c r="AC67" s="11">
        <v>46125</v>
      </c>
      <c r="AD67" s="11">
        <v>46201</v>
      </c>
      <c r="AE67" t="s">
        <v>2210</v>
      </c>
      <c r="AF67" t="s">
        <v>2182</v>
      </c>
      <c r="AG67" t="s">
        <v>2183</v>
      </c>
      <c r="AH67">
        <v>262038.02</v>
      </c>
      <c r="AI67">
        <v>120477</v>
      </c>
      <c r="AJ67" t="s">
        <v>2048</v>
      </c>
    </row>
    <row r="68" spans="1:36" hidden="1" x14ac:dyDescent="0.2">
      <c r="A68" t="s">
        <v>2280</v>
      </c>
      <c r="B68" t="s">
        <v>121</v>
      </c>
      <c r="C68" t="s">
        <v>2281</v>
      </c>
      <c r="D68" t="s">
        <v>248</v>
      </c>
      <c r="E68">
        <v>264953</v>
      </c>
      <c r="F68" t="s">
        <v>2248</v>
      </c>
      <c r="G68">
        <v>3534</v>
      </c>
      <c r="H68">
        <v>574553</v>
      </c>
      <c r="I68" t="s">
        <v>460</v>
      </c>
      <c r="J68" s="11">
        <v>46106</v>
      </c>
      <c r="K68" s="11">
        <v>46292</v>
      </c>
      <c r="L68" t="s">
        <v>2223</v>
      </c>
      <c r="M68" t="s">
        <v>1850</v>
      </c>
      <c r="N68">
        <v>32.25</v>
      </c>
      <c r="O68">
        <v>241953</v>
      </c>
      <c r="P68">
        <v>7802.98</v>
      </c>
      <c r="Q68" t="s">
        <v>2201</v>
      </c>
      <c r="R68" t="s">
        <v>2263</v>
      </c>
      <c r="S68">
        <v>34565</v>
      </c>
      <c r="T68">
        <v>1114.7113999999999</v>
      </c>
      <c r="U68" t="s">
        <v>2263</v>
      </c>
      <c r="V68">
        <v>38374</v>
      </c>
      <c r="W68" t="s">
        <v>2180</v>
      </c>
      <c r="X68">
        <v>1237.5574999999999</v>
      </c>
      <c r="Y68">
        <v>1237.5574999999999</v>
      </c>
      <c r="Z68">
        <v>1237.5574999999999</v>
      </c>
      <c r="AA68">
        <v>246</v>
      </c>
      <c r="AB68">
        <v>223</v>
      </c>
      <c r="AC68" s="11">
        <v>46106</v>
      </c>
      <c r="AD68" s="11">
        <v>46292</v>
      </c>
      <c r="AE68" t="s">
        <v>2210</v>
      </c>
      <c r="AF68" t="s">
        <v>2182</v>
      </c>
      <c r="AG68" t="s">
        <v>2183</v>
      </c>
      <c r="AH68">
        <v>78030.02</v>
      </c>
      <c r="AI68">
        <v>121802</v>
      </c>
      <c r="AJ68" t="s">
        <v>2041</v>
      </c>
    </row>
    <row r="69" spans="1:36" hidden="1" x14ac:dyDescent="0.2">
      <c r="A69" t="s">
        <v>2282</v>
      </c>
      <c r="B69" t="s">
        <v>143</v>
      </c>
      <c r="C69" t="s">
        <v>2283</v>
      </c>
      <c r="D69" t="s">
        <v>272</v>
      </c>
      <c r="E69">
        <v>264956</v>
      </c>
      <c r="F69" t="s">
        <v>2209</v>
      </c>
      <c r="G69">
        <v>7968</v>
      </c>
      <c r="H69">
        <v>573888</v>
      </c>
      <c r="I69" t="s">
        <v>503</v>
      </c>
      <c r="J69" s="11">
        <v>46112</v>
      </c>
      <c r="K69" s="11">
        <v>46201</v>
      </c>
      <c r="L69" t="s">
        <v>2223</v>
      </c>
      <c r="M69" t="s">
        <v>1850</v>
      </c>
      <c r="N69">
        <v>20</v>
      </c>
      <c r="O69">
        <v>5015000</v>
      </c>
      <c r="P69">
        <v>100300</v>
      </c>
      <c r="R69" t="s">
        <v>2263</v>
      </c>
      <c r="S69">
        <v>1253750</v>
      </c>
      <c r="T69">
        <v>25075</v>
      </c>
      <c r="U69" t="s">
        <v>2263</v>
      </c>
      <c r="V69">
        <v>1553076</v>
      </c>
      <c r="W69" t="s">
        <v>2180</v>
      </c>
      <c r="X69">
        <v>30861.52</v>
      </c>
      <c r="Y69">
        <v>30861.52</v>
      </c>
      <c r="Z69">
        <v>30861.52</v>
      </c>
      <c r="AA69">
        <v>105988</v>
      </c>
      <c r="AB69">
        <v>103938</v>
      </c>
      <c r="AC69" s="11">
        <v>46112</v>
      </c>
      <c r="AD69" s="11">
        <v>46201</v>
      </c>
      <c r="AE69" t="s">
        <v>2202</v>
      </c>
      <c r="AF69" t="s">
        <v>2182</v>
      </c>
      <c r="AG69" t="s">
        <v>2183</v>
      </c>
      <c r="AH69">
        <v>100300</v>
      </c>
      <c r="AI69">
        <v>121426</v>
      </c>
      <c r="AJ69" t="s">
        <v>2043</v>
      </c>
    </row>
    <row r="70" spans="1:36" hidden="1" x14ac:dyDescent="0.2">
      <c r="A70" t="s">
        <v>2284</v>
      </c>
      <c r="B70" t="s">
        <v>219</v>
      </c>
      <c r="C70" t="s">
        <v>2285</v>
      </c>
      <c r="D70" t="s">
        <v>425</v>
      </c>
      <c r="E70">
        <v>265056</v>
      </c>
      <c r="H70">
        <v>574125</v>
      </c>
      <c r="I70" t="s">
        <v>2286</v>
      </c>
      <c r="J70" s="11">
        <v>46113</v>
      </c>
      <c r="K70" s="11">
        <v>46326</v>
      </c>
      <c r="M70" t="s">
        <v>2205</v>
      </c>
      <c r="N70">
        <v>0</v>
      </c>
      <c r="O70">
        <v>0</v>
      </c>
      <c r="P70">
        <v>0</v>
      </c>
      <c r="Q70" t="s">
        <v>1987</v>
      </c>
      <c r="R70" t="s">
        <v>2206</v>
      </c>
      <c r="S70">
        <v>0</v>
      </c>
      <c r="T70">
        <v>0</v>
      </c>
      <c r="U70" t="s">
        <v>2206</v>
      </c>
      <c r="V70">
        <v>0</v>
      </c>
      <c r="W70" t="s">
        <v>2180</v>
      </c>
      <c r="X70">
        <v>0</v>
      </c>
      <c r="Y70">
        <v>0</v>
      </c>
      <c r="Z70">
        <v>0</v>
      </c>
      <c r="AC70" s="11">
        <v>46113</v>
      </c>
      <c r="AD70" s="11">
        <v>46326</v>
      </c>
      <c r="AE70" t="s">
        <v>2287</v>
      </c>
      <c r="AF70" t="s">
        <v>2182</v>
      </c>
      <c r="AG70" t="s">
        <v>2183</v>
      </c>
      <c r="AH70">
        <v>250000.48</v>
      </c>
      <c r="AI70">
        <v>121539</v>
      </c>
      <c r="AJ70" t="s">
        <v>2066</v>
      </c>
    </row>
    <row r="71" spans="1:36" hidden="1" x14ac:dyDescent="0.2">
      <c r="A71" t="s">
        <v>2284</v>
      </c>
      <c r="B71" t="s">
        <v>219</v>
      </c>
      <c r="C71" t="s">
        <v>2285</v>
      </c>
      <c r="D71" t="s">
        <v>425</v>
      </c>
      <c r="E71">
        <v>265056</v>
      </c>
      <c r="H71">
        <v>587884</v>
      </c>
      <c r="I71" t="s">
        <v>852</v>
      </c>
      <c r="J71" s="11">
        <v>46113</v>
      </c>
      <c r="K71" s="11">
        <v>46326</v>
      </c>
      <c r="M71" t="s">
        <v>2205</v>
      </c>
      <c r="N71">
        <v>250000.5</v>
      </c>
      <c r="O71">
        <v>0</v>
      </c>
      <c r="P71">
        <v>250000.5</v>
      </c>
      <c r="Q71" t="s">
        <v>1987</v>
      </c>
      <c r="R71" t="s">
        <v>2206</v>
      </c>
      <c r="S71">
        <v>0</v>
      </c>
      <c r="T71">
        <v>35046.798999999999</v>
      </c>
      <c r="U71" t="s">
        <v>2206</v>
      </c>
      <c r="V71">
        <v>0</v>
      </c>
      <c r="W71" t="s">
        <v>2180</v>
      </c>
      <c r="X71">
        <v>49019.705900000001</v>
      </c>
      <c r="Y71">
        <v>49019.705900000001</v>
      </c>
      <c r="Z71">
        <v>49019.705900000001</v>
      </c>
      <c r="AC71" s="11">
        <v>46113</v>
      </c>
      <c r="AD71" s="11">
        <v>46326</v>
      </c>
      <c r="AE71" t="s">
        <v>2287</v>
      </c>
      <c r="AF71" t="s">
        <v>2182</v>
      </c>
      <c r="AG71" t="s">
        <v>2183</v>
      </c>
      <c r="AH71">
        <v>250000.48</v>
      </c>
      <c r="AI71">
        <v>121539</v>
      </c>
      <c r="AJ71" t="s">
        <v>2066</v>
      </c>
    </row>
    <row r="72" spans="1:36" hidden="1" x14ac:dyDescent="0.2">
      <c r="A72" t="s">
        <v>2284</v>
      </c>
      <c r="B72" t="s">
        <v>219</v>
      </c>
      <c r="C72" t="s">
        <v>2285</v>
      </c>
      <c r="D72" t="s">
        <v>424</v>
      </c>
      <c r="E72">
        <v>265069</v>
      </c>
      <c r="F72" t="s">
        <v>2218</v>
      </c>
      <c r="G72">
        <v>8000</v>
      </c>
      <c r="H72">
        <v>583235</v>
      </c>
      <c r="I72" t="s">
        <v>2288</v>
      </c>
      <c r="J72" s="11">
        <v>46174</v>
      </c>
      <c r="K72" s="11">
        <v>46222</v>
      </c>
      <c r="M72" t="s">
        <v>2205</v>
      </c>
      <c r="N72">
        <v>500000</v>
      </c>
      <c r="O72">
        <v>1</v>
      </c>
      <c r="P72">
        <v>500000</v>
      </c>
      <c r="Q72" t="s">
        <v>1987</v>
      </c>
      <c r="R72" t="s">
        <v>2206</v>
      </c>
      <c r="S72">
        <v>1</v>
      </c>
      <c r="T72">
        <v>306122.44900000002</v>
      </c>
      <c r="U72" t="s">
        <v>2206</v>
      </c>
      <c r="V72">
        <v>1</v>
      </c>
      <c r="W72" t="s">
        <v>2180</v>
      </c>
      <c r="X72">
        <v>306122.44900000002</v>
      </c>
      <c r="Y72">
        <v>306122.44900000002</v>
      </c>
      <c r="Z72">
        <v>306122.44900000002</v>
      </c>
      <c r="AC72" s="11">
        <v>46174</v>
      </c>
      <c r="AD72" s="11">
        <v>46222</v>
      </c>
      <c r="AE72" t="s">
        <v>2287</v>
      </c>
      <c r="AF72" t="s">
        <v>2182</v>
      </c>
      <c r="AG72" t="s">
        <v>2183</v>
      </c>
      <c r="AH72">
        <v>500000</v>
      </c>
      <c r="AI72">
        <v>120776</v>
      </c>
      <c r="AJ72" t="s">
        <v>2064</v>
      </c>
    </row>
    <row r="73" spans="1:36" hidden="1" x14ac:dyDescent="0.2">
      <c r="A73" t="s">
        <v>2289</v>
      </c>
      <c r="B73" t="s">
        <v>61</v>
      </c>
      <c r="C73" t="s">
        <v>2290</v>
      </c>
      <c r="D73" t="s">
        <v>243</v>
      </c>
      <c r="E73">
        <v>265136</v>
      </c>
      <c r="F73" t="s">
        <v>2274</v>
      </c>
      <c r="G73">
        <v>7950</v>
      </c>
      <c r="H73">
        <v>574526</v>
      </c>
      <c r="I73" t="s">
        <v>456</v>
      </c>
      <c r="J73" s="11">
        <v>46113</v>
      </c>
      <c r="K73" s="11">
        <v>46203</v>
      </c>
      <c r="L73" t="s">
        <v>2177</v>
      </c>
      <c r="M73" t="s">
        <v>1850</v>
      </c>
      <c r="N73">
        <v>25</v>
      </c>
      <c r="O73">
        <v>6000000</v>
      </c>
      <c r="P73">
        <v>0</v>
      </c>
      <c r="Q73" t="s">
        <v>2178</v>
      </c>
      <c r="R73" t="s">
        <v>2179</v>
      </c>
      <c r="S73">
        <v>0</v>
      </c>
      <c r="T73">
        <v>0</v>
      </c>
      <c r="U73" t="s">
        <v>2179</v>
      </c>
      <c r="V73">
        <v>1415163</v>
      </c>
      <c r="W73" t="s">
        <v>2180</v>
      </c>
      <c r="X73">
        <v>0</v>
      </c>
      <c r="Y73">
        <v>0</v>
      </c>
      <c r="Z73">
        <v>0</v>
      </c>
      <c r="AA73">
        <v>1479260</v>
      </c>
      <c r="AB73">
        <v>1415163</v>
      </c>
      <c r="AC73" s="11">
        <v>46113</v>
      </c>
      <c r="AD73" s="11">
        <v>46203</v>
      </c>
      <c r="AE73" t="s">
        <v>2189</v>
      </c>
      <c r="AF73" t="s">
        <v>2182</v>
      </c>
      <c r="AG73" t="s">
        <v>2183</v>
      </c>
      <c r="AH73">
        <v>0</v>
      </c>
      <c r="AI73">
        <v>121448</v>
      </c>
      <c r="AJ73" t="s">
        <v>2051</v>
      </c>
    </row>
    <row r="74" spans="1:36" hidden="1" x14ac:dyDescent="0.2">
      <c r="A74" t="s">
        <v>2199</v>
      </c>
      <c r="B74" t="s">
        <v>117</v>
      </c>
      <c r="C74" t="s">
        <v>2200</v>
      </c>
      <c r="D74" t="s">
        <v>2291</v>
      </c>
      <c r="E74">
        <v>265152</v>
      </c>
      <c r="F74" t="s">
        <v>2176</v>
      </c>
      <c r="G74">
        <v>3535</v>
      </c>
      <c r="H74">
        <v>574706</v>
      </c>
      <c r="I74" t="s">
        <v>2292</v>
      </c>
      <c r="J74" s="11">
        <v>46113</v>
      </c>
      <c r="K74" s="11">
        <v>46203</v>
      </c>
      <c r="L74" t="s">
        <v>2177</v>
      </c>
      <c r="M74" t="s">
        <v>1850</v>
      </c>
      <c r="N74">
        <v>33.57</v>
      </c>
      <c r="O74">
        <v>2468276</v>
      </c>
      <c r="P74">
        <v>82860.03</v>
      </c>
      <c r="Q74" t="s">
        <v>2201</v>
      </c>
      <c r="R74" t="s">
        <v>2179</v>
      </c>
      <c r="S74">
        <v>0</v>
      </c>
      <c r="T74">
        <v>0</v>
      </c>
      <c r="U74" t="s">
        <v>2179</v>
      </c>
      <c r="V74">
        <v>0</v>
      </c>
      <c r="W74" t="s">
        <v>2180</v>
      </c>
      <c r="X74">
        <v>0</v>
      </c>
      <c r="Y74">
        <v>0</v>
      </c>
      <c r="Z74">
        <v>0</v>
      </c>
      <c r="AC74" s="11">
        <v>46113</v>
      </c>
      <c r="AD74" s="11">
        <v>46203</v>
      </c>
      <c r="AE74" t="s">
        <v>2202</v>
      </c>
      <c r="AF74" t="s">
        <v>2182</v>
      </c>
      <c r="AG74" t="s">
        <v>2183</v>
      </c>
      <c r="AH74">
        <v>182860.03</v>
      </c>
      <c r="AI74">
        <v>121422</v>
      </c>
      <c r="AJ74" t="s">
        <v>2045</v>
      </c>
    </row>
    <row r="75" spans="1:36" hidden="1" x14ac:dyDescent="0.2">
      <c r="A75" t="s">
        <v>2280</v>
      </c>
      <c r="B75" t="s">
        <v>128</v>
      </c>
      <c r="C75" t="s">
        <v>2293</v>
      </c>
      <c r="D75" t="s">
        <v>250</v>
      </c>
      <c r="E75">
        <v>265310</v>
      </c>
      <c r="F75" t="s">
        <v>2212</v>
      </c>
      <c r="G75">
        <v>2789</v>
      </c>
      <c r="H75">
        <v>575165</v>
      </c>
      <c r="I75" t="s">
        <v>462</v>
      </c>
      <c r="J75" s="11">
        <v>46111</v>
      </c>
      <c r="K75" s="11">
        <v>46201</v>
      </c>
      <c r="L75" t="s">
        <v>2223</v>
      </c>
      <c r="M75" t="s">
        <v>1850</v>
      </c>
      <c r="N75">
        <v>17.87</v>
      </c>
      <c r="O75">
        <v>3357583</v>
      </c>
      <c r="P75">
        <v>60000.01</v>
      </c>
      <c r="Q75" t="s">
        <v>2178</v>
      </c>
      <c r="R75" t="s">
        <v>2179</v>
      </c>
      <c r="S75">
        <v>0</v>
      </c>
      <c r="T75">
        <v>0</v>
      </c>
      <c r="U75" t="s">
        <v>2179</v>
      </c>
      <c r="V75">
        <v>848471</v>
      </c>
      <c r="W75" t="s">
        <v>2180</v>
      </c>
      <c r="X75">
        <v>15162.177799999999</v>
      </c>
      <c r="Y75">
        <v>15162.177799999999</v>
      </c>
      <c r="Z75">
        <v>15162.177799999999</v>
      </c>
      <c r="AA75">
        <v>949348</v>
      </c>
      <c r="AB75">
        <v>956420</v>
      </c>
      <c r="AC75" s="11">
        <v>46111</v>
      </c>
      <c r="AD75" s="11">
        <v>46201</v>
      </c>
      <c r="AE75" t="s">
        <v>2210</v>
      </c>
      <c r="AF75" t="s">
        <v>2182</v>
      </c>
      <c r="AG75" t="s">
        <v>2183</v>
      </c>
      <c r="AH75">
        <v>60000</v>
      </c>
      <c r="AI75">
        <v>122543</v>
      </c>
      <c r="AJ75" t="s">
        <v>2048</v>
      </c>
    </row>
    <row r="76" spans="1:36" hidden="1" x14ac:dyDescent="0.2">
      <c r="A76" t="s">
        <v>2199</v>
      </c>
      <c r="B76" t="s">
        <v>117</v>
      </c>
      <c r="C76" t="s">
        <v>2200</v>
      </c>
      <c r="D76" t="s">
        <v>2294</v>
      </c>
      <c r="E76">
        <v>265319</v>
      </c>
      <c r="F76" t="s">
        <v>2192</v>
      </c>
      <c r="G76">
        <v>1</v>
      </c>
      <c r="H76">
        <v>575258</v>
      </c>
      <c r="I76" t="s">
        <v>2295</v>
      </c>
      <c r="J76" s="11">
        <v>46113</v>
      </c>
      <c r="K76" s="11">
        <v>46203</v>
      </c>
      <c r="L76" t="s">
        <v>2177</v>
      </c>
      <c r="M76" t="s">
        <v>1850</v>
      </c>
      <c r="N76">
        <v>34.96</v>
      </c>
      <c r="O76">
        <v>2742363</v>
      </c>
      <c r="P76">
        <v>95873.01</v>
      </c>
      <c r="R76" t="s">
        <v>2179</v>
      </c>
      <c r="S76">
        <v>0</v>
      </c>
      <c r="T76">
        <v>0</v>
      </c>
      <c r="U76" t="s">
        <v>2179</v>
      </c>
      <c r="V76">
        <v>0</v>
      </c>
      <c r="W76" t="s">
        <v>2180</v>
      </c>
      <c r="X76">
        <v>0</v>
      </c>
      <c r="Y76">
        <v>0</v>
      </c>
      <c r="Z76">
        <v>0</v>
      </c>
      <c r="AC76" s="11">
        <v>46113</v>
      </c>
      <c r="AD76" s="11">
        <v>46203</v>
      </c>
      <c r="AE76" t="s">
        <v>2202</v>
      </c>
      <c r="AF76" t="s">
        <v>2182</v>
      </c>
      <c r="AG76" t="s">
        <v>2183</v>
      </c>
      <c r="AH76">
        <v>95873.01</v>
      </c>
      <c r="AI76">
        <v>122380</v>
      </c>
      <c r="AJ76" t="s">
        <v>2041</v>
      </c>
    </row>
    <row r="77" spans="1:36" hidden="1" x14ac:dyDescent="0.2">
      <c r="A77" t="s">
        <v>2296</v>
      </c>
      <c r="B77" t="s">
        <v>166</v>
      </c>
      <c r="C77" t="s">
        <v>2297</v>
      </c>
      <c r="D77" t="s">
        <v>308</v>
      </c>
      <c r="E77">
        <v>265595</v>
      </c>
      <c r="F77" t="s">
        <v>2215</v>
      </c>
      <c r="G77">
        <v>8005</v>
      </c>
      <c r="H77">
        <v>584732</v>
      </c>
      <c r="I77" t="s">
        <v>566</v>
      </c>
      <c r="J77" s="11">
        <v>46174</v>
      </c>
      <c r="K77" s="11">
        <v>46222</v>
      </c>
      <c r="L77" t="s">
        <v>2177</v>
      </c>
      <c r="M77" t="s">
        <v>1850</v>
      </c>
      <c r="N77">
        <v>80</v>
      </c>
      <c r="O77">
        <v>1875000</v>
      </c>
      <c r="P77">
        <v>150000</v>
      </c>
      <c r="Q77" t="s">
        <v>2178</v>
      </c>
      <c r="R77" t="s">
        <v>2179</v>
      </c>
      <c r="S77">
        <v>0</v>
      </c>
      <c r="T77">
        <v>0</v>
      </c>
      <c r="U77" t="s">
        <v>2179</v>
      </c>
      <c r="V77">
        <v>1357592</v>
      </c>
      <c r="W77" t="s">
        <v>2180</v>
      </c>
      <c r="X77">
        <v>108607.36</v>
      </c>
      <c r="Y77">
        <v>108607.36</v>
      </c>
      <c r="Z77">
        <v>108607.36</v>
      </c>
      <c r="AA77">
        <v>1363014</v>
      </c>
      <c r="AB77">
        <v>1357592</v>
      </c>
      <c r="AC77" s="11">
        <v>46174</v>
      </c>
      <c r="AD77" s="11">
        <v>46222</v>
      </c>
      <c r="AE77" t="s">
        <v>2298</v>
      </c>
      <c r="AF77" t="s">
        <v>2182</v>
      </c>
      <c r="AG77" t="s">
        <v>2183</v>
      </c>
      <c r="AH77">
        <v>150000</v>
      </c>
      <c r="AI77">
        <v>128214</v>
      </c>
      <c r="AJ77" t="s">
        <v>2055</v>
      </c>
    </row>
    <row r="78" spans="1:36" hidden="1" x14ac:dyDescent="0.2">
      <c r="A78" t="s">
        <v>2299</v>
      </c>
      <c r="B78" t="s">
        <v>194</v>
      </c>
      <c r="C78" t="s">
        <v>2300</v>
      </c>
      <c r="D78" t="s">
        <v>363</v>
      </c>
      <c r="E78">
        <v>265747</v>
      </c>
      <c r="F78" t="s">
        <v>2215</v>
      </c>
      <c r="G78">
        <v>8005</v>
      </c>
      <c r="H78">
        <v>581680</v>
      </c>
      <c r="I78" t="s">
        <v>667</v>
      </c>
      <c r="J78" s="11">
        <v>46184</v>
      </c>
      <c r="K78" s="11">
        <v>46222</v>
      </c>
      <c r="M78" t="s">
        <v>1850</v>
      </c>
      <c r="N78">
        <v>40</v>
      </c>
      <c r="O78">
        <v>16500000</v>
      </c>
      <c r="P78">
        <v>660000</v>
      </c>
      <c r="Q78" t="s">
        <v>2178</v>
      </c>
      <c r="R78" t="s">
        <v>2179</v>
      </c>
      <c r="S78">
        <v>0</v>
      </c>
      <c r="T78">
        <v>0</v>
      </c>
      <c r="U78" t="s">
        <v>2179</v>
      </c>
      <c r="V78">
        <v>10942300</v>
      </c>
      <c r="W78" t="s">
        <v>2180</v>
      </c>
      <c r="X78">
        <v>437692</v>
      </c>
      <c r="Y78">
        <v>437692</v>
      </c>
      <c r="Z78">
        <v>437692</v>
      </c>
      <c r="AA78">
        <v>10942300</v>
      </c>
      <c r="AB78">
        <v>0</v>
      </c>
      <c r="AC78" s="11">
        <v>46184</v>
      </c>
      <c r="AD78" s="11">
        <v>46222</v>
      </c>
      <c r="AE78" t="s">
        <v>2233</v>
      </c>
      <c r="AF78" t="s">
        <v>2182</v>
      </c>
      <c r="AG78" t="s">
        <v>2183</v>
      </c>
      <c r="AH78">
        <v>2550000.13</v>
      </c>
      <c r="AI78">
        <v>128038</v>
      </c>
      <c r="AJ78" t="s">
        <v>2056</v>
      </c>
    </row>
    <row r="79" spans="1:36" hidden="1" x14ac:dyDescent="0.2">
      <c r="A79" t="s">
        <v>2299</v>
      </c>
      <c r="B79" t="s">
        <v>194</v>
      </c>
      <c r="C79" t="s">
        <v>2300</v>
      </c>
      <c r="D79" t="s">
        <v>363</v>
      </c>
      <c r="E79">
        <v>265747</v>
      </c>
      <c r="F79" t="s">
        <v>2218</v>
      </c>
      <c r="G79">
        <v>8000</v>
      </c>
      <c r="H79">
        <v>582833</v>
      </c>
      <c r="I79" t="s">
        <v>886</v>
      </c>
      <c r="J79" s="11">
        <v>46184</v>
      </c>
      <c r="K79" s="11">
        <v>46222</v>
      </c>
      <c r="M79" t="s">
        <v>2205</v>
      </c>
      <c r="N79">
        <v>1000000</v>
      </c>
      <c r="O79">
        <v>0</v>
      </c>
      <c r="P79">
        <v>1000000</v>
      </c>
      <c r="Q79" t="s">
        <v>1987</v>
      </c>
      <c r="R79" t="s">
        <v>2206</v>
      </c>
      <c r="S79">
        <v>0</v>
      </c>
      <c r="T79">
        <v>512820.51289999997</v>
      </c>
      <c r="U79" t="s">
        <v>2206</v>
      </c>
      <c r="V79">
        <v>0</v>
      </c>
      <c r="W79" t="s">
        <v>2180</v>
      </c>
      <c r="X79">
        <v>512820.51289999997</v>
      </c>
      <c r="Y79">
        <v>512820.51289999997</v>
      </c>
      <c r="Z79">
        <v>512820.51289999997</v>
      </c>
      <c r="AC79" s="11">
        <v>46184</v>
      </c>
      <c r="AD79" s="11">
        <v>46222</v>
      </c>
      <c r="AE79" t="s">
        <v>2233</v>
      </c>
      <c r="AF79" t="s">
        <v>2182</v>
      </c>
      <c r="AG79" t="s">
        <v>2183</v>
      </c>
      <c r="AH79">
        <v>2550000.13</v>
      </c>
      <c r="AI79">
        <v>128038</v>
      </c>
      <c r="AJ79" t="s">
        <v>2056</v>
      </c>
    </row>
    <row r="80" spans="1:36" hidden="1" x14ac:dyDescent="0.2">
      <c r="A80" t="s">
        <v>2299</v>
      </c>
      <c r="B80" t="s">
        <v>194</v>
      </c>
      <c r="C80" t="s">
        <v>2300</v>
      </c>
      <c r="D80" t="s">
        <v>363</v>
      </c>
      <c r="E80">
        <v>265747</v>
      </c>
      <c r="F80" t="s">
        <v>2218</v>
      </c>
      <c r="G80">
        <v>8000</v>
      </c>
      <c r="H80">
        <v>582838</v>
      </c>
      <c r="I80" t="s">
        <v>889</v>
      </c>
      <c r="J80" s="11">
        <v>46184</v>
      </c>
      <c r="K80" s="11">
        <v>46222</v>
      </c>
      <c r="M80" t="s">
        <v>1852</v>
      </c>
      <c r="N80">
        <v>0.15</v>
      </c>
      <c r="O80">
        <v>5933334</v>
      </c>
      <c r="P80">
        <v>890000.1</v>
      </c>
      <c r="Q80" t="s">
        <v>2301</v>
      </c>
      <c r="R80" t="s">
        <v>2206</v>
      </c>
      <c r="S80">
        <v>3042736</v>
      </c>
      <c r="T80">
        <v>456410.3077</v>
      </c>
      <c r="U80" t="s">
        <v>2206</v>
      </c>
      <c r="V80">
        <v>3042736</v>
      </c>
      <c r="W80" t="s">
        <v>2180</v>
      </c>
      <c r="X80">
        <v>456410.3077</v>
      </c>
      <c r="Y80">
        <v>456410.3077</v>
      </c>
      <c r="Z80">
        <v>456410.3077</v>
      </c>
      <c r="AC80" s="11">
        <v>46184</v>
      </c>
      <c r="AD80" s="11">
        <v>46222</v>
      </c>
      <c r="AE80" t="s">
        <v>2233</v>
      </c>
      <c r="AF80" t="s">
        <v>2182</v>
      </c>
      <c r="AG80" t="s">
        <v>2183</v>
      </c>
      <c r="AH80">
        <v>2550000.13</v>
      </c>
      <c r="AI80">
        <v>128038</v>
      </c>
      <c r="AJ80" t="s">
        <v>2056</v>
      </c>
    </row>
    <row r="81" spans="1:36" hidden="1" x14ac:dyDescent="0.2">
      <c r="A81" t="s">
        <v>2255</v>
      </c>
      <c r="B81" t="s">
        <v>172</v>
      </c>
      <c r="C81" t="s">
        <v>2302</v>
      </c>
      <c r="D81" t="s">
        <v>318</v>
      </c>
      <c r="E81">
        <v>265754</v>
      </c>
      <c r="F81" t="s">
        <v>2303</v>
      </c>
      <c r="G81">
        <v>1754</v>
      </c>
      <c r="H81">
        <v>576695</v>
      </c>
      <c r="I81" t="s">
        <v>590</v>
      </c>
      <c r="J81" s="11">
        <v>46113</v>
      </c>
      <c r="K81" s="11">
        <v>46201</v>
      </c>
      <c r="M81" t="s">
        <v>1850</v>
      </c>
      <c r="N81">
        <v>12.5</v>
      </c>
      <c r="O81">
        <v>4640000</v>
      </c>
      <c r="P81">
        <v>58000</v>
      </c>
      <c r="Q81" t="s">
        <v>2178</v>
      </c>
      <c r="R81" t="s">
        <v>2179</v>
      </c>
      <c r="S81">
        <v>0</v>
      </c>
      <c r="T81">
        <v>0</v>
      </c>
      <c r="U81" t="s">
        <v>2179</v>
      </c>
      <c r="V81">
        <v>495547</v>
      </c>
      <c r="W81" t="s">
        <v>2180</v>
      </c>
      <c r="X81">
        <v>6194.3374999999996</v>
      </c>
      <c r="Y81">
        <v>6194.3374999999996</v>
      </c>
      <c r="Z81">
        <v>6194.3374999999996</v>
      </c>
      <c r="AA81">
        <v>494517</v>
      </c>
      <c r="AB81">
        <v>495547</v>
      </c>
      <c r="AC81" s="11">
        <v>46113</v>
      </c>
      <c r="AD81" s="11">
        <v>46201</v>
      </c>
      <c r="AE81" t="s">
        <v>2233</v>
      </c>
      <c r="AF81" t="s">
        <v>2182</v>
      </c>
      <c r="AG81" t="s">
        <v>2183</v>
      </c>
      <c r="AH81">
        <v>58000</v>
      </c>
      <c r="AI81">
        <v>128399</v>
      </c>
      <c r="AJ81" t="s">
        <v>2059</v>
      </c>
    </row>
    <row r="82" spans="1:36" hidden="1" x14ac:dyDescent="0.2">
      <c r="A82" t="s">
        <v>2257</v>
      </c>
      <c r="B82" t="s">
        <v>129</v>
      </c>
      <c r="C82" t="s">
        <v>2304</v>
      </c>
      <c r="D82" t="s">
        <v>251</v>
      </c>
      <c r="E82">
        <v>265809</v>
      </c>
      <c r="F82" t="s">
        <v>2212</v>
      </c>
      <c r="G82">
        <v>2789</v>
      </c>
      <c r="H82">
        <v>576868</v>
      </c>
      <c r="I82" t="s">
        <v>464</v>
      </c>
      <c r="J82" s="11">
        <v>46113</v>
      </c>
      <c r="K82" s="11">
        <v>46203</v>
      </c>
      <c r="M82" t="s">
        <v>1850</v>
      </c>
      <c r="N82">
        <v>17</v>
      </c>
      <c r="O82">
        <v>4339410</v>
      </c>
      <c r="P82">
        <v>73769.98</v>
      </c>
      <c r="Q82" t="s">
        <v>2201</v>
      </c>
      <c r="R82" t="s">
        <v>2179</v>
      </c>
      <c r="S82">
        <v>0</v>
      </c>
      <c r="T82">
        <v>0</v>
      </c>
      <c r="U82" t="s">
        <v>2179</v>
      </c>
      <c r="V82">
        <v>282886</v>
      </c>
      <c r="W82" t="s">
        <v>2180</v>
      </c>
      <c r="X82">
        <v>4809.0619999999999</v>
      </c>
      <c r="Y82">
        <v>4809.0619999999999</v>
      </c>
      <c r="Z82">
        <v>4809.0619999999999</v>
      </c>
      <c r="AA82">
        <v>296059</v>
      </c>
      <c r="AB82">
        <v>282886</v>
      </c>
      <c r="AC82" s="11">
        <v>46113</v>
      </c>
      <c r="AD82" s="11">
        <v>46203</v>
      </c>
      <c r="AE82" t="s">
        <v>2287</v>
      </c>
      <c r="AF82" t="s">
        <v>2182</v>
      </c>
      <c r="AG82" t="s">
        <v>2183</v>
      </c>
      <c r="AH82">
        <v>151323.03</v>
      </c>
      <c r="AI82">
        <v>122614</v>
      </c>
      <c r="AJ82" t="s">
        <v>2042</v>
      </c>
    </row>
    <row r="83" spans="1:36" hidden="1" x14ac:dyDescent="0.2">
      <c r="A83" t="s">
        <v>2257</v>
      </c>
      <c r="B83" t="s">
        <v>129</v>
      </c>
      <c r="C83" t="s">
        <v>2304</v>
      </c>
      <c r="D83" t="s">
        <v>251</v>
      </c>
      <c r="E83">
        <v>265809</v>
      </c>
      <c r="F83" t="s">
        <v>2212</v>
      </c>
      <c r="G83">
        <v>2789</v>
      </c>
      <c r="H83">
        <v>576879</v>
      </c>
      <c r="I83" t="s">
        <v>463</v>
      </c>
      <c r="J83" s="11">
        <v>46113</v>
      </c>
      <c r="K83" s="11">
        <v>46203</v>
      </c>
      <c r="M83" t="s">
        <v>1850</v>
      </c>
      <c r="N83">
        <v>17</v>
      </c>
      <c r="O83">
        <v>4561944</v>
      </c>
      <c r="P83">
        <v>77553.05</v>
      </c>
      <c r="Q83" t="s">
        <v>2201</v>
      </c>
      <c r="R83" t="s">
        <v>2179</v>
      </c>
      <c r="S83">
        <v>0</v>
      </c>
      <c r="T83">
        <v>0</v>
      </c>
      <c r="U83" t="s">
        <v>2179</v>
      </c>
      <c r="V83">
        <v>427265</v>
      </c>
      <c r="W83" t="s">
        <v>2180</v>
      </c>
      <c r="X83">
        <v>7263.51</v>
      </c>
      <c r="Y83">
        <v>7263.51</v>
      </c>
      <c r="Z83">
        <v>7263.51</v>
      </c>
      <c r="AA83">
        <v>448118</v>
      </c>
      <c r="AB83">
        <v>429945</v>
      </c>
      <c r="AC83" s="11">
        <v>46113</v>
      </c>
      <c r="AD83" s="11">
        <v>46203</v>
      </c>
      <c r="AE83" t="s">
        <v>2287</v>
      </c>
      <c r="AF83" t="s">
        <v>2182</v>
      </c>
      <c r="AG83" t="s">
        <v>2183</v>
      </c>
      <c r="AH83">
        <v>151323.03</v>
      </c>
      <c r="AI83">
        <v>122614</v>
      </c>
      <c r="AJ83" t="s">
        <v>2042</v>
      </c>
    </row>
    <row r="84" spans="1:36" hidden="1" x14ac:dyDescent="0.2">
      <c r="A84" t="s">
        <v>2184</v>
      </c>
      <c r="B84" t="s">
        <v>135</v>
      </c>
      <c r="C84" t="s">
        <v>2305</v>
      </c>
      <c r="D84" t="s">
        <v>259</v>
      </c>
      <c r="E84">
        <v>265850</v>
      </c>
      <c r="F84" t="s">
        <v>2192</v>
      </c>
      <c r="G84">
        <v>1</v>
      </c>
      <c r="H84">
        <v>577035</v>
      </c>
      <c r="I84" t="s">
        <v>479</v>
      </c>
      <c r="J84" s="11">
        <v>46113</v>
      </c>
      <c r="K84" s="11">
        <v>46201</v>
      </c>
      <c r="L84" t="s">
        <v>2177</v>
      </c>
      <c r="M84" t="s">
        <v>1850</v>
      </c>
      <c r="N84">
        <v>25.7</v>
      </c>
      <c r="O84">
        <v>778211</v>
      </c>
      <c r="P84">
        <v>20000.02</v>
      </c>
      <c r="Q84" t="s">
        <v>2201</v>
      </c>
      <c r="R84" t="s">
        <v>2179</v>
      </c>
      <c r="S84">
        <v>0</v>
      </c>
      <c r="T84">
        <v>0</v>
      </c>
      <c r="U84" t="s">
        <v>2179</v>
      </c>
      <c r="V84">
        <v>259405</v>
      </c>
      <c r="W84" t="s">
        <v>2180</v>
      </c>
      <c r="X84">
        <v>6666.7</v>
      </c>
      <c r="Y84">
        <v>6666.7</v>
      </c>
      <c r="Z84">
        <v>6666.7</v>
      </c>
      <c r="AA84">
        <v>317582</v>
      </c>
      <c r="AB84">
        <v>315257</v>
      </c>
      <c r="AC84" s="11">
        <v>46113</v>
      </c>
      <c r="AD84" s="11">
        <v>46201</v>
      </c>
      <c r="AE84" t="s">
        <v>2189</v>
      </c>
      <c r="AF84" t="s">
        <v>2182</v>
      </c>
      <c r="AG84" t="s">
        <v>2183</v>
      </c>
      <c r="AH84">
        <v>20000.02</v>
      </c>
      <c r="AI84">
        <v>123965</v>
      </c>
      <c r="AJ84" t="s">
        <v>2047</v>
      </c>
    </row>
    <row r="85" spans="1:36" hidden="1" x14ac:dyDescent="0.2">
      <c r="A85" t="s">
        <v>2255</v>
      </c>
      <c r="B85" t="s">
        <v>122</v>
      </c>
      <c r="C85" t="s">
        <v>2256</v>
      </c>
      <c r="D85" t="s">
        <v>330</v>
      </c>
      <c r="E85">
        <v>266130</v>
      </c>
      <c r="F85" t="s">
        <v>2303</v>
      </c>
      <c r="G85">
        <v>1754</v>
      </c>
      <c r="H85">
        <v>577967</v>
      </c>
      <c r="I85" t="s">
        <v>617</v>
      </c>
      <c r="J85" s="11">
        <v>46113</v>
      </c>
      <c r="K85" s="11">
        <v>46180</v>
      </c>
      <c r="M85" t="s">
        <v>1850</v>
      </c>
      <c r="N85">
        <v>12.5</v>
      </c>
      <c r="O85">
        <v>7120000</v>
      </c>
      <c r="P85">
        <v>89000</v>
      </c>
      <c r="Q85" t="s">
        <v>2178</v>
      </c>
      <c r="R85" t="s">
        <v>2179</v>
      </c>
      <c r="S85">
        <v>0</v>
      </c>
      <c r="T85">
        <v>0</v>
      </c>
      <c r="U85" t="s">
        <v>2179</v>
      </c>
      <c r="V85">
        <v>229454</v>
      </c>
      <c r="W85" t="s">
        <v>2180</v>
      </c>
      <c r="X85">
        <v>2868.17</v>
      </c>
      <c r="Y85">
        <v>2868.17</v>
      </c>
      <c r="Z85">
        <v>2868.17</v>
      </c>
      <c r="AA85">
        <v>415622</v>
      </c>
      <c r="AB85">
        <v>419230</v>
      </c>
      <c r="AC85" s="11">
        <v>46113</v>
      </c>
      <c r="AD85" s="11">
        <v>46180</v>
      </c>
      <c r="AE85" t="s">
        <v>2306</v>
      </c>
      <c r="AF85" t="s">
        <v>2182</v>
      </c>
      <c r="AG85" t="s">
        <v>2183</v>
      </c>
      <c r="AH85">
        <v>89000.01</v>
      </c>
      <c r="AI85">
        <v>128838</v>
      </c>
      <c r="AJ85" t="s">
        <v>2059</v>
      </c>
    </row>
    <row r="86" spans="1:36" hidden="1" x14ac:dyDescent="0.2">
      <c r="A86" t="s">
        <v>2307</v>
      </c>
      <c r="B86" t="s">
        <v>131</v>
      </c>
      <c r="C86" t="s">
        <v>2195</v>
      </c>
      <c r="D86" t="s">
        <v>253</v>
      </c>
      <c r="E86">
        <v>266239</v>
      </c>
      <c r="F86" t="s">
        <v>2192</v>
      </c>
      <c r="G86">
        <v>1</v>
      </c>
      <c r="H86">
        <v>578272</v>
      </c>
      <c r="I86" t="s">
        <v>466</v>
      </c>
      <c r="J86" s="11">
        <v>46111</v>
      </c>
      <c r="K86" s="11">
        <v>46201</v>
      </c>
      <c r="L86" t="s">
        <v>2177</v>
      </c>
      <c r="M86" t="s">
        <v>1850</v>
      </c>
      <c r="N86">
        <v>19.46</v>
      </c>
      <c r="O86">
        <v>14131552</v>
      </c>
      <c r="P86">
        <v>275000</v>
      </c>
      <c r="Q86" t="s">
        <v>2178</v>
      </c>
      <c r="R86" t="s">
        <v>2179</v>
      </c>
      <c r="S86">
        <v>0</v>
      </c>
      <c r="T86">
        <v>0</v>
      </c>
      <c r="U86" t="s">
        <v>2179</v>
      </c>
      <c r="V86">
        <v>3338126</v>
      </c>
      <c r="W86" t="s">
        <v>2180</v>
      </c>
      <c r="X86">
        <v>62335.87</v>
      </c>
      <c r="Y86">
        <v>62335.87</v>
      </c>
      <c r="Z86">
        <v>62335.87</v>
      </c>
      <c r="AA86">
        <v>3724779</v>
      </c>
      <c r="AB86">
        <v>3717319</v>
      </c>
      <c r="AC86" s="11">
        <v>46111</v>
      </c>
      <c r="AD86" s="11">
        <v>46201</v>
      </c>
      <c r="AE86" t="s">
        <v>2198</v>
      </c>
      <c r="AF86" t="s">
        <v>2182</v>
      </c>
      <c r="AG86" t="s">
        <v>2183</v>
      </c>
      <c r="AH86">
        <v>300000.03000000003</v>
      </c>
      <c r="AI86">
        <v>122827</v>
      </c>
      <c r="AJ86" t="s">
        <v>2053</v>
      </c>
    </row>
    <row r="87" spans="1:36" hidden="1" x14ac:dyDescent="0.2">
      <c r="A87" t="s">
        <v>2307</v>
      </c>
      <c r="B87" t="s">
        <v>131</v>
      </c>
      <c r="C87" t="s">
        <v>2195</v>
      </c>
      <c r="D87" t="s">
        <v>253</v>
      </c>
      <c r="E87">
        <v>266239</v>
      </c>
      <c r="F87" t="s">
        <v>2212</v>
      </c>
      <c r="G87">
        <v>2789</v>
      </c>
      <c r="H87">
        <v>578275</v>
      </c>
      <c r="I87" t="s">
        <v>467</v>
      </c>
      <c r="J87" s="11">
        <v>46111</v>
      </c>
      <c r="K87" s="11">
        <v>46201</v>
      </c>
      <c r="L87" t="s">
        <v>2177</v>
      </c>
      <c r="M87" t="s">
        <v>1850</v>
      </c>
      <c r="N87">
        <v>24</v>
      </c>
      <c r="O87">
        <v>1041667</v>
      </c>
      <c r="P87">
        <v>25000.01</v>
      </c>
      <c r="Q87" t="s">
        <v>2178</v>
      </c>
      <c r="R87" t="s">
        <v>2179</v>
      </c>
      <c r="S87">
        <v>0</v>
      </c>
      <c r="T87">
        <v>0</v>
      </c>
      <c r="U87" t="s">
        <v>2179</v>
      </c>
      <c r="V87">
        <v>207802</v>
      </c>
      <c r="W87" t="s">
        <v>2180</v>
      </c>
      <c r="X87">
        <v>5192.66</v>
      </c>
      <c r="Y87">
        <v>5192.66</v>
      </c>
      <c r="Z87">
        <v>5192.66</v>
      </c>
      <c r="AA87">
        <v>260282</v>
      </c>
      <c r="AB87">
        <v>266452</v>
      </c>
      <c r="AC87" s="11">
        <v>46111</v>
      </c>
      <c r="AD87" s="11">
        <v>46201</v>
      </c>
      <c r="AE87" t="s">
        <v>2198</v>
      </c>
      <c r="AF87" t="s">
        <v>2182</v>
      </c>
      <c r="AG87" t="s">
        <v>2183</v>
      </c>
      <c r="AH87">
        <v>300000.03000000003</v>
      </c>
      <c r="AI87">
        <v>122827</v>
      </c>
      <c r="AJ87" t="s">
        <v>2053</v>
      </c>
    </row>
    <row r="88" spans="1:36" hidden="1" x14ac:dyDescent="0.2">
      <c r="A88" t="s">
        <v>2174</v>
      </c>
      <c r="B88" t="s">
        <v>116</v>
      </c>
      <c r="C88" t="s">
        <v>2175</v>
      </c>
      <c r="D88" t="s">
        <v>2308</v>
      </c>
      <c r="E88">
        <v>266308</v>
      </c>
      <c r="F88" t="s">
        <v>2176</v>
      </c>
      <c r="G88">
        <v>3535</v>
      </c>
      <c r="H88">
        <v>578379</v>
      </c>
      <c r="I88" t="s">
        <v>2309</v>
      </c>
      <c r="J88" s="11">
        <v>46175</v>
      </c>
      <c r="K88" s="11">
        <v>46199</v>
      </c>
      <c r="L88" t="s">
        <v>2177</v>
      </c>
      <c r="M88" t="s">
        <v>1850</v>
      </c>
      <c r="N88">
        <v>19</v>
      </c>
      <c r="O88">
        <v>2105263</v>
      </c>
      <c r="P88">
        <v>40000</v>
      </c>
      <c r="Q88" t="s">
        <v>2178</v>
      </c>
      <c r="R88" t="s">
        <v>2179</v>
      </c>
      <c r="S88">
        <v>0</v>
      </c>
      <c r="T88">
        <v>0</v>
      </c>
      <c r="U88" t="s">
        <v>2179</v>
      </c>
      <c r="V88">
        <v>0</v>
      </c>
      <c r="W88" t="s">
        <v>2180</v>
      </c>
      <c r="X88">
        <v>0</v>
      </c>
      <c r="Y88">
        <v>0</v>
      </c>
      <c r="Z88">
        <v>0</v>
      </c>
      <c r="AC88" s="11">
        <v>46175</v>
      </c>
      <c r="AD88" s="11">
        <v>46199</v>
      </c>
      <c r="AE88" t="s">
        <v>2189</v>
      </c>
      <c r="AF88" t="s">
        <v>2182</v>
      </c>
      <c r="AG88" t="s">
        <v>2183</v>
      </c>
      <c r="AH88">
        <v>188965</v>
      </c>
      <c r="AI88">
        <v>122968</v>
      </c>
      <c r="AJ88" t="s">
        <v>2044</v>
      </c>
    </row>
    <row r="89" spans="1:36" hidden="1" x14ac:dyDescent="0.2">
      <c r="A89" t="s">
        <v>2255</v>
      </c>
      <c r="B89" t="s">
        <v>182</v>
      </c>
      <c r="C89" t="s">
        <v>2310</v>
      </c>
      <c r="D89" t="s">
        <v>338</v>
      </c>
      <c r="E89">
        <v>266630</v>
      </c>
      <c r="F89" t="s">
        <v>2303</v>
      </c>
      <c r="G89">
        <v>1754</v>
      </c>
      <c r="H89">
        <v>579781</v>
      </c>
      <c r="I89" t="s">
        <v>629</v>
      </c>
      <c r="J89" s="11">
        <v>46113</v>
      </c>
      <c r="K89" s="11">
        <v>46194</v>
      </c>
      <c r="L89" t="s">
        <v>2254</v>
      </c>
      <c r="M89" t="s">
        <v>1850</v>
      </c>
      <c r="N89">
        <v>12.5</v>
      </c>
      <c r="O89">
        <v>16000000</v>
      </c>
      <c r="P89">
        <v>200000</v>
      </c>
      <c r="Q89" t="s">
        <v>2178</v>
      </c>
      <c r="R89" t="s">
        <v>2179</v>
      </c>
      <c r="S89">
        <v>0</v>
      </c>
      <c r="T89">
        <v>0</v>
      </c>
      <c r="U89" t="s">
        <v>2179</v>
      </c>
      <c r="V89">
        <v>418919</v>
      </c>
      <c r="W89" t="s">
        <v>2180</v>
      </c>
      <c r="X89">
        <v>5236.4875000000002</v>
      </c>
      <c r="Y89">
        <v>5236.4875000000002</v>
      </c>
      <c r="Z89">
        <v>5236.4875000000002</v>
      </c>
      <c r="AA89">
        <v>415144</v>
      </c>
      <c r="AB89">
        <v>418919</v>
      </c>
      <c r="AC89" s="11">
        <v>46113</v>
      </c>
      <c r="AD89" s="11">
        <v>46194</v>
      </c>
      <c r="AE89" t="s">
        <v>2306</v>
      </c>
      <c r="AF89" t="s">
        <v>2182</v>
      </c>
      <c r="AG89" t="s">
        <v>2183</v>
      </c>
      <c r="AH89">
        <v>200000.01</v>
      </c>
      <c r="AI89">
        <v>129174</v>
      </c>
      <c r="AJ89" t="s">
        <v>2059</v>
      </c>
    </row>
    <row r="90" spans="1:36" hidden="1" x14ac:dyDescent="0.2">
      <c r="A90" t="s">
        <v>2311</v>
      </c>
      <c r="B90" t="s">
        <v>184</v>
      </c>
      <c r="C90" t="s">
        <v>2312</v>
      </c>
      <c r="D90" t="s">
        <v>343</v>
      </c>
      <c r="E90">
        <v>266692</v>
      </c>
      <c r="F90" t="s">
        <v>2209</v>
      </c>
      <c r="G90">
        <v>7968</v>
      </c>
      <c r="H90">
        <v>590840</v>
      </c>
      <c r="I90" t="s">
        <v>639</v>
      </c>
      <c r="J90" s="11">
        <v>46174</v>
      </c>
      <c r="K90" s="11">
        <v>46180</v>
      </c>
      <c r="L90" t="s">
        <v>2247</v>
      </c>
      <c r="M90" t="s">
        <v>1850</v>
      </c>
      <c r="N90">
        <v>28.75</v>
      </c>
      <c r="O90">
        <v>48696</v>
      </c>
      <c r="P90">
        <v>1400.01</v>
      </c>
      <c r="Q90" t="s">
        <v>2178</v>
      </c>
      <c r="R90" t="s">
        <v>2179</v>
      </c>
      <c r="S90">
        <v>0</v>
      </c>
      <c r="T90">
        <v>0</v>
      </c>
      <c r="U90" t="s">
        <v>2179</v>
      </c>
      <c r="V90">
        <v>46916</v>
      </c>
      <c r="W90" t="s">
        <v>2180</v>
      </c>
      <c r="X90">
        <v>1348.835</v>
      </c>
      <c r="Y90">
        <v>1348.835</v>
      </c>
      <c r="Z90">
        <v>1348.835</v>
      </c>
      <c r="AA90">
        <v>50252</v>
      </c>
      <c r="AB90">
        <v>46916</v>
      </c>
      <c r="AC90" s="11">
        <v>46174</v>
      </c>
      <c r="AD90" s="11">
        <v>46180</v>
      </c>
      <c r="AE90" t="s">
        <v>2210</v>
      </c>
      <c r="AF90" t="s">
        <v>2182</v>
      </c>
      <c r="AG90" t="s">
        <v>2183</v>
      </c>
      <c r="AH90">
        <v>10800.12</v>
      </c>
      <c r="AI90">
        <v>129296</v>
      </c>
      <c r="AJ90" t="s">
        <v>2060</v>
      </c>
    </row>
    <row r="91" spans="1:36" hidden="1" x14ac:dyDescent="0.2">
      <c r="A91" t="s">
        <v>2311</v>
      </c>
      <c r="B91" t="s">
        <v>184</v>
      </c>
      <c r="C91" t="s">
        <v>2312</v>
      </c>
      <c r="D91" t="s">
        <v>343</v>
      </c>
      <c r="E91">
        <v>266692</v>
      </c>
      <c r="F91" t="s">
        <v>2209</v>
      </c>
      <c r="G91">
        <v>7968</v>
      </c>
      <c r="H91">
        <v>590842</v>
      </c>
      <c r="I91" t="s">
        <v>639</v>
      </c>
      <c r="J91" s="11">
        <v>46181</v>
      </c>
      <c r="K91" s="11">
        <v>46187</v>
      </c>
      <c r="L91" t="s">
        <v>2247</v>
      </c>
      <c r="M91" t="s">
        <v>1850</v>
      </c>
      <c r="N91">
        <v>28.75</v>
      </c>
      <c r="O91">
        <v>48696</v>
      </c>
      <c r="P91">
        <v>1400.01</v>
      </c>
      <c r="Q91" t="s">
        <v>2178</v>
      </c>
      <c r="R91" t="s">
        <v>2179</v>
      </c>
      <c r="S91">
        <v>0</v>
      </c>
      <c r="T91">
        <v>0</v>
      </c>
      <c r="U91" t="s">
        <v>2179</v>
      </c>
      <c r="V91">
        <v>14246</v>
      </c>
      <c r="W91" t="s">
        <v>2180</v>
      </c>
      <c r="X91">
        <v>409.57249999999999</v>
      </c>
      <c r="Y91">
        <v>409.57249999999999</v>
      </c>
      <c r="Z91">
        <v>409.57249999999999</v>
      </c>
      <c r="AA91">
        <v>15017</v>
      </c>
      <c r="AB91">
        <v>14246</v>
      </c>
      <c r="AC91" s="11">
        <v>46181</v>
      </c>
      <c r="AD91" s="11">
        <v>46187</v>
      </c>
      <c r="AE91" t="s">
        <v>2210</v>
      </c>
      <c r="AF91" t="s">
        <v>2182</v>
      </c>
      <c r="AG91" t="s">
        <v>2183</v>
      </c>
      <c r="AH91">
        <v>10800.12</v>
      </c>
      <c r="AI91">
        <v>129296</v>
      </c>
      <c r="AJ91" t="s">
        <v>2060</v>
      </c>
    </row>
    <row r="92" spans="1:36" hidden="1" x14ac:dyDescent="0.2">
      <c r="A92" t="s">
        <v>2311</v>
      </c>
      <c r="B92" t="s">
        <v>184</v>
      </c>
      <c r="C92" t="s">
        <v>2312</v>
      </c>
      <c r="D92" t="s">
        <v>343</v>
      </c>
      <c r="E92">
        <v>266692</v>
      </c>
      <c r="F92" t="s">
        <v>2209</v>
      </c>
      <c r="G92">
        <v>7968</v>
      </c>
      <c r="H92">
        <v>590844</v>
      </c>
      <c r="I92" t="s">
        <v>639</v>
      </c>
      <c r="J92" s="11">
        <v>46188</v>
      </c>
      <c r="K92" s="11">
        <v>46194</v>
      </c>
      <c r="L92" t="s">
        <v>2247</v>
      </c>
      <c r="M92" t="s">
        <v>1850</v>
      </c>
      <c r="N92">
        <v>28.75</v>
      </c>
      <c r="O92">
        <v>48696</v>
      </c>
      <c r="P92">
        <v>1400.01</v>
      </c>
      <c r="Q92" t="s">
        <v>2178</v>
      </c>
      <c r="R92" t="s">
        <v>2179</v>
      </c>
      <c r="S92">
        <v>0</v>
      </c>
      <c r="T92">
        <v>0</v>
      </c>
      <c r="U92" t="s">
        <v>2179</v>
      </c>
      <c r="V92">
        <v>820</v>
      </c>
      <c r="W92" t="s">
        <v>2180</v>
      </c>
      <c r="X92">
        <v>23.574999999999999</v>
      </c>
      <c r="Y92">
        <v>23.574999999999999</v>
      </c>
      <c r="Z92">
        <v>23.574999999999999</v>
      </c>
      <c r="AA92">
        <v>830</v>
      </c>
      <c r="AB92">
        <v>820</v>
      </c>
      <c r="AC92" s="11">
        <v>46188</v>
      </c>
      <c r="AD92" s="11">
        <v>46194</v>
      </c>
      <c r="AE92" t="s">
        <v>2210</v>
      </c>
      <c r="AF92" t="s">
        <v>2182</v>
      </c>
      <c r="AG92" t="s">
        <v>2183</v>
      </c>
      <c r="AH92">
        <v>10800.12</v>
      </c>
      <c r="AI92">
        <v>129296</v>
      </c>
      <c r="AJ92" t="s">
        <v>2060</v>
      </c>
    </row>
    <row r="93" spans="1:36" hidden="1" x14ac:dyDescent="0.2">
      <c r="A93" t="s">
        <v>2311</v>
      </c>
      <c r="B93" t="s">
        <v>184</v>
      </c>
      <c r="C93" t="s">
        <v>2312</v>
      </c>
      <c r="D93" t="s">
        <v>343</v>
      </c>
      <c r="E93">
        <v>266692</v>
      </c>
      <c r="F93" t="s">
        <v>2209</v>
      </c>
      <c r="G93">
        <v>7968</v>
      </c>
      <c r="H93">
        <v>590846</v>
      </c>
      <c r="I93" t="s">
        <v>639</v>
      </c>
      <c r="J93" s="11">
        <v>46195</v>
      </c>
      <c r="K93" s="11">
        <v>46201</v>
      </c>
      <c r="L93" t="s">
        <v>2247</v>
      </c>
      <c r="M93" t="s">
        <v>1850</v>
      </c>
      <c r="N93">
        <v>28.75</v>
      </c>
      <c r="O93">
        <v>48696</v>
      </c>
      <c r="P93">
        <v>1400.01</v>
      </c>
      <c r="Q93" t="s">
        <v>2178</v>
      </c>
      <c r="R93" t="s">
        <v>2179</v>
      </c>
      <c r="S93">
        <v>0</v>
      </c>
      <c r="T93">
        <v>0</v>
      </c>
      <c r="U93" t="s">
        <v>2179</v>
      </c>
      <c r="V93">
        <v>695</v>
      </c>
      <c r="W93" t="s">
        <v>2180</v>
      </c>
      <c r="X93">
        <v>19.981300000000001</v>
      </c>
      <c r="Y93">
        <v>19.981300000000001</v>
      </c>
      <c r="Z93">
        <v>19.981300000000001</v>
      </c>
      <c r="AA93">
        <v>758</v>
      </c>
      <c r="AB93">
        <v>695</v>
      </c>
      <c r="AC93" s="11">
        <v>46195</v>
      </c>
      <c r="AD93" s="11">
        <v>46201</v>
      </c>
      <c r="AE93" t="s">
        <v>2210</v>
      </c>
      <c r="AF93" t="s">
        <v>2182</v>
      </c>
      <c r="AG93" t="s">
        <v>2183</v>
      </c>
      <c r="AH93">
        <v>10800.12</v>
      </c>
      <c r="AI93">
        <v>129296</v>
      </c>
      <c r="AJ93" t="s">
        <v>2060</v>
      </c>
    </row>
    <row r="94" spans="1:36" hidden="1" x14ac:dyDescent="0.2">
      <c r="A94" t="s">
        <v>2313</v>
      </c>
      <c r="B94" t="s">
        <v>136</v>
      </c>
      <c r="C94" t="s">
        <v>2314</v>
      </c>
      <c r="D94" t="s">
        <v>276</v>
      </c>
      <c r="E94">
        <v>266866</v>
      </c>
      <c r="F94" t="s">
        <v>2215</v>
      </c>
      <c r="G94">
        <v>8005</v>
      </c>
      <c r="H94">
        <v>581108</v>
      </c>
      <c r="I94" t="s">
        <v>510</v>
      </c>
      <c r="J94" s="11">
        <v>46184</v>
      </c>
      <c r="K94" s="11">
        <v>46222</v>
      </c>
      <c r="L94" t="s">
        <v>2247</v>
      </c>
      <c r="M94" t="s">
        <v>1850</v>
      </c>
      <c r="N94">
        <v>40</v>
      </c>
      <c r="O94">
        <v>2997900</v>
      </c>
      <c r="P94">
        <v>119916</v>
      </c>
      <c r="Q94" t="s">
        <v>2178</v>
      </c>
      <c r="R94" t="s">
        <v>2206</v>
      </c>
      <c r="S94">
        <v>1537385</v>
      </c>
      <c r="T94">
        <v>61495.384700000002</v>
      </c>
      <c r="U94" t="s">
        <v>2206</v>
      </c>
      <c r="V94">
        <v>1537385</v>
      </c>
      <c r="W94" t="s">
        <v>2180</v>
      </c>
      <c r="X94">
        <v>61495.384700000002</v>
      </c>
      <c r="Y94">
        <v>61495.384700000002</v>
      </c>
      <c r="Z94">
        <v>61495.384700000002</v>
      </c>
      <c r="AA94">
        <v>2001193</v>
      </c>
      <c r="AB94">
        <v>2008864</v>
      </c>
      <c r="AC94" s="11">
        <v>46184</v>
      </c>
      <c r="AD94" s="11">
        <v>46222</v>
      </c>
      <c r="AE94" t="s">
        <v>2298</v>
      </c>
      <c r="AF94" t="s">
        <v>2182</v>
      </c>
      <c r="AG94" t="s">
        <v>2183</v>
      </c>
      <c r="AH94">
        <v>119916</v>
      </c>
      <c r="AI94">
        <v>126815</v>
      </c>
      <c r="AJ94" t="s">
        <v>2055</v>
      </c>
    </row>
    <row r="95" spans="1:36" hidden="1" x14ac:dyDescent="0.2">
      <c r="A95" t="s">
        <v>2224</v>
      </c>
      <c r="B95" t="s">
        <v>221</v>
      </c>
      <c r="C95" t="s">
        <v>2234</v>
      </c>
      <c r="D95" t="s">
        <v>431</v>
      </c>
      <c r="E95">
        <v>266911</v>
      </c>
      <c r="F95" t="s">
        <v>2218</v>
      </c>
      <c r="G95">
        <v>8000</v>
      </c>
      <c r="H95">
        <v>581387</v>
      </c>
      <c r="I95" t="s">
        <v>908</v>
      </c>
      <c r="J95" s="11">
        <v>46174</v>
      </c>
      <c r="K95" s="11">
        <v>46222</v>
      </c>
      <c r="L95" t="s">
        <v>2213</v>
      </c>
      <c r="M95" t="s">
        <v>2205</v>
      </c>
      <c r="N95">
        <v>500000</v>
      </c>
      <c r="O95">
        <v>1</v>
      </c>
      <c r="P95">
        <v>500000</v>
      </c>
      <c r="Q95" t="s">
        <v>1987</v>
      </c>
      <c r="R95" t="s">
        <v>2206</v>
      </c>
      <c r="S95">
        <v>1</v>
      </c>
      <c r="T95">
        <v>306122.44900000002</v>
      </c>
      <c r="U95" t="s">
        <v>2206</v>
      </c>
      <c r="V95">
        <v>1</v>
      </c>
      <c r="W95" t="s">
        <v>2180</v>
      </c>
      <c r="X95">
        <v>306122.44900000002</v>
      </c>
      <c r="Y95">
        <v>306122.44900000002</v>
      </c>
      <c r="Z95">
        <v>306122.44900000002</v>
      </c>
      <c r="AC95" s="11">
        <v>46174</v>
      </c>
      <c r="AD95" s="11">
        <v>46222</v>
      </c>
      <c r="AE95" t="s">
        <v>2226</v>
      </c>
      <c r="AF95" t="s">
        <v>2182</v>
      </c>
      <c r="AG95" t="s">
        <v>2183</v>
      </c>
      <c r="AH95">
        <v>500000</v>
      </c>
      <c r="AI95">
        <v>125698</v>
      </c>
      <c r="AJ95" t="s">
        <v>2039</v>
      </c>
    </row>
    <row r="96" spans="1:36" hidden="1" x14ac:dyDescent="0.2">
      <c r="A96" t="s">
        <v>2255</v>
      </c>
      <c r="B96" t="s">
        <v>201</v>
      </c>
      <c r="C96" t="s">
        <v>2315</v>
      </c>
      <c r="D96" t="s">
        <v>381</v>
      </c>
      <c r="E96">
        <v>266929</v>
      </c>
      <c r="F96" t="s">
        <v>2303</v>
      </c>
      <c r="G96">
        <v>1754</v>
      </c>
      <c r="H96">
        <v>581417</v>
      </c>
      <c r="I96" t="s">
        <v>705</v>
      </c>
      <c r="J96" s="11">
        <v>46118</v>
      </c>
      <c r="K96" s="11">
        <v>46201</v>
      </c>
      <c r="M96" t="s">
        <v>1850</v>
      </c>
      <c r="N96">
        <v>12.5</v>
      </c>
      <c r="O96">
        <v>3600000</v>
      </c>
      <c r="P96">
        <v>45000</v>
      </c>
      <c r="Q96" t="s">
        <v>2178</v>
      </c>
      <c r="R96" t="s">
        <v>2179</v>
      </c>
      <c r="S96">
        <v>0</v>
      </c>
      <c r="T96">
        <v>0</v>
      </c>
      <c r="U96" t="s">
        <v>2316</v>
      </c>
      <c r="V96">
        <v>1942587</v>
      </c>
      <c r="W96" t="s">
        <v>2316</v>
      </c>
      <c r="X96">
        <v>24282.424999999999</v>
      </c>
      <c r="Y96">
        <v>24282.424999999999</v>
      </c>
      <c r="Z96">
        <v>24282.424999999999</v>
      </c>
      <c r="AC96" s="11">
        <v>46118</v>
      </c>
      <c r="AD96" s="11">
        <v>46201</v>
      </c>
      <c r="AE96" t="s">
        <v>2306</v>
      </c>
      <c r="AF96" t="s">
        <v>2182</v>
      </c>
      <c r="AG96" t="s">
        <v>2183</v>
      </c>
      <c r="AH96">
        <v>45000</v>
      </c>
      <c r="AI96">
        <v>130276</v>
      </c>
      <c r="AJ96" t="s">
        <v>2059</v>
      </c>
    </row>
    <row r="97" spans="1:36" hidden="1" x14ac:dyDescent="0.2">
      <c r="A97" t="s">
        <v>2317</v>
      </c>
      <c r="B97" t="s">
        <v>217</v>
      </c>
      <c r="C97" t="s">
        <v>2318</v>
      </c>
      <c r="D97" t="s">
        <v>418</v>
      </c>
      <c r="E97">
        <v>266966</v>
      </c>
      <c r="F97" t="s">
        <v>2217</v>
      </c>
      <c r="G97">
        <v>8004</v>
      </c>
      <c r="H97">
        <v>581635</v>
      </c>
      <c r="I97" t="s">
        <v>792</v>
      </c>
      <c r="J97" s="11">
        <v>46184</v>
      </c>
      <c r="K97" s="11">
        <v>46222</v>
      </c>
      <c r="L97" t="s">
        <v>2177</v>
      </c>
      <c r="M97" t="s">
        <v>1850</v>
      </c>
      <c r="N97">
        <v>6</v>
      </c>
      <c r="O97">
        <v>13333333</v>
      </c>
      <c r="P97">
        <v>80000</v>
      </c>
      <c r="Q97" t="s">
        <v>2178</v>
      </c>
      <c r="R97" t="s">
        <v>2179</v>
      </c>
      <c r="S97">
        <v>0</v>
      </c>
      <c r="T97">
        <v>0</v>
      </c>
      <c r="U97" t="s">
        <v>2179</v>
      </c>
      <c r="V97">
        <v>4682373</v>
      </c>
      <c r="W97" t="s">
        <v>2180</v>
      </c>
      <c r="X97">
        <v>28094.238000000001</v>
      </c>
      <c r="Y97">
        <v>28094.238000000001</v>
      </c>
      <c r="Z97">
        <v>28094.238000000001</v>
      </c>
      <c r="AA97">
        <v>4683082</v>
      </c>
      <c r="AB97">
        <v>4682373</v>
      </c>
      <c r="AC97" s="11">
        <v>46184</v>
      </c>
      <c r="AD97" s="11">
        <v>46222</v>
      </c>
      <c r="AE97" t="s">
        <v>2210</v>
      </c>
      <c r="AF97" t="s">
        <v>2182</v>
      </c>
      <c r="AG97" t="s">
        <v>2183</v>
      </c>
      <c r="AH97">
        <v>1180000</v>
      </c>
      <c r="AI97">
        <v>128177</v>
      </c>
      <c r="AJ97" t="s">
        <v>2060</v>
      </c>
    </row>
    <row r="98" spans="1:36" hidden="1" x14ac:dyDescent="0.2">
      <c r="A98" t="s">
        <v>2317</v>
      </c>
      <c r="B98" t="s">
        <v>217</v>
      </c>
      <c r="C98" t="s">
        <v>2318</v>
      </c>
      <c r="D98" t="s">
        <v>418</v>
      </c>
      <c r="E98">
        <v>266966</v>
      </c>
      <c r="F98" t="s">
        <v>2218</v>
      </c>
      <c r="G98">
        <v>8000</v>
      </c>
      <c r="H98">
        <v>581649</v>
      </c>
      <c r="I98" t="s">
        <v>838</v>
      </c>
      <c r="J98" s="11">
        <v>46184</v>
      </c>
      <c r="K98" s="11">
        <v>46222</v>
      </c>
      <c r="M98" t="s">
        <v>1852</v>
      </c>
      <c r="N98">
        <v>0.15</v>
      </c>
      <c r="O98">
        <v>4000000</v>
      </c>
      <c r="P98">
        <v>600000</v>
      </c>
      <c r="Q98" t="s">
        <v>2262</v>
      </c>
      <c r="R98" t="s">
        <v>2206</v>
      </c>
      <c r="S98">
        <v>2051283</v>
      </c>
      <c r="T98">
        <v>307692.3077</v>
      </c>
      <c r="U98" t="s">
        <v>2206</v>
      </c>
      <c r="V98">
        <v>2051283</v>
      </c>
      <c r="W98" t="s">
        <v>2180</v>
      </c>
      <c r="X98">
        <v>307692.3077</v>
      </c>
      <c r="Y98">
        <v>307692.3077</v>
      </c>
      <c r="Z98">
        <v>307692.3077</v>
      </c>
      <c r="AC98" s="11">
        <v>46184</v>
      </c>
      <c r="AD98" s="11">
        <v>46222</v>
      </c>
      <c r="AE98" t="s">
        <v>2210</v>
      </c>
      <c r="AF98" t="s">
        <v>2182</v>
      </c>
      <c r="AG98" t="s">
        <v>2183</v>
      </c>
      <c r="AH98">
        <v>1180000</v>
      </c>
      <c r="AI98">
        <v>128177</v>
      </c>
      <c r="AJ98" t="s">
        <v>2060</v>
      </c>
    </row>
    <row r="99" spans="1:36" hidden="1" x14ac:dyDescent="0.2">
      <c r="A99" t="s">
        <v>2317</v>
      </c>
      <c r="B99" t="s">
        <v>217</v>
      </c>
      <c r="C99" t="s">
        <v>2318</v>
      </c>
      <c r="D99" t="s">
        <v>418</v>
      </c>
      <c r="E99">
        <v>266966</v>
      </c>
      <c r="F99" t="s">
        <v>2242</v>
      </c>
      <c r="G99">
        <v>8003</v>
      </c>
      <c r="H99">
        <v>587742</v>
      </c>
      <c r="I99" t="s">
        <v>788</v>
      </c>
      <c r="J99" s="11">
        <v>46193</v>
      </c>
      <c r="K99" s="11">
        <v>46193</v>
      </c>
      <c r="L99" t="s">
        <v>2177</v>
      </c>
      <c r="M99" t="s">
        <v>2243</v>
      </c>
      <c r="N99">
        <v>41666.67</v>
      </c>
      <c r="O99">
        <v>6</v>
      </c>
      <c r="P99">
        <v>250000</v>
      </c>
      <c r="Q99" t="s">
        <v>2244</v>
      </c>
      <c r="R99" t="s">
        <v>2206</v>
      </c>
      <c r="S99">
        <v>6</v>
      </c>
      <c r="T99">
        <v>250000</v>
      </c>
      <c r="U99" t="s">
        <v>2206</v>
      </c>
      <c r="V99">
        <v>6</v>
      </c>
      <c r="W99" t="s">
        <v>2180</v>
      </c>
      <c r="X99">
        <v>250000</v>
      </c>
      <c r="Y99">
        <v>250000</v>
      </c>
      <c r="Z99">
        <v>250000</v>
      </c>
      <c r="AA99">
        <v>0</v>
      </c>
      <c r="AB99">
        <v>0</v>
      </c>
      <c r="AC99" s="11">
        <v>46193</v>
      </c>
      <c r="AD99" s="11">
        <v>46193</v>
      </c>
      <c r="AE99" t="s">
        <v>2210</v>
      </c>
      <c r="AF99" t="s">
        <v>2182</v>
      </c>
      <c r="AG99" t="s">
        <v>2183</v>
      </c>
      <c r="AH99">
        <v>1180000</v>
      </c>
      <c r="AI99">
        <v>128177</v>
      </c>
      <c r="AJ99" t="s">
        <v>2060</v>
      </c>
    </row>
    <row r="100" spans="1:36" hidden="1" x14ac:dyDescent="0.2">
      <c r="A100" t="s">
        <v>2319</v>
      </c>
      <c r="B100" t="s">
        <v>168</v>
      </c>
      <c r="C100" t="s">
        <v>2320</v>
      </c>
      <c r="D100" t="s">
        <v>312</v>
      </c>
      <c r="E100">
        <v>267002</v>
      </c>
      <c r="F100" t="s">
        <v>2215</v>
      </c>
      <c r="G100">
        <v>8005</v>
      </c>
      <c r="H100">
        <v>581781</v>
      </c>
      <c r="I100" t="s">
        <v>578</v>
      </c>
      <c r="J100" s="11">
        <v>46174</v>
      </c>
      <c r="K100" s="11">
        <v>46222</v>
      </c>
      <c r="L100" t="s">
        <v>2177</v>
      </c>
      <c r="M100" t="s">
        <v>1850</v>
      </c>
      <c r="N100">
        <v>40</v>
      </c>
      <c r="O100">
        <v>6055550</v>
      </c>
      <c r="P100">
        <v>242222</v>
      </c>
      <c r="Q100" t="s">
        <v>2178</v>
      </c>
      <c r="R100" t="s">
        <v>2179</v>
      </c>
      <c r="S100">
        <v>0</v>
      </c>
      <c r="T100">
        <v>0</v>
      </c>
      <c r="U100" t="s">
        <v>2179</v>
      </c>
      <c r="V100">
        <v>4058316</v>
      </c>
      <c r="W100" t="s">
        <v>2180</v>
      </c>
      <c r="X100">
        <v>162332.64000000001</v>
      </c>
      <c r="Y100">
        <v>162332.64000000001</v>
      </c>
      <c r="Z100">
        <v>162332.64000000001</v>
      </c>
      <c r="AA100">
        <v>4059723</v>
      </c>
      <c r="AB100">
        <v>4058316</v>
      </c>
      <c r="AC100" s="11">
        <v>46174</v>
      </c>
      <c r="AD100" s="11">
        <v>46222</v>
      </c>
      <c r="AE100" t="s">
        <v>2202</v>
      </c>
      <c r="AF100" t="s">
        <v>2182</v>
      </c>
      <c r="AG100" t="s">
        <v>2183</v>
      </c>
      <c r="AH100">
        <v>1666668.21</v>
      </c>
      <c r="AI100">
        <v>127993</v>
      </c>
      <c r="AJ100" t="s">
        <v>2043</v>
      </c>
    </row>
    <row r="101" spans="1:36" hidden="1" x14ac:dyDescent="0.2">
      <c r="A101" t="s">
        <v>2319</v>
      </c>
      <c r="B101" t="s">
        <v>168</v>
      </c>
      <c r="C101" t="s">
        <v>2320</v>
      </c>
      <c r="D101" t="s">
        <v>312</v>
      </c>
      <c r="E101">
        <v>267002</v>
      </c>
      <c r="F101" t="s">
        <v>2219</v>
      </c>
      <c r="G101">
        <v>7998</v>
      </c>
      <c r="H101">
        <v>581784</v>
      </c>
      <c r="I101" t="s">
        <v>577</v>
      </c>
      <c r="J101" s="11">
        <v>46174</v>
      </c>
      <c r="K101" s="11">
        <v>46222</v>
      </c>
      <c r="L101" t="s">
        <v>2177</v>
      </c>
      <c r="M101" t="s">
        <v>1850</v>
      </c>
      <c r="N101">
        <v>15.85</v>
      </c>
      <c r="O101">
        <v>5047319</v>
      </c>
      <c r="P101">
        <v>80000.009999999995</v>
      </c>
      <c r="Q101" t="s">
        <v>2178</v>
      </c>
      <c r="R101" t="s">
        <v>2179</v>
      </c>
      <c r="S101">
        <v>0</v>
      </c>
      <c r="T101">
        <v>0</v>
      </c>
      <c r="U101" t="s">
        <v>2179</v>
      </c>
      <c r="V101">
        <v>3414086</v>
      </c>
      <c r="W101" t="s">
        <v>2180</v>
      </c>
      <c r="X101">
        <v>54113.263099999996</v>
      </c>
      <c r="Y101">
        <v>54113.263099999996</v>
      </c>
      <c r="Z101">
        <v>54113.263099999996</v>
      </c>
      <c r="AA101">
        <v>3425035</v>
      </c>
      <c r="AB101">
        <v>3414086</v>
      </c>
      <c r="AC101" s="11">
        <v>46174</v>
      </c>
      <c r="AD101" s="11">
        <v>46222</v>
      </c>
      <c r="AE101" t="s">
        <v>2202</v>
      </c>
      <c r="AF101" t="s">
        <v>2182</v>
      </c>
      <c r="AG101" t="s">
        <v>2183</v>
      </c>
      <c r="AH101">
        <v>1666668.21</v>
      </c>
      <c r="AI101">
        <v>127993</v>
      </c>
      <c r="AJ101" t="s">
        <v>2043</v>
      </c>
    </row>
    <row r="102" spans="1:36" hidden="1" x14ac:dyDescent="0.2">
      <c r="A102" t="s">
        <v>2319</v>
      </c>
      <c r="B102" t="s">
        <v>168</v>
      </c>
      <c r="C102" t="s">
        <v>2320</v>
      </c>
      <c r="D102" t="s">
        <v>312</v>
      </c>
      <c r="E102">
        <v>267002</v>
      </c>
      <c r="F102" t="s">
        <v>2215</v>
      </c>
      <c r="G102">
        <v>8005</v>
      </c>
      <c r="H102">
        <v>587864</v>
      </c>
      <c r="I102" t="s">
        <v>576</v>
      </c>
      <c r="J102" s="11">
        <v>46174</v>
      </c>
      <c r="K102" s="11">
        <v>46222</v>
      </c>
      <c r="L102" t="s">
        <v>2177</v>
      </c>
      <c r="M102" t="s">
        <v>1850</v>
      </c>
      <c r="N102">
        <v>40</v>
      </c>
      <c r="O102">
        <v>12111150</v>
      </c>
      <c r="P102">
        <v>484446</v>
      </c>
      <c r="Q102" t="s">
        <v>2178</v>
      </c>
      <c r="R102" t="s">
        <v>2179</v>
      </c>
      <c r="S102">
        <v>0</v>
      </c>
      <c r="T102">
        <v>0</v>
      </c>
      <c r="U102" t="s">
        <v>2179</v>
      </c>
      <c r="V102">
        <v>8551857</v>
      </c>
      <c r="W102" t="s">
        <v>2180</v>
      </c>
      <c r="X102">
        <v>342074.28</v>
      </c>
      <c r="Y102">
        <v>342074.28</v>
      </c>
      <c r="Z102">
        <v>342074.28</v>
      </c>
      <c r="AA102">
        <v>8570978</v>
      </c>
      <c r="AB102">
        <v>8551857</v>
      </c>
      <c r="AC102" s="11">
        <v>46174</v>
      </c>
      <c r="AD102" s="11">
        <v>46222</v>
      </c>
      <c r="AE102" t="s">
        <v>2202</v>
      </c>
      <c r="AF102" t="s">
        <v>2182</v>
      </c>
      <c r="AG102" t="s">
        <v>2183</v>
      </c>
      <c r="AH102">
        <v>1666668.21</v>
      </c>
      <c r="AI102">
        <v>127993</v>
      </c>
      <c r="AJ102" t="s">
        <v>2043</v>
      </c>
    </row>
    <row r="103" spans="1:36" hidden="1" x14ac:dyDescent="0.2">
      <c r="A103" t="s">
        <v>2319</v>
      </c>
      <c r="B103" t="s">
        <v>168</v>
      </c>
      <c r="C103" t="s">
        <v>2320</v>
      </c>
      <c r="D103" t="s">
        <v>312</v>
      </c>
      <c r="E103">
        <v>267002</v>
      </c>
      <c r="F103" t="s">
        <v>2219</v>
      </c>
      <c r="G103">
        <v>7998</v>
      </c>
      <c r="H103">
        <v>587867</v>
      </c>
      <c r="I103" t="s">
        <v>579</v>
      </c>
      <c r="J103" s="11">
        <v>46174</v>
      </c>
      <c r="K103" s="11">
        <v>46222</v>
      </c>
      <c r="L103" t="s">
        <v>2177</v>
      </c>
      <c r="M103" t="s">
        <v>1850</v>
      </c>
      <c r="N103">
        <v>15.85</v>
      </c>
      <c r="O103">
        <v>10094637</v>
      </c>
      <c r="P103">
        <v>160000</v>
      </c>
      <c r="Q103" t="s">
        <v>2178</v>
      </c>
      <c r="R103" t="s">
        <v>2179</v>
      </c>
      <c r="S103">
        <v>0</v>
      </c>
      <c r="T103">
        <v>0</v>
      </c>
      <c r="U103" t="s">
        <v>2179</v>
      </c>
      <c r="V103">
        <v>6605183</v>
      </c>
      <c r="W103" t="s">
        <v>2180</v>
      </c>
      <c r="X103">
        <v>104692.15059999999</v>
      </c>
      <c r="Y103">
        <v>104692.15059999999</v>
      </c>
      <c r="Z103">
        <v>104692.15059999999</v>
      </c>
      <c r="AA103">
        <v>6645229</v>
      </c>
      <c r="AB103">
        <v>6605183</v>
      </c>
      <c r="AC103" s="11">
        <v>46174</v>
      </c>
      <c r="AD103" s="11">
        <v>46222</v>
      </c>
      <c r="AE103" t="s">
        <v>2202</v>
      </c>
      <c r="AF103" t="s">
        <v>2182</v>
      </c>
      <c r="AG103" t="s">
        <v>2183</v>
      </c>
      <c r="AH103">
        <v>1666668.21</v>
      </c>
      <c r="AI103">
        <v>127993</v>
      </c>
      <c r="AJ103" t="s">
        <v>2043</v>
      </c>
    </row>
    <row r="104" spans="1:36" hidden="1" x14ac:dyDescent="0.2">
      <c r="A104" t="s">
        <v>2319</v>
      </c>
      <c r="B104" t="s">
        <v>168</v>
      </c>
      <c r="C104" t="s">
        <v>2320</v>
      </c>
      <c r="D104" t="s">
        <v>312</v>
      </c>
      <c r="E104">
        <v>267002</v>
      </c>
      <c r="F104" t="s">
        <v>2218</v>
      </c>
      <c r="G104">
        <v>8000</v>
      </c>
      <c r="H104">
        <v>587870</v>
      </c>
      <c r="I104" t="s">
        <v>896</v>
      </c>
      <c r="J104" s="11">
        <v>46174</v>
      </c>
      <c r="K104" s="11">
        <v>46222</v>
      </c>
      <c r="L104" t="s">
        <v>2213</v>
      </c>
      <c r="M104" t="s">
        <v>1852</v>
      </c>
      <c r="N104">
        <v>0.15</v>
      </c>
      <c r="O104">
        <v>1555556</v>
      </c>
      <c r="P104">
        <v>233333.4</v>
      </c>
      <c r="Q104" t="s">
        <v>2262</v>
      </c>
      <c r="R104" t="s">
        <v>2263</v>
      </c>
      <c r="S104">
        <v>777778</v>
      </c>
      <c r="T104">
        <v>116666.7</v>
      </c>
      <c r="U104" t="s">
        <v>2263</v>
      </c>
      <c r="V104">
        <v>777778</v>
      </c>
      <c r="W104" t="s">
        <v>2180</v>
      </c>
      <c r="X104">
        <v>116666.7</v>
      </c>
      <c r="Y104">
        <v>116666.7</v>
      </c>
      <c r="Z104">
        <v>116666.7</v>
      </c>
      <c r="AC104" s="11">
        <v>46174</v>
      </c>
      <c r="AD104" s="11">
        <v>46222</v>
      </c>
      <c r="AE104" t="s">
        <v>2202</v>
      </c>
      <c r="AF104" t="s">
        <v>2182</v>
      </c>
      <c r="AG104" t="s">
        <v>2183</v>
      </c>
      <c r="AH104">
        <v>1666668.21</v>
      </c>
      <c r="AI104">
        <v>127993</v>
      </c>
      <c r="AJ104" t="s">
        <v>2043</v>
      </c>
    </row>
    <row r="105" spans="1:36" hidden="1" x14ac:dyDescent="0.2">
      <c r="A105" t="s">
        <v>2319</v>
      </c>
      <c r="B105" t="s">
        <v>168</v>
      </c>
      <c r="C105" t="s">
        <v>2320</v>
      </c>
      <c r="D105" t="s">
        <v>312</v>
      </c>
      <c r="E105">
        <v>267002</v>
      </c>
      <c r="F105" t="s">
        <v>2218</v>
      </c>
      <c r="G105">
        <v>8000</v>
      </c>
      <c r="H105">
        <v>587876</v>
      </c>
      <c r="I105" t="s">
        <v>874</v>
      </c>
      <c r="J105" s="11">
        <v>46174</v>
      </c>
      <c r="K105" s="11">
        <v>46222</v>
      </c>
      <c r="L105" t="s">
        <v>2213</v>
      </c>
      <c r="M105" t="s">
        <v>1852</v>
      </c>
      <c r="N105">
        <v>0.15</v>
      </c>
      <c r="O105">
        <v>1555556</v>
      </c>
      <c r="P105">
        <v>233333.4</v>
      </c>
      <c r="Q105" t="s">
        <v>2262</v>
      </c>
      <c r="R105" t="s">
        <v>2263</v>
      </c>
      <c r="S105">
        <v>777778</v>
      </c>
      <c r="T105">
        <v>116666.7</v>
      </c>
      <c r="U105" t="s">
        <v>2263</v>
      </c>
      <c r="V105">
        <v>777778</v>
      </c>
      <c r="W105" t="s">
        <v>2180</v>
      </c>
      <c r="X105">
        <v>116666.7</v>
      </c>
      <c r="Y105">
        <v>116666.7</v>
      </c>
      <c r="Z105">
        <v>116666.7</v>
      </c>
      <c r="AC105" s="11">
        <v>46174</v>
      </c>
      <c r="AD105" s="11">
        <v>46222</v>
      </c>
      <c r="AE105" t="s">
        <v>2202</v>
      </c>
      <c r="AF105" t="s">
        <v>2182</v>
      </c>
      <c r="AG105" t="s">
        <v>2183</v>
      </c>
      <c r="AH105">
        <v>1666668.21</v>
      </c>
      <c r="AI105">
        <v>127993</v>
      </c>
      <c r="AJ105" t="s">
        <v>2043</v>
      </c>
    </row>
    <row r="106" spans="1:36" hidden="1" x14ac:dyDescent="0.2">
      <c r="A106" t="s">
        <v>2319</v>
      </c>
      <c r="B106" t="s">
        <v>168</v>
      </c>
      <c r="C106" t="s">
        <v>2320</v>
      </c>
      <c r="D106" t="s">
        <v>312</v>
      </c>
      <c r="E106">
        <v>267002</v>
      </c>
      <c r="F106" t="s">
        <v>2218</v>
      </c>
      <c r="G106">
        <v>8000</v>
      </c>
      <c r="H106">
        <v>587880</v>
      </c>
      <c r="I106" t="s">
        <v>870</v>
      </c>
      <c r="J106" s="11">
        <v>46174</v>
      </c>
      <c r="K106" s="11">
        <v>46222</v>
      </c>
      <c r="L106" t="s">
        <v>2213</v>
      </c>
      <c r="M106" t="s">
        <v>1852</v>
      </c>
      <c r="N106">
        <v>0.15</v>
      </c>
      <c r="O106">
        <v>1555556</v>
      </c>
      <c r="P106">
        <v>233333.4</v>
      </c>
      <c r="Q106" t="s">
        <v>2262</v>
      </c>
      <c r="R106" t="s">
        <v>2263</v>
      </c>
      <c r="S106">
        <v>777778</v>
      </c>
      <c r="T106">
        <v>116666.7</v>
      </c>
      <c r="U106" t="s">
        <v>2263</v>
      </c>
      <c r="V106">
        <v>777778</v>
      </c>
      <c r="W106" t="s">
        <v>2180</v>
      </c>
      <c r="X106">
        <v>116666.7</v>
      </c>
      <c r="Y106">
        <v>116666.7</v>
      </c>
      <c r="Z106">
        <v>116666.7</v>
      </c>
      <c r="AC106" s="11">
        <v>46174</v>
      </c>
      <c r="AD106" s="11">
        <v>46222</v>
      </c>
      <c r="AE106" t="s">
        <v>2202</v>
      </c>
      <c r="AF106" t="s">
        <v>2182</v>
      </c>
      <c r="AG106" t="s">
        <v>2183</v>
      </c>
      <c r="AH106">
        <v>1666668.21</v>
      </c>
      <c r="AI106">
        <v>127993</v>
      </c>
      <c r="AJ106" t="s">
        <v>2043</v>
      </c>
    </row>
    <row r="107" spans="1:36" hidden="1" x14ac:dyDescent="0.2">
      <c r="A107" t="s">
        <v>2321</v>
      </c>
      <c r="B107" t="s">
        <v>196</v>
      </c>
      <c r="C107" t="s">
        <v>2322</v>
      </c>
      <c r="D107" t="s">
        <v>367</v>
      </c>
      <c r="E107">
        <v>267090</v>
      </c>
      <c r="F107" t="s">
        <v>2215</v>
      </c>
      <c r="G107">
        <v>8005</v>
      </c>
      <c r="H107">
        <v>582291</v>
      </c>
      <c r="I107" t="s">
        <v>685</v>
      </c>
      <c r="J107" s="11">
        <v>46174</v>
      </c>
      <c r="K107" s="11">
        <v>46201</v>
      </c>
      <c r="L107" t="s">
        <v>2223</v>
      </c>
      <c r="M107" t="s">
        <v>1850</v>
      </c>
      <c r="N107">
        <v>43</v>
      </c>
      <c r="O107">
        <v>8632559</v>
      </c>
      <c r="P107">
        <v>371200.03</v>
      </c>
      <c r="Q107" t="s">
        <v>2178</v>
      </c>
      <c r="R107" t="s">
        <v>2179</v>
      </c>
      <c r="S107">
        <v>0</v>
      </c>
      <c r="T107">
        <v>0</v>
      </c>
      <c r="U107" t="s">
        <v>2179</v>
      </c>
      <c r="V107">
        <v>8632559</v>
      </c>
      <c r="W107" t="s">
        <v>2180</v>
      </c>
      <c r="X107">
        <v>371200.03</v>
      </c>
      <c r="Y107">
        <v>371200.03</v>
      </c>
      <c r="Z107">
        <v>371200.03</v>
      </c>
      <c r="AA107">
        <v>8888365</v>
      </c>
      <c r="AB107">
        <v>8905680</v>
      </c>
      <c r="AC107" s="11">
        <v>46174</v>
      </c>
      <c r="AD107" s="11">
        <v>46201</v>
      </c>
      <c r="AE107" t="s">
        <v>2266</v>
      </c>
      <c r="AF107" t="s">
        <v>2182</v>
      </c>
      <c r="AG107" t="s">
        <v>2183</v>
      </c>
      <c r="AH107">
        <v>571200.03</v>
      </c>
      <c r="AI107">
        <v>129756</v>
      </c>
      <c r="AJ107" t="s">
        <v>2062</v>
      </c>
    </row>
    <row r="108" spans="1:36" hidden="1" x14ac:dyDescent="0.2">
      <c r="A108" t="s">
        <v>2321</v>
      </c>
      <c r="B108" t="s">
        <v>196</v>
      </c>
      <c r="C108" t="s">
        <v>2322</v>
      </c>
      <c r="D108" t="s">
        <v>367</v>
      </c>
      <c r="E108">
        <v>267090</v>
      </c>
      <c r="F108" t="s">
        <v>2218</v>
      </c>
      <c r="G108">
        <v>8000</v>
      </c>
      <c r="H108">
        <v>582757</v>
      </c>
      <c r="I108" t="s">
        <v>867</v>
      </c>
      <c r="J108" s="11">
        <v>46174</v>
      </c>
      <c r="K108" s="11">
        <v>46201</v>
      </c>
      <c r="L108" t="s">
        <v>2223</v>
      </c>
      <c r="M108" t="s">
        <v>2205</v>
      </c>
      <c r="N108">
        <v>200000</v>
      </c>
      <c r="O108">
        <v>0</v>
      </c>
      <c r="P108">
        <v>200000</v>
      </c>
      <c r="Q108" t="s">
        <v>1987</v>
      </c>
      <c r="R108" t="s">
        <v>2206</v>
      </c>
      <c r="S108">
        <v>0</v>
      </c>
      <c r="T108">
        <v>200000</v>
      </c>
      <c r="U108" t="s">
        <v>2206</v>
      </c>
      <c r="V108">
        <v>0</v>
      </c>
      <c r="W108" t="s">
        <v>2180</v>
      </c>
      <c r="X108">
        <v>200000</v>
      </c>
      <c r="Y108">
        <v>200000</v>
      </c>
      <c r="Z108">
        <v>200000</v>
      </c>
      <c r="AC108" s="11">
        <v>46174</v>
      </c>
      <c r="AD108" s="11">
        <v>46201</v>
      </c>
      <c r="AE108" t="s">
        <v>2266</v>
      </c>
      <c r="AF108" t="s">
        <v>2182</v>
      </c>
      <c r="AG108" t="s">
        <v>2183</v>
      </c>
      <c r="AH108">
        <v>571200.03</v>
      </c>
      <c r="AI108">
        <v>129756</v>
      </c>
      <c r="AJ108" t="s">
        <v>2062</v>
      </c>
    </row>
    <row r="109" spans="1:36" hidden="1" x14ac:dyDescent="0.2">
      <c r="A109" t="s">
        <v>2321</v>
      </c>
      <c r="B109" t="s">
        <v>196</v>
      </c>
      <c r="C109" t="s">
        <v>2322</v>
      </c>
      <c r="D109" t="s">
        <v>367</v>
      </c>
      <c r="E109">
        <v>267090</v>
      </c>
      <c r="F109" t="s">
        <v>2248</v>
      </c>
      <c r="G109">
        <v>3534</v>
      </c>
      <c r="H109">
        <v>591322</v>
      </c>
      <c r="I109" t="s">
        <v>2323</v>
      </c>
      <c r="J109" s="11">
        <v>46199</v>
      </c>
      <c r="K109" s="11">
        <v>46199</v>
      </c>
      <c r="L109" t="s">
        <v>2223</v>
      </c>
      <c r="M109" t="s">
        <v>1850</v>
      </c>
      <c r="N109">
        <v>0</v>
      </c>
      <c r="O109">
        <v>0</v>
      </c>
      <c r="P109">
        <v>0</v>
      </c>
      <c r="Q109" t="s">
        <v>2201</v>
      </c>
      <c r="R109" t="s">
        <v>2179</v>
      </c>
      <c r="S109">
        <v>0</v>
      </c>
      <c r="T109">
        <v>0</v>
      </c>
      <c r="U109" t="s">
        <v>2179</v>
      </c>
      <c r="V109">
        <v>0</v>
      </c>
      <c r="W109" t="s">
        <v>2180</v>
      </c>
      <c r="X109">
        <v>0</v>
      </c>
      <c r="Y109">
        <v>0</v>
      </c>
      <c r="Z109">
        <v>0</v>
      </c>
      <c r="AC109" s="11">
        <v>46199</v>
      </c>
      <c r="AD109" s="11">
        <v>46199</v>
      </c>
      <c r="AE109" t="s">
        <v>2266</v>
      </c>
      <c r="AF109" t="s">
        <v>2182</v>
      </c>
      <c r="AG109" t="s">
        <v>2183</v>
      </c>
      <c r="AH109">
        <v>571200.03</v>
      </c>
      <c r="AI109">
        <v>129756</v>
      </c>
      <c r="AJ109" t="s">
        <v>2062</v>
      </c>
    </row>
    <row r="110" spans="1:36" hidden="1" x14ac:dyDescent="0.2">
      <c r="A110" t="s">
        <v>2224</v>
      </c>
      <c r="B110" t="s">
        <v>153</v>
      </c>
      <c r="C110" t="s">
        <v>2227</v>
      </c>
      <c r="D110" t="s">
        <v>290</v>
      </c>
      <c r="E110">
        <v>267395</v>
      </c>
      <c r="F110" t="s">
        <v>2215</v>
      </c>
      <c r="G110">
        <v>8005</v>
      </c>
      <c r="H110">
        <v>583466</v>
      </c>
      <c r="I110" t="s">
        <v>531</v>
      </c>
      <c r="J110" s="11">
        <v>46174</v>
      </c>
      <c r="K110" s="11">
        <v>46222</v>
      </c>
      <c r="L110" t="s">
        <v>2177</v>
      </c>
      <c r="M110" t="s">
        <v>1850</v>
      </c>
      <c r="N110">
        <v>40</v>
      </c>
      <c r="O110">
        <v>25000000</v>
      </c>
      <c r="P110">
        <v>1000000</v>
      </c>
      <c r="Q110" t="s">
        <v>2178</v>
      </c>
      <c r="R110" t="s">
        <v>2179</v>
      </c>
      <c r="S110">
        <v>0</v>
      </c>
      <c r="T110">
        <v>0</v>
      </c>
      <c r="U110" t="s">
        <v>2179</v>
      </c>
      <c r="V110">
        <v>16554738</v>
      </c>
      <c r="W110" t="s">
        <v>2180</v>
      </c>
      <c r="X110">
        <v>662189.52</v>
      </c>
      <c r="Y110">
        <v>662189.52</v>
      </c>
      <c r="Z110">
        <v>662189.52</v>
      </c>
      <c r="AA110">
        <v>16581808</v>
      </c>
      <c r="AB110">
        <v>16554738</v>
      </c>
      <c r="AC110" s="11">
        <v>46174</v>
      </c>
      <c r="AD110" s="11">
        <v>46222</v>
      </c>
      <c r="AE110" t="s">
        <v>2226</v>
      </c>
      <c r="AF110" t="s">
        <v>2182</v>
      </c>
      <c r="AG110" t="s">
        <v>2183</v>
      </c>
      <c r="AH110">
        <v>1000000</v>
      </c>
      <c r="AI110">
        <v>127415</v>
      </c>
      <c r="AJ110" t="s">
        <v>2039</v>
      </c>
    </row>
    <row r="111" spans="1:36" hidden="1" x14ac:dyDescent="0.2">
      <c r="A111" t="s">
        <v>2224</v>
      </c>
      <c r="B111" t="s">
        <v>153</v>
      </c>
      <c r="C111" t="s">
        <v>2227</v>
      </c>
      <c r="D111" t="s">
        <v>290</v>
      </c>
      <c r="E111">
        <v>267395</v>
      </c>
      <c r="F111" t="s">
        <v>2215</v>
      </c>
      <c r="G111">
        <v>8005</v>
      </c>
      <c r="H111">
        <v>593778</v>
      </c>
      <c r="I111" t="s">
        <v>748</v>
      </c>
      <c r="J111" s="11">
        <v>46189</v>
      </c>
      <c r="K111" s="11">
        <v>46234</v>
      </c>
      <c r="L111" t="s">
        <v>2177</v>
      </c>
      <c r="M111" t="s">
        <v>1850</v>
      </c>
      <c r="N111">
        <v>40</v>
      </c>
      <c r="O111">
        <v>701132</v>
      </c>
      <c r="P111">
        <v>0</v>
      </c>
      <c r="Q111" t="s">
        <v>2178</v>
      </c>
      <c r="R111" t="s">
        <v>2179</v>
      </c>
      <c r="S111">
        <v>0</v>
      </c>
      <c r="T111">
        <v>0</v>
      </c>
      <c r="U111" t="s">
        <v>2179</v>
      </c>
      <c r="V111">
        <v>468451</v>
      </c>
      <c r="W111" t="s">
        <v>2180</v>
      </c>
      <c r="X111">
        <v>0</v>
      </c>
      <c r="Y111">
        <v>0</v>
      </c>
      <c r="Z111">
        <v>0</v>
      </c>
      <c r="AA111">
        <v>463268</v>
      </c>
      <c r="AB111">
        <v>468451</v>
      </c>
      <c r="AC111" s="11">
        <v>46189</v>
      </c>
      <c r="AD111" s="11">
        <v>46234</v>
      </c>
      <c r="AE111" t="s">
        <v>2226</v>
      </c>
      <c r="AF111" t="s">
        <v>2182</v>
      </c>
      <c r="AG111" t="s">
        <v>2183</v>
      </c>
      <c r="AH111">
        <v>1000000</v>
      </c>
      <c r="AI111">
        <v>127415</v>
      </c>
      <c r="AJ111" t="s">
        <v>2039</v>
      </c>
    </row>
    <row r="112" spans="1:36" hidden="1" x14ac:dyDescent="0.2">
      <c r="A112" t="s">
        <v>2296</v>
      </c>
      <c r="B112" t="s">
        <v>145</v>
      </c>
      <c r="C112" t="s">
        <v>2324</v>
      </c>
      <c r="D112" t="s">
        <v>278</v>
      </c>
      <c r="E112">
        <v>267694</v>
      </c>
      <c r="F112" t="s">
        <v>2219</v>
      </c>
      <c r="G112">
        <v>7998</v>
      </c>
      <c r="H112">
        <v>585121</v>
      </c>
      <c r="I112" t="s">
        <v>512</v>
      </c>
      <c r="J112" s="11">
        <v>46184</v>
      </c>
      <c r="K112" s="11">
        <v>46234</v>
      </c>
      <c r="L112" t="s">
        <v>2177</v>
      </c>
      <c r="M112" t="s">
        <v>1850</v>
      </c>
      <c r="N112">
        <v>16.5</v>
      </c>
      <c r="O112">
        <v>14575758</v>
      </c>
      <c r="P112">
        <v>240500.01</v>
      </c>
      <c r="Q112" t="s">
        <v>2178</v>
      </c>
      <c r="R112" t="s">
        <v>2179</v>
      </c>
      <c r="S112">
        <v>0</v>
      </c>
      <c r="T112">
        <v>0</v>
      </c>
      <c r="U112" t="s">
        <v>2179</v>
      </c>
      <c r="V112">
        <v>6220479</v>
      </c>
      <c r="W112" t="s">
        <v>2180</v>
      </c>
      <c r="X112">
        <v>102637.9035</v>
      </c>
      <c r="Y112">
        <v>102637.9035</v>
      </c>
      <c r="Z112">
        <v>102637.9035</v>
      </c>
      <c r="AA112">
        <v>6253690</v>
      </c>
      <c r="AB112">
        <v>6220479</v>
      </c>
      <c r="AC112" s="11">
        <v>46184</v>
      </c>
      <c r="AD112" s="11">
        <v>46234</v>
      </c>
      <c r="AE112" t="s">
        <v>2298</v>
      </c>
      <c r="AF112" t="s">
        <v>2182</v>
      </c>
      <c r="AG112" t="s">
        <v>2183</v>
      </c>
      <c r="AH112">
        <v>240500.01</v>
      </c>
      <c r="AI112">
        <v>126803</v>
      </c>
      <c r="AJ112" t="s">
        <v>2055</v>
      </c>
    </row>
    <row r="113" spans="1:36" hidden="1" x14ac:dyDescent="0.2">
      <c r="A113" t="s">
        <v>2264</v>
      </c>
      <c r="B113" t="s">
        <v>157</v>
      </c>
      <c r="C113" t="s">
        <v>2265</v>
      </c>
      <c r="D113" t="s">
        <v>294</v>
      </c>
      <c r="E113">
        <v>267764</v>
      </c>
      <c r="F113" t="s">
        <v>2212</v>
      </c>
      <c r="G113">
        <v>2789</v>
      </c>
      <c r="H113">
        <v>584846</v>
      </c>
      <c r="I113" t="s">
        <v>539</v>
      </c>
      <c r="J113" s="11">
        <v>46188</v>
      </c>
      <c r="K113" s="11">
        <v>46204</v>
      </c>
      <c r="L113" t="s">
        <v>2177</v>
      </c>
      <c r="M113" t="s">
        <v>1850</v>
      </c>
      <c r="N113">
        <v>19</v>
      </c>
      <c r="O113">
        <v>2105263</v>
      </c>
      <c r="P113">
        <v>40000</v>
      </c>
      <c r="Q113" t="s">
        <v>2201</v>
      </c>
      <c r="R113" t="s">
        <v>2179</v>
      </c>
      <c r="S113">
        <v>0</v>
      </c>
      <c r="T113">
        <v>0</v>
      </c>
      <c r="U113" t="s">
        <v>2179</v>
      </c>
      <c r="V113">
        <v>1655505</v>
      </c>
      <c r="W113" t="s">
        <v>2180</v>
      </c>
      <c r="X113">
        <v>31454.595000000001</v>
      </c>
      <c r="Y113">
        <v>31454.595000000001</v>
      </c>
      <c r="Z113">
        <v>31454.595000000001</v>
      </c>
      <c r="AA113">
        <v>1413178</v>
      </c>
      <c r="AB113">
        <v>1655505</v>
      </c>
      <c r="AC113" s="11">
        <v>46188</v>
      </c>
      <c r="AD113" s="11">
        <v>46204</v>
      </c>
      <c r="AE113" t="s">
        <v>2266</v>
      </c>
      <c r="AF113" t="s">
        <v>2182</v>
      </c>
      <c r="AG113" t="s">
        <v>2183</v>
      </c>
      <c r="AH113">
        <v>50000.02</v>
      </c>
      <c r="AI113">
        <v>127605</v>
      </c>
      <c r="AJ113" t="s">
        <v>2061</v>
      </c>
    </row>
    <row r="114" spans="1:36" hidden="1" x14ac:dyDescent="0.2">
      <c r="A114" t="s">
        <v>2207</v>
      </c>
      <c r="B114" t="s">
        <v>165</v>
      </c>
      <c r="C114" t="s">
        <v>2325</v>
      </c>
      <c r="D114" t="s">
        <v>307</v>
      </c>
      <c r="E114">
        <v>267884</v>
      </c>
      <c r="F114" t="s">
        <v>2215</v>
      </c>
      <c r="G114">
        <v>8005</v>
      </c>
      <c r="H114">
        <v>585599</v>
      </c>
      <c r="I114" t="s">
        <v>565</v>
      </c>
      <c r="J114" s="11">
        <v>46174</v>
      </c>
      <c r="K114" s="11">
        <v>46208</v>
      </c>
      <c r="L114" t="s">
        <v>2177</v>
      </c>
      <c r="M114" t="s">
        <v>1850</v>
      </c>
      <c r="N114">
        <v>44</v>
      </c>
      <c r="O114">
        <v>4162864</v>
      </c>
      <c r="P114">
        <v>183166.02</v>
      </c>
      <c r="Q114" t="s">
        <v>2178</v>
      </c>
      <c r="R114" t="s">
        <v>2179</v>
      </c>
      <c r="S114">
        <v>0</v>
      </c>
      <c r="T114">
        <v>0</v>
      </c>
      <c r="U114" t="s">
        <v>2179</v>
      </c>
      <c r="V114">
        <v>3671976</v>
      </c>
      <c r="W114" t="s">
        <v>2180</v>
      </c>
      <c r="X114">
        <v>161566.94399999999</v>
      </c>
      <c r="Y114">
        <v>161566.94399999999</v>
      </c>
      <c r="Z114">
        <v>161566.94399999999</v>
      </c>
      <c r="AA114">
        <v>3690021</v>
      </c>
      <c r="AB114">
        <v>3671976</v>
      </c>
      <c r="AC114" s="11">
        <v>46174</v>
      </c>
      <c r="AD114" s="11">
        <v>46208</v>
      </c>
      <c r="AE114" t="s">
        <v>2210</v>
      </c>
      <c r="AF114" t="s">
        <v>2182</v>
      </c>
      <c r="AG114" t="s">
        <v>2183</v>
      </c>
      <c r="AH114">
        <v>325837.03999999998</v>
      </c>
      <c r="AI114">
        <v>128166</v>
      </c>
      <c r="AJ114" t="s">
        <v>2060</v>
      </c>
    </row>
    <row r="115" spans="1:36" hidden="1" x14ac:dyDescent="0.2">
      <c r="A115" t="s">
        <v>2207</v>
      </c>
      <c r="B115" t="s">
        <v>165</v>
      </c>
      <c r="C115" t="s">
        <v>2325</v>
      </c>
      <c r="D115" t="s">
        <v>307</v>
      </c>
      <c r="E115">
        <v>267884</v>
      </c>
      <c r="F115" t="s">
        <v>2219</v>
      </c>
      <c r="G115">
        <v>7998</v>
      </c>
      <c r="H115">
        <v>585606</v>
      </c>
      <c r="I115" t="s">
        <v>564</v>
      </c>
      <c r="J115" s="11">
        <v>46174</v>
      </c>
      <c r="K115" s="11">
        <v>46208</v>
      </c>
      <c r="L115" t="s">
        <v>2177</v>
      </c>
      <c r="M115" t="s">
        <v>1850</v>
      </c>
      <c r="N115">
        <v>19.25</v>
      </c>
      <c r="O115">
        <v>3672416</v>
      </c>
      <c r="P115">
        <v>70694.009999999995</v>
      </c>
      <c r="Q115" t="s">
        <v>2178</v>
      </c>
      <c r="R115" t="s">
        <v>2179</v>
      </c>
      <c r="S115">
        <v>0</v>
      </c>
      <c r="T115">
        <v>0</v>
      </c>
      <c r="U115" t="s">
        <v>2179</v>
      </c>
      <c r="V115">
        <v>3527387</v>
      </c>
      <c r="W115" t="s">
        <v>2180</v>
      </c>
      <c r="X115">
        <v>67902.199800000002</v>
      </c>
      <c r="Y115">
        <v>67902.199800000002</v>
      </c>
      <c r="Z115">
        <v>67902.199800000002</v>
      </c>
      <c r="AA115">
        <v>3517609</v>
      </c>
      <c r="AB115">
        <v>3527387</v>
      </c>
      <c r="AC115" s="11">
        <v>46174</v>
      </c>
      <c r="AD115" s="11">
        <v>46208</v>
      </c>
      <c r="AE115" t="s">
        <v>2210</v>
      </c>
      <c r="AF115" t="s">
        <v>2182</v>
      </c>
      <c r="AG115" t="s">
        <v>2183</v>
      </c>
      <c r="AH115">
        <v>325837.03999999998</v>
      </c>
      <c r="AI115">
        <v>128166</v>
      </c>
      <c r="AJ115" t="s">
        <v>2060</v>
      </c>
    </row>
    <row r="116" spans="1:36" hidden="1" x14ac:dyDescent="0.2">
      <c r="A116" t="s">
        <v>2207</v>
      </c>
      <c r="B116" t="s">
        <v>165</v>
      </c>
      <c r="C116" t="s">
        <v>2325</v>
      </c>
      <c r="D116" t="s">
        <v>307</v>
      </c>
      <c r="E116">
        <v>267884</v>
      </c>
      <c r="F116" t="s">
        <v>2220</v>
      </c>
      <c r="G116">
        <v>8001</v>
      </c>
      <c r="H116">
        <v>592295</v>
      </c>
      <c r="I116" t="s">
        <v>821</v>
      </c>
      <c r="J116" s="11">
        <v>46176</v>
      </c>
      <c r="K116" s="11">
        <v>46208</v>
      </c>
      <c r="L116" t="s">
        <v>2177</v>
      </c>
      <c r="M116" t="s">
        <v>1850</v>
      </c>
      <c r="N116">
        <v>5</v>
      </c>
      <c r="O116">
        <v>14395400</v>
      </c>
      <c r="P116">
        <v>71977</v>
      </c>
      <c r="Q116" t="s">
        <v>2178</v>
      </c>
      <c r="R116" t="s">
        <v>2179</v>
      </c>
      <c r="S116">
        <v>0</v>
      </c>
      <c r="T116">
        <v>0</v>
      </c>
      <c r="U116" t="s">
        <v>2179</v>
      </c>
      <c r="V116">
        <v>12584082</v>
      </c>
      <c r="W116" t="s">
        <v>2180</v>
      </c>
      <c r="X116">
        <v>62920.41</v>
      </c>
      <c r="Y116">
        <v>62920.41</v>
      </c>
      <c r="Z116">
        <v>62920.41</v>
      </c>
      <c r="AA116">
        <v>12586939</v>
      </c>
      <c r="AB116">
        <v>12584082</v>
      </c>
      <c r="AC116" s="11">
        <v>46176</v>
      </c>
      <c r="AD116" s="11">
        <v>46208</v>
      </c>
      <c r="AE116" t="s">
        <v>2210</v>
      </c>
      <c r="AF116" t="s">
        <v>2182</v>
      </c>
      <c r="AG116" t="s">
        <v>2183</v>
      </c>
      <c r="AH116">
        <v>325837.03999999998</v>
      </c>
      <c r="AI116">
        <v>128166</v>
      </c>
      <c r="AJ116" t="s">
        <v>2060</v>
      </c>
    </row>
    <row r="117" spans="1:36" hidden="1" x14ac:dyDescent="0.2">
      <c r="A117" t="s">
        <v>2326</v>
      </c>
      <c r="B117" t="s">
        <v>199</v>
      </c>
      <c r="C117" t="s">
        <v>2327</v>
      </c>
      <c r="D117" t="s">
        <v>396</v>
      </c>
      <c r="E117">
        <v>267910</v>
      </c>
      <c r="F117" t="s">
        <v>2219</v>
      </c>
      <c r="G117">
        <v>7998</v>
      </c>
      <c r="H117">
        <v>587313</v>
      </c>
      <c r="I117" t="s">
        <v>734</v>
      </c>
      <c r="J117" s="11">
        <v>46184</v>
      </c>
      <c r="K117" s="11">
        <v>46222</v>
      </c>
      <c r="L117" t="s">
        <v>2223</v>
      </c>
      <c r="M117" t="s">
        <v>1850</v>
      </c>
      <c r="N117">
        <v>20</v>
      </c>
      <c r="O117">
        <v>7500000</v>
      </c>
      <c r="P117">
        <v>150000</v>
      </c>
      <c r="Q117" t="s">
        <v>2178</v>
      </c>
      <c r="R117" t="s">
        <v>2179</v>
      </c>
      <c r="S117">
        <v>0</v>
      </c>
      <c r="T117">
        <v>0</v>
      </c>
      <c r="U117" t="s">
        <v>2179</v>
      </c>
      <c r="V117">
        <v>4744310</v>
      </c>
      <c r="W117" t="s">
        <v>2180</v>
      </c>
      <c r="X117">
        <v>94886.2</v>
      </c>
      <c r="Y117">
        <v>94886.2</v>
      </c>
      <c r="Z117">
        <v>94886.2</v>
      </c>
      <c r="AA117">
        <v>4393247</v>
      </c>
      <c r="AB117">
        <v>4744310</v>
      </c>
      <c r="AC117" s="11">
        <v>46184</v>
      </c>
      <c r="AD117" s="11">
        <v>46222</v>
      </c>
      <c r="AE117" t="s">
        <v>2328</v>
      </c>
      <c r="AF117" t="s">
        <v>2182</v>
      </c>
      <c r="AG117" t="s">
        <v>2183</v>
      </c>
      <c r="AH117">
        <v>500000.05</v>
      </c>
      <c r="AI117">
        <v>131007</v>
      </c>
      <c r="AJ117" t="s">
        <v>2061</v>
      </c>
    </row>
    <row r="118" spans="1:36" hidden="1" x14ac:dyDescent="0.2">
      <c r="A118" t="s">
        <v>2326</v>
      </c>
      <c r="B118" t="s">
        <v>199</v>
      </c>
      <c r="C118" t="s">
        <v>2327</v>
      </c>
      <c r="D118" t="s">
        <v>396</v>
      </c>
      <c r="E118">
        <v>267910</v>
      </c>
      <c r="F118" t="s">
        <v>2215</v>
      </c>
      <c r="G118">
        <v>8005</v>
      </c>
      <c r="H118">
        <v>587567</v>
      </c>
      <c r="I118" t="s">
        <v>740</v>
      </c>
      <c r="J118" s="11">
        <v>46184</v>
      </c>
      <c r="K118" s="11">
        <v>46222</v>
      </c>
      <c r="L118" t="s">
        <v>2223</v>
      </c>
      <c r="M118" t="s">
        <v>1850</v>
      </c>
      <c r="N118">
        <v>44</v>
      </c>
      <c r="O118">
        <v>5681819</v>
      </c>
      <c r="P118">
        <v>250000.03</v>
      </c>
      <c r="Q118" t="s">
        <v>2178</v>
      </c>
      <c r="R118" t="s">
        <v>2179</v>
      </c>
      <c r="S118">
        <v>0</v>
      </c>
      <c r="T118">
        <v>0</v>
      </c>
      <c r="U118" t="s">
        <v>2179</v>
      </c>
      <c r="V118">
        <v>3965300</v>
      </c>
      <c r="W118" t="s">
        <v>2180</v>
      </c>
      <c r="X118">
        <v>174473.2</v>
      </c>
      <c r="Y118">
        <v>174473.2</v>
      </c>
      <c r="Z118">
        <v>174473.2</v>
      </c>
      <c r="AA118">
        <v>3771439</v>
      </c>
      <c r="AB118">
        <v>3965300</v>
      </c>
      <c r="AC118" s="11">
        <v>46184</v>
      </c>
      <c r="AD118" s="11">
        <v>46222</v>
      </c>
      <c r="AE118" t="s">
        <v>2328</v>
      </c>
      <c r="AF118" t="s">
        <v>2182</v>
      </c>
      <c r="AG118" t="s">
        <v>2183</v>
      </c>
      <c r="AH118">
        <v>500000.05</v>
      </c>
      <c r="AI118">
        <v>131007</v>
      </c>
      <c r="AJ118" t="s">
        <v>2061</v>
      </c>
    </row>
    <row r="119" spans="1:36" hidden="1" x14ac:dyDescent="0.2">
      <c r="A119" t="s">
        <v>2326</v>
      </c>
      <c r="B119" t="s">
        <v>199</v>
      </c>
      <c r="C119" t="s">
        <v>2327</v>
      </c>
      <c r="D119" t="s">
        <v>396</v>
      </c>
      <c r="E119">
        <v>267910</v>
      </c>
      <c r="F119" t="s">
        <v>2216</v>
      </c>
      <c r="G119">
        <v>8002</v>
      </c>
      <c r="H119">
        <v>587596</v>
      </c>
      <c r="I119" t="s">
        <v>733</v>
      </c>
      <c r="J119" s="11">
        <v>46184</v>
      </c>
      <c r="K119" s="11">
        <v>46222</v>
      </c>
      <c r="L119" t="s">
        <v>2223</v>
      </c>
      <c r="M119" t="s">
        <v>1850</v>
      </c>
      <c r="N119">
        <v>34.72</v>
      </c>
      <c r="O119">
        <v>2880185</v>
      </c>
      <c r="P119">
        <v>100000.02</v>
      </c>
      <c r="Q119" t="s">
        <v>2178</v>
      </c>
      <c r="R119" t="s">
        <v>2179</v>
      </c>
      <c r="S119">
        <v>0</v>
      </c>
      <c r="T119">
        <v>0</v>
      </c>
      <c r="U119" t="s">
        <v>2179</v>
      </c>
      <c r="V119">
        <v>1289356</v>
      </c>
      <c r="W119" t="s">
        <v>2180</v>
      </c>
      <c r="X119">
        <v>44766.440300000002</v>
      </c>
      <c r="Y119">
        <v>44766.440300000002</v>
      </c>
      <c r="Z119">
        <v>44766.440300000002</v>
      </c>
      <c r="AA119">
        <v>1236162</v>
      </c>
      <c r="AB119">
        <v>1289356</v>
      </c>
      <c r="AC119" s="11">
        <v>46184</v>
      </c>
      <c r="AD119" s="11">
        <v>46222</v>
      </c>
      <c r="AE119" t="s">
        <v>2328</v>
      </c>
      <c r="AF119" t="s">
        <v>2182</v>
      </c>
      <c r="AG119" t="s">
        <v>2183</v>
      </c>
      <c r="AH119">
        <v>500000.05</v>
      </c>
      <c r="AI119">
        <v>131007</v>
      </c>
      <c r="AJ119" t="s">
        <v>2061</v>
      </c>
    </row>
    <row r="120" spans="1:36" hidden="1" x14ac:dyDescent="0.2">
      <c r="A120" t="s">
        <v>2296</v>
      </c>
      <c r="B120" t="s">
        <v>166</v>
      </c>
      <c r="C120" t="s">
        <v>2297</v>
      </c>
      <c r="D120" t="s">
        <v>310</v>
      </c>
      <c r="E120">
        <v>267962</v>
      </c>
      <c r="F120" t="s">
        <v>2215</v>
      </c>
      <c r="G120">
        <v>8005</v>
      </c>
      <c r="H120">
        <v>585622</v>
      </c>
      <c r="I120" t="s">
        <v>572</v>
      </c>
      <c r="J120" s="11">
        <v>46174</v>
      </c>
      <c r="K120" s="11">
        <v>46222</v>
      </c>
      <c r="L120" t="s">
        <v>2177</v>
      </c>
      <c r="M120" t="s">
        <v>1850</v>
      </c>
      <c r="N120">
        <v>60</v>
      </c>
      <c r="O120">
        <v>625000</v>
      </c>
      <c r="P120">
        <v>37500</v>
      </c>
      <c r="Q120" t="s">
        <v>2178</v>
      </c>
      <c r="R120" t="s">
        <v>2179</v>
      </c>
      <c r="S120">
        <v>0</v>
      </c>
      <c r="T120">
        <v>0</v>
      </c>
      <c r="U120" t="s">
        <v>2179</v>
      </c>
      <c r="V120">
        <v>466398</v>
      </c>
      <c r="W120" t="s">
        <v>2180</v>
      </c>
      <c r="X120">
        <v>27983.88</v>
      </c>
      <c r="Y120">
        <v>27983.88</v>
      </c>
      <c r="Z120">
        <v>27983.88</v>
      </c>
      <c r="AA120">
        <v>466377</v>
      </c>
      <c r="AB120">
        <v>466398</v>
      </c>
      <c r="AC120" s="11">
        <v>46174</v>
      </c>
      <c r="AD120" s="11">
        <v>46222</v>
      </c>
      <c r="AE120" t="s">
        <v>2298</v>
      </c>
      <c r="AF120" t="s">
        <v>2182</v>
      </c>
      <c r="AG120" t="s">
        <v>2183</v>
      </c>
      <c r="AH120">
        <v>950000</v>
      </c>
      <c r="AI120">
        <v>128224</v>
      </c>
      <c r="AJ120" t="s">
        <v>2055</v>
      </c>
    </row>
    <row r="121" spans="1:36" hidden="1" x14ac:dyDescent="0.2">
      <c r="A121" t="s">
        <v>2296</v>
      </c>
      <c r="B121" t="s">
        <v>166</v>
      </c>
      <c r="C121" t="s">
        <v>2297</v>
      </c>
      <c r="D121" t="s">
        <v>310</v>
      </c>
      <c r="E121">
        <v>267962</v>
      </c>
      <c r="F121" t="s">
        <v>2215</v>
      </c>
      <c r="G121">
        <v>8005</v>
      </c>
      <c r="H121">
        <v>585625</v>
      </c>
      <c r="I121" t="s">
        <v>571</v>
      </c>
      <c r="J121" s="11">
        <v>46174</v>
      </c>
      <c r="K121" s="11">
        <v>46222</v>
      </c>
      <c r="L121" t="s">
        <v>2177</v>
      </c>
      <c r="M121" t="s">
        <v>1850</v>
      </c>
      <c r="N121">
        <v>80</v>
      </c>
      <c r="O121">
        <v>468750</v>
      </c>
      <c r="P121">
        <v>37500</v>
      </c>
      <c r="Q121" t="s">
        <v>2178</v>
      </c>
      <c r="R121" t="s">
        <v>2179</v>
      </c>
      <c r="S121">
        <v>0</v>
      </c>
      <c r="T121">
        <v>0</v>
      </c>
      <c r="U121" t="s">
        <v>2179</v>
      </c>
      <c r="V121">
        <v>344109</v>
      </c>
      <c r="W121" t="s">
        <v>2180</v>
      </c>
      <c r="X121">
        <v>27528.720000000001</v>
      </c>
      <c r="Y121">
        <v>27528.720000000001</v>
      </c>
      <c r="Z121">
        <v>27528.720000000001</v>
      </c>
      <c r="AA121">
        <v>344481</v>
      </c>
      <c r="AB121">
        <v>344109</v>
      </c>
      <c r="AC121" s="11">
        <v>46174</v>
      </c>
      <c r="AD121" s="11">
        <v>46222</v>
      </c>
      <c r="AE121" t="s">
        <v>2298</v>
      </c>
      <c r="AF121" t="s">
        <v>2182</v>
      </c>
      <c r="AG121" t="s">
        <v>2183</v>
      </c>
      <c r="AH121">
        <v>950000</v>
      </c>
      <c r="AI121">
        <v>128224</v>
      </c>
      <c r="AJ121" t="s">
        <v>2055</v>
      </c>
    </row>
    <row r="122" spans="1:36" hidden="1" x14ac:dyDescent="0.2">
      <c r="A122" t="s">
        <v>2296</v>
      </c>
      <c r="B122" t="s">
        <v>166</v>
      </c>
      <c r="C122" t="s">
        <v>2297</v>
      </c>
      <c r="D122" t="s">
        <v>310</v>
      </c>
      <c r="E122">
        <v>267962</v>
      </c>
      <c r="F122" t="s">
        <v>2219</v>
      </c>
      <c r="G122">
        <v>7998</v>
      </c>
      <c r="H122">
        <v>585652</v>
      </c>
      <c r="I122" t="s">
        <v>573</v>
      </c>
      <c r="J122" s="11">
        <v>46174</v>
      </c>
      <c r="K122" s="11">
        <v>46222</v>
      </c>
      <c r="L122" t="s">
        <v>2177</v>
      </c>
      <c r="M122" t="s">
        <v>1850</v>
      </c>
      <c r="N122">
        <v>30</v>
      </c>
      <c r="O122">
        <v>8750000</v>
      </c>
      <c r="P122">
        <v>262500</v>
      </c>
      <c r="Q122" t="s">
        <v>2178</v>
      </c>
      <c r="R122" t="s">
        <v>2179</v>
      </c>
      <c r="S122">
        <v>0</v>
      </c>
      <c r="T122">
        <v>0</v>
      </c>
      <c r="U122" t="s">
        <v>2179</v>
      </c>
      <c r="V122">
        <v>5780967</v>
      </c>
      <c r="W122" t="s">
        <v>2180</v>
      </c>
      <c r="X122">
        <v>173429.01</v>
      </c>
      <c r="Y122">
        <v>173429.01</v>
      </c>
      <c r="Z122">
        <v>173429.01</v>
      </c>
      <c r="AA122">
        <v>5755526</v>
      </c>
      <c r="AB122">
        <v>5780967</v>
      </c>
      <c r="AC122" s="11">
        <v>46174</v>
      </c>
      <c r="AD122" s="11">
        <v>46222</v>
      </c>
      <c r="AE122" t="s">
        <v>2298</v>
      </c>
      <c r="AF122" t="s">
        <v>2182</v>
      </c>
      <c r="AG122" t="s">
        <v>2183</v>
      </c>
      <c r="AH122">
        <v>950000</v>
      </c>
      <c r="AI122">
        <v>128224</v>
      </c>
      <c r="AJ122" t="s">
        <v>2055</v>
      </c>
    </row>
    <row r="123" spans="1:36" hidden="1" x14ac:dyDescent="0.2">
      <c r="A123" t="s">
        <v>2296</v>
      </c>
      <c r="B123" t="s">
        <v>166</v>
      </c>
      <c r="C123" t="s">
        <v>2297</v>
      </c>
      <c r="D123" t="s">
        <v>310</v>
      </c>
      <c r="E123">
        <v>267962</v>
      </c>
      <c r="F123" t="s">
        <v>2219</v>
      </c>
      <c r="G123">
        <v>7998</v>
      </c>
      <c r="H123">
        <v>585655</v>
      </c>
      <c r="I123" t="s">
        <v>570</v>
      </c>
      <c r="J123" s="11">
        <v>46174</v>
      </c>
      <c r="K123" s="11">
        <v>46222</v>
      </c>
      <c r="L123" t="s">
        <v>2177</v>
      </c>
      <c r="M123" t="s">
        <v>1850</v>
      </c>
      <c r="N123">
        <v>40</v>
      </c>
      <c r="O123">
        <v>15312500</v>
      </c>
      <c r="P123">
        <v>612500</v>
      </c>
      <c r="Q123" t="s">
        <v>2178</v>
      </c>
      <c r="R123" t="s">
        <v>2179</v>
      </c>
      <c r="S123">
        <v>0</v>
      </c>
      <c r="T123">
        <v>0</v>
      </c>
      <c r="U123" t="s">
        <v>2179</v>
      </c>
      <c r="V123">
        <v>10101079</v>
      </c>
      <c r="W123" t="s">
        <v>2180</v>
      </c>
      <c r="X123">
        <v>404043.16</v>
      </c>
      <c r="Y123">
        <v>404043.16</v>
      </c>
      <c r="Z123">
        <v>404043.16</v>
      </c>
      <c r="AA123">
        <v>10095116</v>
      </c>
      <c r="AB123">
        <v>10101079</v>
      </c>
      <c r="AC123" s="11">
        <v>46174</v>
      </c>
      <c r="AD123" s="11">
        <v>46222</v>
      </c>
      <c r="AE123" t="s">
        <v>2298</v>
      </c>
      <c r="AF123" t="s">
        <v>2182</v>
      </c>
      <c r="AG123" t="s">
        <v>2183</v>
      </c>
      <c r="AH123">
        <v>950000</v>
      </c>
      <c r="AI123">
        <v>128224</v>
      </c>
      <c r="AJ123" t="s">
        <v>2055</v>
      </c>
    </row>
    <row r="124" spans="1:36" hidden="1" x14ac:dyDescent="0.2">
      <c r="A124" t="s">
        <v>2296</v>
      </c>
      <c r="B124" t="s">
        <v>166</v>
      </c>
      <c r="C124" t="s">
        <v>2297</v>
      </c>
      <c r="D124" t="s">
        <v>309</v>
      </c>
      <c r="E124">
        <v>267963</v>
      </c>
      <c r="F124" t="s">
        <v>2215</v>
      </c>
      <c r="G124">
        <v>8005</v>
      </c>
      <c r="H124">
        <v>585634</v>
      </c>
      <c r="I124" t="s">
        <v>567</v>
      </c>
      <c r="J124" s="11">
        <v>46174</v>
      </c>
      <c r="K124" s="11">
        <v>46222</v>
      </c>
      <c r="L124" t="s">
        <v>2177</v>
      </c>
      <c r="M124" t="s">
        <v>1850</v>
      </c>
      <c r="N124">
        <v>80</v>
      </c>
      <c r="O124">
        <v>1875000</v>
      </c>
      <c r="P124">
        <v>150000</v>
      </c>
      <c r="Q124" t="s">
        <v>2178</v>
      </c>
      <c r="R124" t="s">
        <v>2179</v>
      </c>
      <c r="S124">
        <v>0</v>
      </c>
      <c r="T124">
        <v>0</v>
      </c>
      <c r="U124" t="s">
        <v>2179</v>
      </c>
      <c r="V124">
        <v>1360543</v>
      </c>
      <c r="W124" t="s">
        <v>2180</v>
      </c>
      <c r="X124">
        <v>108843.44</v>
      </c>
      <c r="Y124">
        <v>108843.44</v>
      </c>
      <c r="Z124">
        <v>108843.44</v>
      </c>
      <c r="AA124">
        <v>1364801</v>
      </c>
      <c r="AB124">
        <v>1360543</v>
      </c>
      <c r="AC124" s="11">
        <v>46174</v>
      </c>
      <c r="AD124" s="11">
        <v>46222</v>
      </c>
      <c r="AE124" t="s">
        <v>2298</v>
      </c>
      <c r="AF124" t="s">
        <v>2182</v>
      </c>
      <c r="AG124" t="s">
        <v>2183</v>
      </c>
      <c r="AH124">
        <v>400000</v>
      </c>
      <c r="AI124">
        <v>128219</v>
      </c>
      <c r="AJ124" t="s">
        <v>2055</v>
      </c>
    </row>
    <row r="125" spans="1:36" hidden="1" x14ac:dyDescent="0.2">
      <c r="A125" t="s">
        <v>2296</v>
      </c>
      <c r="B125" t="s">
        <v>166</v>
      </c>
      <c r="C125" t="s">
        <v>2297</v>
      </c>
      <c r="D125" t="s">
        <v>309</v>
      </c>
      <c r="E125">
        <v>267963</v>
      </c>
      <c r="F125" t="s">
        <v>2216</v>
      </c>
      <c r="G125">
        <v>8002</v>
      </c>
      <c r="H125">
        <v>587702</v>
      </c>
      <c r="I125" t="s">
        <v>569</v>
      </c>
      <c r="J125" s="11">
        <v>46174</v>
      </c>
      <c r="K125" s="11">
        <v>46222</v>
      </c>
      <c r="L125" t="s">
        <v>2177</v>
      </c>
      <c r="M125" t="s">
        <v>1850</v>
      </c>
      <c r="N125">
        <v>50</v>
      </c>
      <c r="O125">
        <v>600000</v>
      </c>
      <c r="P125">
        <v>30000</v>
      </c>
      <c r="Q125" t="s">
        <v>2201</v>
      </c>
      <c r="R125" t="s">
        <v>2179</v>
      </c>
      <c r="S125">
        <v>0</v>
      </c>
      <c r="T125">
        <v>0</v>
      </c>
      <c r="U125" t="s">
        <v>2179</v>
      </c>
      <c r="V125">
        <v>390834</v>
      </c>
      <c r="W125" t="s">
        <v>2180</v>
      </c>
      <c r="X125">
        <v>19541.7</v>
      </c>
      <c r="Y125">
        <v>19541.7</v>
      </c>
      <c r="Z125">
        <v>19541.7</v>
      </c>
      <c r="AA125">
        <v>393877</v>
      </c>
      <c r="AB125">
        <v>390834</v>
      </c>
      <c r="AC125" s="11">
        <v>46174</v>
      </c>
      <c r="AD125" s="11">
        <v>46222</v>
      </c>
      <c r="AE125" t="s">
        <v>2298</v>
      </c>
      <c r="AF125" t="s">
        <v>2182</v>
      </c>
      <c r="AG125" t="s">
        <v>2183</v>
      </c>
      <c r="AH125">
        <v>400000</v>
      </c>
      <c r="AI125">
        <v>128219</v>
      </c>
      <c r="AJ125" t="s">
        <v>2055</v>
      </c>
    </row>
    <row r="126" spans="1:36" hidden="1" x14ac:dyDescent="0.2">
      <c r="A126" t="s">
        <v>2296</v>
      </c>
      <c r="B126" t="s">
        <v>166</v>
      </c>
      <c r="C126" t="s">
        <v>2297</v>
      </c>
      <c r="D126" t="s">
        <v>309</v>
      </c>
      <c r="E126">
        <v>267963</v>
      </c>
      <c r="F126" t="s">
        <v>2219</v>
      </c>
      <c r="G126">
        <v>7998</v>
      </c>
      <c r="H126">
        <v>587704</v>
      </c>
      <c r="I126" t="s">
        <v>568</v>
      </c>
      <c r="J126" s="11">
        <v>46174</v>
      </c>
      <c r="K126" s="11">
        <v>46292</v>
      </c>
      <c r="L126" t="s">
        <v>2177</v>
      </c>
      <c r="M126" t="s">
        <v>1850</v>
      </c>
      <c r="N126">
        <v>40</v>
      </c>
      <c r="O126">
        <v>5500000</v>
      </c>
      <c r="P126">
        <v>220000</v>
      </c>
      <c r="Q126" t="s">
        <v>2178</v>
      </c>
      <c r="R126" t="s">
        <v>2179</v>
      </c>
      <c r="S126">
        <v>0</v>
      </c>
      <c r="T126">
        <v>0</v>
      </c>
      <c r="U126" t="s">
        <v>2179</v>
      </c>
      <c r="V126">
        <v>1788333</v>
      </c>
      <c r="W126" t="s">
        <v>2180</v>
      </c>
      <c r="X126">
        <v>71533.320000000007</v>
      </c>
      <c r="Y126">
        <v>71533.320000000007</v>
      </c>
      <c r="Z126">
        <v>71533.320000000007</v>
      </c>
      <c r="AA126">
        <v>1776279</v>
      </c>
      <c r="AB126">
        <v>1788333</v>
      </c>
      <c r="AC126" s="11">
        <v>46174</v>
      </c>
      <c r="AD126" s="11">
        <v>46292</v>
      </c>
      <c r="AE126" t="s">
        <v>2298</v>
      </c>
      <c r="AF126" t="s">
        <v>2182</v>
      </c>
      <c r="AG126" t="s">
        <v>2183</v>
      </c>
      <c r="AH126">
        <v>400000</v>
      </c>
      <c r="AI126">
        <v>128219</v>
      </c>
      <c r="AJ126" t="s">
        <v>2055</v>
      </c>
    </row>
    <row r="127" spans="1:36" hidden="1" x14ac:dyDescent="0.2">
      <c r="A127" t="s">
        <v>2321</v>
      </c>
      <c r="B127" t="s">
        <v>156</v>
      </c>
      <c r="C127" t="s">
        <v>2329</v>
      </c>
      <c r="D127" t="s">
        <v>293</v>
      </c>
      <c r="E127">
        <v>267967</v>
      </c>
      <c r="F127" t="s">
        <v>2215</v>
      </c>
      <c r="G127">
        <v>8005</v>
      </c>
      <c r="H127">
        <v>585679</v>
      </c>
      <c r="I127" t="s">
        <v>538</v>
      </c>
      <c r="J127" s="11">
        <v>46174</v>
      </c>
      <c r="K127" s="11">
        <v>46203</v>
      </c>
      <c r="L127" t="s">
        <v>2177</v>
      </c>
      <c r="M127" t="s">
        <v>1850</v>
      </c>
      <c r="N127">
        <v>40</v>
      </c>
      <c r="O127">
        <v>2667307</v>
      </c>
      <c r="P127">
        <v>106692.28</v>
      </c>
      <c r="Q127" t="s">
        <v>2178</v>
      </c>
      <c r="R127" t="s">
        <v>2179</v>
      </c>
      <c r="S127">
        <v>0</v>
      </c>
      <c r="T127">
        <v>0</v>
      </c>
      <c r="U127" t="s">
        <v>2179</v>
      </c>
      <c r="V127">
        <v>2667307</v>
      </c>
      <c r="W127" t="s">
        <v>2180</v>
      </c>
      <c r="X127">
        <v>106692.28</v>
      </c>
      <c r="Y127">
        <v>106692.28</v>
      </c>
      <c r="Z127">
        <v>106692.28</v>
      </c>
      <c r="AA127">
        <v>2739169</v>
      </c>
      <c r="AB127">
        <v>2741242</v>
      </c>
      <c r="AC127" s="11">
        <v>46174</v>
      </c>
      <c r="AD127" s="11">
        <v>46203</v>
      </c>
      <c r="AE127" t="s">
        <v>2266</v>
      </c>
      <c r="AF127" t="s">
        <v>2182</v>
      </c>
      <c r="AG127" t="s">
        <v>2183</v>
      </c>
      <c r="AH127">
        <v>142529.98000000001</v>
      </c>
      <c r="AI127">
        <v>127633</v>
      </c>
      <c r="AJ127" t="s">
        <v>2062</v>
      </c>
    </row>
    <row r="128" spans="1:36" hidden="1" x14ac:dyDescent="0.2">
      <c r="A128" t="s">
        <v>2321</v>
      </c>
      <c r="B128" t="s">
        <v>156</v>
      </c>
      <c r="C128" t="s">
        <v>2329</v>
      </c>
      <c r="D128" t="s">
        <v>293</v>
      </c>
      <c r="E128">
        <v>267967</v>
      </c>
      <c r="F128" t="s">
        <v>2219</v>
      </c>
      <c r="G128">
        <v>7998</v>
      </c>
      <c r="H128">
        <v>585682</v>
      </c>
      <c r="I128" t="s">
        <v>537</v>
      </c>
      <c r="J128" s="11">
        <v>46174</v>
      </c>
      <c r="K128" s="11">
        <v>46203</v>
      </c>
      <c r="L128" t="s">
        <v>2177</v>
      </c>
      <c r="M128" t="s">
        <v>1850</v>
      </c>
      <c r="N128">
        <v>20</v>
      </c>
      <c r="O128">
        <v>1791885</v>
      </c>
      <c r="P128">
        <v>35837.699999999997</v>
      </c>
      <c r="Q128" t="s">
        <v>2178</v>
      </c>
      <c r="R128" t="s">
        <v>2179</v>
      </c>
      <c r="S128">
        <v>0</v>
      </c>
      <c r="T128">
        <v>0</v>
      </c>
      <c r="U128" t="s">
        <v>2179</v>
      </c>
      <c r="V128">
        <v>1791885</v>
      </c>
      <c r="W128" t="s">
        <v>2180</v>
      </c>
      <c r="X128">
        <v>35837.699999999997</v>
      </c>
      <c r="Y128">
        <v>35837.699999999997</v>
      </c>
      <c r="Z128">
        <v>35837.699999999997</v>
      </c>
      <c r="AA128">
        <v>1827980</v>
      </c>
      <c r="AB128">
        <v>1831330</v>
      </c>
      <c r="AC128" s="11">
        <v>46174</v>
      </c>
      <c r="AD128" s="11">
        <v>46203</v>
      </c>
      <c r="AE128" t="s">
        <v>2266</v>
      </c>
      <c r="AF128" t="s">
        <v>2182</v>
      </c>
      <c r="AG128" t="s">
        <v>2183</v>
      </c>
      <c r="AH128">
        <v>142529.98000000001</v>
      </c>
      <c r="AI128">
        <v>127633</v>
      </c>
      <c r="AJ128" t="s">
        <v>2062</v>
      </c>
    </row>
    <row r="129" spans="1:36" hidden="1" x14ac:dyDescent="0.2">
      <c r="A129" t="s">
        <v>2199</v>
      </c>
      <c r="B129" t="s">
        <v>117</v>
      </c>
      <c r="C129" t="s">
        <v>2200</v>
      </c>
      <c r="D129" t="s">
        <v>283</v>
      </c>
      <c r="E129">
        <v>268009</v>
      </c>
      <c r="F129" t="s">
        <v>2217</v>
      </c>
      <c r="G129">
        <v>8004</v>
      </c>
      <c r="H129">
        <v>585836</v>
      </c>
      <c r="I129" t="s">
        <v>780</v>
      </c>
      <c r="J129" s="11">
        <v>46184</v>
      </c>
      <c r="K129" s="11">
        <v>46222</v>
      </c>
      <c r="L129" t="s">
        <v>2177</v>
      </c>
      <c r="M129" t="s">
        <v>1850</v>
      </c>
      <c r="N129">
        <v>6</v>
      </c>
      <c r="O129">
        <v>12166667</v>
      </c>
      <c r="P129">
        <v>73000</v>
      </c>
      <c r="Q129" t="s">
        <v>2178</v>
      </c>
      <c r="R129" t="s">
        <v>2179</v>
      </c>
      <c r="S129">
        <v>0</v>
      </c>
      <c r="T129">
        <v>0</v>
      </c>
      <c r="U129" t="s">
        <v>2179</v>
      </c>
      <c r="V129">
        <v>8847345</v>
      </c>
      <c r="W129" t="s">
        <v>2180</v>
      </c>
      <c r="X129">
        <v>53084.07</v>
      </c>
      <c r="Y129">
        <v>53084.07</v>
      </c>
      <c r="Z129">
        <v>53084.07</v>
      </c>
      <c r="AA129">
        <v>8831908</v>
      </c>
      <c r="AB129">
        <v>8847345</v>
      </c>
      <c r="AC129" s="11">
        <v>46184</v>
      </c>
      <c r="AD129" s="11">
        <v>46222</v>
      </c>
      <c r="AE129" t="s">
        <v>2202</v>
      </c>
      <c r="AF129" t="s">
        <v>2182</v>
      </c>
      <c r="AG129" t="s">
        <v>2183</v>
      </c>
      <c r="AH129">
        <v>1065000.18</v>
      </c>
      <c r="AI129">
        <v>127039</v>
      </c>
      <c r="AJ129" t="s">
        <v>2041</v>
      </c>
    </row>
    <row r="130" spans="1:36" hidden="1" x14ac:dyDescent="0.2">
      <c r="A130" t="s">
        <v>2199</v>
      </c>
      <c r="B130" t="s">
        <v>117</v>
      </c>
      <c r="C130" t="s">
        <v>2200</v>
      </c>
      <c r="D130" t="s">
        <v>283</v>
      </c>
      <c r="E130">
        <v>268009</v>
      </c>
      <c r="F130" t="s">
        <v>2215</v>
      </c>
      <c r="G130">
        <v>8005</v>
      </c>
      <c r="H130">
        <v>585838</v>
      </c>
      <c r="I130" t="s">
        <v>519</v>
      </c>
      <c r="J130" s="11">
        <v>46184</v>
      </c>
      <c r="K130" s="11">
        <v>46222</v>
      </c>
      <c r="L130" t="s">
        <v>2177</v>
      </c>
      <c r="M130" t="s">
        <v>1850</v>
      </c>
      <c r="N130">
        <v>40</v>
      </c>
      <c r="O130">
        <v>8825000</v>
      </c>
      <c r="P130">
        <v>353000</v>
      </c>
      <c r="Q130" t="s">
        <v>2178</v>
      </c>
      <c r="R130" t="s">
        <v>2179</v>
      </c>
      <c r="S130">
        <v>0</v>
      </c>
      <c r="T130">
        <v>0</v>
      </c>
      <c r="U130" t="s">
        <v>2179</v>
      </c>
      <c r="V130">
        <v>2795275</v>
      </c>
      <c r="W130" t="s">
        <v>2180</v>
      </c>
      <c r="X130">
        <v>111811</v>
      </c>
      <c r="Y130">
        <v>111811</v>
      </c>
      <c r="Z130">
        <v>111811</v>
      </c>
      <c r="AA130">
        <v>2748579</v>
      </c>
      <c r="AB130">
        <v>2795275</v>
      </c>
      <c r="AC130" s="11">
        <v>46184</v>
      </c>
      <c r="AD130" s="11">
        <v>46222</v>
      </c>
      <c r="AE130" t="s">
        <v>2202</v>
      </c>
      <c r="AF130" t="s">
        <v>2182</v>
      </c>
      <c r="AG130" t="s">
        <v>2183</v>
      </c>
      <c r="AH130">
        <v>1065000.18</v>
      </c>
      <c r="AI130">
        <v>127039</v>
      </c>
      <c r="AJ130" t="s">
        <v>2041</v>
      </c>
    </row>
    <row r="131" spans="1:36" hidden="1" x14ac:dyDescent="0.2">
      <c r="A131" t="s">
        <v>2199</v>
      </c>
      <c r="B131" t="s">
        <v>117</v>
      </c>
      <c r="C131" t="s">
        <v>2200</v>
      </c>
      <c r="D131" t="s">
        <v>283</v>
      </c>
      <c r="E131">
        <v>268009</v>
      </c>
      <c r="F131" t="s">
        <v>2218</v>
      </c>
      <c r="G131">
        <v>8000</v>
      </c>
      <c r="H131">
        <v>585841</v>
      </c>
      <c r="I131" t="s">
        <v>883</v>
      </c>
      <c r="J131" s="11">
        <v>46184</v>
      </c>
      <c r="K131" s="11">
        <v>46222</v>
      </c>
      <c r="L131" t="s">
        <v>2213</v>
      </c>
      <c r="M131" t="s">
        <v>1852</v>
      </c>
      <c r="N131">
        <v>0.15</v>
      </c>
      <c r="O131">
        <v>2130000</v>
      </c>
      <c r="P131">
        <v>319500</v>
      </c>
      <c r="Q131" t="s">
        <v>2262</v>
      </c>
      <c r="R131" t="s">
        <v>2263</v>
      </c>
      <c r="S131">
        <v>1065000</v>
      </c>
      <c r="T131">
        <v>159750</v>
      </c>
      <c r="U131" t="s">
        <v>2263</v>
      </c>
      <c r="V131">
        <v>1065000</v>
      </c>
      <c r="W131" t="s">
        <v>2180</v>
      </c>
      <c r="X131">
        <v>159750</v>
      </c>
      <c r="Y131">
        <v>159750</v>
      </c>
      <c r="Z131">
        <v>159750</v>
      </c>
      <c r="AC131" s="11">
        <v>46184</v>
      </c>
      <c r="AD131" s="11">
        <v>46222</v>
      </c>
      <c r="AE131" t="s">
        <v>2202</v>
      </c>
      <c r="AF131" t="s">
        <v>2182</v>
      </c>
      <c r="AG131" t="s">
        <v>2183</v>
      </c>
      <c r="AH131">
        <v>1065000.18</v>
      </c>
      <c r="AI131">
        <v>127039</v>
      </c>
      <c r="AJ131" t="s">
        <v>2041</v>
      </c>
    </row>
    <row r="132" spans="1:36" hidden="1" x14ac:dyDescent="0.2">
      <c r="A132" t="s">
        <v>2199</v>
      </c>
      <c r="B132" t="s">
        <v>117</v>
      </c>
      <c r="C132" t="s">
        <v>2200</v>
      </c>
      <c r="D132" t="s">
        <v>283</v>
      </c>
      <c r="E132">
        <v>268009</v>
      </c>
      <c r="F132" t="s">
        <v>2216</v>
      </c>
      <c r="G132">
        <v>8002</v>
      </c>
      <c r="H132">
        <v>585846</v>
      </c>
      <c r="I132" t="s">
        <v>518</v>
      </c>
      <c r="J132" s="11">
        <v>46184</v>
      </c>
      <c r="K132" s="11">
        <v>46222</v>
      </c>
      <c r="L132" t="s">
        <v>2177</v>
      </c>
      <c r="M132" t="s">
        <v>1850</v>
      </c>
      <c r="N132">
        <v>25</v>
      </c>
      <c r="O132">
        <v>2200000</v>
      </c>
      <c r="P132">
        <v>55000.01</v>
      </c>
      <c r="Q132" t="s">
        <v>2201</v>
      </c>
      <c r="R132" t="s">
        <v>2179</v>
      </c>
      <c r="S132">
        <v>0</v>
      </c>
      <c r="T132">
        <v>0</v>
      </c>
      <c r="U132" t="s">
        <v>2179</v>
      </c>
      <c r="V132">
        <v>1162414</v>
      </c>
      <c r="W132" t="s">
        <v>2180</v>
      </c>
      <c r="X132">
        <v>29060.35</v>
      </c>
      <c r="Y132">
        <v>29060.35</v>
      </c>
      <c r="Z132">
        <v>29060.35</v>
      </c>
      <c r="AA132">
        <v>1171013</v>
      </c>
      <c r="AB132">
        <v>1162414</v>
      </c>
      <c r="AC132" s="11">
        <v>46184</v>
      </c>
      <c r="AD132" s="11">
        <v>46222</v>
      </c>
      <c r="AE132" t="s">
        <v>2202</v>
      </c>
      <c r="AF132" t="s">
        <v>2182</v>
      </c>
      <c r="AG132" t="s">
        <v>2183</v>
      </c>
      <c r="AH132">
        <v>1065000.18</v>
      </c>
      <c r="AI132">
        <v>127039</v>
      </c>
      <c r="AJ132" t="s">
        <v>2041</v>
      </c>
    </row>
    <row r="133" spans="1:36" hidden="1" x14ac:dyDescent="0.2">
      <c r="A133" t="s">
        <v>2199</v>
      </c>
      <c r="B133" t="s">
        <v>117</v>
      </c>
      <c r="C133" t="s">
        <v>2200</v>
      </c>
      <c r="D133" t="s">
        <v>283</v>
      </c>
      <c r="E133">
        <v>268009</v>
      </c>
      <c r="F133" t="s">
        <v>2219</v>
      </c>
      <c r="G133">
        <v>7998</v>
      </c>
      <c r="H133">
        <v>585848</v>
      </c>
      <c r="I133" t="s">
        <v>520</v>
      </c>
      <c r="J133" s="11">
        <v>46184</v>
      </c>
      <c r="K133" s="11">
        <v>46222</v>
      </c>
      <c r="L133" t="s">
        <v>2177</v>
      </c>
      <c r="M133" t="s">
        <v>1850</v>
      </c>
      <c r="N133">
        <v>23</v>
      </c>
      <c r="O133">
        <v>11500007</v>
      </c>
      <c r="P133">
        <v>264500.17</v>
      </c>
      <c r="Q133" t="s">
        <v>2178</v>
      </c>
      <c r="R133" t="s">
        <v>2179</v>
      </c>
      <c r="S133">
        <v>0</v>
      </c>
      <c r="T133">
        <v>0</v>
      </c>
      <c r="U133" t="s">
        <v>2179</v>
      </c>
      <c r="V133">
        <v>6049890</v>
      </c>
      <c r="W133" t="s">
        <v>2180</v>
      </c>
      <c r="X133">
        <v>139147.47</v>
      </c>
      <c r="Y133">
        <v>139147.47</v>
      </c>
      <c r="Z133">
        <v>139147.47</v>
      </c>
      <c r="AA133">
        <v>6065355</v>
      </c>
      <c r="AB133">
        <v>6049890</v>
      </c>
      <c r="AC133" s="11">
        <v>46184</v>
      </c>
      <c r="AD133" s="11">
        <v>46222</v>
      </c>
      <c r="AE133" t="s">
        <v>2202</v>
      </c>
      <c r="AF133" t="s">
        <v>2182</v>
      </c>
      <c r="AG133" t="s">
        <v>2183</v>
      </c>
      <c r="AH133">
        <v>1065000.18</v>
      </c>
      <c r="AI133">
        <v>127039</v>
      </c>
      <c r="AJ133" t="s">
        <v>2041</v>
      </c>
    </row>
    <row r="134" spans="1:36" hidden="1" x14ac:dyDescent="0.2">
      <c r="A134" t="s">
        <v>2194</v>
      </c>
      <c r="B134" t="s">
        <v>176</v>
      </c>
      <c r="C134" t="s">
        <v>2330</v>
      </c>
      <c r="D134" t="s">
        <v>327</v>
      </c>
      <c r="E134">
        <v>268091</v>
      </c>
      <c r="F134" t="s">
        <v>2218</v>
      </c>
      <c r="G134">
        <v>8000</v>
      </c>
      <c r="H134">
        <v>586417</v>
      </c>
      <c r="I134" t="s">
        <v>892</v>
      </c>
      <c r="J134" s="11">
        <v>46165</v>
      </c>
      <c r="K134" s="11">
        <v>46180</v>
      </c>
      <c r="L134" t="s">
        <v>2213</v>
      </c>
      <c r="M134" t="s">
        <v>2205</v>
      </c>
      <c r="N134">
        <v>150000</v>
      </c>
      <c r="O134">
        <v>3</v>
      </c>
      <c r="P134">
        <v>150000</v>
      </c>
      <c r="Q134" t="s">
        <v>1987</v>
      </c>
      <c r="R134" t="s">
        <v>2206</v>
      </c>
      <c r="S134">
        <v>1</v>
      </c>
      <c r="T134">
        <v>65625</v>
      </c>
      <c r="U134" t="s">
        <v>2206</v>
      </c>
      <c r="V134">
        <v>1</v>
      </c>
      <c r="W134" t="s">
        <v>2180</v>
      </c>
      <c r="X134">
        <v>75000</v>
      </c>
      <c r="Y134">
        <v>75000</v>
      </c>
      <c r="Z134">
        <v>75000</v>
      </c>
      <c r="AC134" s="11">
        <v>46165</v>
      </c>
      <c r="AD134" s="11">
        <v>46180</v>
      </c>
      <c r="AE134" t="s">
        <v>2222</v>
      </c>
      <c r="AF134" t="s">
        <v>2182</v>
      </c>
      <c r="AG134" t="s">
        <v>2183</v>
      </c>
      <c r="AH134">
        <v>275000</v>
      </c>
      <c r="AI134">
        <v>128669</v>
      </c>
      <c r="AJ134" t="s">
        <v>2039</v>
      </c>
    </row>
    <row r="135" spans="1:36" hidden="1" x14ac:dyDescent="0.2">
      <c r="A135" t="s">
        <v>2194</v>
      </c>
      <c r="B135" t="s">
        <v>176</v>
      </c>
      <c r="C135" t="s">
        <v>2330</v>
      </c>
      <c r="D135" t="s">
        <v>327</v>
      </c>
      <c r="E135">
        <v>268091</v>
      </c>
      <c r="F135" t="s">
        <v>2242</v>
      </c>
      <c r="G135">
        <v>8003</v>
      </c>
      <c r="H135">
        <v>586422</v>
      </c>
      <c r="I135" t="s">
        <v>799</v>
      </c>
      <c r="J135" s="11">
        <v>46179</v>
      </c>
      <c r="K135" s="11">
        <v>46179</v>
      </c>
      <c r="L135" t="s">
        <v>2177</v>
      </c>
      <c r="M135" t="s">
        <v>2243</v>
      </c>
      <c r="N135">
        <v>12500</v>
      </c>
      <c r="O135">
        <v>4</v>
      </c>
      <c r="P135">
        <v>50000</v>
      </c>
      <c r="Q135" t="s">
        <v>2244</v>
      </c>
      <c r="R135" t="s">
        <v>2206</v>
      </c>
      <c r="S135">
        <v>4</v>
      </c>
      <c r="T135">
        <v>50000</v>
      </c>
      <c r="U135" t="s">
        <v>2206</v>
      </c>
      <c r="V135">
        <v>4</v>
      </c>
      <c r="W135" t="s">
        <v>2180</v>
      </c>
      <c r="X135">
        <v>50000</v>
      </c>
      <c r="Y135">
        <v>50000</v>
      </c>
      <c r="Z135">
        <v>50000</v>
      </c>
      <c r="AA135">
        <v>0</v>
      </c>
      <c r="AB135">
        <v>0</v>
      </c>
      <c r="AC135" s="11">
        <v>46179</v>
      </c>
      <c r="AD135" s="11">
        <v>46179</v>
      </c>
      <c r="AE135" t="s">
        <v>2222</v>
      </c>
      <c r="AF135" t="s">
        <v>2182</v>
      </c>
      <c r="AG135" t="s">
        <v>2183</v>
      </c>
      <c r="AH135">
        <v>275000</v>
      </c>
      <c r="AI135">
        <v>128669</v>
      </c>
      <c r="AJ135" t="s">
        <v>2039</v>
      </c>
    </row>
    <row r="136" spans="1:36" hidden="1" x14ac:dyDescent="0.2">
      <c r="A136" t="s">
        <v>2194</v>
      </c>
      <c r="B136" t="s">
        <v>176</v>
      </c>
      <c r="C136" t="s">
        <v>2330</v>
      </c>
      <c r="D136" t="s">
        <v>327</v>
      </c>
      <c r="E136">
        <v>268091</v>
      </c>
      <c r="F136" t="s">
        <v>2219</v>
      </c>
      <c r="G136">
        <v>7998</v>
      </c>
      <c r="H136">
        <v>586505</v>
      </c>
      <c r="I136" t="s">
        <v>614</v>
      </c>
      <c r="J136" s="11">
        <v>46165</v>
      </c>
      <c r="K136" s="11">
        <v>46180</v>
      </c>
      <c r="L136" t="s">
        <v>2254</v>
      </c>
      <c r="M136" t="s">
        <v>1850</v>
      </c>
      <c r="N136">
        <v>20</v>
      </c>
      <c r="O136">
        <v>3750000</v>
      </c>
      <c r="P136">
        <v>75000</v>
      </c>
      <c r="Q136" t="s">
        <v>2178</v>
      </c>
      <c r="R136" t="s">
        <v>2179</v>
      </c>
      <c r="S136">
        <v>0</v>
      </c>
      <c r="T136">
        <v>0</v>
      </c>
      <c r="U136" t="s">
        <v>2179</v>
      </c>
      <c r="V136">
        <v>1314062</v>
      </c>
      <c r="W136" t="s">
        <v>2180</v>
      </c>
      <c r="X136">
        <v>26281.24</v>
      </c>
      <c r="Y136">
        <v>26281.24</v>
      </c>
      <c r="Z136">
        <v>26281.24</v>
      </c>
      <c r="AA136">
        <v>1373259</v>
      </c>
      <c r="AB136">
        <v>1375810</v>
      </c>
      <c r="AC136" s="11">
        <v>46165</v>
      </c>
      <c r="AD136" s="11">
        <v>46180</v>
      </c>
      <c r="AE136" t="s">
        <v>2222</v>
      </c>
      <c r="AF136" t="s">
        <v>2182</v>
      </c>
      <c r="AG136" t="s">
        <v>2183</v>
      </c>
      <c r="AH136">
        <v>275000</v>
      </c>
      <c r="AI136">
        <v>128669</v>
      </c>
      <c r="AJ136" t="s">
        <v>2039</v>
      </c>
    </row>
    <row r="137" spans="1:36" hidden="1" x14ac:dyDescent="0.2">
      <c r="A137" t="s">
        <v>2313</v>
      </c>
      <c r="B137" t="s">
        <v>136</v>
      </c>
      <c r="C137" t="s">
        <v>2314</v>
      </c>
      <c r="D137" t="s">
        <v>432</v>
      </c>
      <c r="E137">
        <v>268217</v>
      </c>
      <c r="F137" t="s">
        <v>2271</v>
      </c>
      <c r="G137">
        <v>7993</v>
      </c>
      <c r="H137">
        <v>586824</v>
      </c>
      <c r="I137" t="s">
        <v>432</v>
      </c>
      <c r="J137" s="11">
        <v>46143</v>
      </c>
      <c r="K137" s="11">
        <v>46203</v>
      </c>
      <c r="M137" t="s">
        <v>2205</v>
      </c>
      <c r="N137">
        <v>401359.14</v>
      </c>
      <c r="O137">
        <v>0</v>
      </c>
      <c r="P137">
        <v>401359.14</v>
      </c>
      <c r="Q137" t="s">
        <v>1987</v>
      </c>
      <c r="R137" t="s">
        <v>2206</v>
      </c>
      <c r="S137">
        <v>0</v>
      </c>
      <c r="T137">
        <v>197389.7409</v>
      </c>
      <c r="U137" t="s">
        <v>2206</v>
      </c>
      <c r="V137">
        <v>0</v>
      </c>
      <c r="W137" t="s">
        <v>2180</v>
      </c>
      <c r="X137">
        <v>197389.74</v>
      </c>
      <c r="Y137">
        <v>197389.74</v>
      </c>
      <c r="Z137">
        <v>197389.74</v>
      </c>
      <c r="AC137" s="11">
        <v>46143</v>
      </c>
      <c r="AD137" s="11">
        <v>46203</v>
      </c>
      <c r="AE137" t="s">
        <v>2298</v>
      </c>
      <c r="AF137" t="s">
        <v>2182</v>
      </c>
      <c r="AG137" t="s">
        <v>2183</v>
      </c>
      <c r="AH137">
        <v>401359.14</v>
      </c>
      <c r="AI137">
        <v>127091</v>
      </c>
      <c r="AJ137" t="s">
        <v>2055</v>
      </c>
    </row>
    <row r="138" spans="1:36" hidden="1" x14ac:dyDescent="0.2">
      <c r="A138" t="s">
        <v>2331</v>
      </c>
      <c r="B138" t="s">
        <v>148</v>
      </c>
      <c r="C138" t="s">
        <v>2332</v>
      </c>
      <c r="D138" t="s">
        <v>284</v>
      </c>
      <c r="E138">
        <v>268218</v>
      </c>
      <c r="F138" t="s">
        <v>2303</v>
      </c>
      <c r="G138">
        <v>1754</v>
      </c>
      <c r="H138">
        <v>586794</v>
      </c>
      <c r="I138" t="s">
        <v>521</v>
      </c>
      <c r="J138" s="11">
        <v>46174</v>
      </c>
      <c r="K138" s="11">
        <v>46180</v>
      </c>
      <c r="M138" t="s">
        <v>1850</v>
      </c>
      <c r="N138">
        <v>8.5</v>
      </c>
      <c r="O138">
        <v>1182824</v>
      </c>
      <c r="P138">
        <v>10054</v>
      </c>
      <c r="Q138" t="s">
        <v>2201</v>
      </c>
      <c r="R138" t="s">
        <v>2179</v>
      </c>
      <c r="S138">
        <v>0</v>
      </c>
      <c r="T138">
        <v>0</v>
      </c>
      <c r="U138" t="s">
        <v>2179</v>
      </c>
      <c r="V138">
        <v>1182824</v>
      </c>
      <c r="W138" t="s">
        <v>2180</v>
      </c>
      <c r="X138">
        <v>10054</v>
      </c>
      <c r="Y138">
        <v>10054</v>
      </c>
      <c r="Z138">
        <v>10054</v>
      </c>
      <c r="AA138">
        <v>1230361</v>
      </c>
      <c r="AB138">
        <v>1217242</v>
      </c>
      <c r="AC138" s="11">
        <v>46174</v>
      </c>
      <c r="AD138" s="11">
        <v>46180</v>
      </c>
      <c r="AE138" t="s">
        <v>2210</v>
      </c>
      <c r="AF138" t="s">
        <v>2182</v>
      </c>
      <c r="AG138" t="s">
        <v>2183</v>
      </c>
      <c r="AH138">
        <v>99785.24</v>
      </c>
      <c r="AI138">
        <v>127106</v>
      </c>
      <c r="AJ138" t="s">
        <v>2048</v>
      </c>
    </row>
    <row r="139" spans="1:36" hidden="1" x14ac:dyDescent="0.2">
      <c r="A139" t="s">
        <v>2331</v>
      </c>
      <c r="B139" t="s">
        <v>148</v>
      </c>
      <c r="C139" t="s">
        <v>2332</v>
      </c>
      <c r="D139" t="s">
        <v>284</v>
      </c>
      <c r="E139">
        <v>268218</v>
      </c>
      <c r="F139" t="s">
        <v>2303</v>
      </c>
      <c r="G139">
        <v>1754</v>
      </c>
      <c r="H139">
        <v>586796</v>
      </c>
      <c r="I139" t="s">
        <v>521</v>
      </c>
      <c r="J139" s="11">
        <v>46181</v>
      </c>
      <c r="K139" s="11">
        <v>46187</v>
      </c>
      <c r="M139" t="s">
        <v>1850</v>
      </c>
      <c r="N139">
        <v>8.5</v>
      </c>
      <c r="O139">
        <v>1182824</v>
      </c>
      <c r="P139">
        <v>10054</v>
      </c>
      <c r="Q139" t="s">
        <v>2201</v>
      </c>
      <c r="R139" t="s">
        <v>2179</v>
      </c>
      <c r="S139">
        <v>0</v>
      </c>
      <c r="T139">
        <v>0</v>
      </c>
      <c r="U139" t="s">
        <v>2179</v>
      </c>
      <c r="V139">
        <v>1182824</v>
      </c>
      <c r="W139" t="s">
        <v>2180</v>
      </c>
      <c r="X139">
        <v>10054</v>
      </c>
      <c r="Y139">
        <v>10054</v>
      </c>
      <c r="Z139">
        <v>10054</v>
      </c>
      <c r="AA139">
        <v>1222156</v>
      </c>
      <c r="AB139">
        <v>1207904</v>
      </c>
      <c r="AC139" s="11">
        <v>46181</v>
      </c>
      <c r="AD139" s="11">
        <v>46187</v>
      </c>
      <c r="AE139" t="s">
        <v>2210</v>
      </c>
      <c r="AF139" t="s">
        <v>2182</v>
      </c>
      <c r="AG139" t="s">
        <v>2183</v>
      </c>
      <c r="AH139">
        <v>99785.24</v>
      </c>
      <c r="AI139">
        <v>127106</v>
      </c>
      <c r="AJ139" t="s">
        <v>2048</v>
      </c>
    </row>
    <row r="140" spans="1:36" hidden="1" x14ac:dyDescent="0.2">
      <c r="A140" t="s">
        <v>2331</v>
      </c>
      <c r="B140" t="s">
        <v>148</v>
      </c>
      <c r="C140" t="s">
        <v>2332</v>
      </c>
      <c r="D140" t="s">
        <v>284</v>
      </c>
      <c r="E140">
        <v>268218</v>
      </c>
      <c r="F140" t="s">
        <v>2303</v>
      </c>
      <c r="G140">
        <v>1754</v>
      </c>
      <c r="H140">
        <v>586798</v>
      </c>
      <c r="I140" t="s">
        <v>521</v>
      </c>
      <c r="J140" s="11">
        <v>46188</v>
      </c>
      <c r="K140" s="11">
        <v>46194</v>
      </c>
      <c r="M140" t="s">
        <v>1850</v>
      </c>
      <c r="N140">
        <v>8.5</v>
      </c>
      <c r="O140">
        <v>1182824</v>
      </c>
      <c r="P140">
        <v>10054</v>
      </c>
      <c r="Q140" t="s">
        <v>2201</v>
      </c>
      <c r="R140" t="s">
        <v>2179</v>
      </c>
      <c r="S140">
        <v>0</v>
      </c>
      <c r="T140">
        <v>0</v>
      </c>
      <c r="U140" t="s">
        <v>2179</v>
      </c>
      <c r="V140">
        <v>472940</v>
      </c>
      <c r="W140" t="s">
        <v>2180</v>
      </c>
      <c r="X140">
        <v>4019.99</v>
      </c>
      <c r="Y140">
        <v>4019.99</v>
      </c>
      <c r="Z140">
        <v>4019.99</v>
      </c>
      <c r="AA140">
        <v>527363</v>
      </c>
      <c r="AB140">
        <v>472940</v>
      </c>
      <c r="AC140" s="11">
        <v>46188</v>
      </c>
      <c r="AD140" s="11">
        <v>46194</v>
      </c>
      <c r="AE140" t="s">
        <v>2210</v>
      </c>
      <c r="AF140" t="s">
        <v>2182</v>
      </c>
      <c r="AG140" t="s">
        <v>2183</v>
      </c>
      <c r="AH140">
        <v>99785.24</v>
      </c>
      <c r="AI140">
        <v>127106</v>
      </c>
      <c r="AJ140" t="s">
        <v>2048</v>
      </c>
    </row>
    <row r="141" spans="1:36" hidden="1" x14ac:dyDescent="0.2">
      <c r="A141" t="s">
        <v>2331</v>
      </c>
      <c r="B141" t="s">
        <v>148</v>
      </c>
      <c r="C141" t="s">
        <v>2332</v>
      </c>
      <c r="D141" t="s">
        <v>284</v>
      </c>
      <c r="E141">
        <v>268218</v>
      </c>
      <c r="F141" t="s">
        <v>2303</v>
      </c>
      <c r="G141">
        <v>1754</v>
      </c>
      <c r="H141">
        <v>586800</v>
      </c>
      <c r="I141" t="s">
        <v>521</v>
      </c>
      <c r="J141" s="11">
        <v>46195</v>
      </c>
      <c r="K141" s="11">
        <v>46201</v>
      </c>
      <c r="M141" t="s">
        <v>1850</v>
      </c>
      <c r="N141">
        <v>8.5</v>
      </c>
      <c r="O141">
        <v>1182824</v>
      </c>
      <c r="P141">
        <v>10054</v>
      </c>
      <c r="Q141" t="s">
        <v>2201</v>
      </c>
      <c r="R141" t="s">
        <v>2179</v>
      </c>
      <c r="S141">
        <v>0</v>
      </c>
      <c r="T141">
        <v>0</v>
      </c>
      <c r="U141" t="s">
        <v>2179</v>
      </c>
      <c r="V141">
        <v>561996</v>
      </c>
      <c r="W141" t="s">
        <v>2180</v>
      </c>
      <c r="X141">
        <v>4776.9660000000003</v>
      </c>
      <c r="Y141">
        <v>4776.9660000000003</v>
      </c>
      <c r="Z141">
        <v>4776.9660000000003</v>
      </c>
      <c r="AA141">
        <v>647484</v>
      </c>
      <c r="AB141">
        <v>561996</v>
      </c>
      <c r="AC141" s="11">
        <v>46195</v>
      </c>
      <c r="AD141" s="11">
        <v>46201</v>
      </c>
      <c r="AE141" t="s">
        <v>2210</v>
      </c>
      <c r="AF141" t="s">
        <v>2182</v>
      </c>
      <c r="AG141" t="s">
        <v>2183</v>
      </c>
      <c r="AH141">
        <v>99785.24</v>
      </c>
      <c r="AI141">
        <v>127106</v>
      </c>
      <c r="AJ141" t="s">
        <v>2048</v>
      </c>
    </row>
    <row r="142" spans="1:36" hidden="1" x14ac:dyDescent="0.2">
      <c r="A142" t="s">
        <v>2331</v>
      </c>
      <c r="B142" t="s">
        <v>148</v>
      </c>
      <c r="C142" t="s">
        <v>2332</v>
      </c>
      <c r="D142" t="s">
        <v>284</v>
      </c>
      <c r="E142">
        <v>268218</v>
      </c>
      <c r="F142" t="s">
        <v>2303</v>
      </c>
      <c r="G142">
        <v>1754</v>
      </c>
      <c r="H142">
        <v>586802</v>
      </c>
      <c r="I142" t="s">
        <v>521</v>
      </c>
      <c r="J142" s="11">
        <v>46202</v>
      </c>
      <c r="K142" s="11">
        <v>46203</v>
      </c>
      <c r="M142" t="s">
        <v>1850</v>
      </c>
      <c r="N142">
        <v>8.5</v>
      </c>
      <c r="O142">
        <v>322588</v>
      </c>
      <c r="P142">
        <v>2742</v>
      </c>
      <c r="Q142" t="s">
        <v>2201</v>
      </c>
      <c r="R142" t="s">
        <v>2179</v>
      </c>
      <c r="S142">
        <v>0</v>
      </c>
      <c r="T142">
        <v>0</v>
      </c>
      <c r="U142" t="s">
        <v>2179</v>
      </c>
      <c r="V142">
        <v>103014</v>
      </c>
      <c r="W142" t="s">
        <v>2180</v>
      </c>
      <c r="X142">
        <v>875.61900000000003</v>
      </c>
      <c r="Y142">
        <v>875.61900000000003</v>
      </c>
      <c r="Z142">
        <v>875.61900000000003</v>
      </c>
      <c r="AA142">
        <v>103365</v>
      </c>
      <c r="AB142">
        <v>103014</v>
      </c>
      <c r="AC142" s="11">
        <v>46202</v>
      </c>
      <c r="AD142" s="11">
        <v>46203</v>
      </c>
      <c r="AE142" t="s">
        <v>2210</v>
      </c>
      <c r="AF142" t="s">
        <v>2182</v>
      </c>
      <c r="AG142" t="s">
        <v>2183</v>
      </c>
      <c r="AH142">
        <v>99785.24</v>
      </c>
      <c r="AI142">
        <v>127106</v>
      </c>
      <c r="AJ142" t="s">
        <v>2048</v>
      </c>
    </row>
    <row r="143" spans="1:36" hidden="1" x14ac:dyDescent="0.2">
      <c r="A143" t="s">
        <v>2333</v>
      </c>
      <c r="B143" t="s">
        <v>151</v>
      </c>
      <c r="C143" t="s">
        <v>2334</v>
      </c>
      <c r="D143" t="s">
        <v>2335</v>
      </c>
      <c r="E143">
        <v>268444</v>
      </c>
      <c r="H143">
        <v>587185</v>
      </c>
      <c r="I143" t="s">
        <v>525</v>
      </c>
      <c r="J143" s="11">
        <v>46174</v>
      </c>
      <c r="K143" s="11">
        <v>46203</v>
      </c>
      <c r="L143" t="s">
        <v>2254</v>
      </c>
      <c r="M143" t="s">
        <v>1850</v>
      </c>
      <c r="N143">
        <v>31.76</v>
      </c>
      <c r="O143">
        <v>100</v>
      </c>
      <c r="P143">
        <v>3.18</v>
      </c>
      <c r="Q143" t="s">
        <v>2201</v>
      </c>
      <c r="R143" t="s">
        <v>2179</v>
      </c>
      <c r="S143">
        <v>0</v>
      </c>
      <c r="T143">
        <v>0</v>
      </c>
      <c r="U143" t="s">
        <v>2179</v>
      </c>
      <c r="V143">
        <v>0</v>
      </c>
      <c r="W143" t="s">
        <v>2180</v>
      </c>
      <c r="X143">
        <v>0</v>
      </c>
      <c r="Y143">
        <v>0</v>
      </c>
      <c r="Z143">
        <v>0</v>
      </c>
      <c r="AC143" s="11">
        <v>46174</v>
      </c>
      <c r="AD143" s="11">
        <v>46203</v>
      </c>
      <c r="AE143" t="s">
        <v>2336</v>
      </c>
      <c r="AF143" t="s">
        <v>2182</v>
      </c>
      <c r="AG143" t="s">
        <v>2183</v>
      </c>
      <c r="AH143">
        <v>3.18</v>
      </c>
      <c r="AI143">
        <v>127363</v>
      </c>
      <c r="AJ143" t="s">
        <v>2061</v>
      </c>
    </row>
    <row r="144" spans="1:36" hidden="1" x14ac:dyDescent="0.2">
      <c r="A144" t="s">
        <v>2337</v>
      </c>
      <c r="B144" t="s">
        <v>208</v>
      </c>
      <c r="C144" t="s">
        <v>2338</v>
      </c>
      <c r="D144" t="s">
        <v>392</v>
      </c>
      <c r="E144">
        <v>269280</v>
      </c>
      <c r="F144" t="s">
        <v>2215</v>
      </c>
      <c r="G144">
        <v>8005</v>
      </c>
      <c r="H144">
        <v>587647</v>
      </c>
      <c r="I144" t="s">
        <v>727</v>
      </c>
      <c r="J144" s="11">
        <v>46184</v>
      </c>
      <c r="K144" s="11">
        <v>46222</v>
      </c>
      <c r="L144" t="s">
        <v>2177</v>
      </c>
      <c r="M144" t="s">
        <v>1850</v>
      </c>
      <c r="N144">
        <v>40</v>
      </c>
      <c r="O144">
        <v>7012500</v>
      </c>
      <c r="P144">
        <v>280500</v>
      </c>
      <c r="Q144" t="s">
        <v>2178</v>
      </c>
      <c r="R144" t="s">
        <v>2179</v>
      </c>
      <c r="S144">
        <v>0</v>
      </c>
      <c r="T144">
        <v>0</v>
      </c>
      <c r="U144" t="s">
        <v>2179</v>
      </c>
      <c r="V144">
        <v>4666965</v>
      </c>
      <c r="W144" t="s">
        <v>2180</v>
      </c>
      <c r="X144">
        <v>186678.6</v>
      </c>
      <c r="Y144">
        <v>186678.6</v>
      </c>
      <c r="Z144">
        <v>186678.6</v>
      </c>
      <c r="AA144">
        <v>4663894</v>
      </c>
      <c r="AB144">
        <v>4666965</v>
      </c>
      <c r="AC144" s="11">
        <v>46184</v>
      </c>
      <c r="AD144" s="11">
        <v>46222</v>
      </c>
      <c r="AE144" t="s">
        <v>2298</v>
      </c>
      <c r="AF144" t="s">
        <v>2182</v>
      </c>
      <c r="AG144" t="s">
        <v>2183</v>
      </c>
      <c r="AH144">
        <v>1050000.02</v>
      </c>
      <c r="AI144">
        <v>130639</v>
      </c>
      <c r="AJ144" t="s">
        <v>2057</v>
      </c>
    </row>
    <row r="145" spans="1:36" hidden="1" x14ac:dyDescent="0.2">
      <c r="A145" t="s">
        <v>2337</v>
      </c>
      <c r="B145" t="s">
        <v>208</v>
      </c>
      <c r="C145" t="s">
        <v>2338</v>
      </c>
      <c r="D145" t="s">
        <v>392</v>
      </c>
      <c r="E145">
        <v>269280</v>
      </c>
      <c r="F145" t="s">
        <v>2218</v>
      </c>
      <c r="G145">
        <v>8000</v>
      </c>
      <c r="H145">
        <v>587655</v>
      </c>
      <c r="I145" t="s">
        <v>880</v>
      </c>
      <c r="J145" s="11">
        <v>46184</v>
      </c>
      <c r="K145" s="11">
        <v>46222</v>
      </c>
      <c r="L145" t="s">
        <v>2177</v>
      </c>
      <c r="M145" t="s">
        <v>2205</v>
      </c>
      <c r="N145">
        <v>435500</v>
      </c>
      <c r="O145">
        <v>0</v>
      </c>
      <c r="P145">
        <v>435500</v>
      </c>
      <c r="Q145" t="s">
        <v>1987</v>
      </c>
      <c r="R145" t="s">
        <v>2206</v>
      </c>
      <c r="S145">
        <v>0</v>
      </c>
      <c r="T145">
        <v>223333.3334</v>
      </c>
      <c r="U145" t="s">
        <v>2206</v>
      </c>
      <c r="V145">
        <v>0</v>
      </c>
      <c r="W145" t="s">
        <v>2180</v>
      </c>
      <c r="X145">
        <v>223333.3334</v>
      </c>
      <c r="Y145">
        <v>223333.3334</v>
      </c>
      <c r="Z145">
        <v>223333.3334</v>
      </c>
      <c r="AC145" s="11">
        <v>46184</v>
      </c>
      <c r="AD145" s="11">
        <v>46222</v>
      </c>
      <c r="AE145" t="s">
        <v>2298</v>
      </c>
      <c r="AF145" t="s">
        <v>2182</v>
      </c>
      <c r="AG145" t="s">
        <v>2183</v>
      </c>
      <c r="AH145">
        <v>1050000.02</v>
      </c>
      <c r="AI145">
        <v>130639</v>
      </c>
      <c r="AJ145" t="s">
        <v>2057</v>
      </c>
    </row>
    <row r="146" spans="1:36" hidden="1" x14ac:dyDescent="0.2">
      <c r="A146" t="s">
        <v>2337</v>
      </c>
      <c r="B146" t="s">
        <v>208</v>
      </c>
      <c r="C146" t="s">
        <v>2338</v>
      </c>
      <c r="D146" t="s">
        <v>392</v>
      </c>
      <c r="E146">
        <v>269280</v>
      </c>
      <c r="F146" t="s">
        <v>2218</v>
      </c>
      <c r="G146">
        <v>8000</v>
      </c>
      <c r="H146">
        <v>592837</v>
      </c>
      <c r="I146" t="s">
        <v>914</v>
      </c>
      <c r="J146" s="11">
        <v>46184</v>
      </c>
      <c r="K146" s="11">
        <v>46222</v>
      </c>
      <c r="L146" t="s">
        <v>2177</v>
      </c>
      <c r="M146" t="s">
        <v>2205</v>
      </c>
      <c r="N146">
        <v>334000</v>
      </c>
      <c r="O146">
        <v>0</v>
      </c>
      <c r="P146">
        <v>334000</v>
      </c>
      <c r="Q146" t="s">
        <v>1987</v>
      </c>
      <c r="R146" t="s">
        <v>2206</v>
      </c>
      <c r="S146">
        <v>0</v>
      </c>
      <c r="T146">
        <v>171282.05129999999</v>
      </c>
      <c r="U146" t="s">
        <v>2206</v>
      </c>
      <c r="V146">
        <v>0</v>
      </c>
      <c r="W146" t="s">
        <v>2180</v>
      </c>
      <c r="X146">
        <v>171282.05129999999</v>
      </c>
      <c r="Y146">
        <v>171282.05129999999</v>
      </c>
      <c r="Z146">
        <v>171282.05129999999</v>
      </c>
      <c r="AC146" s="11">
        <v>46184</v>
      </c>
      <c r="AD146" s="11">
        <v>46222</v>
      </c>
      <c r="AE146" t="s">
        <v>2298</v>
      </c>
      <c r="AF146" t="s">
        <v>2182</v>
      </c>
      <c r="AG146" t="s">
        <v>2183</v>
      </c>
      <c r="AH146">
        <v>1050000.02</v>
      </c>
      <c r="AI146">
        <v>130639</v>
      </c>
      <c r="AJ146" t="s">
        <v>2057</v>
      </c>
    </row>
    <row r="147" spans="1:36" hidden="1" x14ac:dyDescent="0.2">
      <c r="A147" t="s">
        <v>2203</v>
      </c>
      <c r="B147" t="s">
        <v>173</v>
      </c>
      <c r="C147" t="s">
        <v>2339</v>
      </c>
      <c r="D147" t="s">
        <v>334</v>
      </c>
      <c r="E147">
        <v>269478</v>
      </c>
      <c r="F147" t="s">
        <v>2215</v>
      </c>
      <c r="G147">
        <v>8005</v>
      </c>
      <c r="H147">
        <v>588192</v>
      </c>
      <c r="I147" t="s">
        <v>623</v>
      </c>
      <c r="J147" s="11">
        <v>46174</v>
      </c>
      <c r="K147" s="11">
        <v>46203</v>
      </c>
      <c r="L147" t="s">
        <v>2177</v>
      </c>
      <c r="M147" t="s">
        <v>1850</v>
      </c>
      <c r="N147">
        <v>32.5</v>
      </c>
      <c r="O147">
        <v>830769</v>
      </c>
      <c r="P147">
        <v>27000</v>
      </c>
      <c r="Q147" t="s">
        <v>2178</v>
      </c>
      <c r="R147" t="s">
        <v>2263</v>
      </c>
      <c r="S147">
        <v>830769</v>
      </c>
      <c r="T147">
        <v>27000</v>
      </c>
      <c r="U147" t="s">
        <v>2263</v>
      </c>
      <c r="V147">
        <v>830769</v>
      </c>
      <c r="W147" t="s">
        <v>2180</v>
      </c>
      <c r="X147">
        <v>27000</v>
      </c>
      <c r="Y147">
        <v>27000</v>
      </c>
      <c r="Z147">
        <v>27000</v>
      </c>
      <c r="AA147">
        <v>844774</v>
      </c>
      <c r="AB147">
        <v>842358</v>
      </c>
      <c r="AC147" s="11">
        <v>46174</v>
      </c>
      <c r="AD147" s="11">
        <v>46203</v>
      </c>
      <c r="AE147" t="s">
        <v>2189</v>
      </c>
      <c r="AF147" t="s">
        <v>2182</v>
      </c>
      <c r="AG147" t="s">
        <v>2183</v>
      </c>
      <c r="AH147">
        <v>677000.1</v>
      </c>
      <c r="AI147">
        <v>128995</v>
      </c>
      <c r="AJ147" t="s">
        <v>2047</v>
      </c>
    </row>
    <row r="148" spans="1:36" hidden="1" x14ac:dyDescent="0.2">
      <c r="A148" t="s">
        <v>2203</v>
      </c>
      <c r="B148" t="s">
        <v>173</v>
      </c>
      <c r="C148" t="s">
        <v>2339</v>
      </c>
      <c r="D148" t="s">
        <v>334</v>
      </c>
      <c r="E148">
        <v>269478</v>
      </c>
      <c r="F148" t="s">
        <v>2242</v>
      </c>
      <c r="G148">
        <v>8003</v>
      </c>
      <c r="H148">
        <v>588198</v>
      </c>
      <c r="I148" t="s">
        <v>798</v>
      </c>
      <c r="J148" s="11">
        <v>46187</v>
      </c>
      <c r="K148" s="11">
        <v>46187</v>
      </c>
      <c r="L148" t="s">
        <v>2177</v>
      </c>
      <c r="M148" t="s">
        <v>2243</v>
      </c>
      <c r="N148">
        <v>50000</v>
      </c>
      <c r="O148">
        <v>6</v>
      </c>
      <c r="P148">
        <v>300000</v>
      </c>
      <c r="Q148" t="s">
        <v>2244</v>
      </c>
      <c r="R148" t="s">
        <v>2263</v>
      </c>
      <c r="S148">
        <v>6</v>
      </c>
      <c r="T148">
        <v>300000</v>
      </c>
      <c r="U148" t="s">
        <v>2263</v>
      </c>
      <c r="V148">
        <v>6</v>
      </c>
      <c r="W148" t="s">
        <v>2180</v>
      </c>
      <c r="X148">
        <v>300000</v>
      </c>
      <c r="Y148">
        <v>300000</v>
      </c>
      <c r="Z148">
        <v>300000</v>
      </c>
      <c r="AA148">
        <v>0</v>
      </c>
      <c r="AB148">
        <v>0</v>
      </c>
      <c r="AC148" s="11">
        <v>46187</v>
      </c>
      <c r="AD148" s="11">
        <v>46187</v>
      </c>
      <c r="AE148" t="s">
        <v>2189</v>
      </c>
      <c r="AF148" t="s">
        <v>2182</v>
      </c>
      <c r="AG148" t="s">
        <v>2183</v>
      </c>
      <c r="AH148">
        <v>677000.1</v>
      </c>
      <c r="AI148">
        <v>128995</v>
      </c>
      <c r="AJ148" t="s">
        <v>2047</v>
      </c>
    </row>
    <row r="149" spans="1:36" hidden="1" x14ac:dyDescent="0.2">
      <c r="A149" t="s">
        <v>2203</v>
      </c>
      <c r="B149" t="s">
        <v>173</v>
      </c>
      <c r="C149" t="s">
        <v>2339</v>
      </c>
      <c r="D149" t="s">
        <v>334</v>
      </c>
      <c r="E149">
        <v>269478</v>
      </c>
      <c r="F149" t="s">
        <v>2218</v>
      </c>
      <c r="G149">
        <v>8000</v>
      </c>
      <c r="H149">
        <v>588205</v>
      </c>
      <c r="I149" t="s">
        <v>846</v>
      </c>
      <c r="J149" s="11">
        <v>46174</v>
      </c>
      <c r="K149" s="11">
        <v>46203</v>
      </c>
      <c r="L149" t="s">
        <v>2213</v>
      </c>
      <c r="M149" t="s">
        <v>1852</v>
      </c>
      <c r="N149">
        <v>0.15</v>
      </c>
      <c r="O149">
        <v>2333334</v>
      </c>
      <c r="P149">
        <v>350000.1</v>
      </c>
      <c r="Q149" t="s">
        <v>2262</v>
      </c>
      <c r="R149" t="s">
        <v>2263</v>
      </c>
      <c r="S149">
        <v>2333334</v>
      </c>
      <c r="T149">
        <v>350000.1</v>
      </c>
      <c r="U149" t="s">
        <v>2263</v>
      </c>
      <c r="V149">
        <v>2333334</v>
      </c>
      <c r="W149" t="s">
        <v>2180</v>
      </c>
      <c r="X149">
        <v>350000.1</v>
      </c>
      <c r="Y149">
        <v>350000.1</v>
      </c>
      <c r="Z149">
        <v>350000.1</v>
      </c>
      <c r="AC149" s="11">
        <v>46174</v>
      </c>
      <c r="AD149" s="11">
        <v>46203</v>
      </c>
      <c r="AE149" t="s">
        <v>2189</v>
      </c>
      <c r="AF149" t="s">
        <v>2182</v>
      </c>
      <c r="AG149" t="s">
        <v>2183</v>
      </c>
      <c r="AH149">
        <v>677000.1</v>
      </c>
      <c r="AI149">
        <v>128995</v>
      </c>
      <c r="AJ149" t="s">
        <v>2047</v>
      </c>
    </row>
    <row r="150" spans="1:36" hidden="1" x14ac:dyDescent="0.2">
      <c r="A150" t="s">
        <v>2203</v>
      </c>
      <c r="B150" t="s">
        <v>173</v>
      </c>
      <c r="C150" t="s">
        <v>2339</v>
      </c>
      <c r="D150" t="s">
        <v>334</v>
      </c>
      <c r="E150">
        <v>269478</v>
      </c>
      <c r="F150" t="s">
        <v>2242</v>
      </c>
      <c r="G150">
        <v>8003</v>
      </c>
      <c r="H150">
        <v>594401</v>
      </c>
      <c r="I150" t="s">
        <v>825</v>
      </c>
      <c r="J150" s="11">
        <v>46195</v>
      </c>
      <c r="K150" s="11">
        <v>46195</v>
      </c>
      <c r="L150" t="s">
        <v>2177</v>
      </c>
      <c r="M150" t="s">
        <v>2243</v>
      </c>
      <c r="N150">
        <v>0</v>
      </c>
      <c r="O150">
        <v>6</v>
      </c>
      <c r="P150">
        <v>0</v>
      </c>
      <c r="Q150" t="s">
        <v>2244</v>
      </c>
      <c r="R150" t="s">
        <v>2263</v>
      </c>
      <c r="S150">
        <v>6</v>
      </c>
      <c r="T150">
        <v>0</v>
      </c>
      <c r="U150" t="s">
        <v>2263</v>
      </c>
      <c r="V150">
        <v>6</v>
      </c>
      <c r="W150" t="s">
        <v>2180</v>
      </c>
      <c r="X150">
        <v>0</v>
      </c>
      <c r="Y150">
        <v>0</v>
      </c>
      <c r="Z150">
        <v>0</v>
      </c>
      <c r="AA150">
        <v>0</v>
      </c>
      <c r="AB150">
        <v>0</v>
      </c>
      <c r="AC150" s="11">
        <v>46195</v>
      </c>
      <c r="AD150" s="11">
        <v>46195</v>
      </c>
      <c r="AE150" t="s">
        <v>2189</v>
      </c>
      <c r="AF150" t="s">
        <v>2182</v>
      </c>
      <c r="AG150" t="s">
        <v>2183</v>
      </c>
      <c r="AH150">
        <v>677000.1</v>
      </c>
      <c r="AI150">
        <v>128995</v>
      </c>
      <c r="AJ150" t="s">
        <v>2047</v>
      </c>
    </row>
    <row r="151" spans="1:36" hidden="1" x14ac:dyDescent="0.2">
      <c r="A151" t="s">
        <v>2203</v>
      </c>
      <c r="B151" t="s">
        <v>173</v>
      </c>
      <c r="C151" t="s">
        <v>2339</v>
      </c>
      <c r="D151" t="s">
        <v>325</v>
      </c>
      <c r="E151">
        <v>269479</v>
      </c>
      <c r="F151" t="s">
        <v>2215</v>
      </c>
      <c r="G151">
        <v>8005</v>
      </c>
      <c r="H151">
        <v>588259</v>
      </c>
      <c r="I151" t="s">
        <v>598</v>
      </c>
      <c r="J151" s="11">
        <v>46174</v>
      </c>
      <c r="K151" s="11">
        <v>46203</v>
      </c>
      <c r="L151" t="s">
        <v>2177</v>
      </c>
      <c r="M151" t="s">
        <v>1850</v>
      </c>
      <c r="N151">
        <v>32.5</v>
      </c>
      <c r="O151">
        <v>4038462</v>
      </c>
      <c r="P151">
        <v>131250.01999999999</v>
      </c>
      <c r="Q151" t="s">
        <v>2178</v>
      </c>
      <c r="R151" t="s">
        <v>2179</v>
      </c>
      <c r="S151">
        <v>0</v>
      </c>
      <c r="T151">
        <v>0</v>
      </c>
      <c r="U151" t="s">
        <v>2179</v>
      </c>
      <c r="V151">
        <v>4038462</v>
      </c>
      <c r="W151" t="s">
        <v>2180</v>
      </c>
      <c r="X151">
        <v>131250.01999999999</v>
      </c>
      <c r="Y151">
        <v>131250.01999999999</v>
      </c>
      <c r="Z151">
        <v>131250.01999999999</v>
      </c>
      <c r="AA151">
        <v>4111062</v>
      </c>
      <c r="AB151">
        <v>4087311</v>
      </c>
      <c r="AC151" s="11">
        <v>46174</v>
      </c>
      <c r="AD151" s="11">
        <v>46203</v>
      </c>
      <c r="AE151" t="s">
        <v>2189</v>
      </c>
      <c r="AF151" t="s">
        <v>2182</v>
      </c>
      <c r="AG151" t="s">
        <v>2183</v>
      </c>
      <c r="AH151">
        <v>175000.02</v>
      </c>
      <c r="AI151">
        <v>128342</v>
      </c>
      <c r="AJ151" t="s">
        <v>2047</v>
      </c>
    </row>
    <row r="152" spans="1:36" hidden="1" x14ac:dyDescent="0.2">
      <c r="A152" t="s">
        <v>2203</v>
      </c>
      <c r="B152" t="s">
        <v>173</v>
      </c>
      <c r="C152" t="s">
        <v>2339</v>
      </c>
      <c r="D152" t="s">
        <v>325</v>
      </c>
      <c r="E152">
        <v>269479</v>
      </c>
      <c r="F152" t="s">
        <v>2217</v>
      </c>
      <c r="G152">
        <v>8004</v>
      </c>
      <c r="H152">
        <v>588262</v>
      </c>
      <c r="I152" t="s">
        <v>797</v>
      </c>
      <c r="J152" s="11">
        <v>46174</v>
      </c>
      <c r="K152" s="11">
        <v>46203</v>
      </c>
      <c r="L152" t="s">
        <v>2177</v>
      </c>
      <c r="M152" t="s">
        <v>1850</v>
      </c>
      <c r="N152">
        <v>6</v>
      </c>
      <c r="O152">
        <v>7291667</v>
      </c>
      <c r="P152">
        <v>43750</v>
      </c>
      <c r="Q152" t="s">
        <v>2178</v>
      </c>
      <c r="R152" t="s">
        <v>2179</v>
      </c>
      <c r="S152">
        <v>0</v>
      </c>
      <c r="T152">
        <v>0</v>
      </c>
      <c r="U152" t="s">
        <v>2179</v>
      </c>
      <c r="V152">
        <v>4629095</v>
      </c>
      <c r="W152" t="s">
        <v>2180</v>
      </c>
      <c r="X152">
        <v>27774.57</v>
      </c>
      <c r="Y152">
        <v>27774.57</v>
      </c>
      <c r="Z152">
        <v>27774.57</v>
      </c>
      <c r="AA152">
        <v>4629704</v>
      </c>
      <c r="AB152">
        <v>4629095</v>
      </c>
      <c r="AC152" s="11">
        <v>46174</v>
      </c>
      <c r="AD152" s="11">
        <v>46203</v>
      </c>
      <c r="AE152" t="s">
        <v>2189</v>
      </c>
      <c r="AF152" t="s">
        <v>2182</v>
      </c>
      <c r="AG152" t="s">
        <v>2183</v>
      </c>
      <c r="AH152">
        <v>175000.02</v>
      </c>
      <c r="AI152">
        <v>128342</v>
      </c>
      <c r="AJ152" t="s">
        <v>2047</v>
      </c>
    </row>
    <row r="153" spans="1:36" hidden="1" x14ac:dyDescent="0.2">
      <c r="A153" t="s">
        <v>2203</v>
      </c>
      <c r="B153" t="s">
        <v>173</v>
      </c>
      <c r="C153" t="s">
        <v>2339</v>
      </c>
      <c r="D153" t="s">
        <v>320</v>
      </c>
      <c r="E153">
        <v>269480</v>
      </c>
      <c r="F153" t="s">
        <v>2215</v>
      </c>
      <c r="G153">
        <v>8005</v>
      </c>
      <c r="H153">
        <v>588310</v>
      </c>
      <c r="I153" t="s">
        <v>592</v>
      </c>
      <c r="J153" s="11">
        <v>46174</v>
      </c>
      <c r="K153" s="11">
        <v>46203</v>
      </c>
      <c r="L153" t="s">
        <v>2177</v>
      </c>
      <c r="M153" t="s">
        <v>1850</v>
      </c>
      <c r="N153">
        <v>32.5</v>
      </c>
      <c r="O153">
        <v>2307693</v>
      </c>
      <c r="P153">
        <v>75000.02</v>
      </c>
      <c r="Q153" t="s">
        <v>2178</v>
      </c>
      <c r="R153" t="s">
        <v>2179</v>
      </c>
      <c r="S153">
        <v>0</v>
      </c>
      <c r="T153">
        <v>0</v>
      </c>
      <c r="U153" t="s">
        <v>2179</v>
      </c>
      <c r="V153">
        <v>2307693</v>
      </c>
      <c r="W153" t="s">
        <v>2180</v>
      </c>
      <c r="X153">
        <v>75000.02</v>
      </c>
      <c r="Y153">
        <v>75000.02</v>
      </c>
      <c r="Z153">
        <v>75000.02</v>
      </c>
      <c r="AA153">
        <v>2369440</v>
      </c>
      <c r="AB153">
        <v>2360160</v>
      </c>
      <c r="AC153" s="11">
        <v>46174</v>
      </c>
      <c r="AD153" s="11">
        <v>46203</v>
      </c>
      <c r="AE153" t="s">
        <v>2189</v>
      </c>
      <c r="AF153" t="s">
        <v>2182</v>
      </c>
      <c r="AG153" t="s">
        <v>2183</v>
      </c>
      <c r="AH153">
        <v>100000.02</v>
      </c>
      <c r="AI153">
        <v>128368</v>
      </c>
      <c r="AJ153" t="s">
        <v>2047</v>
      </c>
    </row>
    <row r="154" spans="1:36" hidden="1" x14ac:dyDescent="0.2">
      <c r="A154" t="s">
        <v>2203</v>
      </c>
      <c r="B154" t="s">
        <v>173</v>
      </c>
      <c r="C154" t="s">
        <v>2339</v>
      </c>
      <c r="D154" t="s">
        <v>320</v>
      </c>
      <c r="E154">
        <v>269480</v>
      </c>
      <c r="F154" t="s">
        <v>2217</v>
      </c>
      <c r="G154">
        <v>8004</v>
      </c>
      <c r="H154">
        <v>588313</v>
      </c>
      <c r="I154" t="s">
        <v>795</v>
      </c>
      <c r="J154" s="11">
        <v>46174</v>
      </c>
      <c r="K154" s="11">
        <v>46203</v>
      </c>
      <c r="L154" t="s">
        <v>2177</v>
      </c>
      <c r="M154" t="s">
        <v>1850</v>
      </c>
      <c r="N154">
        <v>6</v>
      </c>
      <c r="O154">
        <v>4166667</v>
      </c>
      <c r="P154">
        <v>25000</v>
      </c>
      <c r="Q154" t="s">
        <v>2178</v>
      </c>
      <c r="R154" t="s">
        <v>2179</v>
      </c>
      <c r="S154">
        <v>0</v>
      </c>
      <c r="T154">
        <v>0</v>
      </c>
      <c r="U154" t="s">
        <v>2179</v>
      </c>
      <c r="V154">
        <v>2847268</v>
      </c>
      <c r="W154" t="s">
        <v>2180</v>
      </c>
      <c r="X154">
        <v>17083.608</v>
      </c>
      <c r="Y154">
        <v>17083.608</v>
      </c>
      <c r="Z154">
        <v>17083.608</v>
      </c>
      <c r="AA154">
        <v>2847556</v>
      </c>
      <c r="AB154">
        <v>2847268</v>
      </c>
      <c r="AC154" s="11">
        <v>46174</v>
      </c>
      <c r="AD154" s="11">
        <v>46203</v>
      </c>
      <c r="AE154" t="s">
        <v>2189</v>
      </c>
      <c r="AF154" t="s">
        <v>2182</v>
      </c>
      <c r="AG154" t="s">
        <v>2183</v>
      </c>
      <c r="AH154">
        <v>100000.02</v>
      </c>
      <c r="AI154">
        <v>128368</v>
      </c>
      <c r="AJ154" t="s">
        <v>2047</v>
      </c>
    </row>
    <row r="155" spans="1:36" hidden="1" x14ac:dyDescent="0.2">
      <c r="A155" t="s">
        <v>2259</v>
      </c>
      <c r="B155" t="s">
        <v>152</v>
      </c>
      <c r="C155" t="s">
        <v>2340</v>
      </c>
      <c r="D155" t="s">
        <v>333</v>
      </c>
      <c r="E155">
        <v>269583</v>
      </c>
      <c r="F155" t="s">
        <v>2217</v>
      </c>
      <c r="G155">
        <v>8004</v>
      </c>
      <c r="H155">
        <v>588599</v>
      </c>
      <c r="I155" t="s">
        <v>810</v>
      </c>
      <c r="J155" s="11">
        <v>46174</v>
      </c>
      <c r="K155" s="11">
        <v>46222</v>
      </c>
      <c r="L155" t="s">
        <v>2177</v>
      </c>
      <c r="M155" t="s">
        <v>1850</v>
      </c>
      <c r="N155">
        <v>6</v>
      </c>
      <c r="O155">
        <v>2250000</v>
      </c>
      <c r="P155">
        <v>13500</v>
      </c>
      <c r="Q155" t="s">
        <v>2178</v>
      </c>
      <c r="R155" t="s">
        <v>2179</v>
      </c>
      <c r="S155">
        <v>0</v>
      </c>
      <c r="T155">
        <v>0</v>
      </c>
      <c r="U155" t="s">
        <v>2179</v>
      </c>
      <c r="V155">
        <v>1044323</v>
      </c>
      <c r="W155" t="s">
        <v>2180</v>
      </c>
      <c r="X155">
        <v>6265.9380000000001</v>
      </c>
      <c r="Y155">
        <v>6265.9380000000001</v>
      </c>
      <c r="Z155">
        <v>6265.9380000000001</v>
      </c>
      <c r="AA155">
        <v>1044678</v>
      </c>
      <c r="AB155">
        <v>1044323</v>
      </c>
      <c r="AC155" s="11">
        <v>46174</v>
      </c>
      <c r="AD155" s="11">
        <v>46222</v>
      </c>
      <c r="AE155" t="s">
        <v>2226</v>
      </c>
      <c r="AF155" t="s">
        <v>2182</v>
      </c>
      <c r="AG155" t="s">
        <v>2183</v>
      </c>
      <c r="AH155">
        <v>200000</v>
      </c>
      <c r="AI155">
        <v>128868</v>
      </c>
      <c r="AJ155" t="s">
        <v>2054</v>
      </c>
    </row>
    <row r="156" spans="1:36" hidden="1" x14ac:dyDescent="0.2">
      <c r="A156" t="s">
        <v>2259</v>
      </c>
      <c r="B156" t="s">
        <v>152</v>
      </c>
      <c r="C156" t="s">
        <v>2340</v>
      </c>
      <c r="D156" t="s">
        <v>333</v>
      </c>
      <c r="E156">
        <v>269583</v>
      </c>
      <c r="F156" t="s">
        <v>2219</v>
      </c>
      <c r="G156">
        <v>7998</v>
      </c>
      <c r="H156">
        <v>588603</v>
      </c>
      <c r="I156" t="s">
        <v>622</v>
      </c>
      <c r="J156" s="11">
        <v>46174</v>
      </c>
      <c r="K156" s="11">
        <v>46222</v>
      </c>
      <c r="L156" t="s">
        <v>2223</v>
      </c>
      <c r="M156" t="s">
        <v>1850</v>
      </c>
      <c r="N156">
        <v>40</v>
      </c>
      <c r="O156">
        <v>2850000</v>
      </c>
      <c r="P156">
        <v>114000</v>
      </c>
      <c r="Q156" t="s">
        <v>2178</v>
      </c>
      <c r="R156" t="s">
        <v>2179</v>
      </c>
      <c r="S156">
        <v>0</v>
      </c>
      <c r="T156">
        <v>0</v>
      </c>
      <c r="U156" t="s">
        <v>2179</v>
      </c>
      <c r="V156">
        <v>1710992</v>
      </c>
      <c r="W156" t="s">
        <v>2180</v>
      </c>
      <c r="X156">
        <v>68439.679999999993</v>
      </c>
      <c r="Y156">
        <v>68439.679999999993</v>
      </c>
      <c r="Z156">
        <v>68439.679999999993</v>
      </c>
      <c r="AA156">
        <v>1717518</v>
      </c>
      <c r="AB156">
        <v>1710992</v>
      </c>
      <c r="AC156" s="11">
        <v>46174</v>
      </c>
      <c r="AD156" s="11">
        <v>46222</v>
      </c>
      <c r="AE156" t="s">
        <v>2226</v>
      </c>
      <c r="AF156" t="s">
        <v>2182</v>
      </c>
      <c r="AG156" t="s">
        <v>2183</v>
      </c>
      <c r="AH156">
        <v>200000</v>
      </c>
      <c r="AI156">
        <v>128868</v>
      </c>
      <c r="AJ156" t="s">
        <v>2054</v>
      </c>
    </row>
    <row r="157" spans="1:36" hidden="1" x14ac:dyDescent="0.2">
      <c r="A157" t="s">
        <v>2259</v>
      </c>
      <c r="B157" t="s">
        <v>152</v>
      </c>
      <c r="C157" t="s">
        <v>2340</v>
      </c>
      <c r="D157" t="s">
        <v>333</v>
      </c>
      <c r="E157">
        <v>269583</v>
      </c>
      <c r="F157" t="s">
        <v>2219</v>
      </c>
      <c r="G157">
        <v>7998</v>
      </c>
      <c r="H157">
        <v>588678</v>
      </c>
      <c r="I157" t="s">
        <v>621</v>
      </c>
      <c r="J157" s="11">
        <v>46174</v>
      </c>
      <c r="K157" s="11">
        <v>46222</v>
      </c>
      <c r="L157" t="s">
        <v>2223</v>
      </c>
      <c r="M157" t="s">
        <v>1850</v>
      </c>
      <c r="N157">
        <v>50</v>
      </c>
      <c r="O157">
        <v>1450000</v>
      </c>
      <c r="P157">
        <v>72500</v>
      </c>
      <c r="Q157" t="s">
        <v>2178</v>
      </c>
      <c r="R157" t="s">
        <v>2179</v>
      </c>
      <c r="S157">
        <v>0</v>
      </c>
      <c r="T157">
        <v>0</v>
      </c>
      <c r="U157" t="s">
        <v>2179</v>
      </c>
      <c r="V157">
        <v>676462</v>
      </c>
      <c r="W157" t="s">
        <v>2180</v>
      </c>
      <c r="X157">
        <v>33823.1</v>
      </c>
      <c r="Y157">
        <v>33823.1</v>
      </c>
      <c r="Z157">
        <v>33823.1</v>
      </c>
      <c r="AA157">
        <v>674881</v>
      </c>
      <c r="AB157">
        <v>676462</v>
      </c>
      <c r="AC157" s="11">
        <v>46174</v>
      </c>
      <c r="AD157" s="11">
        <v>46222</v>
      </c>
      <c r="AE157" t="s">
        <v>2226</v>
      </c>
      <c r="AF157" t="s">
        <v>2182</v>
      </c>
      <c r="AG157" t="s">
        <v>2183</v>
      </c>
      <c r="AH157">
        <v>200000</v>
      </c>
      <c r="AI157">
        <v>128868</v>
      </c>
      <c r="AJ157" t="s">
        <v>2054</v>
      </c>
    </row>
    <row r="158" spans="1:36" hidden="1" x14ac:dyDescent="0.2">
      <c r="A158" t="s">
        <v>2259</v>
      </c>
      <c r="B158" t="s">
        <v>152</v>
      </c>
      <c r="C158" t="s">
        <v>2340</v>
      </c>
      <c r="D158" t="s">
        <v>336</v>
      </c>
      <c r="E158">
        <v>269585</v>
      </c>
      <c r="F158" t="s">
        <v>2217</v>
      </c>
      <c r="G158">
        <v>8004</v>
      </c>
      <c r="H158">
        <v>588619</v>
      </c>
      <c r="I158" t="s">
        <v>808</v>
      </c>
      <c r="J158" s="11">
        <v>46174</v>
      </c>
      <c r="K158" s="11">
        <v>46222</v>
      </c>
      <c r="L158" t="s">
        <v>2177</v>
      </c>
      <c r="M158" t="s">
        <v>1850</v>
      </c>
      <c r="N158">
        <v>6</v>
      </c>
      <c r="O158">
        <v>833333</v>
      </c>
      <c r="P158">
        <v>5000</v>
      </c>
      <c r="Q158" t="s">
        <v>2178</v>
      </c>
      <c r="R158" t="s">
        <v>2179</v>
      </c>
      <c r="S158">
        <v>0</v>
      </c>
      <c r="T158">
        <v>0</v>
      </c>
      <c r="U158" t="s">
        <v>2179</v>
      </c>
      <c r="V158">
        <v>407405</v>
      </c>
      <c r="W158" t="s">
        <v>2180</v>
      </c>
      <c r="X158">
        <v>2444.4299999999998</v>
      </c>
      <c r="Y158">
        <v>2444.4299999999998</v>
      </c>
      <c r="Z158">
        <v>2444.4299999999998</v>
      </c>
      <c r="AA158">
        <v>407569</v>
      </c>
      <c r="AB158">
        <v>407405</v>
      </c>
      <c r="AC158" s="11">
        <v>46174</v>
      </c>
      <c r="AD158" s="11">
        <v>46222</v>
      </c>
      <c r="AE158" t="s">
        <v>2226</v>
      </c>
      <c r="AF158" t="s">
        <v>2182</v>
      </c>
      <c r="AG158" t="s">
        <v>2183</v>
      </c>
      <c r="AH158">
        <v>150000</v>
      </c>
      <c r="AI158">
        <v>129166</v>
      </c>
      <c r="AJ158" t="s">
        <v>2054</v>
      </c>
    </row>
    <row r="159" spans="1:36" hidden="1" x14ac:dyDescent="0.2">
      <c r="A159" t="s">
        <v>2259</v>
      </c>
      <c r="B159" t="s">
        <v>152</v>
      </c>
      <c r="C159" t="s">
        <v>2340</v>
      </c>
      <c r="D159" t="s">
        <v>336</v>
      </c>
      <c r="E159">
        <v>269585</v>
      </c>
      <c r="F159" t="s">
        <v>2219</v>
      </c>
      <c r="G159">
        <v>7998</v>
      </c>
      <c r="H159">
        <v>588623</v>
      </c>
      <c r="I159" t="s">
        <v>625</v>
      </c>
      <c r="J159" s="11">
        <v>46174</v>
      </c>
      <c r="K159" s="11">
        <v>46222</v>
      </c>
      <c r="L159" t="s">
        <v>2223</v>
      </c>
      <c r="M159" t="s">
        <v>1850</v>
      </c>
      <c r="N159">
        <v>40</v>
      </c>
      <c r="O159">
        <v>2125000</v>
      </c>
      <c r="P159">
        <v>85000</v>
      </c>
      <c r="Q159" t="s">
        <v>2178</v>
      </c>
      <c r="R159" t="s">
        <v>2179</v>
      </c>
      <c r="S159">
        <v>0</v>
      </c>
      <c r="T159">
        <v>0</v>
      </c>
      <c r="U159" t="s">
        <v>2179</v>
      </c>
      <c r="V159">
        <v>1325080</v>
      </c>
      <c r="W159" t="s">
        <v>2180</v>
      </c>
      <c r="X159">
        <v>53003.199999999997</v>
      </c>
      <c r="Y159">
        <v>53003.199999999997</v>
      </c>
      <c r="Z159">
        <v>53003.199999999997</v>
      </c>
      <c r="AA159">
        <v>1326631</v>
      </c>
      <c r="AB159">
        <v>1325080</v>
      </c>
      <c r="AC159" s="11">
        <v>46174</v>
      </c>
      <c r="AD159" s="11">
        <v>46222</v>
      </c>
      <c r="AE159" t="s">
        <v>2226</v>
      </c>
      <c r="AF159" t="s">
        <v>2182</v>
      </c>
      <c r="AG159" t="s">
        <v>2183</v>
      </c>
      <c r="AH159">
        <v>150000</v>
      </c>
      <c r="AI159">
        <v>129166</v>
      </c>
      <c r="AJ159" t="s">
        <v>2054</v>
      </c>
    </row>
    <row r="160" spans="1:36" hidden="1" x14ac:dyDescent="0.2">
      <c r="A160" t="s">
        <v>2259</v>
      </c>
      <c r="B160" t="s">
        <v>152</v>
      </c>
      <c r="C160" t="s">
        <v>2340</v>
      </c>
      <c r="D160" t="s">
        <v>336</v>
      </c>
      <c r="E160">
        <v>269585</v>
      </c>
      <c r="F160" t="s">
        <v>2219</v>
      </c>
      <c r="G160">
        <v>7998</v>
      </c>
      <c r="H160">
        <v>588692</v>
      </c>
      <c r="I160" t="s">
        <v>626</v>
      </c>
      <c r="J160" s="11">
        <v>46174</v>
      </c>
      <c r="K160" s="11">
        <v>46222</v>
      </c>
      <c r="L160" t="s">
        <v>2223</v>
      </c>
      <c r="M160" t="s">
        <v>1850</v>
      </c>
      <c r="N160">
        <v>50</v>
      </c>
      <c r="O160">
        <v>1200000</v>
      </c>
      <c r="P160">
        <v>60000</v>
      </c>
      <c r="Q160" t="s">
        <v>2178</v>
      </c>
      <c r="R160" t="s">
        <v>2179</v>
      </c>
      <c r="S160">
        <v>0</v>
      </c>
      <c r="T160">
        <v>0</v>
      </c>
      <c r="U160" t="s">
        <v>2179</v>
      </c>
      <c r="V160">
        <v>561336</v>
      </c>
      <c r="W160" t="s">
        <v>2180</v>
      </c>
      <c r="X160">
        <v>28066.799999999999</v>
      </c>
      <c r="Y160">
        <v>28066.799999999999</v>
      </c>
      <c r="Z160">
        <v>28066.799999999999</v>
      </c>
      <c r="AA160">
        <v>559648</v>
      </c>
      <c r="AB160">
        <v>561336</v>
      </c>
      <c r="AC160" s="11">
        <v>46174</v>
      </c>
      <c r="AD160" s="11">
        <v>46222</v>
      </c>
      <c r="AE160" t="s">
        <v>2226</v>
      </c>
      <c r="AF160" t="s">
        <v>2182</v>
      </c>
      <c r="AG160" t="s">
        <v>2183</v>
      </c>
      <c r="AH160">
        <v>150000</v>
      </c>
      <c r="AI160">
        <v>129166</v>
      </c>
      <c r="AJ160" t="s">
        <v>2054</v>
      </c>
    </row>
    <row r="161" spans="1:36" hidden="1" x14ac:dyDescent="0.2">
      <c r="A161" t="s">
        <v>2259</v>
      </c>
      <c r="B161" t="s">
        <v>152</v>
      </c>
      <c r="C161" t="s">
        <v>2340</v>
      </c>
      <c r="D161" t="s">
        <v>345</v>
      </c>
      <c r="E161">
        <v>269587</v>
      </c>
      <c r="F161" t="s">
        <v>2217</v>
      </c>
      <c r="G161">
        <v>8004</v>
      </c>
      <c r="H161">
        <v>588639</v>
      </c>
      <c r="I161" t="s">
        <v>814</v>
      </c>
      <c r="J161" s="11">
        <v>46174</v>
      </c>
      <c r="K161" s="11">
        <v>46222</v>
      </c>
      <c r="L161" t="s">
        <v>2177</v>
      </c>
      <c r="M161" t="s">
        <v>1850</v>
      </c>
      <c r="N161">
        <v>6</v>
      </c>
      <c r="O161">
        <v>833333</v>
      </c>
      <c r="P161">
        <v>5000</v>
      </c>
      <c r="Q161" t="s">
        <v>2178</v>
      </c>
      <c r="R161" t="s">
        <v>2179</v>
      </c>
      <c r="S161">
        <v>0</v>
      </c>
      <c r="T161">
        <v>0</v>
      </c>
      <c r="U161" t="s">
        <v>2179</v>
      </c>
      <c r="V161">
        <v>396196</v>
      </c>
      <c r="W161" t="s">
        <v>2180</v>
      </c>
      <c r="X161">
        <v>2377.1759999999999</v>
      </c>
      <c r="Y161">
        <v>2377.1759999999999</v>
      </c>
      <c r="Z161">
        <v>2377.1759999999999</v>
      </c>
      <c r="AA161">
        <v>404848</v>
      </c>
      <c r="AB161">
        <v>396196</v>
      </c>
      <c r="AC161" s="11">
        <v>46174</v>
      </c>
      <c r="AD161" s="11">
        <v>46222</v>
      </c>
      <c r="AE161" t="s">
        <v>2226</v>
      </c>
      <c r="AF161" t="s">
        <v>2182</v>
      </c>
      <c r="AG161" t="s">
        <v>2183</v>
      </c>
      <c r="AH161">
        <v>200000</v>
      </c>
      <c r="AI161">
        <v>129321</v>
      </c>
      <c r="AJ161" t="s">
        <v>2054</v>
      </c>
    </row>
    <row r="162" spans="1:36" hidden="1" x14ac:dyDescent="0.2">
      <c r="A162" t="s">
        <v>2259</v>
      </c>
      <c r="B162" t="s">
        <v>152</v>
      </c>
      <c r="C162" t="s">
        <v>2340</v>
      </c>
      <c r="D162" t="s">
        <v>345</v>
      </c>
      <c r="E162">
        <v>269587</v>
      </c>
      <c r="F162" t="s">
        <v>2219</v>
      </c>
      <c r="G162">
        <v>7998</v>
      </c>
      <c r="H162">
        <v>588643</v>
      </c>
      <c r="I162" t="s">
        <v>644</v>
      </c>
      <c r="J162" s="11">
        <v>46174</v>
      </c>
      <c r="K162" s="11">
        <v>46222</v>
      </c>
      <c r="L162" t="s">
        <v>2223</v>
      </c>
      <c r="M162" t="s">
        <v>1850</v>
      </c>
      <c r="N162">
        <v>40</v>
      </c>
      <c r="O162">
        <v>2750000</v>
      </c>
      <c r="P162">
        <v>110000</v>
      </c>
      <c r="Q162" t="s">
        <v>2178</v>
      </c>
      <c r="R162" t="s">
        <v>2179</v>
      </c>
      <c r="S162">
        <v>0</v>
      </c>
      <c r="T162">
        <v>0</v>
      </c>
      <c r="U162" t="s">
        <v>2179</v>
      </c>
      <c r="V162">
        <v>1713880</v>
      </c>
      <c r="W162" t="s">
        <v>2180</v>
      </c>
      <c r="X162">
        <v>68555.199999999997</v>
      </c>
      <c r="Y162">
        <v>68555.199999999997</v>
      </c>
      <c r="Z162">
        <v>68555.199999999997</v>
      </c>
      <c r="AA162">
        <v>1717809</v>
      </c>
      <c r="AB162">
        <v>1713880</v>
      </c>
      <c r="AC162" s="11">
        <v>46174</v>
      </c>
      <c r="AD162" s="11">
        <v>46222</v>
      </c>
      <c r="AE162" t="s">
        <v>2226</v>
      </c>
      <c r="AF162" t="s">
        <v>2182</v>
      </c>
      <c r="AG162" t="s">
        <v>2183</v>
      </c>
      <c r="AH162">
        <v>200000</v>
      </c>
      <c r="AI162">
        <v>129321</v>
      </c>
      <c r="AJ162" t="s">
        <v>2054</v>
      </c>
    </row>
    <row r="163" spans="1:36" hidden="1" x14ac:dyDescent="0.2">
      <c r="A163" t="s">
        <v>2259</v>
      </c>
      <c r="B163" t="s">
        <v>152</v>
      </c>
      <c r="C163" t="s">
        <v>2340</v>
      </c>
      <c r="D163" t="s">
        <v>345</v>
      </c>
      <c r="E163">
        <v>269587</v>
      </c>
      <c r="F163" t="s">
        <v>2219</v>
      </c>
      <c r="G163">
        <v>7998</v>
      </c>
      <c r="H163">
        <v>588992</v>
      </c>
      <c r="I163" t="s">
        <v>645</v>
      </c>
      <c r="J163" s="11">
        <v>46174</v>
      </c>
      <c r="K163" s="11">
        <v>46222</v>
      </c>
      <c r="L163" t="s">
        <v>2223</v>
      </c>
      <c r="M163" t="s">
        <v>1850</v>
      </c>
      <c r="N163">
        <v>50</v>
      </c>
      <c r="O163">
        <v>1700000</v>
      </c>
      <c r="P163">
        <v>85000</v>
      </c>
      <c r="Q163" t="s">
        <v>2178</v>
      </c>
      <c r="R163" t="s">
        <v>2179</v>
      </c>
      <c r="S163">
        <v>0</v>
      </c>
      <c r="T163">
        <v>0</v>
      </c>
      <c r="U163" t="s">
        <v>2179</v>
      </c>
      <c r="V163">
        <v>773177</v>
      </c>
      <c r="W163" t="s">
        <v>2180</v>
      </c>
      <c r="X163">
        <v>38658.85</v>
      </c>
      <c r="Y163">
        <v>38658.85</v>
      </c>
      <c r="Z163">
        <v>38658.85</v>
      </c>
      <c r="AA163">
        <v>770349</v>
      </c>
      <c r="AB163">
        <v>773177</v>
      </c>
      <c r="AC163" s="11">
        <v>46174</v>
      </c>
      <c r="AD163" s="11">
        <v>46222</v>
      </c>
      <c r="AE163" t="s">
        <v>2226</v>
      </c>
      <c r="AF163" t="s">
        <v>2182</v>
      </c>
      <c r="AG163" t="s">
        <v>2183</v>
      </c>
      <c r="AH163">
        <v>200000</v>
      </c>
      <c r="AI163">
        <v>129321</v>
      </c>
      <c r="AJ163" t="s">
        <v>2054</v>
      </c>
    </row>
    <row r="164" spans="1:36" hidden="1" x14ac:dyDescent="0.2">
      <c r="A164" t="s">
        <v>2264</v>
      </c>
      <c r="B164" t="s">
        <v>157</v>
      </c>
      <c r="C164" t="s">
        <v>2265</v>
      </c>
      <c r="D164" t="s">
        <v>319</v>
      </c>
      <c r="E164">
        <v>269710</v>
      </c>
      <c r="F164" t="s">
        <v>2212</v>
      </c>
      <c r="G164">
        <v>2789</v>
      </c>
      <c r="H164">
        <v>589034</v>
      </c>
      <c r="I164" t="s">
        <v>591</v>
      </c>
      <c r="J164" s="11">
        <v>46160</v>
      </c>
      <c r="K164" s="11">
        <v>46187</v>
      </c>
      <c r="L164" t="s">
        <v>2177</v>
      </c>
      <c r="M164" t="s">
        <v>1850</v>
      </c>
      <c r="N164">
        <v>19</v>
      </c>
      <c r="O164">
        <v>2631579</v>
      </c>
      <c r="P164">
        <v>50000</v>
      </c>
      <c r="Q164" t="s">
        <v>2201</v>
      </c>
      <c r="R164" t="s">
        <v>2179</v>
      </c>
      <c r="S164">
        <v>0</v>
      </c>
      <c r="T164">
        <v>0</v>
      </c>
      <c r="U164" t="s">
        <v>2179</v>
      </c>
      <c r="V164">
        <v>692106</v>
      </c>
      <c r="W164" t="s">
        <v>2180</v>
      </c>
      <c r="X164">
        <v>13150.02</v>
      </c>
      <c r="Y164">
        <v>13150.02</v>
      </c>
      <c r="Z164">
        <v>13150.02</v>
      </c>
      <c r="AA164">
        <v>777581</v>
      </c>
      <c r="AB164">
        <v>779838</v>
      </c>
      <c r="AC164" s="11">
        <v>46160</v>
      </c>
      <c r="AD164" s="11">
        <v>46187</v>
      </c>
      <c r="AE164" t="s">
        <v>2266</v>
      </c>
      <c r="AF164" t="s">
        <v>2182</v>
      </c>
      <c r="AG164" t="s">
        <v>2183</v>
      </c>
      <c r="AH164">
        <v>50000</v>
      </c>
      <c r="AI164">
        <v>128406</v>
      </c>
      <c r="AJ164" t="s">
        <v>2061</v>
      </c>
    </row>
    <row r="165" spans="1:36" hidden="1" x14ac:dyDescent="0.2">
      <c r="A165" t="s">
        <v>2284</v>
      </c>
      <c r="B165" t="s">
        <v>206</v>
      </c>
      <c r="C165" t="s">
        <v>2341</v>
      </c>
      <c r="D165" t="s">
        <v>390</v>
      </c>
      <c r="E165">
        <v>269719</v>
      </c>
      <c r="F165" t="s">
        <v>2215</v>
      </c>
      <c r="G165">
        <v>8005</v>
      </c>
      <c r="H165">
        <v>589891</v>
      </c>
      <c r="I165" t="s">
        <v>723</v>
      </c>
      <c r="J165" s="11">
        <v>46188</v>
      </c>
      <c r="K165" s="11">
        <v>46222</v>
      </c>
      <c r="L165" t="s">
        <v>2247</v>
      </c>
      <c r="M165" t="s">
        <v>1850</v>
      </c>
      <c r="N165">
        <v>40</v>
      </c>
      <c r="O165">
        <v>2500000</v>
      </c>
      <c r="P165">
        <v>100000</v>
      </c>
      <c r="Q165" t="s">
        <v>2178</v>
      </c>
      <c r="R165" t="s">
        <v>2179</v>
      </c>
      <c r="S165">
        <v>0</v>
      </c>
      <c r="T165">
        <v>0</v>
      </c>
      <c r="U165" t="s">
        <v>2179</v>
      </c>
      <c r="V165">
        <v>1620447</v>
      </c>
      <c r="W165" t="s">
        <v>2180</v>
      </c>
      <c r="X165">
        <v>64817.88</v>
      </c>
      <c r="Y165">
        <v>64817.88</v>
      </c>
      <c r="Z165">
        <v>64817.88</v>
      </c>
      <c r="AA165">
        <v>1670696</v>
      </c>
      <c r="AB165">
        <v>1620447</v>
      </c>
      <c r="AC165" s="11">
        <v>46188</v>
      </c>
      <c r="AD165" s="11">
        <v>46222</v>
      </c>
      <c r="AE165" t="s">
        <v>2198</v>
      </c>
      <c r="AF165" t="s">
        <v>2182</v>
      </c>
      <c r="AG165" t="s">
        <v>2183</v>
      </c>
      <c r="AH165">
        <v>250000.02</v>
      </c>
      <c r="AI165">
        <v>130553</v>
      </c>
      <c r="AJ165" t="s">
        <v>2053</v>
      </c>
    </row>
    <row r="166" spans="1:36" hidden="1" x14ac:dyDescent="0.2">
      <c r="A166" t="s">
        <v>2284</v>
      </c>
      <c r="B166" t="s">
        <v>206</v>
      </c>
      <c r="C166" t="s">
        <v>2341</v>
      </c>
      <c r="D166" t="s">
        <v>390</v>
      </c>
      <c r="E166">
        <v>269719</v>
      </c>
      <c r="H166">
        <v>590056</v>
      </c>
      <c r="I166" t="s">
        <v>2342</v>
      </c>
      <c r="J166" s="11">
        <v>46188</v>
      </c>
      <c r="K166" s="11">
        <v>46229</v>
      </c>
      <c r="L166" t="s">
        <v>2247</v>
      </c>
      <c r="M166" t="s">
        <v>1850</v>
      </c>
      <c r="N166">
        <v>17</v>
      </c>
      <c r="O166">
        <v>2941177</v>
      </c>
      <c r="P166">
        <v>50000.01</v>
      </c>
      <c r="Q166" t="s">
        <v>2178</v>
      </c>
      <c r="R166" t="s">
        <v>2179</v>
      </c>
      <c r="S166">
        <v>0</v>
      </c>
      <c r="T166">
        <v>0</v>
      </c>
      <c r="U166" t="s">
        <v>2179</v>
      </c>
      <c r="V166">
        <v>0</v>
      </c>
      <c r="W166" t="s">
        <v>2180</v>
      </c>
      <c r="X166">
        <v>0</v>
      </c>
      <c r="Y166">
        <v>0</v>
      </c>
      <c r="Z166">
        <v>0</v>
      </c>
      <c r="AC166" s="11">
        <v>46188</v>
      </c>
      <c r="AD166" s="11">
        <v>46229</v>
      </c>
      <c r="AE166" t="s">
        <v>2198</v>
      </c>
      <c r="AF166" t="s">
        <v>2182</v>
      </c>
      <c r="AG166" t="s">
        <v>2183</v>
      </c>
      <c r="AH166">
        <v>250000.02</v>
      </c>
      <c r="AI166">
        <v>130553</v>
      </c>
      <c r="AJ166" t="s">
        <v>2053</v>
      </c>
    </row>
    <row r="167" spans="1:36" hidden="1" x14ac:dyDescent="0.2">
      <c r="A167" t="s">
        <v>2284</v>
      </c>
      <c r="B167" t="s">
        <v>206</v>
      </c>
      <c r="C167" t="s">
        <v>2341</v>
      </c>
      <c r="D167" t="s">
        <v>390</v>
      </c>
      <c r="E167">
        <v>269719</v>
      </c>
      <c r="H167">
        <v>590703</v>
      </c>
      <c r="I167" t="s">
        <v>724</v>
      </c>
      <c r="J167" s="11">
        <v>46188</v>
      </c>
      <c r="K167" s="11">
        <v>46229</v>
      </c>
      <c r="L167" t="s">
        <v>2247</v>
      </c>
      <c r="M167" t="s">
        <v>1850</v>
      </c>
      <c r="N167">
        <v>16.73</v>
      </c>
      <c r="O167">
        <v>5977287</v>
      </c>
      <c r="P167">
        <v>100000.01</v>
      </c>
      <c r="Q167" t="s">
        <v>2178</v>
      </c>
      <c r="R167" t="s">
        <v>2179</v>
      </c>
      <c r="S167">
        <v>0</v>
      </c>
      <c r="T167">
        <v>0</v>
      </c>
      <c r="U167" t="s">
        <v>2179</v>
      </c>
      <c r="V167">
        <v>2497649</v>
      </c>
      <c r="W167" t="s">
        <v>2180</v>
      </c>
      <c r="X167">
        <v>41785.667800000003</v>
      </c>
      <c r="Y167">
        <v>41785.667800000003</v>
      </c>
      <c r="Z167">
        <v>41785.667800000003</v>
      </c>
      <c r="AA167">
        <v>2501020</v>
      </c>
      <c r="AB167">
        <v>2497649</v>
      </c>
      <c r="AC167" s="11">
        <v>46188</v>
      </c>
      <c r="AD167" s="11">
        <v>46229</v>
      </c>
      <c r="AE167" t="s">
        <v>2198</v>
      </c>
      <c r="AF167" t="s">
        <v>2182</v>
      </c>
      <c r="AG167" t="s">
        <v>2183</v>
      </c>
      <c r="AH167">
        <v>250000.02</v>
      </c>
      <c r="AI167">
        <v>130553</v>
      </c>
      <c r="AJ167" t="s">
        <v>2053</v>
      </c>
    </row>
    <row r="168" spans="1:36" hidden="1" x14ac:dyDescent="0.2">
      <c r="A168" t="s">
        <v>2207</v>
      </c>
      <c r="B168" t="s">
        <v>177</v>
      </c>
      <c r="C168" t="s">
        <v>2343</v>
      </c>
      <c r="D168" t="s">
        <v>332</v>
      </c>
      <c r="E168">
        <v>269721</v>
      </c>
      <c r="F168" t="s">
        <v>2215</v>
      </c>
      <c r="G168">
        <v>8005</v>
      </c>
      <c r="H168">
        <v>589039</v>
      </c>
      <c r="I168" t="s">
        <v>620</v>
      </c>
      <c r="J168" s="11">
        <v>46174</v>
      </c>
      <c r="K168" s="11">
        <v>46222</v>
      </c>
      <c r="L168" t="s">
        <v>2177</v>
      </c>
      <c r="M168" t="s">
        <v>1850</v>
      </c>
      <c r="N168">
        <v>30</v>
      </c>
      <c r="O168">
        <v>5000000</v>
      </c>
      <c r="P168">
        <v>150000</v>
      </c>
      <c r="Q168" t="s">
        <v>2178</v>
      </c>
      <c r="R168" t="s">
        <v>2179</v>
      </c>
      <c r="S168">
        <v>0</v>
      </c>
      <c r="T168">
        <v>0</v>
      </c>
      <c r="U168" t="s">
        <v>2179</v>
      </c>
      <c r="V168">
        <v>3351248</v>
      </c>
      <c r="W168" t="s">
        <v>2180</v>
      </c>
      <c r="X168">
        <v>100537.44</v>
      </c>
      <c r="Y168">
        <v>100537.44</v>
      </c>
      <c r="Z168">
        <v>100537.44</v>
      </c>
      <c r="AA168">
        <v>3346007</v>
      </c>
      <c r="AB168">
        <v>3351248</v>
      </c>
      <c r="AC168" s="11">
        <v>46174</v>
      </c>
      <c r="AD168" s="11">
        <v>46222</v>
      </c>
      <c r="AE168" t="s">
        <v>2210</v>
      </c>
      <c r="AF168" t="s">
        <v>2182</v>
      </c>
      <c r="AG168" t="s">
        <v>2183</v>
      </c>
      <c r="AH168">
        <v>550000</v>
      </c>
      <c r="AI168">
        <v>128885</v>
      </c>
      <c r="AJ168" t="s">
        <v>2060</v>
      </c>
    </row>
    <row r="169" spans="1:36" hidden="1" x14ac:dyDescent="0.2">
      <c r="A169" t="s">
        <v>2207</v>
      </c>
      <c r="B169" t="s">
        <v>177</v>
      </c>
      <c r="C169" t="s">
        <v>2343</v>
      </c>
      <c r="D169" t="s">
        <v>332</v>
      </c>
      <c r="E169">
        <v>269721</v>
      </c>
      <c r="F169" t="s">
        <v>2220</v>
      </c>
      <c r="G169">
        <v>8001</v>
      </c>
      <c r="H169">
        <v>589042</v>
      </c>
      <c r="I169" t="s">
        <v>804</v>
      </c>
      <c r="J169" s="11">
        <v>46174</v>
      </c>
      <c r="K169" s="11">
        <v>46222</v>
      </c>
      <c r="L169" t="s">
        <v>2177</v>
      </c>
      <c r="M169" t="s">
        <v>1850</v>
      </c>
      <c r="N169">
        <v>5</v>
      </c>
      <c r="O169">
        <v>20000000</v>
      </c>
      <c r="P169">
        <v>100000</v>
      </c>
      <c r="Q169" t="s">
        <v>2178</v>
      </c>
      <c r="R169" t="s">
        <v>2179</v>
      </c>
      <c r="S169">
        <v>0</v>
      </c>
      <c r="T169">
        <v>0</v>
      </c>
      <c r="U169" t="s">
        <v>2179</v>
      </c>
      <c r="V169">
        <v>16544826</v>
      </c>
      <c r="W169" t="s">
        <v>2180</v>
      </c>
      <c r="X169">
        <v>82724.13</v>
      </c>
      <c r="Y169">
        <v>82724.13</v>
      </c>
      <c r="Z169">
        <v>82724.13</v>
      </c>
      <c r="AA169">
        <v>16548404</v>
      </c>
      <c r="AB169">
        <v>16544826</v>
      </c>
      <c r="AC169" s="11">
        <v>46174</v>
      </c>
      <c r="AD169" s="11">
        <v>46222</v>
      </c>
      <c r="AE169" t="s">
        <v>2210</v>
      </c>
      <c r="AF169" t="s">
        <v>2182</v>
      </c>
      <c r="AG169" t="s">
        <v>2183</v>
      </c>
      <c r="AH169">
        <v>550000</v>
      </c>
      <c r="AI169">
        <v>128885</v>
      </c>
      <c r="AJ169" t="s">
        <v>2060</v>
      </c>
    </row>
    <row r="170" spans="1:36" hidden="1" x14ac:dyDescent="0.2">
      <c r="A170" t="s">
        <v>2207</v>
      </c>
      <c r="B170" t="s">
        <v>177</v>
      </c>
      <c r="C170" t="s">
        <v>2343</v>
      </c>
      <c r="D170" t="s">
        <v>332</v>
      </c>
      <c r="E170">
        <v>269721</v>
      </c>
      <c r="F170" t="s">
        <v>2218</v>
      </c>
      <c r="G170">
        <v>8000</v>
      </c>
      <c r="H170">
        <v>589046</v>
      </c>
      <c r="I170" t="s">
        <v>864</v>
      </c>
      <c r="J170" s="11">
        <v>46174</v>
      </c>
      <c r="K170" s="11">
        <v>46222</v>
      </c>
      <c r="M170" t="s">
        <v>1852</v>
      </c>
      <c r="N170">
        <v>0.15</v>
      </c>
      <c r="O170">
        <v>2000000</v>
      </c>
      <c r="P170">
        <v>300000</v>
      </c>
      <c r="Q170" t="s">
        <v>2262</v>
      </c>
      <c r="R170" t="s">
        <v>2206</v>
      </c>
      <c r="S170">
        <v>1224490</v>
      </c>
      <c r="T170">
        <v>183673.4694</v>
      </c>
      <c r="U170" t="s">
        <v>2206</v>
      </c>
      <c r="V170">
        <v>1224490</v>
      </c>
      <c r="W170" t="s">
        <v>2180</v>
      </c>
      <c r="X170">
        <v>183673.4694</v>
      </c>
      <c r="Y170">
        <v>183673.4694</v>
      </c>
      <c r="Z170">
        <v>183673.4694</v>
      </c>
      <c r="AC170" s="11">
        <v>46174</v>
      </c>
      <c r="AD170" s="11">
        <v>46222</v>
      </c>
      <c r="AE170" t="s">
        <v>2210</v>
      </c>
      <c r="AF170" t="s">
        <v>2182</v>
      </c>
      <c r="AG170" t="s">
        <v>2183</v>
      </c>
      <c r="AH170">
        <v>550000</v>
      </c>
      <c r="AI170">
        <v>128885</v>
      </c>
      <c r="AJ170" t="s">
        <v>2060</v>
      </c>
    </row>
    <row r="171" spans="1:36" hidden="1" x14ac:dyDescent="0.2">
      <c r="A171" t="s">
        <v>2207</v>
      </c>
      <c r="B171" t="s">
        <v>177</v>
      </c>
      <c r="C171" t="s">
        <v>2343</v>
      </c>
      <c r="D171" t="s">
        <v>419</v>
      </c>
      <c r="E171">
        <v>269740</v>
      </c>
      <c r="F171" t="s">
        <v>2220</v>
      </c>
      <c r="G171">
        <v>8001</v>
      </c>
      <c r="H171">
        <v>589083</v>
      </c>
      <c r="I171" t="s">
        <v>817</v>
      </c>
      <c r="J171" s="11">
        <v>46174</v>
      </c>
      <c r="K171" s="11">
        <v>46200</v>
      </c>
      <c r="L171" t="s">
        <v>2177</v>
      </c>
      <c r="M171" t="s">
        <v>1850</v>
      </c>
      <c r="N171">
        <v>5</v>
      </c>
      <c r="O171">
        <v>15000001</v>
      </c>
      <c r="P171">
        <v>75000.009999999995</v>
      </c>
      <c r="Q171" t="s">
        <v>2178</v>
      </c>
      <c r="R171" t="s">
        <v>2179</v>
      </c>
      <c r="S171">
        <v>0</v>
      </c>
      <c r="T171">
        <v>0</v>
      </c>
      <c r="U171" t="s">
        <v>2179</v>
      </c>
      <c r="V171">
        <v>15000001</v>
      </c>
      <c r="W171" t="s">
        <v>2180</v>
      </c>
      <c r="X171">
        <v>75000.009999999995</v>
      </c>
      <c r="Y171">
        <v>75000.009999999995</v>
      </c>
      <c r="Z171">
        <v>75000.009999999995</v>
      </c>
      <c r="AA171">
        <v>15035524</v>
      </c>
      <c r="AB171">
        <v>15000348</v>
      </c>
      <c r="AC171" s="11">
        <v>46174</v>
      </c>
      <c r="AD171" s="11">
        <v>46200</v>
      </c>
      <c r="AE171" t="s">
        <v>2210</v>
      </c>
      <c r="AF171" t="s">
        <v>2182</v>
      </c>
      <c r="AG171" t="s">
        <v>2183</v>
      </c>
      <c r="AH171">
        <v>275000.11</v>
      </c>
      <c r="AI171">
        <v>129136</v>
      </c>
      <c r="AJ171" t="s">
        <v>2060</v>
      </c>
    </row>
    <row r="172" spans="1:36" hidden="1" x14ac:dyDescent="0.2">
      <c r="A172" t="s">
        <v>2207</v>
      </c>
      <c r="B172" t="s">
        <v>177</v>
      </c>
      <c r="C172" t="s">
        <v>2343</v>
      </c>
      <c r="D172" t="s">
        <v>419</v>
      </c>
      <c r="E172">
        <v>269740</v>
      </c>
      <c r="F172" t="s">
        <v>2218</v>
      </c>
      <c r="G172">
        <v>8000</v>
      </c>
      <c r="H172">
        <v>589086</v>
      </c>
      <c r="I172" t="s">
        <v>902</v>
      </c>
      <c r="J172" s="11">
        <v>46174</v>
      </c>
      <c r="K172" s="11">
        <v>46222</v>
      </c>
      <c r="M172" t="s">
        <v>1852</v>
      </c>
      <c r="N172">
        <v>0.15</v>
      </c>
      <c r="O172">
        <v>1333334</v>
      </c>
      <c r="P172">
        <v>200000.1</v>
      </c>
      <c r="Q172" t="s">
        <v>2262</v>
      </c>
      <c r="R172" t="s">
        <v>2206</v>
      </c>
      <c r="S172">
        <v>816327</v>
      </c>
      <c r="T172">
        <v>122449.04090000001</v>
      </c>
      <c r="U172" t="s">
        <v>2206</v>
      </c>
      <c r="V172">
        <v>816327</v>
      </c>
      <c r="W172" t="s">
        <v>2180</v>
      </c>
      <c r="X172">
        <v>122449.04090000001</v>
      </c>
      <c r="Y172">
        <v>122449.04090000001</v>
      </c>
      <c r="Z172">
        <v>122449.04090000001</v>
      </c>
      <c r="AC172" s="11">
        <v>46174</v>
      </c>
      <c r="AD172" s="11">
        <v>46222</v>
      </c>
      <c r="AE172" t="s">
        <v>2210</v>
      </c>
      <c r="AF172" t="s">
        <v>2182</v>
      </c>
      <c r="AG172" t="s">
        <v>2183</v>
      </c>
      <c r="AH172">
        <v>275000.11</v>
      </c>
      <c r="AI172">
        <v>129136</v>
      </c>
      <c r="AJ172" t="s">
        <v>2060</v>
      </c>
    </row>
    <row r="173" spans="1:36" hidden="1" x14ac:dyDescent="0.2">
      <c r="A173" t="s">
        <v>2337</v>
      </c>
      <c r="B173" t="s">
        <v>208</v>
      </c>
      <c r="C173" t="s">
        <v>2338</v>
      </c>
      <c r="D173" t="s">
        <v>398</v>
      </c>
      <c r="E173">
        <v>269909</v>
      </c>
      <c r="F173" t="s">
        <v>2215</v>
      </c>
      <c r="G173">
        <v>8005</v>
      </c>
      <c r="H173">
        <v>589775</v>
      </c>
      <c r="I173" t="s">
        <v>736</v>
      </c>
      <c r="J173" s="11">
        <v>46184</v>
      </c>
      <c r="K173" s="11">
        <v>46222</v>
      </c>
      <c r="L173" t="s">
        <v>2177</v>
      </c>
      <c r="M173" t="s">
        <v>1850</v>
      </c>
      <c r="N173">
        <v>40</v>
      </c>
      <c r="O173">
        <v>25000000</v>
      </c>
      <c r="P173">
        <v>1000000</v>
      </c>
      <c r="Q173" t="s">
        <v>2178</v>
      </c>
      <c r="R173" t="s">
        <v>2179</v>
      </c>
      <c r="S173">
        <v>0</v>
      </c>
      <c r="T173">
        <v>0</v>
      </c>
      <c r="U173" t="s">
        <v>2179</v>
      </c>
      <c r="V173">
        <v>17493555</v>
      </c>
      <c r="W173" t="s">
        <v>2180</v>
      </c>
      <c r="X173">
        <v>699742.2</v>
      </c>
      <c r="Y173">
        <v>699742.2</v>
      </c>
      <c r="Z173">
        <v>699742.2</v>
      </c>
      <c r="AA173">
        <v>16577022</v>
      </c>
      <c r="AB173">
        <v>17493555</v>
      </c>
      <c r="AC173" s="11">
        <v>46184</v>
      </c>
      <c r="AD173" s="11">
        <v>46222</v>
      </c>
      <c r="AE173" t="s">
        <v>2298</v>
      </c>
      <c r="AF173" t="s">
        <v>2182</v>
      </c>
      <c r="AG173" t="s">
        <v>2183</v>
      </c>
      <c r="AH173">
        <v>3250000.05</v>
      </c>
      <c r="AI173">
        <v>131040</v>
      </c>
      <c r="AJ173" t="s">
        <v>2057</v>
      </c>
    </row>
    <row r="174" spans="1:36" hidden="1" x14ac:dyDescent="0.2">
      <c r="A174" t="s">
        <v>2337</v>
      </c>
      <c r="B174" t="s">
        <v>208</v>
      </c>
      <c r="C174" t="s">
        <v>2338</v>
      </c>
      <c r="D174" t="s">
        <v>398</v>
      </c>
      <c r="E174">
        <v>269909</v>
      </c>
      <c r="F174" t="s">
        <v>2216</v>
      </c>
      <c r="G174">
        <v>8002</v>
      </c>
      <c r="H174">
        <v>589778</v>
      </c>
      <c r="I174" t="s">
        <v>738</v>
      </c>
      <c r="J174" s="11">
        <v>46184</v>
      </c>
      <c r="K174" s="11">
        <v>46222</v>
      </c>
      <c r="L174" t="s">
        <v>2177</v>
      </c>
      <c r="M174" t="s">
        <v>1850</v>
      </c>
      <c r="N174">
        <v>25</v>
      </c>
      <c r="O174">
        <v>2640000</v>
      </c>
      <c r="P174">
        <v>66000</v>
      </c>
      <c r="R174" t="s">
        <v>2179</v>
      </c>
      <c r="S174">
        <v>0</v>
      </c>
      <c r="T174">
        <v>0</v>
      </c>
      <c r="U174" t="s">
        <v>2179</v>
      </c>
      <c r="V174">
        <v>700898</v>
      </c>
      <c r="W174" t="s">
        <v>2180</v>
      </c>
      <c r="X174">
        <v>17522.45</v>
      </c>
      <c r="Y174">
        <v>17522.45</v>
      </c>
      <c r="Z174">
        <v>17522.45</v>
      </c>
      <c r="AA174">
        <v>544955</v>
      </c>
      <c r="AB174">
        <v>700898</v>
      </c>
      <c r="AC174" s="11">
        <v>46184</v>
      </c>
      <c r="AD174" s="11">
        <v>46222</v>
      </c>
      <c r="AE174" t="s">
        <v>2298</v>
      </c>
      <c r="AF174" t="s">
        <v>2182</v>
      </c>
      <c r="AG174" t="s">
        <v>2183</v>
      </c>
      <c r="AH174">
        <v>3250000.05</v>
      </c>
      <c r="AI174">
        <v>131040</v>
      </c>
      <c r="AJ174" t="s">
        <v>2057</v>
      </c>
    </row>
    <row r="175" spans="1:36" hidden="1" x14ac:dyDescent="0.2">
      <c r="A175" t="s">
        <v>2337</v>
      </c>
      <c r="B175" t="s">
        <v>208</v>
      </c>
      <c r="C175" t="s">
        <v>2338</v>
      </c>
      <c r="D175" t="s">
        <v>398</v>
      </c>
      <c r="E175">
        <v>269909</v>
      </c>
      <c r="F175" t="s">
        <v>2344</v>
      </c>
      <c r="G175">
        <v>8038</v>
      </c>
      <c r="H175">
        <v>589780</v>
      </c>
      <c r="I175" t="s">
        <v>737</v>
      </c>
      <c r="J175" s="11">
        <v>46184</v>
      </c>
      <c r="K175" s="11">
        <v>46222</v>
      </c>
      <c r="L175" t="s">
        <v>2177</v>
      </c>
      <c r="M175" t="s">
        <v>1850</v>
      </c>
      <c r="N175">
        <v>23</v>
      </c>
      <c r="O175">
        <v>25391305</v>
      </c>
      <c r="P175">
        <v>584000.01</v>
      </c>
      <c r="Q175" t="s">
        <v>2178</v>
      </c>
      <c r="R175" t="s">
        <v>2179</v>
      </c>
      <c r="S175">
        <v>0</v>
      </c>
      <c r="T175">
        <v>0</v>
      </c>
      <c r="U175" t="s">
        <v>2179</v>
      </c>
      <c r="V175">
        <v>14547685</v>
      </c>
      <c r="W175" t="s">
        <v>2180</v>
      </c>
      <c r="X175">
        <v>334596.755</v>
      </c>
      <c r="Y175">
        <v>334596.755</v>
      </c>
      <c r="Z175">
        <v>334596.755</v>
      </c>
      <c r="AA175">
        <v>13708199</v>
      </c>
      <c r="AB175">
        <v>14547685</v>
      </c>
      <c r="AC175" s="11">
        <v>46184</v>
      </c>
      <c r="AD175" s="11">
        <v>46222</v>
      </c>
      <c r="AE175" t="s">
        <v>2298</v>
      </c>
      <c r="AF175" t="s">
        <v>2182</v>
      </c>
      <c r="AG175" t="s">
        <v>2183</v>
      </c>
      <c r="AH175">
        <v>3250000.05</v>
      </c>
      <c r="AI175">
        <v>131040</v>
      </c>
      <c r="AJ175" t="s">
        <v>2057</v>
      </c>
    </row>
    <row r="176" spans="1:36" hidden="1" x14ac:dyDescent="0.2">
      <c r="A176" t="s">
        <v>2337</v>
      </c>
      <c r="B176" t="s">
        <v>208</v>
      </c>
      <c r="C176" t="s">
        <v>2338</v>
      </c>
      <c r="D176" t="s">
        <v>398</v>
      </c>
      <c r="E176">
        <v>269909</v>
      </c>
      <c r="F176" t="s">
        <v>2218</v>
      </c>
      <c r="G176">
        <v>8000</v>
      </c>
      <c r="H176">
        <v>589784</v>
      </c>
      <c r="I176" t="s">
        <v>851</v>
      </c>
      <c r="J176" s="11">
        <v>46184</v>
      </c>
      <c r="K176" s="11">
        <v>46222</v>
      </c>
      <c r="M176" t="s">
        <v>2205</v>
      </c>
      <c r="N176">
        <v>400000</v>
      </c>
      <c r="O176">
        <v>0</v>
      </c>
      <c r="P176">
        <v>400000</v>
      </c>
      <c r="Q176" t="s">
        <v>1987</v>
      </c>
      <c r="R176" t="s">
        <v>2206</v>
      </c>
      <c r="S176">
        <v>0</v>
      </c>
      <c r="T176">
        <v>205128.2052</v>
      </c>
      <c r="U176" t="s">
        <v>2206</v>
      </c>
      <c r="V176">
        <v>0</v>
      </c>
      <c r="W176" t="s">
        <v>2180</v>
      </c>
      <c r="X176">
        <v>205128.2052</v>
      </c>
      <c r="Y176">
        <v>205128.2052</v>
      </c>
      <c r="Z176">
        <v>205128.2052</v>
      </c>
      <c r="AC176" s="11">
        <v>46184</v>
      </c>
      <c r="AD176" s="11">
        <v>46222</v>
      </c>
      <c r="AE176" t="s">
        <v>2298</v>
      </c>
      <c r="AF176" t="s">
        <v>2182</v>
      </c>
      <c r="AG176" t="s">
        <v>2183</v>
      </c>
      <c r="AH176">
        <v>3250000.05</v>
      </c>
      <c r="AI176">
        <v>131040</v>
      </c>
      <c r="AJ176" t="s">
        <v>2057</v>
      </c>
    </row>
    <row r="177" spans="1:36" hidden="1" x14ac:dyDescent="0.2">
      <c r="A177" t="s">
        <v>2337</v>
      </c>
      <c r="B177" t="s">
        <v>208</v>
      </c>
      <c r="C177" t="s">
        <v>2338</v>
      </c>
      <c r="D177" t="s">
        <v>398</v>
      </c>
      <c r="E177">
        <v>269909</v>
      </c>
      <c r="F177" t="s">
        <v>2218</v>
      </c>
      <c r="G177">
        <v>8000</v>
      </c>
      <c r="H177">
        <v>590261</v>
      </c>
      <c r="I177" t="s">
        <v>887</v>
      </c>
      <c r="J177" s="11">
        <v>46168</v>
      </c>
      <c r="K177" s="11">
        <v>46181</v>
      </c>
      <c r="M177" t="s">
        <v>2205</v>
      </c>
      <c r="N177">
        <v>200000</v>
      </c>
      <c r="O177">
        <v>0</v>
      </c>
      <c r="P177">
        <v>200000</v>
      </c>
      <c r="Q177" t="s">
        <v>1987</v>
      </c>
      <c r="R177" t="s">
        <v>2206</v>
      </c>
      <c r="S177">
        <v>0</v>
      </c>
      <c r="T177">
        <v>114285.71430000001</v>
      </c>
      <c r="U177" t="s">
        <v>2206</v>
      </c>
      <c r="V177">
        <v>0</v>
      </c>
      <c r="W177" t="s">
        <v>2180</v>
      </c>
      <c r="X177">
        <v>114285.71430000001</v>
      </c>
      <c r="Y177">
        <v>114285.71430000001</v>
      </c>
      <c r="Z177">
        <v>114285.71430000001</v>
      </c>
      <c r="AC177" s="11">
        <v>46168</v>
      </c>
      <c r="AD177" s="11">
        <v>46181</v>
      </c>
      <c r="AE177" t="s">
        <v>2298</v>
      </c>
      <c r="AF177" t="s">
        <v>2182</v>
      </c>
      <c r="AG177" t="s">
        <v>2183</v>
      </c>
      <c r="AH177">
        <v>3250000.05</v>
      </c>
      <c r="AI177">
        <v>131040</v>
      </c>
      <c r="AJ177" t="s">
        <v>2057</v>
      </c>
    </row>
    <row r="178" spans="1:36" hidden="1" x14ac:dyDescent="0.2">
      <c r="A178" t="s">
        <v>2337</v>
      </c>
      <c r="B178" t="s">
        <v>208</v>
      </c>
      <c r="C178" t="s">
        <v>2338</v>
      </c>
      <c r="D178" t="s">
        <v>398</v>
      </c>
      <c r="E178">
        <v>269909</v>
      </c>
      <c r="F178" t="s">
        <v>2218</v>
      </c>
      <c r="G178">
        <v>8000</v>
      </c>
      <c r="H178">
        <v>593395</v>
      </c>
      <c r="I178" t="s">
        <v>891</v>
      </c>
      <c r="J178" s="11">
        <v>46184</v>
      </c>
      <c r="K178" s="11">
        <v>46222</v>
      </c>
      <c r="M178" t="s">
        <v>2205</v>
      </c>
      <c r="N178">
        <v>1000000</v>
      </c>
      <c r="O178">
        <v>0</v>
      </c>
      <c r="P178">
        <v>1000000</v>
      </c>
      <c r="Q178" t="s">
        <v>1987</v>
      </c>
      <c r="R178" t="s">
        <v>2206</v>
      </c>
      <c r="S178">
        <v>0</v>
      </c>
      <c r="T178">
        <v>512820.51289999997</v>
      </c>
      <c r="U178" t="s">
        <v>2206</v>
      </c>
      <c r="V178">
        <v>0</v>
      </c>
      <c r="W178" t="s">
        <v>2180</v>
      </c>
      <c r="X178">
        <v>512820.51289999997</v>
      </c>
      <c r="Y178">
        <v>512820.51289999997</v>
      </c>
      <c r="Z178">
        <v>512820.51289999997</v>
      </c>
      <c r="AC178" s="11">
        <v>46184</v>
      </c>
      <c r="AD178" s="11">
        <v>46222</v>
      </c>
      <c r="AE178" t="s">
        <v>2298</v>
      </c>
      <c r="AF178" t="s">
        <v>2182</v>
      </c>
      <c r="AG178" t="s">
        <v>2183</v>
      </c>
      <c r="AH178">
        <v>3250000.05</v>
      </c>
      <c r="AI178">
        <v>131040</v>
      </c>
      <c r="AJ178" t="s">
        <v>2057</v>
      </c>
    </row>
    <row r="179" spans="1:36" hidden="1" x14ac:dyDescent="0.2">
      <c r="A179" t="s">
        <v>2284</v>
      </c>
      <c r="B179" t="s">
        <v>112</v>
      </c>
      <c r="C179" t="s">
        <v>2345</v>
      </c>
      <c r="D179" t="s">
        <v>224</v>
      </c>
      <c r="E179">
        <v>269931</v>
      </c>
      <c r="F179" t="s">
        <v>2346</v>
      </c>
      <c r="G179">
        <v>8040</v>
      </c>
      <c r="H179">
        <v>590640</v>
      </c>
      <c r="I179" t="s">
        <v>435</v>
      </c>
      <c r="J179" s="11">
        <v>46195</v>
      </c>
      <c r="K179" s="11">
        <v>46222</v>
      </c>
      <c r="L179" t="s">
        <v>2223</v>
      </c>
      <c r="M179" t="s">
        <v>1850</v>
      </c>
      <c r="N179">
        <v>12</v>
      </c>
      <c r="O179">
        <v>20833334</v>
      </c>
      <c r="P179">
        <v>250000</v>
      </c>
      <c r="Q179" t="s">
        <v>2178</v>
      </c>
      <c r="R179" t="s">
        <v>2179</v>
      </c>
      <c r="S179">
        <v>0</v>
      </c>
      <c r="T179">
        <v>0</v>
      </c>
      <c r="U179" t="s">
        <v>2179</v>
      </c>
      <c r="V179">
        <v>26680</v>
      </c>
      <c r="W179" t="s">
        <v>2180</v>
      </c>
      <c r="X179">
        <v>320.16000000000003</v>
      </c>
      <c r="Y179">
        <v>320.16000000000003</v>
      </c>
      <c r="Z179">
        <v>320.16000000000003</v>
      </c>
      <c r="AA179">
        <v>26680</v>
      </c>
      <c r="AB179">
        <v>0</v>
      </c>
      <c r="AC179" s="11">
        <v>46195</v>
      </c>
      <c r="AD179" s="11">
        <v>46222</v>
      </c>
      <c r="AE179" t="s">
        <v>2198</v>
      </c>
      <c r="AF179" t="s">
        <v>2182</v>
      </c>
      <c r="AG179" t="s">
        <v>2183</v>
      </c>
      <c r="AH179">
        <v>1000000.01</v>
      </c>
      <c r="AI179">
        <v>130464</v>
      </c>
      <c r="AJ179" t="s">
        <v>2040</v>
      </c>
    </row>
    <row r="180" spans="1:36" hidden="1" x14ac:dyDescent="0.2">
      <c r="A180" t="s">
        <v>2284</v>
      </c>
      <c r="B180" t="s">
        <v>112</v>
      </c>
      <c r="C180" t="s">
        <v>2345</v>
      </c>
      <c r="D180" t="s">
        <v>224</v>
      </c>
      <c r="E180">
        <v>269931</v>
      </c>
      <c r="F180" t="s">
        <v>2215</v>
      </c>
      <c r="G180">
        <v>8005</v>
      </c>
      <c r="H180">
        <v>592087</v>
      </c>
      <c r="I180" t="s">
        <v>715</v>
      </c>
      <c r="J180" s="11">
        <v>46195</v>
      </c>
      <c r="K180" s="11">
        <v>46222</v>
      </c>
      <c r="L180" t="s">
        <v>2223</v>
      </c>
      <c r="M180" t="s">
        <v>1850</v>
      </c>
      <c r="N180">
        <v>19.25</v>
      </c>
      <c r="O180">
        <v>10389611</v>
      </c>
      <c r="P180">
        <v>200000.01</v>
      </c>
      <c r="Q180" t="s">
        <v>2178</v>
      </c>
      <c r="R180" t="s">
        <v>2179</v>
      </c>
      <c r="S180">
        <v>0</v>
      </c>
      <c r="T180">
        <v>0</v>
      </c>
      <c r="U180" t="s">
        <v>2179</v>
      </c>
      <c r="V180">
        <v>930477</v>
      </c>
      <c r="W180" t="s">
        <v>2180</v>
      </c>
      <c r="X180">
        <v>17911.6823</v>
      </c>
      <c r="Y180">
        <v>17911.6823</v>
      </c>
      <c r="Z180">
        <v>17911.6823</v>
      </c>
      <c r="AA180">
        <v>930477</v>
      </c>
      <c r="AB180">
        <v>0</v>
      </c>
      <c r="AC180" s="11">
        <v>46195</v>
      </c>
      <c r="AD180" s="11">
        <v>46222</v>
      </c>
      <c r="AE180" t="s">
        <v>2198</v>
      </c>
      <c r="AF180" t="s">
        <v>2182</v>
      </c>
      <c r="AG180" t="s">
        <v>2183</v>
      </c>
      <c r="AH180">
        <v>1000000.01</v>
      </c>
      <c r="AI180">
        <v>130464</v>
      </c>
      <c r="AJ180" t="s">
        <v>2040</v>
      </c>
    </row>
    <row r="181" spans="1:36" hidden="1" x14ac:dyDescent="0.2">
      <c r="A181" t="s">
        <v>2284</v>
      </c>
      <c r="B181" t="s">
        <v>112</v>
      </c>
      <c r="C181" t="s">
        <v>2345</v>
      </c>
      <c r="D181" t="s">
        <v>224</v>
      </c>
      <c r="E181">
        <v>269931</v>
      </c>
      <c r="H181">
        <v>593181</v>
      </c>
      <c r="I181" t="s">
        <v>2347</v>
      </c>
      <c r="J181" s="11">
        <v>46195</v>
      </c>
      <c r="K181" s="11">
        <v>46222</v>
      </c>
      <c r="L181" t="s">
        <v>2223</v>
      </c>
      <c r="M181" t="s">
        <v>1850</v>
      </c>
      <c r="N181">
        <v>12</v>
      </c>
      <c r="O181">
        <v>16666667</v>
      </c>
      <c r="P181">
        <v>200000</v>
      </c>
      <c r="Q181" t="s">
        <v>2178</v>
      </c>
      <c r="R181" t="s">
        <v>2179</v>
      </c>
      <c r="S181">
        <v>0</v>
      </c>
      <c r="T181">
        <v>0</v>
      </c>
      <c r="U181" t="s">
        <v>2179</v>
      </c>
      <c r="V181">
        <v>0</v>
      </c>
      <c r="W181" t="s">
        <v>2180</v>
      </c>
      <c r="X181">
        <v>0</v>
      </c>
      <c r="Y181">
        <v>0</v>
      </c>
      <c r="Z181">
        <v>0</v>
      </c>
      <c r="AC181" s="11">
        <v>46195</v>
      </c>
      <c r="AD181" s="11">
        <v>46222</v>
      </c>
      <c r="AE181" t="s">
        <v>2198</v>
      </c>
      <c r="AF181" t="s">
        <v>2182</v>
      </c>
      <c r="AG181" t="s">
        <v>2183</v>
      </c>
      <c r="AH181">
        <v>1000000.01</v>
      </c>
      <c r="AI181">
        <v>130464</v>
      </c>
      <c r="AJ181" t="s">
        <v>2040</v>
      </c>
    </row>
    <row r="182" spans="1:36" hidden="1" x14ac:dyDescent="0.2">
      <c r="A182" t="s">
        <v>2275</v>
      </c>
      <c r="B182" t="s">
        <v>126</v>
      </c>
      <c r="C182" t="s">
        <v>2276</v>
      </c>
      <c r="D182" t="s">
        <v>375</v>
      </c>
      <c r="E182">
        <v>270111</v>
      </c>
      <c r="F182" t="s">
        <v>2215</v>
      </c>
      <c r="G182">
        <v>8005</v>
      </c>
      <c r="H182">
        <v>590783</v>
      </c>
      <c r="I182" t="s">
        <v>696</v>
      </c>
      <c r="J182" s="11">
        <v>46174</v>
      </c>
      <c r="K182" s="11">
        <v>46222</v>
      </c>
      <c r="L182" t="s">
        <v>2223</v>
      </c>
      <c r="M182" t="s">
        <v>1850</v>
      </c>
      <c r="N182">
        <v>40</v>
      </c>
      <c r="O182">
        <v>4375000</v>
      </c>
      <c r="P182">
        <v>175000</v>
      </c>
      <c r="Q182" t="s">
        <v>2178</v>
      </c>
      <c r="R182" t="s">
        <v>2179</v>
      </c>
      <c r="S182">
        <v>0</v>
      </c>
      <c r="T182">
        <v>0</v>
      </c>
      <c r="U182" t="s">
        <v>2179</v>
      </c>
      <c r="V182">
        <v>3402087</v>
      </c>
      <c r="W182" t="s">
        <v>2180</v>
      </c>
      <c r="X182">
        <v>136083.48000000001</v>
      </c>
      <c r="Y182">
        <v>136083.48000000001</v>
      </c>
      <c r="Z182">
        <v>136083.48000000001</v>
      </c>
      <c r="AA182">
        <v>2927218</v>
      </c>
      <c r="AB182">
        <v>3402087</v>
      </c>
      <c r="AC182" s="11">
        <v>46174</v>
      </c>
      <c r="AD182" s="11">
        <v>46222</v>
      </c>
      <c r="AE182" t="s">
        <v>2202</v>
      </c>
      <c r="AF182" t="s">
        <v>2182</v>
      </c>
      <c r="AG182" t="s">
        <v>2183</v>
      </c>
      <c r="AH182">
        <v>400000</v>
      </c>
      <c r="AI182">
        <v>129870</v>
      </c>
      <c r="AJ182" t="s">
        <v>2043</v>
      </c>
    </row>
    <row r="183" spans="1:36" hidden="1" x14ac:dyDescent="0.2">
      <c r="A183" t="s">
        <v>2275</v>
      </c>
      <c r="B183" t="s">
        <v>126</v>
      </c>
      <c r="C183" t="s">
        <v>2276</v>
      </c>
      <c r="D183" t="s">
        <v>375</v>
      </c>
      <c r="E183">
        <v>270111</v>
      </c>
      <c r="F183" t="s">
        <v>2218</v>
      </c>
      <c r="G183">
        <v>8000</v>
      </c>
      <c r="H183">
        <v>590855</v>
      </c>
      <c r="I183" t="s">
        <v>895</v>
      </c>
      <c r="J183" s="11">
        <v>46174</v>
      </c>
      <c r="K183" s="11">
        <v>46222</v>
      </c>
      <c r="L183" t="s">
        <v>2223</v>
      </c>
      <c r="M183" t="s">
        <v>2205</v>
      </c>
      <c r="N183">
        <v>225000</v>
      </c>
      <c r="O183">
        <v>225000</v>
      </c>
      <c r="P183">
        <v>225000</v>
      </c>
      <c r="Q183" t="s">
        <v>1987</v>
      </c>
      <c r="R183" t="s">
        <v>2206</v>
      </c>
      <c r="S183">
        <v>137756</v>
      </c>
      <c r="T183">
        <v>137755.10209999999</v>
      </c>
      <c r="U183" t="s">
        <v>2206</v>
      </c>
      <c r="V183">
        <v>137756</v>
      </c>
      <c r="W183" t="s">
        <v>2180</v>
      </c>
      <c r="X183">
        <v>137755.10209999999</v>
      </c>
      <c r="Y183">
        <v>137755.10209999999</v>
      </c>
      <c r="Z183">
        <v>137755.10209999999</v>
      </c>
      <c r="AC183" s="11">
        <v>46174</v>
      </c>
      <c r="AD183" s="11">
        <v>46222</v>
      </c>
      <c r="AE183" t="s">
        <v>2202</v>
      </c>
      <c r="AF183" t="s">
        <v>2182</v>
      </c>
      <c r="AG183" t="s">
        <v>2183</v>
      </c>
      <c r="AH183">
        <v>400000</v>
      </c>
      <c r="AI183">
        <v>129870</v>
      </c>
      <c r="AJ183" t="s">
        <v>2043</v>
      </c>
    </row>
    <row r="184" spans="1:36" hidden="1" x14ac:dyDescent="0.2">
      <c r="A184" t="s">
        <v>2348</v>
      </c>
      <c r="B184" t="s">
        <v>171</v>
      </c>
      <c r="C184" t="s">
        <v>2349</v>
      </c>
      <c r="D184" t="s">
        <v>362</v>
      </c>
      <c r="E184">
        <v>270352</v>
      </c>
      <c r="F184" t="s">
        <v>2212</v>
      </c>
      <c r="G184">
        <v>2789</v>
      </c>
      <c r="H184">
        <v>591418</v>
      </c>
      <c r="I184" t="s">
        <v>666</v>
      </c>
      <c r="J184" s="11">
        <v>46174</v>
      </c>
      <c r="K184" s="11">
        <v>46201</v>
      </c>
      <c r="L184" t="s">
        <v>2223</v>
      </c>
      <c r="M184" t="s">
        <v>1850</v>
      </c>
      <c r="N184">
        <v>20</v>
      </c>
      <c r="O184">
        <v>3000000</v>
      </c>
      <c r="P184">
        <v>60000</v>
      </c>
      <c r="Q184" t="s">
        <v>2178</v>
      </c>
      <c r="R184" t="s">
        <v>2179</v>
      </c>
      <c r="S184">
        <v>0</v>
      </c>
      <c r="T184">
        <v>0</v>
      </c>
      <c r="U184" t="s">
        <v>2179</v>
      </c>
      <c r="V184">
        <v>3000000</v>
      </c>
      <c r="W184" t="s">
        <v>2180</v>
      </c>
      <c r="X184">
        <v>60000</v>
      </c>
      <c r="Y184">
        <v>60000</v>
      </c>
      <c r="Z184">
        <v>60000</v>
      </c>
      <c r="AA184">
        <v>3041029</v>
      </c>
      <c r="AB184">
        <v>3062023</v>
      </c>
      <c r="AC184" s="11">
        <v>46174</v>
      </c>
      <c r="AD184" s="11">
        <v>46201</v>
      </c>
      <c r="AE184" t="s">
        <v>2222</v>
      </c>
      <c r="AF184" t="s">
        <v>2182</v>
      </c>
      <c r="AG184" t="s">
        <v>2183</v>
      </c>
      <c r="AH184">
        <v>60000</v>
      </c>
      <c r="AI184">
        <v>129661</v>
      </c>
      <c r="AJ184" t="s">
        <v>2046</v>
      </c>
    </row>
    <row r="185" spans="1:36" hidden="1" x14ac:dyDescent="0.2">
      <c r="A185" t="s">
        <v>2350</v>
      </c>
      <c r="B185" t="s">
        <v>198</v>
      </c>
      <c r="C185" t="s">
        <v>2351</v>
      </c>
      <c r="D185" t="s">
        <v>372</v>
      </c>
      <c r="E185">
        <v>270436</v>
      </c>
      <c r="F185" t="s">
        <v>2215</v>
      </c>
      <c r="G185">
        <v>8005</v>
      </c>
      <c r="H185">
        <v>591579</v>
      </c>
      <c r="I185" t="s">
        <v>692</v>
      </c>
      <c r="J185" s="11">
        <v>46175</v>
      </c>
      <c r="K185" s="11">
        <v>46222</v>
      </c>
      <c r="M185" t="s">
        <v>1850</v>
      </c>
      <c r="N185">
        <v>42</v>
      </c>
      <c r="O185">
        <v>7142858</v>
      </c>
      <c r="P185">
        <v>300000.03999999998</v>
      </c>
      <c r="Q185" t="s">
        <v>2178</v>
      </c>
      <c r="R185" t="s">
        <v>2179</v>
      </c>
      <c r="S185">
        <v>0</v>
      </c>
      <c r="T185">
        <v>0</v>
      </c>
      <c r="U185" t="s">
        <v>2179</v>
      </c>
      <c r="V185">
        <v>5134997</v>
      </c>
      <c r="W185" t="s">
        <v>2180</v>
      </c>
      <c r="X185">
        <v>215669.87400000001</v>
      </c>
      <c r="Y185">
        <v>215669.87400000001</v>
      </c>
      <c r="Z185">
        <v>215669.87400000001</v>
      </c>
      <c r="AA185">
        <v>5148893</v>
      </c>
      <c r="AB185">
        <v>5134997</v>
      </c>
      <c r="AC185" s="11">
        <v>46175</v>
      </c>
      <c r="AD185" s="11">
        <v>46222</v>
      </c>
      <c r="AE185" t="s">
        <v>2266</v>
      </c>
      <c r="AF185" t="s">
        <v>2182</v>
      </c>
      <c r="AG185" t="s">
        <v>2183</v>
      </c>
      <c r="AH185">
        <v>500000.04</v>
      </c>
      <c r="AI185">
        <v>129941</v>
      </c>
      <c r="AJ185" t="s">
        <v>2062</v>
      </c>
    </row>
    <row r="186" spans="1:36" hidden="1" x14ac:dyDescent="0.2">
      <c r="A186" t="s">
        <v>2350</v>
      </c>
      <c r="B186" t="s">
        <v>198</v>
      </c>
      <c r="C186" t="s">
        <v>2351</v>
      </c>
      <c r="D186" t="s">
        <v>372</v>
      </c>
      <c r="E186">
        <v>270436</v>
      </c>
      <c r="H186">
        <v>592634</v>
      </c>
      <c r="I186" t="s">
        <v>2352</v>
      </c>
      <c r="J186" s="11">
        <v>46175</v>
      </c>
      <c r="K186" s="11">
        <v>46222</v>
      </c>
      <c r="L186" t="s">
        <v>2353</v>
      </c>
      <c r="M186" t="s">
        <v>1850</v>
      </c>
      <c r="N186">
        <v>18</v>
      </c>
      <c r="O186">
        <v>11111111</v>
      </c>
      <c r="P186">
        <v>200000</v>
      </c>
      <c r="Q186" t="s">
        <v>2178</v>
      </c>
      <c r="R186" t="s">
        <v>2179</v>
      </c>
      <c r="S186">
        <v>0</v>
      </c>
      <c r="T186">
        <v>0</v>
      </c>
      <c r="U186" t="s">
        <v>2179</v>
      </c>
      <c r="V186">
        <v>0</v>
      </c>
      <c r="W186" t="s">
        <v>2180</v>
      </c>
      <c r="X186">
        <v>0</v>
      </c>
      <c r="Y186">
        <v>0</v>
      </c>
      <c r="Z186">
        <v>0</v>
      </c>
      <c r="AC186" s="11">
        <v>46175</v>
      </c>
      <c r="AD186" s="11">
        <v>46222</v>
      </c>
      <c r="AE186" t="s">
        <v>2266</v>
      </c>
      <c r="AF186" t="s">
        <v>2182</v>
      </c>
      <c r="AG186" t="s">
        <v>2183</v>
      </c>
      <c r="AH186">
        <v>500000.04</v>
      </c>
      <c r="AI186">
        <v>129941</v>
      </c>
      <c r="AJ186" t="s">
        <v>2062</v>
      </c>
    </row>
    <row r="187" spans="1:36" hidden="1" x14ac:dyDescent="0.2">
      <c r="A187" t="s">
        <v>2326</v>
      </c>
      <c r="B187" t="s">
        <v>199</v>
      </c>
      <c r="C187" t="s">
        <v>2327</v>
      </c>
      <c r="D187" t="s">
        <v>373</v>
      </c>
      <c r="E187">
        <v>270448</v>
      </c>
      <c r="F187" t="s">
        <v>2192</v>
      </c>
      <c r="G187">
        <v>1</v>
      </c>
      <c r="H187">
        <v>591686</v>
      </c>
      <c r="I187" t="s">
        <v>693</v>
      </c>
      <c r="J187" s="11">
        <v>46181</v>
      </c>
      <c r="K187" s="11">
        <v>46200</v>
      </c>
      <c r="L187" t="s">
        <v>2223</v>
      </c>
      <c r="M187" t="s">
        <v>1850</v>
      </c>
      <c r="N187">
        <v>18.62</v>
      </c>
      <c r="O187">
        <v>5370570</v>
      </c>
      <c r="P187">
        <v>100000.01</v>
      </c>
      <c r="Q187" t="s">
        <v>2178</v>
      </c>
      <c r="R187" t="s">
        <v>2179</v>
      </c>
      <c r="S187">
        <v>0</v>
      </c>
      <c r="T187">
        <v>0</v>
      </c>
      <c r="U187" t="s">
        <v>2179</v>
      </c>
      <c r="V187">
        <v>2974755</v>
      </c>
      <c r="W187" t="s">
        <v>2180</v>
      </c>
      <c r="X187">
        <v>55389.938099999999</v>
      </c>
      <c r="Y187">
        <v>55389.938099999999</v>
      </c>
      <c r="Z187">
        <v>55389.938099999999</v>
      </c>
      <c r="AA187">
        <v>2913090</v>
      </c>
      <c r="AB187">
        <v>2974755</v>
      </c>
      <c r="AC187" s="11">
        <v>46181</v>
      </c>
      <c r="AD187" s="11">
        <v>46200</v>
      </c>
      <c r="AE187" t="s">
        <v>2328</v>
      </c>
      <c r="AF187" t="s">
        <v>2182</v>
      </c>
      <c r="AG187" t="s">
        <v>2183</v>
      </c>
      <c r="AH187">
        <v>200000.02</v>
      </c>
      <c r="AI187">
        <v>129944</v>
      </c>
      <c r="AJ187" t="s">
        <v>2061</v>
      </c>
    </row>
    <row r="188" spans="1:36" hidden="1" x14ac:dyDescent="0.2">
      <c r="A188" t="s">
        <v>2326</v>
      </c>
      <c r="B188" t="s">
        <v>199</v>
      </c>
      <c r="C188" t="s">
        <v>2327</v>
      </c>
      <c r="D188" t="s">
        <v>373</v>
      </c>
      <c r="E188">
        <v>270448</v>
      </c>
      <c r="F188" t="s">
        <v>2192</v>
      </c>
      <c r="G188">
        <v>1</v>
      </c>
      <c r="H188">
        <v>591688</v>
      </c>
      <c r="I188" t="s">
        <v>694</v>
      </c>
      <c r="J188" s="11">
        <v>46181</v>
      </c>
      <c r="K188" s="11">
        <v>46200</v>
      </c>
      <c r="L188" t="s">
        <v>2223</v>
      </c>
      <c r="M188" t="s">
        <v>1850</v>
      </c>
      <c r="N188">
        <v>18.62</v>
      </c>
      <c r="O188">
        <v>5370570</v>
      </c>
      <c r="P188">
        <v>100000.01</v>
      </c>
      <c r="Q188" t="s">
        <v>2178</v>
      </c>
      <c r="R188" t="s">
        <v>2179</v>
      </c>
      <c r="S188">
        <v>0</v>
      </c>
      <c r="T188">
        <v>0</v>
      </c>
      <c r="U188" t="s">
        <v>2179</v>
      </c>
      <c r="V188">
        <v>2459207</v>
      </c>
      <c r="W188" t="s">
        <v>2180</v>
      </c>
      <c r="X188">
        <v>45790.434300000001</v>
      </c>
      <c r="Y188">
        <v>45790.434300000001</v>
      </c>
      <c r="Z188">
        <v>45790.434300000001</v>
      </c>
      <c r="AA188">
        <v>2410228</v>
      </c>
      <c r="AB188">
        <v>2459207</v>
      </c>
      <c r="AC188" s="11">
        <v>46181</v>
      </c>
      <c r="AD188" s="11">
        <v>46200</v>
      </c>
      <c r="AE188" t="s">
        <v>2328</v>
      </c>
      <c r="AF188" t="s">
        <v>2182</v>
      </c>
      <c r="AG188" t="s">
        <v>2183</v>
      </c>
      <c r="AH188">
        <v>200000.02</v>
      </c>
      <c r="AI188">
        <v>129944</v>
      </c>
      <c r="AJ188" t="s">
        <v>2061</v>
      </c>
    </row>
    <row r="189" spans="1:36" hidden="1" x14ac:dyDescent="0.2">
      <c r="A189" t="s">
        <v>2264</v>
      </c>
      <c r="B189" t="s">
        <v>157</v>
      </c>
      <c r="C189" t="s">
        <v>2265</v>
      </c>
      <c r="D189" t="s">
        <v>378</v>
      </c>
      <c r="E189">
        <v>270547</v>
      </c>
      <c r="F189" t="s">
        <v>2215</v>
      </c>
      <c r="G189">
        <v>8005</v>
      </c>
      <c r="H189">
        <v>591934</v>
      </c>
      <c r="I189" t="s">
        <v>702</v>
      </c>
      <c r="J189" s="11">
        <v>46184</v>
      </c>
      <c r="K189" s="11">
        <v>46222</v>
      </c>
      <c r="L189" t="s">
        <v>2177</v>
      </c>
      <c r="M189" t="s">
        <v>1850</v>
      </c>
      <c r="N189">
        <v>40</v>
      </c>
      <c r="O189">
        <v>7271825</v>
      </c>
      <c r="P189">
        <v>290873</v>
      </c>
      <c r="Q189" t="s">
        <v>2178</v>
      </c>
      <c r="R189" t="s">
        <v>2179</v>
      </c>
      <c r="S189">
        <v>0</v>
      </c>
      <c r="T189">
        <v>0</v>
      </c>
      <c r="U189" t="s">
        <v>2179</v>
      </c>
      <c r="V189">
        <v>5354797</v>
      </c>
      <c r="W189" t="s">
        <v>2180</v>
      </c>
      <c r="X189">
        <v>214191.88</v>
      </c>
      <c r="Y189">
        <v>214191.88</v>
      </c>
      <c r="Z189">
        <v>214191.88</v>
      </c>
      <c r="AA189">
        <v>4915319</v>
      </c>
      <c r="AB189">
        <v>5354797</v>
      </c>
      <c r="AC189" s="11">
        <v>46184</v>
      </c>
      <c r="AD189" s="11">
        <v>46222</v>
      </c>
      <c r="AE189" t="s">
        <v>2266</v>
      </c>
      <c r="AF189" t="s">
        <v>2182</v>
      </c>
      <c r="AG189" t="s">
        <v>2183</v>
      </c>
      <c r="AH189">
        <v>540873.02</v>
      </c>
      <c r="AI189">
        <v>130243</v>
      </c>
      <c r="AJ189" t="s">
        <v>2061</v>
      </c>
    </row>
    <row r="190" spans="1:36" hidden="1" x14ac:dyDescent="0.2">
      <c r="A190" t="s">
        <v>2264</v>
      </c>
      <c r="B190" t="s">
        <v>157</v>
      </c>
      <c r="C190" t="s">
        <v>2265</v>
      </c>
      <c r="D190" t="s">
        <v>378</v>
      </c>
      <c r="E190">
        <v>270547</v>
      </c>
      <c r="H190">
        <v>593112</v>
      </c>
      <c r="I190" t="s">
        <v>2354</v>
      </c>
      <c r="J190" s="11">
        <v>46184</v>
      </c>
      <c r="K190" s="11">
        <v>46190</v>
      </c>
      <c r="M190" t="s">
        <v>1850</v>
      </c>
      <c r="N190">
        <v>15</v>
      </c>
      <c r="O190">
        <v>5000000</v>
      </c>
      <c r="P190">
        <v>75000</v>
      </c>
      <c r="Q190" t="s">
        <v>2178</v>
      </c>
      <c r="R190" t="s">
        <v>2179</v>
      </c>
      <c r="S190">
        <v>0</v>
      </c>
      <c r="T190">
        <v>0</v>
      </c>
      <c r="U190" t="s">
        <v>2179</v>
      </c>
      <c r="V190">
        <v>35585</v>
      </c>
      <c r="W190" t="s">
        <v>2180</v>
      </c>
      <c r="X190">
        <v>533.77499999999998</v>
      </c>
      <c r="Y190">
        <v>533.77499999999998</v>
      </c>
      <c r="Z190">
        <v>533.77499999999998</v>
      </c>
      <c r="AA190">
        <v>35585</v>
      </c>
      <c r="AC190" s="11">
        <v>46184</v>
      </c>
      <c r="AD190" s="11">
        <v>46190</v>
      </c>
      <c r="AE190" t="s">
        <v>2266</v>
      </c>
      <c r="AF190" t="s">
        <v>2182</v>
      </c>
      <c r="AG190" t="s">
        <v>2183</v>
      </c>
      <c r="AH190">
        <v>540873.02</v>
      </c>
      <c r="AI190">
        <v>130243</v>
      </c>
      <c r="AJ190" t="s">
        <v>2061</v>
      </c>
    </row>
    <row r="191" spans="1:36" hidden="1" x14ac:dyDescent="0.2">
      <c r="A191" t="s">
        <v>2264</v>
      </c>
      <c r="B191" t="s">
        <v>157</v>
      </c>
      <c r="C191" t="s">
        <v>2265</v>
      </c>
      <c r="D191" t="s">
        <v>378</v>
      </c>
      <c r="E191">
        <v>270547</v>
      </c>
      <c r="H191">
        <v>593231</v>
      </c>
      <c r="I191" t="s">
        <v>2355</v>
      </c>
      <c r="J191" s="11">
        <v>46184</v>
      </c>
      <c r="K191" s="11">
        <v>46190</v>
      </c>
      <c r="M191" t="s">
        <v>1850</v>
      </c>
      <c r="N191">
        <v>40</v>
      </c>
      <c r="O191">
        <v>1250000</v>
      </c>
      <c r="P191">
        <v>50000</v>
      </c>
      <c r="Q191" t="s">
        <v>2178</v>
      </c>
      <c r="R191" t="s">
        <v>2179</v>
      </c>
      <c r="S191">
        <v>0</v>
      </c>
      <c r="T191">
        <v>0</v>
      </c>
      <c r="U191" t="s">
        <v>2179</v>
      </c>
      <c r="V191">
        <v>0</v>
      </c>
      <c r="W191" t="s">
        <v>2180</v>
      </c>
      <c r="X191">
        <v>0</v>
      </c>
      <c r="Y191">
        <v>0</v>
      </c>
      <c r="Z191">
        <v>0</v>
      </c>
      <c r="AC191" s="11">
        <v>46184</v>
      </c>
      <c r="AD191" s="11">
        <v>46190</v>
      </c>
      <c r="AE191" t="s">
        <v>2266</v>
      </c>
      <c r="AF191" t="s">
        <v>2182</v>
      </c>
      <c r="AG191" t="s">
        <v>2183</v>
      </c>
      <c r="AH191">
        <v>540873.02</v>
      </c>
      <c r="AI191">
        <v>130243</v>
      </c>
      <c r="AJ191" t="s">
        <v>2061</v>
      </c>
    </row>
    <row r="192" spans="1:36" hidden="1" x14ac:dyDescent="0.2">
      <c r="A192" t="s">
        <v>2264</v>
      </c>
      <c r="B192" t="s">
        <v>157</v>
      </c>
      <c r="C192" t="s">
        <v>2265</v>
      </c>
      <c r="D192" t="s">
        <v>378</v>
      </c>
      <c r="E192">
        <v>270547</v>
      </c>
      <c r="H192">
        <v>594338</v>
      </c>
      <c r="I192" t="s">
        <v>2355</v>
      </c>
      <c r="J192" s="11">
        <v>46184</v>
      </c>
      <c r="K192" s="11">
        <v>46190</v>
      </c>
      <c r="M192" t="s">
        <v>1850</v>
      </c>
      <c r="N192">
        <v>40</v>
      </c>
      <c r="O192">
        <v>625000</v>
      </c>
      <c r="P192">
        <v>25000</v>
      </c>
      <c r="Q192" t="s">
        <v>2178</v>
      </c>
      <c r="R192" t="s">
        <v>2179</v>
      </c>
      <c r="S192">
        <v>0</v>
      </c>
      <c r="T192">
        <v>0</v>
      </c>
      <c r="U192" t="s">
        <v>2179</v>
      </c>
      <c r="V192">
        <v>0</v>
      </c>
      <c r="W192" t="s">
        <v>2180</v>
      </c>
      <c r="X192">
        <v>0</v>
      </c>
      <c r="Y192">
        <v>0</v>
      </c>
      <c r="Z192">
        <v>0</v>
      </c>
      <c r="AC192" s="11">
        <v>46184</v>
      </c>
      <c r="AD192" s="11">
        <v>46190</v>
      </c>
      <c r="AE192" t="s">
        <v>2266</v>
      </c>
      <c r="AF192" t="s">
        <v>2182</v>
      </c>
      <c r="AG192" t="s">
        <v>2183</v>
      </c>
      <c r="AH192">
        <v>540873.02</v>
      </c>
      <c r="AI192">
        <v>130243</v>
      </c>
      <c r="AJ192" t="s">
        <v>2061</v>
      </c>
    </row>
    <row r="193" spans="1:36" hidden="1" x14ac:dyDescent="0.2">
      <c r="A193" t="s">
        <v>2264</v>
      </c>
      <c r="B193" t="s">
        <v>157</v>
      </c>
      <c r="C193" t="s">
        <v>2265</v>
      </c>
      <c r="D193" t="s">
        <v>378</v>
      </c>
      <c r="E193">
        <v>270547</v>
      </c>
      <c r="H193">
        <v>598428</v>
      </c>
      <c r="I193" t="s">
        <v>909</v>
      </c>
      <c r="J193" s="11">
        <v>46195</v>
      </c>
      <c r="K193" s="11">
        <v>46222</v>
      </c>
      <c r="M193" t="s">
        <v>1850</v>
      </c>
      <c r="N193">
        <v>30</v>
      </c>
      <c r="O193">
        <v>3333334</v>
      </c>
      <c r="P193">
        <v>100000.02</v>
      </c>
      <c r="Q193" t="s">
        <v>2178</v>
      </c>
      <c r="R193" t="s">
        <v>2179</v>
      </c>
      <c r="S193">
        <v>0</v>
      </c>
      <c r="T193">
        <v>0</v>
      </c>
      <c r="U193" t="s">
        <v>2179</v>
      </c>
      <c r="V193">
        <v>0</v>
      </c>
      <c r="W193" t="s">
        <v>2180</v>
      </c>
      <c r="X193">
        <v>0</v>
      </c>
      <c r="Y193">
        <v>0</v>
      </c>
      <c r="Z193">
        <v>0</v>
      </c>
      <c r="AC193" s="11">
        <v>46195</v>
      </c>
      <c r="AD193" s="11">
        <v>46222</v>
      </c>
      <c r="AE193" t="s">
        <v>2266</v>
      </c>
      <c r="AF193" t="s">
        <v>2182</v>
      </c>
      <c r="AG193" t="s">
        <v>2183</v>
      </c>
      <c r="AH193">
        <v>540873.02</v>
      </c>
      <c r="AI193">
        <v>130243</v>
      </c>
      <c r="AJ193" t="s">
        <v>2061</v>
      </c>
    </row>
    <row r="194" spans="1:36" hidden="1" x14ac:dyDescent="0.2">
      <c r="A194" t="s">
        <v>2264</v>
      </c>
      <c r="B194" t="s">
        <v>157</v>
      </c>
      <c r="C194" t="s">
        <v>2265</v>
      </c>
      <c r="D194" t="s">
        <v>386</v>
      </c>
      <c r="E194">
        <v>270734</v>
      </c>
      <c r="F194" t="s">
        <v>2215</v>
      </c>
      <c r="G194">
        <v>8005</v>
      </c>
      <c r="H194">
        <v>592345</v>
      </c>
      <c r="I194" t="s">
        <v>712</v>
      </c>
      <c r="J194" s="11">
        <v>46184</v>
      </c>
      <c r="K194" s="11">
        <v>46207</v>
      </c>
      <c r="L194" t="s">
        <v>2177</v>
      </c>
      <c r="M194" t="s">
        <v>1850</v>
      </c>
      <c r="N194">
        <v>40</v>
      </c>
      <c r="O194">
        <v>2555225</v>
      </c>
      <c r="P194">
        <v>102209</v>
      </c>
      <c r="Q194" t="s">
        <v>2178</v>
      </c>
      <c r="R194" t="s">
        <v>2179</v>
      </c>
      <c r="S194">
        <v>0</v>
      </c>
      <c r="T194">
        <v>0</v>
      </c>
      <c r="U194" t="s">
        <v>2179</v>
      </c>
      <c r="V194">
        <v>2476618</v>
      </c>
      <c r="W194" t="s">
        <v>2180</v>
      </c>
      <c r="X194">
        <v>99064.72</v>
      </c>
      <c r="Y194">
        <v>99064.72</v>
      </c>
      <c r="Z194">
        <v>99064.72</v>
      </c>
      <c r="AA194">
        <v>2475454</v>
      </c>
      <c r="AB194">
        <v>2476618</v>
      </c>
      <c r="AC194" s="11">
        <v>46184</v>
      </c>
      <c r="AD194" s="11">
        <v>46207</v>
      </c>
      <c r="AE194" t="s">
        <v>2266</v>
      </c>
      <c r="AF194" t="s">
        <v>2182</v>
      </c>
      <c r="AG194" t="s">
        <v>2183</v>
      </c>
      <c r="AH194">
        <v>327209.01</v>
      </c>
      <c r="AI194">
        <v>130393</v>
      </c>
      <c r="AJ194" t="s">
        <v>2061</v>
      </c>
    </row>
    <row r="195" spans="1:36" hidden="1" x14ac:dyDescent="0.2">
      <c r="A195" t="s">
        <v>2264</v>
      </c>
      <c r="B195" t="s">
        <v>157</v>
      </c>
      <c r="C195" t="s">
        <v>2265</v>
      </c>
      <c r="D195" t="s">
        <v>386</v>
      </c>
      <c r="E195">
        <v>270734</v>
      </c>
      <c r="H195">
        <v>593104</v>
      </c>
      <c r="I195" t="s">
        <v>2356</v>
      </c>
      <c r="J195" s="11">
        <v>46188</v>
      </c>
      <c r="K195" s="11">
        <v>46195</v>
      </c>
      <c r="M195" t="s">
        <v>1850</v>
      </c>
      <c r="N195">
        <v>15</v>
      </c>
      <c r="O195">
        <v>1666667</v>
      </c>
      <c r="P195">
        <v>25000.01</v>
      </c>
      <c r="Q195" t="s">
        <v>2178</v>
      </c>
      <c r="R195" t="s">
        <v>2179</v>
      </c>
      <c r="S195">
        <v>0</v>
      </c>
      <c r="T195">
        <v>0</v>
      </c>
      <c r="U195" t="s">
        <v>2179</v>
      </c>
      <c r="V195">
        <v>0</v>
      </c>
      <c r="W195" t="s">
        <v>2180</v>
      </c>
      <c r="X195">
        <v>0</v>
      </c>
      <c r="Y195">
        <v>0</v>
      </c>
      <c r="Z195">
        <v>0</v>
      </c>
      <c r="AC195" s="11">
        <v>46188</v>
      </c>
      <c r="AD195" s="11">
        <v>46195</v>
      </c>
      <c r="AE195" t="s">
        <v>2266</v>
      </c>
      <c r="AF195" t="s">
        <v>2182</v>
      </c>
      <c r="AG195" t="s">
        <v>2183</v>
      </c>
      <c r="AH195">
        <v>327209.01</v>
      </c>
      <c r="AI195">
        <v>130393</v>
      </c>
      <c r="AJ195" t="s">
        <v>2061</v>
      </c>
    </row>
    <row r="196" spans="1:36" hidden="1" x14ac:dyDescent="0.2">
      <c r="A196" t="s">
        <v>2264</v>
      </c>
      <c r="B196" t="s">
        <v>157</v>
      </c>
      <c r="C196" t="s">
        <v>2265</v>
      </c>
      <c r="D196" t="s">
        <v>386</v>
      </c>
      <c r="E196">
        <v>270734</v>
      </c>
      <c r="H196">
        <v>593438</v>
      </c>
      <c r="I196" t="s">
        <v>2357</v>
      </c>
      <c r="J196" s="11">
        <v>46188</v>
      </c>
      <c r="K196" s="11">
        <v>46195</v>
      </c>
      <c r="M196" t="s">
        <v>1850</v>
      </c>
      <c r="N196">
        <v>40</v>
      </c>
      <c r="O196">
        <v>1875000</v>
      </c>
      <c r="P196">
        <v>75000</v>
      </c>
      <c r="Q196" t="s">
        <v>2178</v>
      </c>
      <c r="R196" t="s">
        <v>2179</v>
      </c>
      <c r="S196">
        <v>0</v>
      </c>
      <c r="T196">
        <v>0</v>
      </c>
      <c r="U196" t="s">
        <v>2179</v>
      </c>
      <c r="V196">
        <v>0</v>
      </c>
      <c r="W196" t="s">
        <v>2180</v>
      </c>
      <c r="X196">
        <v>0</v>
      </c>
      <c r="Y196">
        <v>0</v>
      </c>
      <c r="Z196">
        <v>0</v>
      </c>
      <c r="AC196" s="11">
        <v>46188</v>
      </c>
      <c r="AD196" s="11">
        <v>46195</v>
      </c>
      <c r="AE196" t="s">
        <v>2266</v>
      </c>
      <c r="AF196" t="s">
        <v>2182</v>
      </c>
      <c r="AG196" t="s">
        <v>2183</v>
      </c>
      <c r="AH196">
        <v>327209.01</v>
      </c>
      <c r="AI196">
        <v>130393</v>
      </c>
      <c r="AJ196" t="s">
        <v>2061</v>
      </c>
    </row>
    <row r="197" spans="1:36" hidden="1" x14ac:dyDescent="0.2">
      <c r="A197" t="s">
        <v>2264</v>
      </c>
      <c r="B197" t="s">
        <v>157</v>
      </c>
      <c r="C197" t="s">
        <v>2265</v>
      </c>
      <c r="D197" t="s">
        <v>386</v>
      </c>
      <c r="E197">
        <v>270734</v>
      </c>
      <c r="H197">
        <v>594687</v>
      </c>
      <c r="I197" t="s">
        <v>2357</v>
      </c>
      <c r="J197" s="11">
        <v>46188</v>
      </c>
      <c r="K197" s="11">
        <v>46195</v>
      </c>
      <c r="M197" t="s">
        <v>1850</v>
      </c>
      <c r="N197">
        <v>40</v>
      </c>
      <c r="O197">
        <v>1250000</v>
      </c>
      <c r="P197">
        <v>50000</v>
      </c>
      <c r="Q197" t="s">
        <v>2178</v>
      </c>
      <c r="R197" t="s">
        <v>2179</v>
      </c>
      <c r="S197">
        <v>0</v>
      </c>
      <c r="T197">
        <v>0</v>
      </c>
      <c r="U197" t="s">
        <v>2179</v>
      </c>
      <c r="V197">
        <v>0</v>
      </c>
      <c r="W197" t="s">
        <v>2180</v>
      </c>
      <c r="X197">
        <v>0</v>
      </c>
      <c r="Y197">
        <v>0</v>
      </c>
      <c r="Z197">
        <v>0</v>
      </c>
      <c r="AC197" s="11">
        <v>46188</v>
      </c>
      <c r="AD197" s="11">
        <v>46195</v>
      </c>
      <c r="AE197" t="s">
        <v>2266</v>
      </c>
      <c r="AF197" t="s">
        <v>2182</v>
      </c>
      <c r="AG197" t="s">
        <v>2183</v>
      </c>
      <c r="AH197">
        <v>327209.01</v>
      </c>
      <c r="AI197">
        <v>130393</v>
      </c>
      <c r="AJ197" t="s">
        <v>2061</v>
      </c>
    </row>
    <row r="198" spans="1:36" hidden="1" x14ac:dyDescent="0.2">
      <c r="A198" t="s">
        <v>2264</v>
      </c>
      <c r="B198" t="s">
        <v>157</v>
      </c>
      <c r="C198" t="s">
        <v>2265</v>
      </c>
      <c r="D198" t="s">
        <v>386</v>
      </c>
      <c r="E198">
        <v>270734</v>
      </c>
      <c r="H198">
        <v>598390</v>
      </c>
      <c r="I198" t="s">
        <v>876</v>
      </c>
      <c r="J198" s="11">
        <v>46195</v>
      </c>
      <c r="K198" s="11">
        <v>46222</v>
      </c>
      <c r="M198" t="s">
        <v>1850</v>
      </c>
      <c r="N198">
        <v>30</v>
      </c>
      <c r="O198">
        <v>2500000</v>
      </c>
      <c r="P198">
        <v>75000</v>
      </c>
      <c r="Q198" t="s">
        <v>2178</v>
      </c>
      <c r="R198" t="s">
        <v>2179</v>
      </c>
      <c r="S198">
        <v>0</v>
      </c>
      <c r="T198">
        <v>0</v>
      </c>
      <c r="U198" t="s">
        <v>2179</v>
      </c>
      <c r="V198">
        <v>0</v>
      </c>
      <c r="W198" t="s">
        <v>2180</v>
      </c>
      <c r="X198">
        <v>0</v>
      </c>
      <c r="Y198">
        <v>0</v>
      </c>
      <c r="Z198">
        <v>0</v>
      </c>
      <c r="AC198" s="11">
        <v>46195</v>
      </c>
      <c r="AD198" s="11">
        <v>46222</v>
      </c>
      <c r="AE198" t="s">
        <v>2266</v>
      </c>
      <c r="AF198" t="s">
        <v>2182</v>
      </c>
      <c r="AG198" t="s">
        <v>2183</v>
      </c>
      <c r="AH198">
        <v>327209.01</v>
      </c>
      <c r="AI198">
        <v>130393</v>
      </c>
      <c r="AJ198" t="s">
        <v>2061</v>
      </c>
    </row>
    <row r="199" spans="1:36" hidden="1" x14ac:dyDescent="0.2">
      <c r="A199" t="s">
        <v>2280</v>
      </c>
      <c r="B199" t="s">
        <v>121</v>
      </c>
      <c r="C199" t="s">
        <v>2281</v>
      </c>
      <c r="D199" t="s">
        <v>409</v>
      </c>
      <c r="E199">
        <v>271008</v>
      </c>
      <c r="F199" t="s">
        <v>2212</v>
      </c>
      <c r="G199">
        <v>2789</v>
      </c>
      <c r="H199">
        <v>595079</v>
      </c>
      <c r="I199" t="s">
        <v>763</v>
      </c>
      <c r="J199" s="11">
        <v>46202</v>
      </c>
      <c r="K199" s="11">
        <v>46271</v>
      </c>
      <c r="L199" t="s">
        <v>2223</v>
      </c>
      <c r="M199" t="s">
        <v>1850</v>
      </c>
      <c r="N199">
        <v>25.21</v>
      </c>
      <c r="O199">
        <v>6743357</v>
      </c>
      <c r="P199">
        <v>170000.03</v>
      </c>
      <c r="Q199" t="s">
        <v>2201</v>
      </c>
      <c r="R199" t="s">
        <v>2179</v>
      </c>
      <c r="S199">
        <v>0</v>
      </c>
      <c r="T199">
        <v>0</v>
      </c>
      <c r="U199" t="s">
        <v>2179</v>
      </c>
      <c r="V199">
        <v>56385</v>
      </c>
      <c r="W199" t="s">
        <v>2180</v>
      </c>
      <c r="X199">
        <v>1421.4658999999999</v>
      </c>
      <c r="Y199">
        <v>1421.4658999999999</v>
      </c>
      <c r="Z199">
        <v>1421.4658999999999</v>
      </c>
      <c r="AA199">
        <v>51667</v>
      </c>
      <c r="AB199">
        <v>56385</v>
      </c>
      <c r="AC199" s="11">
        <v>46202</v>
      </c>
      <c r="AD199" s="11">
        <v>46271</v>
      </c>
      <c r="AE199" t="s">
        <v>2210</v>
      </c>
      <c r="AF199" t="s">
        <v>2182</v>
      </c>
      <c r="AG199" t="s">
        <v>2183</v>
      </c>
      <c r="AH199">
        <v>170000.03</v>
      </c>
      <c r="AI199">
        <v>133123</v>
      </c>
      <c r="AJ199" t="s">
        <v>2048</v>
      </c>
    </row>
    <row r="200" spans="1:36" hidden="1" x14ac:dyDescent="0.2">
      <c r="A200" t="s">
        <v>2358</v>
      </c>
      <c r="B200" t="s">
        <v>213</v>
      </c>
      <c r="C200" t="s">
        <v>2359</v>
      </c>
      <c r="D200" t="s">
        <v>402</v>
      </c>
      <c r="E200">
        <v>271227</v>
      </c>
      <c r="F200" t="s">
        <v>2219</v>
      </c>
      <c r="G200">
        <v>7998</v>
      </c>
      <c r="H200">
        <v>593675</v>
      </c>
      <c r="I200" t="s">
        <v>745</v>
      </c>
      <c r="J200" s="11">
        <v>46188</v>
      </c>
      <c r="K200" s="11">
        <v>46222</v>
      </c>
      <c r="L200" t="s">
        <v>2223</v>
      </c>
      <c r="M200" t="s">
        <v>1850</v>
      </c>
      <c r="N200">
        <v>17.350000000000001</v>
      </c>
      <c r="O200">
        <v>3370816</v>
      </c>
      <c r="P200">
        <v>0</v>
      </c>
      <c r="Q200" t="s">
        <v>2178</v>
      </c>
      <c r="R200" t="s">
        <v>2179</v>
      </c>
      <c r="S200">
        <v>0</v>
      </c>
      <c r="T200">
        <v>0</v>
      </c>
      <c r="U200" t="s">
        <v>2179</v>
      </c>
      <c r="V200">
        <v>812892</v>
      </c>
      <c r="W200" t="s">
        <v>2180</v>
      </c>
      <c r="X200">
        <v>0</v>
      </c>
      <c r="Y200">
        <v>0</v>
      </c>
      <c r="Z200">
        <v>0</v>
      </c>
      <c r="AA200">
        <v>811249</v>
      </c>
      <c r="AB200">
        <v>812892</v>
      </c>
      <c r="AC200" s="11">
        <v>46188</v>
      </c>
      <c r="AD200" s="11">
        <v>46222</v>
      </c>
      <c r="AE200" t="s">
        <v>2202</v>
      </c>
      <c r="AF200" t="s">
        <v>2182</v>
      </c>
      <c r="AG200" t="s">
        <v>2183</v>
      </c>
      <c r="AH200">
        <v>0</v>
      </c>
      <c r="AI200">
        <v>131313</v>
      </c>
      <c r="AJ200" t="s">
        <v>2045</v>
      </c>
    </row>
    <row r="201" spans="1:36" hidden="1" x14ac:dyDescent="0.2">
      <c r="A201" t="s">
        <v>2194</v>
      </c>
      <c r="B201" t="s">
        <v>125</v>
      </c>
      <c r="C201" t="s">
        <v>2360</v>
      </c>
      <c r="D201" t="s">
        <v>406</v>
      </c>
      <c r="E201">
        <v>271381</v>
      </c>
      <c r="F201" t="s">
        <v>2192</v>
      </c>
      <c r="G201">
        <v>1</v>
      </c>
      <c r="H201">
        <v>594135</v>
      </c>
      <c r="I201" t="s">
        <v>758</v>
      </c>
      <c r="J201" s="11">
        <v>46202</v>
      </c>
      <c r="K201" s="11">
        <v>46292</v>
      </c>
      <c r="L201" t="s">
        <v>2177</v>
      </c>
      <c r="M201" t="s">
        <v>1850</v>
      </c>
      <c r="N201">
        <v>23</v>
      </c>
      <c r="O201">
        <v>2014479</v>
      </c>
      <c r="P201">
        <v>46333.02</v>
      </c>
      <c r="Q201" t="s">
        <v>2178</v>
      </c>
      <c r="R201" t="s">
        <v>2179</v>
      </c>
      <c r="S201">
        <v>0</v>
      </c>
      <c r="T201">
        <v>0</v>
      </c>
      <c r="U201" t="s">
        <v>2179</v>
      </c>
      <c r="V201">
        <v>11013</v>
      </c>
      <c r="W201" t="s">
        <v>2180</v>
      </c>
      <c r="X201">
        <v>253.29900000000001</v>
      </c>
      <c r="Y201">
        <v>253.29900000000001</v>
      </c>
      <c r="Z201">
        <v>253.29900000000001</v>
      </c>
      <c r="AA201">
        <v>11013</v>
      </c>
      <c r="AB201">
        <v>0</v>
      </c>
      <c r="AC201" s="11">
        <v>46202</v>
      </c>
      <c r="AD201" s="11">
        <v>46292</v>
      </c>
      <c r="AE201" t="s">
        <v>2222</v>
      </c>
      <c r="AF201" t="s">
        <v>2182</v>
      </c>
      <c r="AG201" t="s">
        <v>2183</v>
      </c>
      <c r="AH201">
        <v>96333.02</v>
      </c>
      <c r="AI201">
        <v>133041</v>
      </c>
      <c r="AJ201" t="s">
        <v>2046</v>
      </c>
    </row>
    <row r="202" spans="1:36" hidden="1" x14ac:dyDescent="0.2">
      <c r="A202" t="s">
        <v>2194</v>
      </c>
      <c r="B202" t="s">
        <v>111</v>
      </c>
      <c r="C202" t="s">
        <v>2361</v>
      </c>
      <c r="D202" t="s">
        <v>403</v>
      </c>
      <c r="E202">
        <v>271405</v>
      </c>
      <c r="F202" t="s">
        <v>2215</v>
      </c>
      <c r="G202">
        <v>8005</v>
      </c>
      <c r="H202">
        <v>594211</v>
      </c>
      <c r="I202" t="s">
        <v>755</v>
      </c>
      <c r="J202" s="11">
        <v>46190</v>
      </c>
      <c r="K202" s="11">
        <v>46222</v>
      </c>
      <c r="L202" t="s">
        <v>2177</v>
      </c>
      <c r="M202" t="s">
        <v>1850</v>
      </c>
      <c r="N202">
        <v>40</v>
      </c>
      <c r="O202">
        <v>6625000</v>
      </c>
      <c r="P202">
        <v>265000</v>
      </c>
      <c r="Q202" t="s">
        <v>2178</v>
      </c>
      <c r="R202" t="s">
        <v>2179</v>
      </c>
      <c r="S202">
        <v>0</v>
      </c>
      <c r="T202">
        <v>0</v>
      </c>
      <c r="U202" t="s">
        <v>2179</v>
      </c>
      <c r="V202">
        <v>3963667</v>
      </c>
      <c r="W202" t="s">
        <v>2180</v>
      </c>
      <c r="X202">
        <v>158546.68</v>
      </c>
      <c r="Y202">
        <v>158546.68</v>
      </c>
      <c r="Z202">
        <v>158546.68</v>
      </c>
      <c r="AA202">
        <v>3784693</v>
      </c>
      <c r="AB202">
        <v>3963667</v>
      </c>
      <c r="AC202" s="11">
        <v>46190</v>
      </c>
      <c r="AD202" s="11">
        <v>46222</v>
      </c>
      <c r="AE202" t="s">
        <v>2222</v>
      </c>
      <c r="AF202" t="s">
        <v>2182</v>
      </c>
      <c r="AG202" t="s">
        <v>2183</v>
      </c>
      <c r="AH202">
        <v>1960001</v>
      </c>
      <c r="AI202">
        <v>132948</v>
      </c>
      <c r="AJ202" t="s">
        <v>2039</v>
      </c>
    </row>
    <row r="203" spans="1:36" hidden="1" x14ac:dyDescent="0.2">
      <c r="A203" t="s">
        <v>2194</v>
      </c>
      <c r="B203" t="s">
        <v>111</v>
      </c>
      <c r="C203" t="s">
        <v>2361</v>
      </c>
      <c r="D203" t="s">
        <v>403</v>
      </c>
      <c r="E203">
        <v>271405</v>
      </c>
      <c r="F203" t="s">
        <v>2219</v>
      </c>
      <c r="G203">
        <v>7998</v>
      </c>
      <c r="H203">
        <v>594217</v>
      </c>
      <c r="I203" t="s">
        <v>754</v>
      </c>
      <c r="J203" s="11">
        <v>46190</v>
      </c>
      <c r="K203" s="11">
        <v>46222</v>
      </c>
      <c r="L203" t="s">
        <v>2177</v>
      </c>
      <c r="M203" t="s">
        <v>1850</v>
      </c>
      <c r="N203">
        <v>23</v>
      </c>
      <c r="O203">
        <v>3173913</v>
      </c>
      <c r="P203">
        <v>73000</v>
      </c>
      <c r="Q203" t="s">
        <v>2178</v>
      </c>
      <c r="R203" t="s">
        <v>2179</v>
      </c>
      <c r="S203">
        <v>0</v>
      </c>
      <c r="T203">
        <v>0</v>
      </c>
      <c r="U203" t="s">
        <v>2179</v>
      </c>
      <c r="V203">
        <v>246572</v>
      </c>
      <c r="W203" t="s">
        <v>2180</v>
      </c>
      <c r="X203">
        <v>5671.1559999999999</v>
      </c>
      <c r="Y203">
        <v>5671.1559999999999</v>
      </c>
      <c r="Z203">
        <v>5671.1559999999999</v>
      </c>
      <c r="AA203">
        <v>344778</v>
      </c>
      <c r="AB203">
        <v>246572</v>
      </c>
      <c r="AC203" s="11">
        <v>46190</v>
      </c>
      <c r="AD203" s="11">
        <v>46222</v>
      </c>
      <c r="AE203" t="s">
        <v>2222</v>
      </c>
      <c r="AF203" t="s">
        <v>2182</v>
      </c>
      <c r="AG203" t="s">
        <v>2183</v>
      </c>
      <c r="AH203">
        <v>1960001</v>
      </c>
      <c r="AI203">
        <v>132948</v>
      </c>
      <c r="AJ203" t="s">
        <v>2039</v>
      </c>
    </row>
    <row r="204" spans="1:36" hidden="1" x14ac:dyDescent="0.2">
      <c r="A204" t="s">
        <v>2194</v>
      </c>
      <c r="B204" t="s">
        <v>111</v>
      </c>
      <c r="C204" t="s">
        <v>2361</v>
      </c>
      <c r="D204" t="s">
        <v>403</v>
      </c>
      <c r="E204">
        <v>271405</v>
      </c>
      <c r="F204" t="s">
        <v>2218</v>
      </c>
      <c r="G204">
        <v>8000</v>
      </c>
      <c r="H204">
        <v>594333</v>
      </c>
      <c r="I204" t="s">
        <v>879</v>
      </c>
      <c r="J204" s="11">
        <v>46190</v>
      </c>
      <c r="K204" s="11">
        <v>46222</v>
      </c>
      <c r="L204" t="s">
        <v>2213</v>
      </c>
      <c r="M204" t="s">
        <v>2205</v>
      </c>
      <c r="N204">
        <v>827001</v>
      </c>
      <c r="O204">
        <v>3</v>
      </c>
      <c r="P204">
        <v>827001</v>
      </c>
      <c r="Q204" t="s">
        <v>1987</v>
      </c>
      <c r="R204" t="s">
        <v>2206</v>
      </c>
      <c r="S204">
        <v>1</v>
      </c>
      <c r="T204">
        <v>350848.90899999999</v>
      </c>
      <c r="U204" t="s">
        <v>2206</v>
      </c>
      <c r="V204">
        <v>1</v>
      </c>
      <c r="W204" t="s">
        <v>2180</v>
      </c>
      <c r="X204">
        <v>350848.90899999999</v>
      </c>
      <c r="Y204">
        <v>350848.90899999999</v>
      </c>
      <c r="Z204">
        <v>350848.90899999999</v>
      </c>
      <c r="AC204" s="11">
        <v>46190</v>
      </c>
      <c r="AD204" s="11">
        <v>46222</v>
      </c>
      <c r="AE204" t="s">
        <v>2222</v>
      </c>
      <c r="AF204" t="s">
        <v>2182</v>
      </c>
      <c r="AG204" t="s">
        <v>2183</v>
      </c>
      <c r="AH204">
        <v>1960001</v>
      </c>
      <c r="AI204">
        <v>132948</v>
      </c>
      <c r="AJ204" t="s">
        <v>2039</v>
      </c>
    </row>
    <row r="205" spans="1:36" hidden="1" x14ac:dyDescent="0.2">
      <c r="A205" t="s">
        <v>2194</v>
      </c>
      <c r="B205" t="s">
        <v>111</v>
      </c>
      <c r="C205" t="s">
        <v>2361</v>
      </c>
      <c r="D205" t="s">
        <v>403</v>
      </c>
      <c r="E205">
        <v>271405</v>
      </c>
      <c r="F205" t="s">
        <v>2218</v>
      </c>
      <c r="G205">
        <v>8000</v>
      </c>
      <c r="H205">
        <v>597861</v>
      </c>
      <c r="I205" t="s">
        <v>907</v>
      </c>
      <c r="J205" s="11">
        <v>46190</v>
      </c>
      <c r="K205" s="11">
        <v>46222</v>
      </c>
      <c r="M205" t="s">
        <v>2205</v>
      </c>
      <c r="N205">
        <v>45000</v>
      </c>
      <c r="O205">
        <v>0</v>
      </c>
      <c r="P205">
        <v>45000</v>
      </c>
      <c r="Q205" t="s">
        <v>1987</v>
      </c>
      <c r="R205" t="s">
        <v>2206</v>
      </c>
      <c r="S205">
        <v>0</v>
      </c>
      <c r="T205">
        <v>19090.909</v>
      </c>
      <c r="U205" t="s">
        <v>2206</v>
      </c>
      <c r="V205">
        <v>0</v>
      </c>
      <c r="W205" t="s">
        <v>2180</v>
      </c>
      <c r="X205">
        <v>19090.909</v>
      </c>
      <c r="Y205">
        <v>19090.909</v>
      </c>
      <c r="Z205">
        <v>19090.909</v>
      </c>
      <c r="AC205" s="11">
        <v>46190</v>
      </c>
      <c r="AD205" s="11">
        <v>46222</v>
      </c>
      <c r="AE205" t="s">
        <v>2222</v>
      </c>
      <c r="AF205" t="s">
        <v>2182</v>
      </c>
      <c r="AG205" t="s">
        <v>2183</v>
      </c>
      <c r="AH205">
        <v>1960001</v>
      </c>
      <c r="AI205">
        <v>132948</v>
      </c>
      <c r="AJ205" t="s">
        <v>2039</v>
      </c>
    </row>
    <row r="206" spans="1:36" hidden="1" x14ac:dyDescent="0.2">
      <c r="A206" t="s">
        <v>2224</v>
      </c>
      <c r="B206" t="s">
        <v>215</v>
      </c>
      <c r="C206" t="s">
        <v>2362</v>
      </c>
      <c r="D206" t="s">
        <v>412</v>
      </c>
      <c r="E206">
        <v>271496</v>
      </c>
      <c r="F206" t="s">
        <v>2219</v>
      </c>
      <c r="G206">
        <v>7998</v>
      </c>
      <c r="H206">
        <v>595017</v>
      </c>
      <c r="I206" t="s">
        <v>767</v>
      </c>
      <c r="J206" s="11">
        <v>46202</v>
      </c>
      <c r="K206" s="11">
        <v>46278</v>
      </c>
      <c r="L206" t="s">
        <v>2177</v>
      </c>
      <c r="M206" t="s">
        <v>1850</v>
      </c>
      <c r="N206">
        <v>14.46</v>
      </c>
      <c r="O206">
        <v>6313003</v>
      </c>
      <c r="P206">
        <v>91286.03</v>
      </c>
      <c r="Q206" t="s">
        <v>2178</v>
      </c>
      <c r="R206" t="s">
        <v>2179</v>
      </c>
      <c r="S206">
        <v>0</v>
      </c>
      <c r="T206">
        <v>0</v>
      </c>
      <c r="U206" t="s">
        <v>2179</v>
      </c>
      <c r="V206">
        <v>250715</v>
      </c>
      <c r="W206" t="s">
        <v>2180</v>
      </c>
      <c r="X206">
        <v>3625.3389000000002</v>
      </c>
      <c r="Y206">
        <v>3625.3389000000002</v>
      </c>
      <c r="Z206">
        <v>3625.3389000000002</v>
      </c>
      <c r="AA206">
        <v>509387</v>
      </c>
      <c r="AB206">
        <v>250715</v>
      </c>
      <c r="AC206" s="11">
        <v>46202</v>
      </c>
      <c r="AD206" s="11">
        <v>46278</v>
      </c>
      <c r="AE206" t="s">
        <v>2226</v>
      </c>
      <c r="AF206" t="s">
        <v>2182</v>
      </c>
      <c r="AG206" t="s">
        <v>2183</v>
      </c>
      <c r="AH206">
        <v>91286.04</v>
      </c>
      <c r="AI206">
        <v>133623</v>
      </c>
      <c r="AJ206" t="s">
        <v>2065</v>
      </c>
    </row>
    <row r="207" spans="1:36" hidden="1" x14ac:dyDescent="0.2">
      <c r="A207" t="s">
        <v>2326</v>
      </c>
      <c r="B207" t="s">
        <v>199</v>
      </c>
      <c r="C207" t="s">
        <v>2327</v>
      </c>
      <c r="D207" t="s">
        <v>411</v>
      </c>
      <c r="E207">
        <v>271603</v>
      </c>
      <c r="F207" t="s">
        <v>2192</v>
      </c>
      <c r="G207">
        <v>1</v>
      </c>
      <c r="H207">
        <v>594901</v>
      </c>
      <c r="I207" t="s">
        <v>766</v>
      </c>
      <c r="J207" s="11">
        <v>46201</v>
      </c>
      <c r="K207" s="11">
        <v>46214</v>
      </c>
      <c r="L207" t="s">
        <v>2223</v>
      </c>
      <c r="M207" t="s">
        <v>1850</v>
      </c>
      <c r="N207">
        <v>18.62</v>
      </c>
      <c r="O207">
        <v>2685285</v>
      </c>
      <c r="P207">
        <v>50000.01</v>
      </c>
      <c r="Q207" t="s">
        <v>2178</v>
      </c>
      <c r="R207" t="s">
        <v>2179</v>
      </c>
      <c r="S207">
        <v>0</v>
      </c>
      <c r="T207">
        <v>0</v>
      </c>
      <c r="U207" t="s">
        <v>2179</v>
      </c>
      <c r="V207">
        <v>168873</v>
      </c>
      <c r="W207" t="s">
        <v>2180</v>
      </c>
      <c r="X207">
        <v>3144.4153000000001</v>
      </c>
      <c r="Y207">
        <v>3144.4153000000001</v>
      </c>
      <c r="Z207">
        <v>3144.4153000000001</v>
      </c>
      <c r="AA207">
        <v>154974</v>
      </c>
      <c r="AB207">
        <v>168873</v>
      </c>
      <c r="AC207" s="11">
        <v>46201</v>
      </c>
      <c r="AD207" s="11">
        <v>46214</v>
      </c>
      <c r="AE207" t="s">
        <v>2328</v>
      </c>
      <c r="AF207" t="s">
        <v>2182</v>
      </c>
      <c r="AG207" t="s">
        <v>2183</v>
      </c>
      <c r="AH207">
        <v>100000.02</v>
      </c>
      <c r="AI207">
        <v>132708</v>
      </c>
      <c r="AJ207" t="s">
        <v>2061</v>
      </c>
    </row>
    <row r="208" spans="1:36" hidden="1" x14ac:dyDescent="0.2">
      <c r="A208" t="s">
        <v>2326</v>
      </c>
      <c r="B208" t="s">
        <v>199</v>
      </c>
      <c r="C208" t="s">
        <v>2327</v>
      </c>
      <c r="D208" t="s">
        <v>411</v>
      </c>
      <c r="E208">
        <v>271603</v>
      </c>
      <c r="F208" t="s">
        <v>2192</v>
      </c>
      <c r="G208">
        <v>1</v>
      </c>
      <c r="H208">
        <v>594903</v>
      </c>
      <c r="I208" t="s">
        <v>765</v>
      </c>
      <c r="J208" s="11">
        <v>46201</v>
      </c>
      <c r="K208" s="11">
        <v>46214</v>
      </c>
      <c r="L208" t="s">
        <v>2223</v>
      </c>
      <c r="M208" t="s">
        <v>1850</v>
      </c>
      <c r="N208">
        <v>18.62</v>
      </c>
      <c r="O208">
        <v>2685285</v>
      </c>
      <c r="P208">
        <v>50000.01</v>
      </c>
      <c r="Q208" t="s">
        <v>2178</v>
      </c>
      <c r="R208" t="s">
        <v>2179</v>
      </c>
      <c r="S208">
        <v>0</v>
      </c>
      <c r="T208">
        <v>0</v>
      </c>
      <c r="U208" t="s">
        <v>2179</v>
      </c>
      <c r="V208">
        <v>141148</v>
      </c>
      <c r="W208" t="s">
        <v>2180</v>
      </c>
      <c r="X208">
        <v>2628.1758</v>
      </c>
      <c r="Y208">
        <v>2628.1758</v>
      </c>
      <c r="Z208">
        <v>2628.1758</v>
      </c>
      <c r="AA208">
        <v>127864</v>
      </c>
      <c r="AB208">
        <v>141148</v>
      </c>
      <c r="AC208" s="11">
        <v>46201</v>
      </c>
      <c r="AD208" s="11">
        <v>46214</v>
      </c>
      <c r="AE208" t="s">
        <v>2328</v>
      </c>
      <c r="AF208" t="s">
        <v>2182</v>
      </c>
      <c r="AG208" t="s">
        <v>2183</v>
      </c>
      <c r="AH208">
        <v>100000.02</v>
      </c>
      <c r="AI208">
        <v>132708</v>
      </c>
      <c r="AJ208" t="s">
        <v>2061</v>
      </c>
    </row>
    <row r="209" spans="1:36" hidden="1" x14ac:dyDescent="0.2">
      <c r="A209" t="s">
        <v>2280</v>
      </c>
      <c r="B209" t="s">
        <v>121</v>
      </c>
      <c r="C209" t="s">
        <v>2281</v>
      </c>
      <c r="D209" t="s">
        <v>405</v>
      </c>
      <c r="E209">
        <v>271670</v>
      </c>
      <c r="F209" t="s">
        <v>2176</v>
      </c>
      <c r="G209">
        <v>3535</v>
      </c>
      <c r="H209">
        <v>595020</v>
      </c>
      <c r="I209" t="s">
        <v>757</v>
      </c>
      <c r="J209" s="11">
        <v>46202</v>
      </c>
      <c r="K209" s="11">
        <v>46271</v>
      </c>
      <c r="L209" t="s">
        <v>2223</v>
      </c>
      <c r="M209" t="s">
        <v>1850</v>
      </c>
      <c r="N209">
        <v>25.21</v>
      </c>
      <c r="O209">
        <v>10286214</v>
      </c>
      <c r="P209">
        <v>259315.45</v>
      </c>
      <c r="Q209" t="s">
        <v>2201</v>
      </c>
      <c r="R209" t="s">
        <v>2179</v>
      </c>
      <c r="S209">
        <v>0</v>
      </c>
      <c r="T209">
        <v>0</v>
      </c>
      <c r="U209" t="s">
        <v>2179</v>
      </c>
      <c r="V209">
        <v>23989</v>
      </c>
      <c r="W209" t="s">
        <v>2180</v>
      </c>
      <c r="X209">
        <v>604.7627</v>
      </c>
      <c r="Y209">
        <v>604.7627</v>
      </c>
      <c r="Z209">
        <v>604.7627</v>
      </c>
      <c r="AA209">
        <v>23101</v>
      </c>
      <c r="AB209">
        <v>23989</v>
      </c>
      <c r="AC209" s="11">
        <v>46202</v>
      </c>
      <c r="AD209" s="11">
        <v>46271</v>
      </c>
      <c r="AE209" t="s">
        <v>2210</v>
      </c>
      <c r="AF209" t="s">
        <v>2182</v>
      </c>
      <c r="AG209" t="s">
        <v>2183</v>
      </c>
      <c r="AH209">
        <v>259315.46</v>
      </c>
      <c r="AI209">
        <v>132902</v>
      </c>
      <c r="AJ209" t="s">
        <v>2048</v>
      </c>
    </row>
    <row r="210" spans="1:36" hidden="1" x14ac:dyDescent="0.2">
      <c r="A210" t="s">
        <v>2224</v>
      </c>
      <c r="B210" t="s">
        <v>215</v>
      </c>
      <c r="C210" t="s">
        <v>2362</v>
      </c>
      <c r="D210" t="s">
        <v>413</v>
      </c>
      <c r="E210">
        <v>271861</v>
      </c>
      <c r="F210" t="s">
        <v>2219</v>
      </c>
      <c r="G210">
        <v>7998</v>
      </c>
      <c r="H210">
        <v>595247</v>
      </c>
      <c r="I210" t="s">
        <v>768</v>
      </c>
      <c r="J210" s="11">
        <v>46202</v>
      </c>
      <c r="K210" s="11">
        <v>46278</v>
      </c>
      <c r="L210" t="s">
        <v>2177</v>
      </c>
      <c r="M210" t="s">
        <v>1850</v>
      </c>
      <c r="N210">
        <v>14.46</v>
      </c>
      <c r="O210">
        <v>6107540</v>
      </c>
      <c r="P210">
        <v>88315.03</v>
      </c>
      <c r="Q210" t="s">
        <v>2178</v>
      </c>
      <c r="R210" t="s">
        <v>2179</v>
      </c>
      <c r="S210">
        <v>0</v>
      </c>
      <c r="T210">
        <v>0</v>
      </c>
      <c r="U210" t="s">
        <v>2179</v>
      </c>
      <c r="V210">
        <v>193054</v>
      </c>
      <c r="W210" t="s">
        <v>2180</v>
      </c>
      <c r="X210">
        <v>2791.5608000000002</v>
      </c>
      <c r="Y210">
        <v>2791.5608000000002</v>
      </c>
      <c r="Z210">
        <v>2791.5608000000002</v>
      </c>
      <c r="AA210">
        <v>517405</v>
      </c>
      <c r="AB210">
        <v>193054</v>
      </c>
      <c r="AC210" s="11">
        <v>46202</v>
      </c>
      <c r="AD210" s="11">
        <v>46278</v>
      </c>
      <c r="AE210" t="s">
        <v>2226</v>
      </c>
      <c r="AF210" t="s">
        <v>2182</v>
      </c>
      <c r="AG210" t="s">
        <v>2183</v>
      </c>
      <c r="AH210">
        <v>88315.02</v>
      </c>
      <c r="AI210">
        <v>133645</v>
      </c>
      <c r="AJ210" t="s">
        <v>2065</v>
      </c>
    </row>
    <row r="211" spans="1:36" hidden="1" x14ac:dyDescent="0.2">
      <c r="A211" t="s">
        <v>2282</v>
      </c>
      <c r="B211" t="s">
        <v>143</v>
      </c>
      <c r="C211" t="s">
        <v>2283</v>
      </c>
      <c r="D211" t="s">
        <v>414</v>
      </c>
      <c r="E211">
        <v>272050</v>
      </c>
      <c r="F211" t="s">
        <v>2209</v>
      </c>
      <c r="G211">
        <v>7968</v>
      </c>
      <c r="H211">
        <v>595758</v>
      </c>
      <c r="I211" t="s">
        <v>769</v>
      </c>
      <c r="J211" s="11">
        <v>46202</v>
      </c>
      <c r="K211" s="11">
        <v>46292</v>
      </c>
      <c r="L211" t="s">
        <v>2223</v>
      </c>
      <c r="M211" t="s">
        <v>1850</v>
      </c>
      <c r="N211">
        <v>20</v>
      </c>
      <c r="O211">
        <v>5000000</v>
      </c>
      <c r="P211">
        <v>100000</v>
      </c>
      <c r="Q211" t="s">
        <v>2201</v>
      </c>
      <c r="R211" t="s">
        <v>2179</v>
      </c>
      <c r="S211">
        <v>0</v>
      </c>
      <c r="T211">
        <v>0</v>
      </c>
      <c r="U211" t="s">
        <v>2179</v>
      </c>
      <c r="V211">
        <v>1417</v>
      </c>
      <c r="W211" t="s">
        <v>2180</v>
      </c>
      <c r="X211">
        <v>28.34</v>
      </c>
      <c r="Y211">
        <v>28.34</v>
      </c>
      <c r="Z211">
        <v>28.34</v>
      </c>
      <c r="AA211">
        <v>1417</v>
      </c>
      <c r="AB211">
        <v>0</v>
      </c>
      <c r="AC211" s="11">
        <v>46202</v>
      </c>
      <c r="AD211" s="11">
        <v>46292</v>
      </c>
      <c r="AE211" t="s">
        <v>2202</v>
      </c>
      <c r="AF211" t="s">
        <v>2182</v>
      </c>
      <c r="AG211" t="s">
        <v>2183</v>
      </c>
      <c r="AH211">
        <v>100000</v>
      </c>
      <c r="AI211">
        <v>133681</v>
      </c>
      <c r="AJ211" t="s">
        <v>2043</v>
      </c>
    </row>
    <row r="212" spans="1:36" hidden="1" x14ac:dyDescent="0.2">
      <c r="A212" t="s">
        <v>2224</v>
      </c>
      <c r="B212" t="s">
        <v>215</v>
      </c>
      <c r="C212" t="s">
        <v>2362</v>
      </c>
      <c r="D212" t="s">
        <v>410</v>
      </c>
      <c r="E212">
        <v>272063</v>
      </c>
      <c r="F212" t="s">
        <v>2219</v>
      </c>
      <c r="G212">
        <v>7998</v>
      </c>
      <c r="H212">
        <v>595806</v>
      </c>
      <c r="I212" t="s">
        <v>764</v>
      </c>
      <c r="J212" s="11">
        <v>46202</v>
      </c>
      <c r="K212" s="11">
        <v>46229</v>
      </c>
      <c r="L212" t="s">
        <v>2177</v>
      </c>
      <c r="M212" t="s">
        <v>1850</v>
      </c>
      <c r="N212">
        <v>14.46</v>
      </c>
      <c r="O212">
        <v>5665136</v>
      </c>
      <c r="P212">
        <v>81917.87</v>
      </c>
      <c r="Q212" t="s">
        <v>2178</v>
      </c>
      <c r="R212" t="s">
        <v>2179</v>
      </c>
      <c r="S212">
        <v>0</v>
      </c>
      <c r="T212">
        <v>0</v>
      </c>
      <c r="U212" t="s">
        <v>2179</v>
      </c>
      <c r="V212">
        <v>384161</v>
      </c>
      <c r="W212" t="s">
        <v>2180</v>
      </c>
      <c r="X212">
        <v>5554.9681</v>
      </c>
      <c r="Y212">
        <v>5554.9681</v>
      </c>
      <c r="Z212">
        <v>5554.9681</v>
      </c>
      <c r="AA212">
        <v>752323</v>
      </c>
      <c r="AB212">
        <v>384161</v>
      </c>
      <c r="AC212" s="11">
        <v>46202</v>
      </c>
      <c r="AD212" s="11">
        <v>46229</v>
      </c>
      <c r="AE212" t="s">
        <v>2226</v>
      </c>
      <c r="AF212" t="s">
        <v>2182</v>
      </c>
      <c r="AG212" t="s">
        <v>2183</v>
      </c>
      <c r="AH212">
        <v>81917.87</v>
      </c>
      <c r="AI212">
        <v>133499</v>
      </c>
      <c r="AJ212" t="s">
        <v>2065</v>
      </c>
    </row>
    <row r="213" spans="1:36" hidden="1" x14ac:dyDescent="0.2">
      <c r="A213" t="s">
        <v>2207</v>
      </c>
      <c r="B213" t="s">
        <v>214</v>
      </c>
      <c r="C213" t="s">
        <v>2363</v>
      </c>
      <c r="D213" t="s">
        <v>404</v>
      </c>
      <c r="E213">
        <v>272138</v>
      </c>
      <c r="F213" t="s">
        <v>2215</v>
      </c>
      <c r="G213">
        <v>8005</v>
      </c>
      <c r="H213">
        <v>596075</v>
      </c>
      <c r="I213" t="s">
        <v>756</v>
      </c>
      <c r="J213" s="11">
        <v>46197</v>
      </c>
      <c r="K213" s="11">
        <v>46202</v>
      </c>
      <c r="L213" t="s">
        <v>2177</v>
      </c>
      <c r="M213" t="s">
        <v>1850</v>
      </c>
      <c r="N213">
        <v>44</v>
      </c>
      <c r="O213">
        <v>1550728</v>
      </c>
      <c r="P213">
        <v>68232.03</v>
      </c>
      <c r="Q213" t="s">
        <v>2178</v>
      </c>
      <c r="R213" t="s">
        <v>2179</v>
      </c>
      <c r="S213">
        <v>0</v>
      </c>
      <c r="T213">
        <v>0</v>
      </c>
      <c r="U213" t="s">
        <v>2179</v>
      </c>
      <c r="V213">
        <v>1550728</v>
      </c>
      <c r="W213" t="s">
        <v>2180</v>
      </c>
      <c r="X213">
        <v>68232.03</v>
      </c>
      <c r="Y213">
        <v>68232.03</v>
      </c>
      <c r="Z213">
        <v>68232.03</v>
      </c>
      <c r="AA213">
        <v>1585137</v>
      </c>
      <c r="AB213">
        <v>0</v>
      </c>
      <c r="AC213" s="11">
        <v>46197</v>
      </c>
      <c r="AD213" s="11">
        <v>46202</v>
      </c>
      <c r="AE213" t="s">
        <v>2210</v>
      </c>
      <c r="AF213" t="s">
        <v>2182</v>
      </c>
      <c r="AG213" t="s">
        <v>2183</v>
      </c>
      <c r="AH213">
        <v>68232.03</v>
      </c>
      <c r="AI213">
        <v>133015</v>
      </c>
      <c r="AJ213" t="s">
        <v>2060</v>
      </c>
    </row>
    <row r="214" spans="1:36" hidden="1" x14ac:dyDescent="0.2">
      <c r="A214" t="s">
        <v>2252</v>
      </c>
      <c r="B214" t="s">
        <v>133</v>
      </c>
      <c r="C214" t="s">
        <v>2253</v>
      </c>
      <c r="D214" t="s">
        <v>408</v>
      </c>
      <c r="E214">
        <v>272146</v>
      </c>
      <c r="H214">
        <v>595992</v>
      </c>
      <c r="I214" t="s">
        <v>762</v>
      </c>
      <c r="J214" s="11">
        <v>46202</v>
      </c>
      <c r="K214" s="11">
        <v>46225</v>
      </c>
      <c r="L214" t="s">
        <v>2254</v>
      </c>
      <c r="M214" t="s">
        <v>1850</v>
      </c>
      <c r="N214">
        <v>18.89</v>
      </c>
      <c r="O214">
        <v>11056623</v>
      </c>
      <c r="P214">
        <v>208859.61</v>
      </c>
      <c r="Q214" t="s">
        <v>2201</v>
      </c>
      <c r="R214" t="s">
        <v>2179</v>
      </c>
      <c r="S214">
        <v>0</v>
      </c>
      <c r="T214">
        <v>0</v>
      </c>
      <c r="U214" t="s">
        <v>2179</v>
      </c>
      <c r="V214">
        <v>243838</v>
      </c>
      <c r="W214" t="s">
        <v>2180</v>
      </c>
      <c r="X214">
        <v>4606.0998</v>
      </c>
      <c r="Y214">
        <v>4606.0998</v>
      </c>
      <c r="Z214">
        <v>4606.0998</v>
      </c>
      <c r="AA214">
        <v>189673</v>
      </c>
      <c r="AB214">
        <v>243838</v>
      </c>
      <c r="AC214" s="11">
        <v>46202</v>
      </c>
      <c r="AD214" s="11">
        <v>46225</v>
      </c>
      <c r="AE214" t="s">
        <v>2198</v>
      </c>
      <c r="AF214" t="s">
        <v>2182</v>
      </c>
      <c r="AG214" t="s">
        <v>2183</v>
      </c>
      <c r="AH214">
        <v>791926.01</v>
      </c>
      <c r="AI214">
        <v>133461</v>
      </c>
      <c r="AJ214" t="s">
        <v>2053</v>
      </c>
    </row>
    <row r="215" spans="1:36" hidden="1" x14ac:dyDescent="0.2">
      <c r="A215" t="s">
        <v>2333</v>
      </c>
      <c r="B215" t="s">
        <v>151</v>
      </c>
      <c r="C215" t="s">
        <v>2334</v>
      </c>
      <c r="D215" t="s">
        <v>2364</v>
      </c>
      <c r="E215">
        <v>272782</v>
      </c>
      <c r="H215">
        <v>597805</v>
      </c>
      <c r="I215" t="s">
        <v>2365</v>
      </c>
      <c r="J215" s="11">
        <v>46202</v>
      </c>
      <c r="K215" s="11">
        <v>46203</v>
      </c>
      <c r="L215" t="s">
        <v>2177</v>
      </c>
      <c r="M215" t="s">
        <v>1850</v>
      </c>
      <c r="N215">
        <v>15.53</v>
      </c>
      <c r="O215">
        <v>100</v>
      </c>
      <c r="P215">
        <v>1.55</v>
      </c>
      <c r="Q215" t="s">
        <v>2178</v>
      </c>
      <c r="R215" t="s">
        <v>2179</v>
      </c>
      <c r="S215">
        <v>0</v>
      </c>
      <c r="T215">
        <v>0</v>
      </c>
      <c r="U215" t="s">
        <v>2179</v>
      </c>
      <c r="V215">
        <v>0</v>
      </c>
      <c r="W215" t="s">
        <v>2180</v>
      </c>
      <c r="X215">
        <v>0</v>
      </c>
      <c r="Y215">
        <v>0</v>
      </c>
      <c r="Z215">
        <v>0</v>
      </c>
      <c r="AC215" s="11">
        <v>46202</v>
      </c>
      <c r="AD215" s="11">
        <v>46203</v>
      </c>
      <c r="AE215" t="s">
        <v>2336</v>
      </c>
      <c r="AF215" t="s">
        <v>2182</v>
      </c>
      <c r="AG215" t="s">
        <v>2183</v>
      </c>
      <c r="AH215">
        <v>1.55</v>
      </c>
      <c r="AI215">
        <v>133834</v>
      </c>
      <c r="AJ215" t="s">
        <v>2060</v>
      </c>
    </row>
    <row r="216" spans="1:36" hidden="1" x14ac:dyDescent="0.2">
      <c r="A216" t="s">
        <v>2313</v>
      </c>
      <c r="B216" t="s">
        <v>2366</v>
      </c>
      <c r="C216" t="s">
        <v>2367</v>
      </c>
      <c r="D216" t="s">
        <v>2368</v>
      </c>
      <c r="E216">
        <v>250383</v>
      </c>
      <c r="F216" t="s">
        <v>2369</v>
      </c>
      <c r="G216">
        <v>1442</v>
      </c>
      <c r="H216">
        <v>536482</v>
      </c>
      <c r="I216" t="s">
        <v>2370</v>
      </c>
      <c r="J216" s="11">
        <v>46111</v>
      </c>
      <c r="K216" s="11">
        <v>46201</v>
      </c>
      <c r="L216" t="s">
        <v>2177</v>
      </c>
      <c r="M216" t="s">
        <v>1850</v>
      </c>
      <c r="N216">
        <v>0</v>
      </c>
      <c r="O216">
        <v>0</v>
      </c>
      <c r="P216">
        <v>0</v>
      </c>
      <c r="Q216" t="s">
        <v>2178</v>
      </c>
      <c r="R216" t="s">
        <v>2179</v>
      </c>
      <c r="S216">
        <v>0</v>
      </c>
      <c r="T216">
        <v>0</v>
      </c>
      <c r="U216" t="s">
        <v>2179</v>
      </c>
      <c r="V216">
        <v>0</v>
      </c>
      <c r="W216" t="s">
        <v>2180</v>
      </c>
      <c r="X216">
        <v>0</v>
      </c>
      <c r="Y216">
        <v>0</v>
      </c>
      <c r="Z216">
        <v>0</v>
      </c>
      <c r="AC216" s="11">
        <v>46111</v>
      </c>
      <c r="AD216" s="11">
        <v>46201</v>
      </c>
      <c r="AE216" t="s">
        <v>2251</v>
      </c>
      <c r="AF216" t="s">
        <v>2182</v>
      </c>
      <c r="AG216" t="s">
        <v>2183</v>
      </c>
      <c r="AH216">
        <v>0</v>
      </c>
      <c r="AI216">
        <v>90984</v>
      </c>
      <c r="AJ216" t="s">
        <v>2052</v>
      </c>
    </row>
    <row r="217" spans="1:36" hidden="1" x14ac:dyDescent="0.2">
      <c r="A217" t="s">
        <v>2371</v>
      </c>
      <c r="B217" t="s">
        <v>2372</v>
      </c>
      <c r="C217" t="s">
        <v>2373</v>
      </c>
      <c r="D217" t="s">
        <v>2374</v>
      </c>
      <c r="E217">
        <v>252064</v>
      </c>
      <c r="F217" t="s">
        <v>2192</v>
      </c>
      <c r="G217">
        <v>1</v>
      </c>
      <c r="H217">
        <v>538655</v>
      </c>
      <c r="I217" t="s">
        <v>2375</v>
      </c>
      <c r="J217" s="11">
        <v>46113</v>
      </c>
      <c r="K217" s="11">
        <v>46203</v>
      </c>
      <c r="L217" t="s">
        <v>2213</v>
      </c>
      <c r="M217" t="s">
        <v>1850</v>
      </c>
      <c r="N217">
        <v>22.31</v>
      </c>
      <c r="O217">
        <v>7077310</v>
      </c>
      <c r="P217">
        <v>157894.79</v>
      </c>
      <c r="Q217" t="s">
        <v>2178</v>
      </c>
      <c r="R217" t="s">
        <v>2179</v>
      </c>
      <c r="S217">
        <v>0</v>
      </c>
      <c r="T217">
        <v>0</v>
      </c>
      <c r="U217" t="s">
        <v>2179</v>
      </c>
      <c r="V217">
        <v>0</v>
      </c>
      <c r="W217" t="s">
        <v>2180</v>
      </c>
      <c r="X217">
        <v>0</v>
      </c>
      <c r="Y217">
        <v>0</v>
      </c>
      <c r="Z217">
        <v>0</v>
      </c>
      <c r="AC217" s="11">
        <v>46113</v>
      </c>
      <c r="AD217" s="11">
        <v>46203</v>
      </c>
      <c r="AE217" t="s">
        <v>2240</v>
      </c>
      <c r="AF217" t="s">
        <v>2182</v>
      </c>
      <c r="AG217" t="s">
        <v>2183</v>
      </c>
      <c r="AH217">
        <v>300000.09999999998</v>
      </c>
      <c r="AI217">
        <v>92060</v>
      </c>
      <c r="AJ217" t="s">
        <v>2133</v>
      </c>
    </row>
    <row r="218" spans="1:36" hidden="1" x14ac:dyDescent="0.2">
      <c r="A218" t="s">
        <v>2194</v>
      </c>
      <c r="B218" t="s">
        <v>113</v>
      </c>
      <c r="C218" t="s">
        <v>2376</v>
      </c>
      <c r="D218" t="s">
        <v>225</v>
      </c>
      <c r="E218">
        <v>252135</v>
      </c>
      <c r="F218" t="s">
        <v>2192</v>
      </c>
      <c r="G218">
        <v>1</v>
      </c>
      <c r="H218">
        <v>536602</v>
      </c>
      <c r="I218" t="s">
        <v>436</v>
      </c>
      <c r="J218" s="11">
        <v>46202</v>
      </c>
      <c r="K218" s="11">
        <v>46292</v>
      </c>
      <c r="L218" t="s">
        <v>2223</v>
      </c>
      <c r="M218" t="s">
        <v>1850</v>
      </c>
      <c r="N218">
        <v>14.61</v>
      </c>
      <c r="O218">
        <v>18572622</v>
      </c>
      <c r="P218">
        <v>271346.01</v>
      </c>
      <c r="Q218" t="s">
        <v>2201</v>
      </c>
      <c r="R218" t="s">
        <v>2179</v>
      </c>
      <c r="S218">
        <v>0</v>
      </c>
      <c r="T218">
        <v>0</v>
      </c>
      <c r="U218" t="s">
        <v>2179</v>
      </c>
      <c r="V218">
        <v>0</v>
      </c>
      <c r="W218" t="s">
        <v>2180</v>
      </c>
      <c r="X218">
        <v>0</v>
      </c>
      <c r="Y218">
        <v>0</v>
      </c>
      <c r="Z218">
        <v>0</v>
      </c>
      <c r="AC218" s="11">
        <v>46202</v>
      </c>
      <c r="AD218" s="11">
        <v>46292</v>
      </c>
      <c r="AE218" t="s">
        <v>2222</v>
      </c>
      <c r="AF218" t="s">
        <v>2182</v>
      </c>
      <c r="AG218" t="s">
        <v>2183</v>
      </c>
      <c r="AH218">
        <v>271346.02</v>
      </c>
      <c r="AI218">
        <v>91198</v>
      </c>
      <c r="AJ218" t="s">
        <v>2041</v>
      </c>
    </row>
    <row r="219" spans="1:36" hidden="1" x14ac:dyDescent="0.2">
      <c r="A219" t="s">
        <v>2377</v>
      </c>
      <c r="B219" t="s">
        <v>134</v>
      </c>
      <c r="C219" t="s">
        <v>2378</v>
      </c>
      <c r="D219" t="s">
        <v>2379</v>
      </c>
      <c r="E219">
        <v>252528</v>
      </c>
      <c r="F219" t="s">
        <v>2176</v>
      </c>
      <c r="G219">
        <v>3535</v>
      </c>
      <c r="H219">
        <v>538762</v>
      </c>
      <c r="I219" t="s">
        <v>2380</v>
      </c>
      <c r="J219" s="11">
        <v>46202</v>
      </c>
      <c r="K219" s="11">
        <v>46292</v>
      </c>
      <c r="L219" t="s">
        <v>2223</v>
      </c>
      <c r="M219" t="s">
        <v>1850</v>
      </c>
      <c r="N219">
        <v>0</v>
      </c>
      <c r="O219">
        <v>0</v>
      </c>
      <c r="P219">
        <v>0</v>
      </c>
      <c r="Q219" t="s">
        <v>2201</v>
      </c>
      <c r="R219" t="s">
        <v>2179</v>
      </c>
      <c r="S219">
        <v>0</v>
      </c>
      <c r="T219">
        <v>0</v>
      </c>
      <c r="U219" t="s">
        <v>2179</v>
      </c>
      <c r="V219">
        <v>0</v>
      </c>
      <c r="W219" t="s">
        <v>2180</v>
      </c>
      <c r="X219">
        <v>0</v>
      </c>
      <c r="Y219">
        <v>0</v>
      </c>
      <c r="Z219">
        <v>0</v>
      </c>
      <c r="AC219" s="11">
        <v>46202</v>
      </c>
      <c r="AD219" s="11">
        <v>46292</v>
      </c>
      <c r="AE219" t="s">
        <v>2226</v>
      </c>
      <c r="AF219" t="s">
        <v>2182</v>
      </c>
      <c r="AG219" t="s">
        <v>2183</v>
      </c>
      <c r="AH219">
        <v>0</v>
      </c>
      <c r="AI219">
        <v>106388</v>
      </c>
      <c r="AJ219" t="s">
        <v>2050</v>
      </c>
    </row>
    <row r="220" spans="1:36" hidden="1" x14ac:dyDescent="0.2">
      <c r="A220" t="s">
        <v>2252</v>
      </c>
      <c r="B220" t="s">
        <v>114</v>
      </c>
      <c r="C220" t="s">
        <v>2381</v>
      </c>
      <c r="D220" t="s">
        <v>228</v>
      </c>
      <c r="E220">
        <v>252732</v>
      </c>
      <c r="F220" t="s">
        <v>2176</v>
      </c>
      <c r="G220">
        <v>3535</v>
      </c>
      <c r="H220">
        <v>539615</v>
      </c>
      <c r="I220" t="s">
        <v>439</v>
      </c>
      <c r="J220" s="11">
        <v>46113</v>
      </c>
      <c r="K220" s="11">
        <v>46203</v>
      </c>
      <c r="M220" t="s">
        <v>1850</v>
      </c>
      <c r="N220">
        <v>17</v>
      </c>
      <c r="O220">
        <v>12500000</v>
      </c>
      <c r="P220">
        <v>212500</v>
      </c>
      <c r="R220" t="s">
        <v>2179</v>
      </c>
      <c r="S220">
        <v>0</v>
      </c>
      <c r="T220">
        <v>0</v>
      </c>
      <c r="U220" t="s">
        <v>2179</v>
      </c>
      <c r="V220">
        <v>3248150</v>
      </c>
      <c r="W220" t="s">
        <v>2180</v>
      </c>
      <c r="X220">
        <v>55218.55</v>
      </c>
      <c r="Y220">
        <v>55218.55</v>
      </c>
      <c r="Z220">
        <v>55218.55</v>
      </c>
      <c r="AA220">
        <v>3118192</v>
      </c>
      <c r="AB220">
        <v>3248150</v>
      </c>
      <c r="AC220" s="11">
        <v>46113</v>
      </c>
      <c r="AD220" s="11">
        <v>46203</v>
      </c>
      <c r="AE220" t="s">
        <v>2198</v>
      </c>
      <c r="AF220" t="s">
        <v>2182</v>
      </c>
      <c r="AG220" t="s">
        <v>2183</v>
      </c>
      <c r="AH220">
        <v>722499.99</v>
      </c>
      <c r="AI220">
        <v>93132</v>
      </c>
      <c r="AJ220" t="s">
        <v>2042</v>
      </c>
    </row>
    <row r="221" spans="1:36" hidden="1" x14ac:dyDescent="0.2">
      <c r="A221" t="s">
        <v>2252</v>
      </c>
      <c r="B221" t="s">
        <v>114</v>
      </c>
      <c r="C221" t="s">
        <v>2381</v>
      </c>
      <c r="D221" t="s">
        <v>227</v>
      </c>
      <c r="E221">
        <v>252733</v>
      </c>
      <c r="F221" t="s">
        <v>2176</v>
      </c>
      <c r="G221">
        <v>3535</v>
      </c>
      <c r="H221">
        <v>539627</v>
      </c>
      <c r="I221" t="s">
        <v>438</v>
      </c>
      <c r="J221" s="11">
        <v>46113</v>
      </c>
      <c r="K221" s="11">
        <v>46203</v>
      </c>
      <c r="M221" t="s">
        <v>1850</v>
      </c>
      <c r="N221">
        <v>17</v>
      </c>
      <c r="O221">
        <v>7500000</v>
      </c>
      <c r="P221">
        <v>127500</v>
      </c>
      <c r="R221" t="s">
        <v>2179</v>
      </c>
      <c r="S221">
        <v>0</v>
      </c>
      <c r="T221">
        <v>0</v>
      </c>
      <c r="U221" t="s">
        <v>2179</v>
      </c>
      <c r="V221">
        <v>1785365</v>
      </c>
      <c r="W221" t="s">
        <v>2180</v>
      </c>
      <c r="X221">
        <v>30351.205000000002</v>
      </c>
      <c r="Y221">
        <v>30351.205000000002</v>
      </c>
      <c r="Z221">
        <v>30351.205000000002</v>
      </c>
      <c r="AA221">
        <v>1746290</v>
      </c>
      <c r="AB221">
        <v>1785365</v>
      </c>
      <c r="AC221" s="11">
        <v>46113</v>
      </c>
      <c r="AD221" s="11">
        <v>46203</v>
      </c>
      <c r="AE221" t="s">
        <v>2198</v>
      </c>
      <c r="AF221" t="s">
        <v>2182</v>
      </c>
      <c r="AG221" t="s">
        <v>2183</v>
      </c>
      <c r="AH221">
        <v>382500</v>
      </c>
      <c r="AI221">
        <v>93047</v>
      </c>
      <c r="AJ221" t="s">
        <v>2042</v>
      </c>
    </row>
    <row r="222" spans="1:36" hidden="1" x14ac:dyDescent="0.2">
      <c r="A222" t="s">
        <v>2252</v>
      </c>
      <c r="B222" t="s">
        <v>114</v>
      </c>
      <c r="C222" t="s">
        <v>2381</v>
      </c>
      <c r="D222" t="s">
        <v>226</v>
      </c>
      <c r="E222">
        <v>252736</v>
      </c>
      <c r="F222" t="s">
        <v>2176</v>
      </c>
      <c r="G222">
        <v>3535</v>
      </c>
      <c r="H222">
        <v>539643</v>
      </c>
      <c r="I222" t="s">
        <v>437</v>
      </c>
      <c r="J222" s="11">
        <v>46113</v>
      </c>
      <c r="K222" s="11">
        <v>46203</v>
      </c>
      <c r="M222" t="s">
        <v>1850</v>
      </c>
      <c r="N222">
        <v>17</v>
      </c>
      <c r="O222">
        <v>10000000</v>
      </c>
      <c r="P222">
        <v>170000</v>
      </c>
      <c r="R222" t="s">
        <v>2179</v>
      </c>
      <c r="S222">
        <v>0</v>
      </c>
      <c r="T222">
        <v>0</v>
      </c>
      <c r="U222" t="s">
        <v>2179</v>
      </c>
      <c r="V222">
        <v>2396354</v>
      </c>
      <c r="W222" t="s">
        <v>2180</v>
      </c>
      <c r="X222">
        <v>40738.017999999996</v>
      </c>
      <c r="Y222">
        <v>40738.017999999996</v>
      </c>
      <c r="Z222">
        <v>40738.017999999996</v>
      </c>
      <c r="AA222">
        <v>2346047</v>
      </c>
      <c r="AB222">
        <v>2396354</v>
      </c>
      <c r="AC222" s="11">
        <v>46113</v>
      </c>
      <c r="AD222" s="11">
        <v>46203</v>
      </c>
      <c r="AE222" t="s">
        <v>2198</v>
      </c>
      <c r="AF222" t="s">
        <v>2182</v>
      </c>
      <c r="AG222" t="s">
        <v>2183</v>
      </c>
      <c r="AH222">
        <v>510000.01</v>
      </c>
      <c r="AI222">
        <v>92990</v>
      </c>
      <c r="AJ222" t="s">
        <v>2042</v>
      </c>
    </row>
    <row r="223" spans="1:36" hidden="1" x14ac:dyDescent="0.2">
      <c r="A223" t="s">
        <v>2282</v>
      </c>
      <c r="B223" t="s">
        <v>143</v>
      </c>
      <c r="C223" t="s">
        <v>2283</v>
      </c>
      <c r="D223" t="s">
        <v>2382</v>
      </c>
      <c r="E223">
        <v>252928</v>
      </c>
      <c r="F223" t="s">
        <v>2383</v>
      </c>
      <c r="G223">
        <v>3007</v>
      </c>
      <c r="H223">
        <v>536823</v>
      </c>
      <c r="I223" t="s">
        <v>2384</v>
      </c>
      <c r="J223" s="11">
        <v>46111</v>
      </c>
      <c r="K223" s="11">
        <v>46201</v>
      </c>
      <c r="L223" t="s">
        <v>2223</v>
      </c>
      <c r="M223" t="s">
        <v>1850</v>
      </c>
      <c r="N223">
        <v>0</v>
      </c>
      <c r="O223">
        <v>0</v>
      </c>
      <c r="P223">
        <v>0</v>
      </c>
      <c r="Q223" t="s">
        <v>2201</v>
      </c>
      <c r="R223" t="s">
        <v>2179</v>
      </c>
      <c r="S223">
        <v>0</v>
      </c>
      <c r="T223">
        <v>0</v>
      </c>
      <c r="U223" t="s">
        <v>2179</v>
      </c>
      <c r="V223">
        <v>0</v>
      </c>
      <c r="W223" t="s">
        <v>2180</v>
      </c>
      <c r="X223">
        <v>0</v>
      </c>
      <c r="Y223">
        <v>0</v>
      </c>
      <c r="Z223">
        <v>0</v>
      </c>
      <c r="AC223" s="11">
        <v>46111</v>
      </c>
      <c r="AD223" s="11">
        <v>46201</v>
      </c>
      <c r="AE223" t="s">
        <v>2202</v>
      </c>
      <c r="AF223" t="s">
        <v>2182</v>
      </c>
      <c r="AG223" t="s">
        <v>2183</v>
      </c>
      <c r="AH223">
        <v>0</v>
      </c>
      <c r="AI223">
        <v>93164</v>
      </c>
      <c r="AJ223" t="s">
        <v>2043</v>
      </c>
    </row>
    <row r="224" spans="1:36" hidden="1" x14ac:dyDescent="0.2">
      <c r="A224" t="s">
        <v>2282</v>
      </c>
      <c r="B224" t="s">
        <v>143</v>
      </c>
      <c r="C224" t="s">
        <v>2283</v>
      </c>
      <c r="D224" t="s">
        <v>2382</v>
      </c>
      <c r="E224">
        <v>252928</v>
      </c>
      <c r="F224" t="s">
        <v>2383</v>
      </c>
      <c r="G224">
        <v>3007</v>
      </c>
      <c r="H224">
        <v>536825</v>
      </c>
      <c r="I224" t="s">
        <v>2385</v>
      </c>
      <c r="J224" s="11">
        <v>46202</v>
      </c>
      <c r="K224" s="11">
        <v>46292</v>
      </c>
      <c r="L224" t="s">
        <v>2223</v>
      </c>
      <c r="M224" t="s">
        <v>1850</v>
      </c>
      <c r="N224">
        <v>0</v>
      </c>
      <c r="O224">
        <v>0</v>
      </c>
      <c r="P224">
        <v>0</v>
      </c>
      <c r="Q224" t="s">
        <v>2201</v>
      </c>
      <c r="R224" t="s">
        <v>2179</v>
      </c>
      <c r="S224">
        <v>0</v>
      </c>
      <c r="T224">
        <v>0</v>
      </c>
      <c r="U224" t="s">
        <v>2179</v>
      </c>
      <c r="V224">
        <v>0</v>
      </c>
      <c r="W224" t="s">
        <v>2180</v>
      </c>
      <c r="X224">
        <v>0</v>
      </c>
      <c r="Y224">
        <v>0</v>
      </c>
      <c r="Z224">
        <v>0</v>
      </c>
      <c r="AC224" s="11">
        <v>46202</v>
      </c>
      <c r="AD224" s="11">
        <v>46292</v>
      </c>
      <c r="AE224" t="s">
        <v>2202</v>
      </c>
      <c r="AF224" t="s">
        <v>2182</v>
      </c>
      <c r="AG224" t="s">
        <v>2183</v>
      </c>
      <c r="AH224">
        <v>0</v>
      </c>
      <c r="AI224">
        <v>93164</v>
      </c>
      <c r="AJ224" t="s">
        <v>2043</v>
      </c>
    </row>
    <row r="225" spans="1:36" hidden="1" x14ac:dyDescent="0.2">
      <c r="A225" t="s">
        <v>2174</v>
      </c>
      <c r="B225" t="s">
        <v>116</v>
      </c>
      <c r="C225" t="s">
        <v>2175</v>
      </c>
      <c r="D225" t="s">
        <v>236</v>
      </c>
      <c r="E225">
        <v>253612</v>
      </c>
      <c r="F225" t="s">
        <v>2192</v>
      </c>
      <c r="G225">
        <v>1</v>
      </c>
      <c r="H225">
        <v>539340</v>
      </c>
      <c r="I225" t="s">
        <v>2386</v>
      </c>
      <c r="J225" s="11">
        <v>46111</v>
      </c>
      <c r="K225" s="11">
        <v>46187</v>
      </c>
      <c r="L225" t="s">
        <v>2177</v>
      </c>
      <c r="M225" t="s">
        <v>1850</v>
      </c>
      <c r="N225">
        <v>0</v>
      </c>
      <c r="O225">
        <v>0</v>
      </c>
      <c r="P225">
        <v>0</v>
      </c>
      <c r="Q225" t="s">
        <v>2201</v>
      </c>
      <c r="R225" t="s">
        <v>2179</v>
      </c>
      <c r="S225">
        <v>0</v>
      </c>
      <c r="T225">
        <v>0</v>
      </c>
      <c r="U225" t="s">
        <v>2179</v>
      </c>
      <c r="V225">
        <v>0</v>
      </c>
      <c r="W225" t="s">
        <v>2180</v>
      </c>
      <c r="X225">
        <v>0</v>
      </c>
      <c r="Y225">
        <v>0</v>
      </c>
      <c r="Z225">
        <v>0</v>
      </c>
      <c r="AC225" s="11">
        <v>46111</v>
      </c>
      <c r="AD225" s="11">
        <v>46187</v>
      </c>
      <c r="AE225" t="s">
        <v>2181</v>
      </c>
      <c r="AF225" t="s">
        <v>2182</v>
      </c>
      <c r="AG225" t="s">
        <v>2183</v>
      </c>
      <c r="AH225">
        <v>219321</v>
      </c>
      <c r="AI225">
        <v>96038</v>
      </c>
      <c r="AJ225" t="s">
        <v>2047</v>
      </c>
    </row>
    <row r="226" spans="1:36" hidden="1" x14ac:dyDescent="0.2">
      <c r="A226" t="s">
        <v>2174</v>
      </c>
      <c r="B226" t="s">
        <v>116</v>
      </c>
      <c r="C226" t="s">
        <v>2175</v>
      </c>
      <c r="D226" t="s">
        <v>236</v>
      </c>
      <c r="E226">
        <v>253612</v>
      </c>
      <c r="F226" t="s">
        <v>2192</v>
      </c>
      <c r="G226">
        <v>1</v>
      </c>
      <c r="H226">
        <v>539342</v>
      </c>
      <c r="I226" t="s">
        <v>448</v>
      </c>
      <c r="J226" s="11">
        <v>46202</v>
      </c>
      <c r="K226" s="11">
        <v>46292</v>
      </c>
      <c r="L226" t="s">
        <v>2177</v>
      </c>
      <c r="M226" t="s">
        <v>1850</v>
      </c>
      <c r="N226">
        <v>22.65</v>
      </c>
      <c r="O226">
        <v>9683047</v>
      </c>
      <c r="P226">
        <v>219321.01</v>
      </c>
      <c r="Q226" t="s">
        <v>2201</v>
      </c>
      <c r="R226" t="s">
        <v>2179</v>
      </c>
      <c r="S226">
        <v>0</v>
      </c>
      <c r="T226">
        <v>0</v>
      </c>
      <c r="U226" t="s">
        <v>2179</v>
      </c>
      <c r="V226">
        <v>0</v>
      </c>
      <c r="W226" t="s">
        <v>2180</v>
      </c>
      <c r="X226">
        <v>0</v>
      </c>
      <c r="Y226">
        <v>0</v>
      </c>
      <c r="Z226">
        <v>0</v>
      </c>
      <c r="AC226" s="11">
        <v>46202</v>
      </c>
      <c r="AD226" s="11">
        <v>46292</v>
      </c>
      <c r="AE226" t="s">
        <v>2181</v>
      </c>
      <c r="AF226" t="s">
        <v>2182</v>
      </c>
      <c r="AG226" t="s">
        <v>2183</v>
      </c>
      <c r="AH226">
        <v>219321</v>
      </c>
      <c r="AI226">
        <v>96038</v>
      </c>
      <c r="AJ226" t="s">
        <v>2047</v>
      </c>
    </row>
    <row r="227" spans="1:36" hidden="1" x14ac:dyDescent="0.2">
      <c r="A227" t="s">
        <v>2307</v>
      </c>
      <c r="B227" t="s">
        <v>2134</v>
      </c>
      <c r="C227" t="s">
        <v>2387</v>
      </c>
      <c r="D227" t="s">
        <v>2135</v>
      </c>
      <c r="E227">
        <v>256503</v>
      </c>
      <c r="H227">
        <v>552500</v>
      </c>
      <c r="I227" t="s">
        <v>2136</v>
      </c>
      <c r="J227" s="11">
        <v>46173</v>
      </c>
      <c r="K227" s="11">
        <v>46291</v>
      </c>
      <c r="L227" t="s">
        <v>2223</v>
      </c>
      <c r="M227" t="s">
        <v>1850</v>
      </c>
      <c r="N227">
        <v>36.619999999999997</v>
      </c>
      <c r="O227">
        <v>0</v>
      </c>
      <c r="P227">
        <v>0</v>
      </c>
      <c r="Q227" t="s">
        <v>2178</v>
      </c>
      <c r="R227" t="s">
        <v>2179</v>
      </c>
      <c r="S227">
        <v>0</v>
      </c>
      <c r="T227">
        <v>0</v>
      </c>
      <c r="U227" t="s">
        <v>2179</v>
      </c>
      <c r="V227">
        <v>0</v>
      </c>
      <c r="W227" t="s">
        <v>2180</v>
      </c>
      <c r="X227">
        <v>0</v>
      </c>
      <c r="Y227">
        <v>0</v>
      </c>
      <c r="Z227">
        <v>0</v>
      </c>
      <c r="AC227" s="11">
        <v>46173</v>
      </c>
      <c r="AD227" s="11">
        <v>46291</v>
      </c>
      <c r="AE227" t="s">
        <v>2198</v>
      </c>
      <c r="AF227" t="s">
        <v>2182</v>
      </c>
      <c r="AG227" t="s">
        <v>2183</v>
      </c>
      <c r="AH227">
        <v>0</v>
      </c>
      <c r="AI227">
        <v>110814</v>
      </c>
      <c r="AJ227" t="s">
        <v>2137</v>
      </c>
    </row>
    <row r="228" spans="1:36" hidden="1" x14ac:dyDescent="0.2">
      <c r="A228" t="s">
        <v>2252</v>
      </c>
      <c r="B228" t="s">
        <v>187</v>
      </c>
      <c r="C228" t="s">
        <v>2388</v>
      </c>
      <c r="D228" t="s">
        <v>348</v>
      </c>
      <c r="E228">
        <v>256852</v>
      </c>
      <c r="F228" t="s">
        <v>2215</v>
      </c>
      <c r="G228">
        <v>8005</v>
      </c>
      <c r="H228">
        <v>582079</v>
      </c>
      <c r="I228" t="s">
        <v>648</v>
      </c>
      <c r="J228" s="11">
        <v>46184</v>
      </c>
      <c r="K228" s="11">
        <v>46222</v>
      </c>
      <c r="L228" t="s">
        <v>2223</v>
      </c>
      <c r="M228" t="s">
        <v>1850</v>
      </c>
      <c r="N228">
        <v>40</v>
      </c>
      <c r="O228">
        <v>12500000</v>
      </c>
      <c r="P228">
        <v>500000</v>
      </c>
      <c r="Q228" t="s">
        <v>2178</v>
      </c>
      <c r="R228" t="s">
        <v>2179</v>
      </c>
      <c r="S228">
        <v>0</v>
      </c>
      <c r="T228">
        <v>0</v>
      </c>
      <c r="U228" t="s">
        <v>2179</v>
      </c>
      <c r="V228">
        <v>8284662</v>
      </c>
      <c r="W228" t="s">
        <v>2180</v>
      </c>
      <c r="X228">
        <v>331386.48</v>
      </c>
      <c r="Y228">
        <v>331386.48</v>
      </c>
      <c r="Z228">
        <v>331386.48</v>
      </c>
      <c r="AA228">
        <v>8291923</v>
      </c>
      <c r="AB228">
        <v>8284662</v>
      </c>
      <c r="AC228" s="11">
        <v>46184</v>
      </c>
      <c r="AD228" s="11">
        <v>46222</v>
      </c>
      <c r="AE228" t="s">
        <v>2198</v>
      </c>
      <c r="AF228" t="s">
        <v>2182</v>
      </c>
      <c r="AG228" t="s">
        <v>2183</v>
      </c>
      <c r="AH228">
        <v>500000</v>
      </c>
      <c r="AI228">
        <v>129379</v>
      </c>
      <c r="AJ228" t="s">
        <v>2042</v>
      </c>
    </row>
    <row r="229" spans="1:36" hidden="1" x14ac:dyDescent="0.2">
      <c r="A229" t="s">
        <v>2319</v>
      </c>
      <c r="B229" t="s">
        <v>195</v>
      </c>
      <c r="C229" t="s">
        <v>2389</v>
      </c>
      <c r="D229" t="s">
        <v>366</v>
      </c>
      <c r="E229">
        <v>257491</v>
      </c>
      <c r="F229" t="s">
        <v>2218</v>
      </c>
      <c r="G229">
        <v>8000</v>
      </c>
      <c r="H229">
        <v>581882</v>
      </c>
      <c r="I229" t="s">
        <v>901</v>
      </c>
      <c r="J229" s="11">
        <v>46174</v>
      </c>
      <c r="K229" s="11">
        <v>46222</v>
      </c>
      <c r="L229" t="s">
        <v>2213</v>
      </c>
      <c r="M229" t="s">
        <v>1852</v>
      </c>
      <c r="N229">
        <v>0.15</v>
      </c>
      <c r="O229">
        <v>1111114</v>
      </c>
      <c r="P229">
        <v>166667.1</v>
      </c>
      <c r="Q229" t="s">
        <v>2262</v>
      </c>
      <c r="R229" t="s">
        <v>2263</v>
      </c>
      <c r="S229">
        <v>555557</v>
      </c>
      <c r="T229">
        <v>83333.55</v>
      </c>
      <c r="U229" t="s">
        <v>2263</v>
      </c>
      <c r="V229">
        <v>555557</v>
      </c>
      <c r="W229" t="s">
        <v>2180</v>
      </c>
      <c r="X229">
        <v>83333.55</v>
      </c>
      <c r="Y229">
        <v>83333.55</v>
      </c>
      <c r="Z229">
        <v>83333.55</v>
      </c>
      <c r="AC229" s="11">
        <v>46174</v>
      </c>
      <c r="AD229" s="11">
        <v>46222</v>
      </c>
      <c r="AE229" t="s">
        <v>2202</v>
      </c>
      <c r="AF229" t="s">
        <v>2182</v>
      </c>
      <c r="AG229" t="s">
        <v>2183</v>
      </c>
      <c r="AH229">
        <v>2000001.3</v>
      </c>
      <c r="AI229">
        <v>127990</v>
      </c>
      <c r="AJ229" t="s">
        <v>2043</v>
      </c>
    </row>
    <row r="230" spans="1:36" hidden="1" x14ac:dyDescent="0.2">
      <c r="A230" t="s">
        <v>2319</v>
      </c>
      <c r="B230" t="s">
        <v>195</v>
      </c>
      <c r="C230" t="s">
        <v>2389</v>
      </c>
      <c r="D230" t="s">
        <v>366</v>
      </c>
      <c r="E230">
        <v>257491</v>
      </c>
      <c r="F230" t="s">
        <v>2215</v>
      </c>
      <c r="G230">
        <v>8005</v>
      </c>
      <c r="H230">
        <v>581887</v>
      </c>
      <c r="I230" t="s">
        <v>680</v>
      </c>
      <c r="J230" s="11">
        <v>46174</v>
      </c>
      <c r="K230" s="11">
        <v>46222</v>
      </c>
      <c r="L230" t="s">
        <v>2177</v>
      </c>
      <c r="M230" t="s">
        <v>1850</v>
      </c>
      <c r="N230">
        <v>40</v>
      </c>
      <c r="O230">
        <v>6265950</v>
      </c>
      <c r="P230">
        <v>250638</v>
      </c>
      <c r="Q230" t="s">
        <v>2178</v>
      </c>
      <c r="R230" t="s">
        <v>2179</v>
      </c>
      <c r="S230">
        <v>0</v>
      </c>
      <c r="T230">
        <v>0</v>
      </c>
      <c r="U230" t="s">
        <v>2179</v>
      </c>
      <c r="V230">
        <v>4438068</v>
      </c>
      <c r="W230" t="s">
        <v>2180</v>
      </c>
      <c r="X230">
        <v>177522.72</v>
      </c>
      <c r="Y230">
        <v>177522.72</v>
      </c>
      <c r="Z230">
        <v>177522.72</v>
      </c>
      <c r="AA230">
        <v>4444194</v>
      </c>
      <c r="AB230">
        <v>4438068</v>
      </c>
      <c r="AC230" s="11">
        <v>46174</v>
      </c>
      <c r="AD230" s="11">
        <v>46222</v>
      </c>
      <c r="AE230" t="s">
        <v>2202</v>
      </c>
      <c r="AF230" t="s">
        <v>2182</v>
      </c>
      <c r="AG230" t="s">
        <v>2183</v>
      </c>
      <c r="AH230">
        <v>2000001.3</v>
      </c>
      <c r="AI230">
        <v>127990</v>
      </c>
      <c r="AJ230" t="s">
        <v>2043</v>
      </c>
    </row>
    <row r="231" spans="1:36" hidden="1" x14ac:dyDescent="0.2">
      <c r="A231" t="s">
        <v>2319</v>
      </c>
      <c r="B231" t="s">
        <v>195</v>
      </c>
      <c r="C231" t="s">
        <v>2389</v>
      </c>
      <c r="D231" t="s">
        <v>366</v>
      </c>
      <c r="E231">
        <v>257491</v>
      </c>
      <c r="F231" t="s">
        <v>2215</v>
      </c>
      <c r="G231">
        <v>8005</v>
      </c>
      <c r="H231">
        <v>587519</v>
      </c>
      <c r="I231" t="s">
        <v>678</v>
      </c>
      <c r="J231" s="11">
        <v>46174</v>
      </c>
      <c r="K231" s="11">
        <v>46222</v>
      </c>
      <c r="L231" t="s">
        <v>2177</v>
      </c>
      <c r="M231" t="s">
        <v>1850</v>
      </c>
      <c r="N231">
        <v>40</v>
      </c>
      <c r="O231">
        <v>4506150</v>
      </c>
      <c r="P231">
        <v>180246</v>
      </c>
      <c r="Q231" t="s">
        <v>2178</v>
      </c>
      <c r="R231" t="s">
        <v>2179</v>
      </c>
      <c r="S231">
        <v>0</v>
      </c>
      <c r="T231">
        <v>0</v>
      </c>
      <c r="U231" t="s">
        <v>2179</v>
      </c>
      <c r="V231">
        <v>3190068</v>
      </c>
      <c r="W231" t="s">
        <v>2180</v>
      </c>
      <c r="X231">
        <v>127602.72</v>
      </c>
      <c r="Y231">
        <v>127602.72</v>
      </c>
      <c r="Z231">
        <v>127602.72</v>
      </c>
      <c r="AA231">
        <v>3195221</v>
      </c>
      <c r="AB231">
        <v>3190068</v>
      </c>
      <c r="AC231" s="11">
        <v>46174</v>
      </c>
      <c r="AD231" s="11">
        <v>46222</v>
      </c>
      <c r="AE231" t="s">
        <v>2202</v>
      </c>
      <c r="AF231" t="s">
        <v>2182</v>
      </c>
      <c r="AG231" t="s">
        <v>2183</v>
      </c>
      <c r="AH231">
        <v>2000001.3</v>
      </c>
      <c r="AI231">
        <v>127990</v>
      </c>
      <c r="AJ231" t="s">
        <v>2043</v>
      </c>
    </row>
    <row r="232" spans="1:36" hidden="1" x14ac:dyDescent="0.2">
      <c r="A232" t="s">
        <v>2319</v>
      </c>
      <c r="B232" t="s">
        <v>195</v>
      </c>
      <c r="C232" t="s">
        <v>2389</v>
      </c>
      <c r="D232" t="s">
        <v>366</v>
      </c>
      <c r="E232">
        <v>257491</v>
      </c>
      <c r="F232" t="s">
        <v>2218</v>
      </c>
      <c r="G232">
        <v>8000</v>
      </c>
      <c r="H232">
        <v>587522</v>
      </c>
      <c r="I232" t="s">
        <v>840</v>
      </c>
      <c r="J232" s="11">
        <v>46174</v>
      </c>
      <c r="K232" s="11">
        <v>46222</v>
      </c>
      <c r="L232" t="s">
        <v>2213</v>
      </c>
      <c r="M232" t="s">
        <v>1852</v>
      </c>
      <c r="N232">
        <v>0.15</v>
      </c>
      <c r="O232">
        <v>1111114</v>
      </c>
      <c r="P232">
        <v>166667.1</v>
      </c>
      <c r="Q232" t="s">
        <v>2262</v>
      </c>
      <c r="R232" t="s">
        <v>2263</v>
      </c>
      <c r="S232">
        <v>555557</v>
      </c>
      <c r="T232">
        <v>83333.55</v>
      </c>
      <c r="U232" t="s">
        <v>2263</v>
      </c>
      <c r="V232">
        <v>555557</v>
      </c>
      <c r="W232" t="s">
        <v>2180</v>
      </c>
      <c r="X232">
        <v>83333.55</v>
      </c>
      <c r="Y232">
        <v>83333.55</v>
      </c>
      <c r="Z232">
        <v>83333.55</v>
      </c>
      <c r="AC232" s="11">
        <v>46174</v>
      </c>
      <c r="AD232" s="11">
        <v>46222</v>
      </c>
      <c r="AE232" t="s">
        <v>2202</v>
      </c>
      <c r="AF232" t="s">
        <v>2182</v>
      </c>
      <c r="AG232" t="s">
        <v>2183</v>
      </c>
      <c r="AH232">
        <v>2000001.3</v>
      </c>
      <c r="AI232">
        <v>127990</v>
      </c>
      <c r="AJ232" t="s">
        <v>2043</v>
      </c>
    </row>
    <row r="233" spans="1:36" hidden="1" x14ac:dyDescent="0.2">
      <c r="A233" t="s">
        <v>2319</v>
      </c>
      <c r="B233" t="s">
        <v>195</v>
      </c>
      <c r="C233" t="s">
        <v>2389</v>
      </c>
      <c r="D233" t="s">
        <v>366</v>
      </c>
      <c r="E233">
        <v>257491</v>
      </c>
      <c r="F233" t="s">
        <v>2215</v>
      </c>
      <c r="G233">
        <v>8005</v>
      </c>
      <c r="H233">
        <v>587527</v>
      </c>
      <c r="I233" t="s">
        <v>676</v>
      </c>
      <c r="J233" s="11">
        <v>46174</v>
      </c>
      <c r="K233" s="11">
        <v>46222</v>
      </c>
      <c r="L233" t="s">
        <v>2177</v>
      </c>
      <c r="M233" t="s">
        <v>1850</v>
      </c>
      <c r="N233">
        <v>40</v>
      </c>
      <c r="O233">
        <v>2944725</v>
      </c>
      <c r="P233">
        <v>117789</v>
      </c>
      <c r="Q233" t="s">
        <v>2178</v>
      </c>
      <c r="R233" t="s">
        <v>2179</v>
      </c>
      <c r="S233">
        <v>0</v>
      </c>
      <c r="T233">
        <v>0</v>
      </c>
      <c r="U233" t="s">
        <v>2179</v>
      </c>
      <c r="V233">
        <v>2086406</v>
      </c>
      <c r="W233" t="s">
        <v>2180</v>
      </c>
      <c r="X233">
        <v>83456.240000000005</v>
      </c>
      <c r="Y233">
        <v>83456.240000000005</v>
      </c>
      <c r="Z233">
        <v>83456.240000000005</v>
      </c>
      <c r="AA233">
        <v>2089400</v>
      </c>
      <c r="AB233">
        <v>2086406</v>
      </c>
      <c r="AC233" s="11">
        <v>46174</v>
      </c>
      <c r="AD233" s="11">
        <v>46222</v>
      </c>
      <c r="AE233" t="s">
        <v>2202</v>
      </c>
      <c r="AF233" t="s">
        <v>2182</v>
      </c>
      <c r="AG233" t="s">
        <v>2183</v>
      </c>
      <c r="AH233">
        <v>2000001.3</v>
      </c>
      <c r="AI233">
        <v>127990</v>
      </c>
      <c r="AJ233" t="s">
        <v>2043</v>
      </c>
    </row>
    <row r="234" spans="1:36" hidden="1" x14ac:dyDescent="0.2">
      <c r="A234" t="s">
        <v>2319</v>
      </c>
      <c r="B234" t="s">
        <v>195</v>
      </c>
      <c r="C234" t="s">
        <v>2389</v>
      </c>
      <c r="D234" t="s">
        <v>366</v>
      </c>
      <c r="E234">
        <v>257491</v>
      </c>
      <c r="F234" t="s">
        <v>2218</v>
      </c>
      <c r="G234">
        <v>8000</v>
      </c>
      <c r="H234">
        <v>587530</v>
      </c>
      <c r="I234" t="s">
        <v>897</v>
      </c>
      <c r="J234" s="11">
        <v>46174</v>
      </c>
      <c r="K234" s="11">
        <v>46222</v>
      </c>
      <c r="L234" t="s">
        <v>2213</v>
      </c>
      <c r="M234" t="s">
        <v>1852</v>
      </c>
      <c r="N234">
        <v>0.15</v>
      </c>
      <c r="O234">
        <v>1111114</v>
      </c>
      <c r="P234">
        <v>166667.1</v>
      </c>
      <c r="Q234" t="s">
        <v>2262</v>
      </c>
      <c r="R234" t="s">
        <v>2263</v>
      </c>
      <c r="S234">
        <v>555557</v>
      </c>
      <c r="T234">
        <v>83333.55</v>
      </c>
      <c r="U234" t="s">
        <v>2263</v>
      </c>
      <c r="V234">
        <v>555557</v>
      </c>
      <c r="W234" t="s">
        <v>2180</v>
      </c>
      <c r="X234">
        <v>83333.55</v>
      </c>
      <c r="Y234">
        <v>83333.55</v>
      </c>
      <c r="Z234">
        <v>83333.55</v>
      </c>
      <c r="AC234" s="11">
        <v>46174</v>
      </c>
      <c r="AD234" s="11">
        <v>46222</v>
      </c>
      <c r="AE234" t="s">
        <v>2202</v>
      </c>
      <c r="AF234" t="s">
        <v>2182</v>
      </c>
      <c r="AG234" t="s">
        <v>2183</v>
      </c>
      <c r="AH234">
        <v>2000001.3</v>
      </c>
      <c r="AI234">
        <v>127990</v>
      </c>
      <c r="AJ234" t="s">
        <v>2043</v>
      </c>
    </row>
    <row r="235" spans="1:36" hidden="1" x14ac:dyDescent="0.2">
      <c r="A235" t="s">
        <v>2319</v>
      </c>
      <c r="B235" t="s">
        <v>195</v>
      </c>
      <c r="C235" t="s">
        <v>2389</v>
      </c>
      <c r="D235" t="s">
        <v>366</v>
      </c>
      <c r="E235">
        <v>257491</v>
      </c>
      <c r="F235" t="s">
        <v>2215</v>
      </c>
      <c r="G235">
        <v>8005</v>
      </c>
      <c r="H235">
        <v>587535</v>
      </c>
      <c r="I235" t="s">
        <v>681</v>
      </c>
      <c r="J235" s="11">
        <v>46174</v>
      </c>
      <c r="K235" s="11">
        <v>46222</v>
      </c>
      <c r="L235" t="s">
        <v>2177</v>
      </c>
      <c r="M235" t="s">
        <v>1850</v>
      </c>
      <c r="N235">
        <v>40</v>
      </c>
      <c r="O235">
        <v>4550275</v>
      </c>
      <c r="P235">
        <v>182011</v>
      </c>
      <c r="Q235" t="s">
        <v>2178</v>
      </c>
      <c r="R235" t="s">
        <v>2179</v>
      </c>
      <c r="S235">
        <v>0</v>
      </c>
      <c r="T235">
        <v>0</v>
      </c>
      <c r="U235" t="s">
        <v>2179</v>
      </c>
      <c r="V235">
        <v>3218025</v>
      </c>
      <c r="W235" t="s">
        <v>2180</v>
      </c>
      <c r="X235">
        <v>128721</v>
      </c>
      <c r="Y235">
        <v>128721</v>
      </c>
      <c r="Z235">
        <v>128721</v>
      </c>
      <c r="AA235">
        <v>3225078</v>
      </c>
      <c r="AB235">
        <v>3218025</v>
      </c>
      <c r="AC235" s="11">
        <v>46174</v>
      </c>
      <c r="AD235" s="11">
        <v>46222</v>
      </c>
      <c r="AE235" t="s">
        <v>2202</v>
      </c>
      <c r="AF235" t="s">
        <v>2182</v>
      </c>
      <c r="AG235" t="s">
        <v>2183</v>
      </c>
      <c r="AH235">
        <v>2000001.3</v>
      </c>
      <c r="AI235">
        <v>127990</v>
      </c>
      <c r="AJ235" t="s">
        <v>2043</v>
      </c>
    </row>
    <row r="236" spans="1:36" hidden="1" x14ac:dyDescent="0.2">
      <c r="A236" t="s">
        <v>2319</v>
      </c>
      <c r="B236" t="s">
        <v>195</v>
      </c>
      <c r="C236" t="s">
        <v>2389</v>
      </c>
      <c r="D236" t="s">
        <v>366</v>
      </c>
      <c r="E236">
        <v>257491</v>
      </c>
      <c r="F236" t="s">
        <v>2215</v>
      </c>
      <c r="G236">
        <v>8005</v>
      </c>
      <c r="H236">
        <v>587538</v>
      </c>
      <c r="I236" t="s">
        <v>683</v>
      </c>
      <c r="J236" s="11">
        <v>46174</v>
      </c>
      <c r="K236" s="11">
        <v>46222</v>
      </c>
      <c r="L236" t="s">
        <v>2177</v>
      </c>
      <c r="M236" t="s">
        <v>1850</v>
      </c>
      <c r="N236">
        <v>40</v>
      </c>
      <c r="O236">
        <v>2941750</v>
      </c>
      <c r="P236">
        <v>117670</v>
      </c>
      <c r="Q236" t="s">
        <v>2178</v>
      </c>
      <c r="R236" t="s">
        <v>2179</v>
      </c>
      <c r="S236">
        <v>0</v>
      </c>
      <c r="T236">
        <v>0</v>
      </c>
      <c r="U236" t="s">
        <v>2179</v>
      </c>
      <c r="V236">
        <v>2086963</v>
      </c>
      <c r="W236" t="s">
        <v>2180</v>
      </c>
      <c r="X236">
        <v>83478.52</v>
      </c>
      <c r="Y236">
        <v>83478.52</v>
      </c>
      <c r="Z236">
        <v>83478.52</v>
      </c>
      <c r="AA236">
        <v>2088579</v>
      </c>
      <c r="AB236">
        <v>2086963</v>
      </c>
      <c r="AC236" s="11">
        <v>46174</v>
      </c>
      <c r="AD236" s="11">
        <v>46222</v>
      </c>
      <c r="AE236" t="s">
        <v>2202</v>
      </c>
      <c r="AF236" t="s">
        <v>2182</v>
      </c>
      <c r="AG236" t="s">
        <v>2183</v>
      </c>
      <c r="AH236">
        <v>2000001.3</v>
      </c>
      <c r="AI236">
        <v>127990</v>
      </c>
      <c r="AJ236" t="s">
        <v>2043</v>
      </c>
    </row>
    <row r="237" spans="1:36" hidden="1" x14ac:dyDescent="0.2">
      <c r="A237" t="s">
        <v>2319</v>
      </c>
      <c r="B237" t="s">
        <v>195</v>
      </c>
      <c r="C237" t="s">
        <v>2389</v>
      </c>
      <c r="D237" t="s">
        <v>366</v>
      </c>
      <c r="E237">
        <v>257491</v>
      </c>
      <c r="F237" t="s">
        <v>2215</v>
      </c>
      <c r="G237">
        <v>8005</v>
      </c>
      <c r="H237">
        <v>587541</v>
      </c>
      <c r="I237" t="s">
        <v>679</v>
      </c>
      <c r="J237" s="11">
        <v>46174</v>
      </c>
      <c r="K237" s="11">
        <v>46222</v>
      </c>
      <c r="L237" t="s">
        <v>2177</v>
      </c>
      <c r="M237" t="s">
        <v>1850</v>
      </c>
      <c r="N237">
        <v>40</v>
      </c>
      <c r="O237">
        <v>3012350</v>
      </c>
      <c r="P237">
        <v>120494</v>
      </c>
      <c r="Q237" t="s">
        <v>2178</v>
      </c>
      <c r="R237" t="s">
        <v>2179</v>
      </c>
      <c r="S237">
        <v>0</v>
      </c>
      <c r="T237">
        <v>0</v>
      </c>
      <c r="U237" t="s">
        <v>2179</v>
      </c>
      <c r="V237">
        <v>2134939</v>
      </c>
      <c r="W237" t="s">
        <v>2180</v>
      </c>
      <c r="X237">
        <v>85397.56</v>
      </c>
      <c r="Y237">
        <v>85397.56</v>
      </c>
      <c r="Z237">
        <v>85397.56</v>
      </c>
      <c r="AA237">
        <v>2138341</v>
      </c>
      <c r="AB237">
        <v>2134939</v>
      </c>
      <c r="AC237" s="11">
        <v>46174</v>
      </c>
      <c r="AD237" s="11">
        <v>46222</v>
      </c>
      <c r="AE237" t="s">
        <v>2202</v>
      </c>
      <c r="AF237" t="s">
        <v>2182</v>
      </c>
      <c r="AG237" t="s">
        <v>2183</v>
      </c>
      <c r="AH237">
        <v>2000001.3</v>
      </c>
      <c r="AI237">
        <v>127990</v>
      </c>
      <c r="AJ237" t="s">
        <v>2043</v>
      </c>
    </row>
    <row r="238" spans="1:36" hidden="1" x14ac:dyDescent="0.2">
      <c r="A238" t="s">
        <v>2319</v>
      </c>
      <c r="B238" t="s">
        <v>195</v>
      </c>
      <c r="C238" t="s">
        <v>2389</v>
      </c>
      <c r="D238" t="s">
        <v>366</v>
      </c>
      <c r="E238">
        <v>257491</v>
      </c>
      <c r="F238" t="s">
        <v>2215</v>
      </c>
      <c r="G238">
        <v>8005</v>
      </c>
      <c r="H238">
        <v>587544</v>
      </c>
      <c r="I238" t="s">
        <v>684</v>
      </c>
      <c r="J238" s="11">
        <v>46174</v>
      </c>
      <c r="K238" s="11">
        <v>46222</v>
      </c>
      <c r="L238" t="s">
        <v>2177</v>
      </c>
      <c r="M238" t="s">
        <v>1850</v>
      </c>
      <c r="N238">
        <v>40</v>
      </c>
      <c r="O238">
        <v>2854825</v>
      </c>
      <c r="P238">
        <v>114193</v>
      </c>
      <c r="Q238" t="s">
        <v>2178</v>
      </c>
      <c r="R238" t="s">
        <v>2179</v>
      </c>
      <c r="S238">
        <v>0</v>
      </c>
      <c r="T238">
        <v>0</v>
      </c>
      <c r="U238" t="s">
        <v>2179</v>
      </c>
      <c r="V238">
        <v>2026460</v>
      </c>
      <c r="W238" t="s">
        <v>2180</v>
      </c>
      <c r="X238">
        <v>81058.399999999994</v>
      </c>
      <c r="Y238">
        <v>81058.399999999994</v>
      </c>
      <c r="Z238">
        <v>81058.399999999994</v>
      </c>
      <c r="AA238">
        <v>2028089</v>
      </c>
      <c r="AB238">
        <v>2026460</v>
      </c>
      <c r="AC238" s="11">
        <v>46174</v>
      </c>
      <c r="AD238" s="11">
        <v>46222</v>
      </c>
      <c r="AE238" t="s">
        <v>2202</v>
      </c>
      <c r="AF238" t="s">
        <v>2182</v>
      </c>
      <c r="AG238" t="s">
        <v>2183</v>
      </c>
      <c r="AH238">
        <v>2000001.3</v>
      </c>
      <c r="AI238">
        <v>127990</v>
      </c>
      <c r="AJ238" t="s">
        <v>2043</v>
      </c>
    </row>
    <row r="239" spans="1:36" hidden="1" x14ac:dyDescent="0.2">
      <c r="A239" t="s">
        <v>2319</v>
      </c>
      <c r="B239" t="s">
        <v>195</v>
      </c>
      <c r="C239" t="s">
        <v>2389</v>
      </c>
      <c r="D239" t="s">
        <v>366</v>
      </c>
      <c r="E239">
        <v>257491</v>
      </c>
      <c r="F239" t="s">
        <v>2215</v>
      </c>
      <c r="G239">
        <v>8005</v>
      </c>
      <c r="H239">
        <v>587547</v>
      </c>
      <c r="I239" t="s">
        <v>677</v>
      </c>
      <c r="J239" s="11">
        <v>46195</v>
      </c>
      <c r="K239" s="11">
        <v>46208</v>
      </c>
      <c r="L239" t="s">
        <v>2223</v>
      </c>
      <c r="M239" t="s">
        <v>1850</v>
      </c>
      <c r="N239">
        <v>40</v>
      </c>
      <c r="O239">
        <v>2340675</v>
      </c>
      <c r="P239">
        <v>93627</v>
      </c>
      <c r="Q239" t="s">
        <v>2178</v>
      </c>
      <c r="R239" t="s">
        <v>2179</v>
      </c>
      <c r="S239">
        <v>0</v>
      </c>
      <c r="T239">
        <v>0</v>
      </c>
      <c r="U239" t="s">
        <v>2179</v>
      </c>
      <c r="V239">
        <v>1541941</v>
      </c>
      <c r="W239" t="s">
        <v>2180</v>
      </c>
      <c r="X239">
        <v>61677.64</v>
      </c>
      <c r="Y239">
        <v>61677.64</v>
      </c>
      <c r="Z239">
        <v>61677.64</v>
      </c>
      <c r="AA239">
        <v>1539454</v>
      </c>
      <c r="AB239">
        <v>1541941</v>
      </c>
      <c r="AC239" s="11">
        <v>46195</v>
      </c>
      <c r="AD239" s="11">
        <v>46208</v>
      </c>
      <c r="AE239" t="s">
        <v>2202</v>
      </c>
      <c r="AF239" t="s">
        <v>2182</v>
      </c>
      <c r="AG239" t="s">
        <v>2183</v>
      </c>
      <c r="AH239">
        <v>2000001.3</v>
      </c>
      <c r="AI239">
        <v>127990</v>
      </c>
      <c r="AJ239" t="s">
        <v>2043</v>
      </c>
    </row>
    <row r="240" spans="1:36" hidden="1" x14ac:dyDescent="0.2">
      <c r="A240" t="s">
        <v>2319</v>
      </c>
      <c r="B240" t="s">
        <v>195</v>
      </c>
      <c r="C240" t="s">
        <v>2389</v>
      </c>
      <c r="D240" t="s">
        <v>366</v>
      </c>
      <c r="E240">
        <v>257491</v>
      </c>
      <c r="F240" t="s">
        <v>2215</v>
      </c>
      <c r="G240">
        <v>8005</v>
      </c>
      <c r="H240">
        <v>587550</v>
      </c>
      <c r="I240" t="s">
        <v>674</v>
      </c>
      <c r="J240" s="11">
        <v>46181</v>
      </c>
      <c r="K240" s="11">
        <v>46195</v>
      </c>
      <c r="L240" t="s">
        <v>2177</v>
      </c>
      <c r="M240" t="s">
        <v>1850</v>
      </c>
      <c r="N240">
        <v>40</v>
      </c>
      <c r="O240">
        <v>2022625</v>
      </c>
      <c r="P240">
        <v>80905</v>
      </c>
      <c r="Q240" t="s">
        <v>2178</v>
      </c>
      <c r="R240" t="s">
        <v>2179</v>
      </c>
      <c r="S240">
        <v>0</v>
      </c>
      <c r="T240">
        <v>0</v>
      </c>
      <c r="U240" t="s">
        <v>2179</v>
      </c>
      <c r="V240">
        <v>2022625</v>
      </c>
      <c r="W240" t="s">
        <v>2180</v>
      </c>
      <c r="X240">
        <v>80905</v>
      </c>
      <c r="Y240">
        <v>80905</v>
      </c>
      <c r="Z240">
        <v>80905</v>
      </c>
      <c r="AA240">
        <v>2074587</v>
      </c>
      <c r="AB240">
        <v>2062850</v>
      </c>
      <c r="AC240" s="11">
        <v>46181</v>
      </c>
      <c r="AD240" s="11">
        <v>46195</v>
      </c>
      <c r="AE240" t="s">
        <v>2202</v>
      </c>
      <c r="AF240" t="s">
        <v>2182</v>
      </c>
      <c r="AG240" t="s">
        <v>2183</v>
      </c>
      <c r="AH240">
        <v>2000001.3</v>
      </c>
      <c r="AI240">
        <v>127990</v>
      </c>
      <c r="AJ240" t="s">
        <v>2043</v>
      </c>
    </row>
    <row r="241" spans="1:36" hidden="1" x14ac:dyDescent="0.2">
      <c r="A241" t="s">
        <v>2319</v>
      </c>
      <c r="B241" t="s">
        <v>195</v>
      </c>
      <c r="C241" t="s">
        <v>2389</v>
      </c>
      <c r="D241" t="s">
        <v>366</v>
      </c>
      <c r="E241">
        <v>257491</v>
      </c>
      <c r="F241" t="s">
        <v>2215</v>
      </c>
      <c r="G241">
        <v>8005</v>
      </c>
      <c r="H241">
        <v>587553</v>
      </c>
      <c r="I241" t="s">
        <v>673</v>
      </c>
      <c r="J241" s="11">
        <v>46181</v>
      </c>
      <c r="K241" s="11">
        <v>46201</v>
      </c>
      <c r="L241" t="s">
        <v>2177</v>
      </c>
      <c r="M241" t="s">
        <v>1850</v>
      </c>
      <c r="N241">
        <v>40</v>
      </c>
      <c r="O241">
        <v>1890475</v>
      </c>
      <c r="P241">
        <v>75619</v>
      </c>
      <c r="Q241" t="s">
        <v>2178</v>
      </c>
      <c r="R241" t="s">
        <v>2179</v>
      </c>
      <c r="S241">
        <v>0</v>
      </c>
      <c r="T241">
        <v>0</v>
      </c>
      <c r="U241" t="s">
        <v>2179</v>
      </c>
      <c r="V241">
        <v>1890475</v>
      </c>
      <c r="W241" t="s">
        <v>2180</v>
      </c>
      <c r="X241">
        <v>75619</v>
      </c>
      <c r="Y241">
        <v>75619</v>
      </c>
      <c r="Z241">
        <v>75619</v>
      </c>
      <c r="AA241">
        <v>1938738</v>
      </c>
      <c r="AB241">
        <v>1934945</v>
      </c>
      <c r="AC241" s="11">
        <v>46181</v>
      </c>
      <c r="AD241" s="11">
        <v>46201</v>
      </c>
      <c r="AE241" t="s">
        <v>2202</v>
      </c>
      <c r="AF241" t="s">
        <v>2182</v>
      </c>
      <c r="AG241" t="s">
        <v>2183</v>
      </c>
      <c r="AH241">
        <v>2000001.3</v>
      </c>
      <c r="AI241">
        <v>127990</v>
      </c>
      <c r="AJ241" t="s">
        <v>2043</v>
      </c>
    </row>
    <row r="242" spans="1:36" hidden="1" x14ac:dyDescent="0.2">
      <c r="A242" t="s">
        <v>2319</v>
      </c>
      <c r="B242" t="s">
        <v>195</v>
      </c>
      <c r="C242" t="s">
        <v>2389</v>
      </c>
      <c r="D242" t="s">
        <v>366</v>
      </c>
      <c r="E242">
        <v>257491</v>
      </c>
      <c r="F242" t="s">
        <v>2215</v>
      </c>
      <c r="G242">
        <v>8005</v>
      </c>
      <c r="H242">
        <v>587559</v>
      </c>
      <c r="I242" t="s">
        <v>675</v>
      </c>
      <c r="J242" s="11">
        <v>46181</v>
      </c>
      <c r="K242" s="11">
        <v>46195</v>
      </c>
      <c r="L242" t="s">
        <v>2177</v>
      </c>
      <c r="M242" t="s">
        <v>1850</v>
      </c>
      <c r="N242">
        <v>40</v>
      </c>
      <c r="O242">
        <v>705875</v>
      </c>
      <c r="P242">
        <v>28235</v>
      </c>
      <c r="Q242" t="s">
        <v>2178</v>
      </c>
      <c r="R242" t="s">
        <v>2179</v>
      </c>
      <c r="S242">
        <v>0</v>
      </c>
      <c r="T242">
        <v>0</v>
      </c>
      <c r="U242" t="s">
        <v>2179</v>
      </c>
      <c r="V242">
        <v>705875</v>
      </c>
      <c r="W242" t="s">
        <v>2180</v>
      </c>
      <c r="X242">
        <v>28235</v>
      </c>
      <c r="Y242">
        <v>28235</v>
      </c>
      <c r="Z242">
        <v>28235</v>
      </c>
      <c r="AA242">
        <v>722455</v>
      </c>
      <c r="AB242">
        <v>719661</v>
      </c>
      <c r="AC242" s="11">
        <v>46181</v>
      </c>
      <c r="AD242" s="11">
        <v>46195</v>
      </c>
      <c r="AE242" t="s">
        <v>2202</v>
      </c>
      <c r="AF242" t="s">
        <v>2182</v>
      </c>
      <c r="AG242" t="s">
        <v>2183</v>
      </c>
      <c r="AH242">
        <v>2000001.3</v>
      </c>
      <c r="AI242">
        <v>127990</v>
      </c>
      <c r="AJ242" t="s">
        <v>2043</v>
      </c>
    </row>
    <row r="243" spans="1:36" hidden="1" x14ac:dyDescent="0.2">
      <c r="A243" t="s">
        <v>2319</v>
      </c>
      <c r="B243" t="s">
        <v>195</v>
      </c>
      <c r="C243" t="s">
        <v>2389</v>
      </c>
      <c r="D243" t="s">
        <v>366</v>
      </c>
      <c r="E243">
        <v>257491</v>
      </c>
      <c r="F243" t="s">
        <v>2215</v>
      </c>
      <c r="G243">
        <v>8005</v>
      </c>
      <c r="H243">
        <v>587570</v>
      </c>
      <c r="I243" t="s">
        <v>682</v>
      </c>
      <c r="J243" s="11">
        <v>46174</v>
      </c>
      <c r="K243" s="11">
        <v>46222</v>
      </c>
      <c r="L243" t="s">
        <v>2177</v>
      </c>
      <c r="M243" t="s">
        <v>1850</v>
      </c>
      <c r="N243">
        <v>40</v>
      </c>
      <c r="O243">
        <v>2513975</v>
      </c>
      <c r="P243">
        <v>100559</v>
      </c>
      <c r="Q243" t="s">
        <v>2178</v>
      </c>
      <c r="R243" t="s">
        <v>2179</v>
      </c>
      <c r="S243">
        <v>0</v>
      </c>
      <c r="T243">
        <v>0</v>
      </c>
      <c r="U243" t="s">
        <v>2179</v>
      </c>
      <c r="V243">
        <v>1782971</v>
      </c>
      <c r="W243" t="s">
        <v>2180</v>
      </c>
      <c r="X243">
        <v>71318.84</v>
      </c>
      <c r="Y243">
        <v>71318.84</v>
      </c>
      <c r="Z243">
        <v>71318.84</v>
      </c>
      <c r="AA243">
        <v>1785224</v>
      </c>
      <c r="AB243">
        <v>1782971</v>
      </c>
      <c r="AC243" s="11">
        <v>46174</v>
      </c>
      <c r="AD243" s="11">
        <v>46222</v>
      </c>
      <c r="AE243" t="s">
        <v>2202</v>
      </c>
      <c r="AF243" t="s">
        <v>2182</v>
      </c>
      <c r="AG243" t="s">
        <v>2183</v>
      </c>
      <c r="AH243">
        <v>2000001.3</v>
      </c>
      <c r="AI243">
        <v>127990</v>
      </c>
      <c r="AJ243" t="s">
        <v>2043</v>
      </c>
    </row>
    <row r="244" spans="1:36" hidden="1" x14ac:dyDescent="0.2">
      <c r="A244" t="s">
        <v>2319</v>
      </c>
      <c r="B244" t="s">
        <v>195</v>
      </c>
      <c r="C244" t="s">
        <v>2389</v>
      </c>
      <c r="D244" t="s">
        <v>366</v>
      </c>
      <c r="E244">
        <v>257491</v>
      </c>
      <c r="F244" t="s">
        <v>2215</v>
      </c>
      <c r="G244">
        <v>8005</v>
      </c>
      <c r="H244">
        <v>593053</v>
      </c>
      <c r="I244" t="s">
        <v>729</v>
      </c>
      <c r="J244" s="11">
        <v>46195</v>
      </c>
      <c r="K244" s="11">
        <v>46208</v>
      </c>
      <c r="L244" t="s">
        <v>2177</v>
      </c>
      <c r="M244" t="s">
        <v>1850</v>
      </c>
      <c r="N244">
        <v>40</v>
      </c>
      <c r="O244">
        <v>358500</v>
      </c>
      <c r="P244">
        <v>14340</v>
      </c>
      <c r="Q244" t="s">
        <v>2178</v>
      </c>
      <c r="R244" t="s">
        <v>2179</v>
      </c>
      <c r="S244">
        <v>0</v>
      </c>
      <c r="T244">
        <v>0</v>
      </c>
      <c r="U244" t="s">
        <v>2179</v>
      </c>
      <c r="V244">
        <v>327115</v>
      </c>
      <c r="W244" t="s">
        <v>2180</v>
      </c>
      <c r="X244">
        <v>13084.6</v>
      </c>
      <c r="Y244">
        <v>13084.6</v>
      </c>
      <c r="Z244">
        <v>13084.6</v>
      </c>
      <c r="AA244">
        <v>327065</v>
      </c>
      <c r="AB244">
        <v>327115</v>
      </c>
      <c r="AC244" s="11">
        <v>46195</v>
      </c>
      <c r="AD244" s="11">
        <v>46208</v>
      </c>
      <c r="AE244" t="s">
        <v>2202</v>
      </c>
      <c r="AF244" t="s">
        <v>2182</v>
      </c>
      <c r="AG244" t="s">
        <v>2183</v>
      </c>
      <c r="AH244">
        <v>2000001.3</v>
      </c>
      <c r="AI244">
        <v>127990</v>
      </c>
      <c r="AJ244" t="s">
        <v>2043</v>
      </c>
    </row>
    <row r="245" spans="1:36" hidden="1" x14ac:dyDescent="0.2">
      <c r="A245" t="s">
        <v>2390</v>
      </c>
      <c r="B245" t="s">
        <v>78</v>
      </c>
      <c r="C245" t="s">
        <v>2391</v>
      </c>
      <c r="D245" t="s">
        <v>274</v>
      </c>
      <c r="E245">
        <v>257531</v>
      </c>
      <c r="F245" t="s">
        <v>2215</v>
      </c>
      <c r="G245">
        <v>8005</v>
      </c>
      <c r="H245">
        <v>581216</v>
      </c>
      <c r="I245" t="s">
        <v>506</v>
      </c>
      <c r="J245" s="11">
        <v>46184</v>
      </c>
      <c r="K245" s="11">
        <v>46222</v>
      </c>
      <c r="L245" t="s">
        <v>2213</v>
      </c>
      <c r="M245" t="s">
        <v>1850</v>
      </c>
      <c r="N245">
        <v>40</v>
      </c>
      <c r="O245">
        <v>11375000</v>
      </c>
      <c r="P245">
        <v>455000</v>
      </c>
      <c r="Q245" t="s">
        <v>2178</v>
      </c>
      <c r="R245" t="s">
        <v>2206</v>
      </c>
      <c r="S245">
        <v>5833334</v>
      </c>
      <c r="T245">
        <v>233333.3334</v>
      </c>
      <c r="U245" t="s">
        <v>2206</v>
      </c>
      <c r="V245">
        <v>5833334</v>
      </c>
      <c r="W245" t="s">
        <v>2180</v>
      </c>
      <c r="X245">
        <v>233333.3334</v>
      </c>
      <c r="Y245">
        <v>233333.3334</v>
      </c>
      <c r="Z245">
        <v>233333.3334</v>
      </c>
      <c r="AA245">
        <v>7573435</v>
      </c>
      <c r="AB245">
        <v>0</v>
      </c>
      <c r="AC245" s="11">
        <v>46184</v>
      </c>
      <c r="AD245" s="11">
        <v>46222</v>
      </c>
      <c r="AE245" t="s">
        <v>2298</v>
      </c>
      <c r="AF245" t="s">
        <v>2182</v>
      </c>
      <c r="AG245" t="s">
        <v>2183</v>
      </c>
      <c r="AH245">
        <v>1400000.01</v>
      </c>
      <c r="AI245">
        <v>126558</v>
      </c>
      <c r="AJ245" t="s">
        <v>2058</v>
      </c>
    </row>
    <row r="246" spans="1:36" hidden="1" x14ac:dyDescent="0.2">
      <c r="A246" t="s">
        <v>2390</v>
      </c>
      <c r="B246" t="s">
        <v>78</v>
      </c>
      <c r="C246" t="s">
        <v>2391</v>
      </c>
      <c r="D246" t="s">
        <v>274</v>
      </c>
      <c r="E246">
        <v>257531</v>
      </c>
      <c r="F246" t="s">
        <v>2217</v>
      </c>
      <c r="G246">
        <v>8004</v>
      </c>
      <c r="H246">
        <v>581219</v>
      </c>
      <c r="I246" t="s">
        <v>775</v>
      </c>
      <c r="J246" s="11">
        <v>46184</v>
      </c>
      <c r="K246" s="11">
        <v>46222</v>
      </c>
      <c r="L246" t="s">
        <v>2177</v>
      </c>
      <c r="M246" t="s">
        <v>1850</v>
      </c>
      <c r="N246">
        <v>6</v>
      </c>
      <c r="O246">
        <v>17500000</v>
      </c>
      <c r="P246">
        <v>105000</v>
      </c>
      <c r="Q246" t="s">
        <v>2178</v>
      </c>
      <c r="R246" t="s">
        <v>2206</v>
      </c>
      <c r="S246">
        <v>8974359</v>
      </c>
      <c r="T246">
        <v>53846.153899999998</v>
      </c>
      <c r="U246" t="s">
        <v>2206</v>
      </c>
      <c r="V246">
        <v>8974359</v>
      </c>
      <c r="W246" t="s">
        <v>2180</v>
      </c>
      <c r="X246">
        <v>53846.153899999998</v>
      </c>
      <c r="Y246">
        <v>53846.153899999998</v>
      </c>
      <c r="Z246">
        <v>53846.153899999998</v>
      </c>
      <c r="AA246">
        <v>6318452</v>
      </c>
      <c r="AB246">
        <v>6317258</v>
      </c>
      <c r="AC246" s="11">
        <v>46184</v>
      </c>
      <c r="AD246" s="11">
        <v>46222</v>
      </c>
      <c r="AE246" t="s">
        <v>2298</v>
      </c>
      <c r="AF246" t="s">
        <v>2182</v>
      </c>
      <c r="AG246" t="s">
        <v>2183</v>
      </c>
      <c r="AH246">
        <v>1400000.01</v>
      </c>
      <c r="AI246">
        <v>126558</v>
      </c>
      <c r="AJ246" t="s">
        <v>2058</v>
      </c>
    </row>
    <row r="247" spans="1:36" hidden="1" x14ac:dyDescent="0.2">
      <c r="A247" t="s">
        <v>2390</v>
      </c>
      <c r="B247" t="s">
        <v>78</v>
      </c>
      <c r="C247" t="s">
        <v>2391</v>
      </c>
      <c r="D247" t="s">
        <v>274</v>
      </c>
      <c r="E247">
        <v>257531</v>
      </c>
      <c r="F247" t="s">
        <v>2242</v>
      </c>
      <c r="G247">
        <v>8003</v>
      </c>
      <c r="H247">
        <v>581221</v>
      </c>
      <c r="I247" t="s">
        <v>776</v>
      </c>
      <c r="J247" s="11">
        <v>46199</v>
      </c>
      <c r="K247" s="11">
        <v>46199</v>
      </c>
      <c r="L247" t="s">
        <v>2213</v>
      </c>
      <c r="M247" t="s">
        <v>2243</v>
      </c>
      <c r="N247">
        <v>42500</v>
      </c>
      <c r="O247">
        <v>6</v>
      </c>
      <c r="P247">
        <v>255000</v>
      </c>
      <c r="Q247" t="s">
        <v>2244</v>
      </c>
      <c r="R247" t="s">
        <v>2206</v>
      </c>
      <c r="S247">
        <v>6</v>
      </c>
      <c r="T247">
        <v>255000</v>
      </c>
      <c r="U247" t="s">
        <v>2206</v>
      </c>
      <c r="V247">
        <v>6</v>
      </c>
      <c r="W247" t="s">
        <v>2180</v>
      </c>
      <c r="X247">
        <v>255000</v>
      </c>
      <c r="Y247">
        <v>255000</v>
      </c>
      <c r="Z247">
        <v>255000</v>
      </c>
      <c r="AA247">
        <v>0</v>
      </c>
      <c r="AB247">
        <v>0</v>
      </c>
      <c r="AC247" s="11">
        <v>46199</v>
      </c>
      <c r="AD247" s="11">
        <v>46199</v>
      </c>
      <c r="AE247" t="s">
        <v>2298</v>
      </c>
      <c r="AF247" t="s">
        <v>2182</v>
      </c>
      <c r="AG247" t="s">
        <v>2183</v>
      </c>
      <c r="AH247">
        <v>1400000.01</v>
      </c>
      <c r="AI247">
        <v>126558</v>
      </c>
      <c r="AJ247" t="s">
        <v>2058</v>
      </c>
    </row>
    <row r="248" spans="1:36" hidden="1" x14ac:dyDescent="0.2">
      <c r="A248" t="s">
        <v>2390</v>
      </c>
      <c r="B248" t="s">
        <v>78</v>
      </c>
      <c r="C248" t="s">
        <v>2391</v>
      </c>
      <c r="D248" t="s">
        <v>274</v>
      </c>
      <c r="E248">
        <v>257531</v>
      </c>
      <c r="F248" t="s">
        <v>2216</v>
      </c>
      <c r="G248">
        <v>8002</v>
      </c>
      <c r="H248">
        <v>581225</v>
      </c>
      <c r="I248" t="s">
        <v>508</v>
      </c>
      <c r="J248" s="11">
        <v>46184</v>
      </c>
      <c r="K248" s="11">
        <v>46222</v>
      </c>
      <c r="L248" t="s">
        <v>2213</v>
      </c>
      <c r="M248" t="s">
        <v>1850</v>
      </c>
      <c r="N248">
        <v>25</v>
      </c>
      <c r="O248">
        <v>1000000</v>
      </c>
      <c r="P248">
        <v>25000</v>
      </c>
      <c r="R248" t="s">
        <v>2206</v>
      </c>
      <c r="S248">
        <v>512821</v>
      </c>
      <c r="T248">
        <v>12820.5129</v>
      </c>
      <c r="U248" t="s">
        <v>2206</v>
      </c>
      <c r="V248">
        <v>512821</v>
      </c>
      <c r="W248" t="s">
        <v>2180</v>
      </c>
      <c r="X248">
        <v>12820.5129</v>
      </c>
      <c r="Y248">
        <v>12820.5129</v>
      </c>
      <c r="Z248">
        <v>12820.5129</v>
      </c>
      <c r="AA248">
        <v>444090</v>
      </c>
      <c r="AB248">
        <v>0</v>
      </c>
      <c r="AC248" s="11">
        <v>46184</v>
      </c>
      <c r="AD248" s="11">
        <v>46222</v>
      </c>
      <c r="AE248" t="s">
        <v>2298</v>
      </c>
      <c r="AF248" t="s">
        <v>2182</v>
      </c>
      <c r="AG248" t="s">
        <v>2183</v>
      </c>
      <c r="AH248">
        <v>1400000.01</v>
      </c>
      <c r="AI248">
        <v>126558</v>
      </c>
      <c r="AJ248" t="s">
        <v>2058</v>
      </c>
    </row>
    <row r="249" spans="1:36" hidden="1" x14ac:dyDescent="0.2">
      <c r="A249" t="s">
        <v>2390</v>
      </c>
      <c r="B249" t="s">
        <v>78</v>
      </c>
      <c r="C249" t="s">
        <v>2391</v>
      </c>
      <c r="D249" t="s">
        <v>274</v>
      </c>
      <c r="E249">
        <v>257531</v>
      </c>
      <c r="F249" t="s">
        <v>2219</v>
      </c>
      <c r="G249">
        <v>7998</v>
      </c>
      <c r="H249">
        <v>581227</v>
      </c>
      <c r="I249" t="s">
        <v>507</v>
      </c>
      <c r="J249" s="11">
        <v>46184</v>
      </c>
      <c r="K249" s="11">
        <v>46222</v>
      </c>
      <c r="L249" t="s">
        <v>2213</v>
      </c>
      <c r="M249" t="s">
        <v>1850</v>
      </c>
      <c r="N249">
        <v>22</v>
      </c>
      <c r="O249">
        <v>6363637</v>
      </c>
      <c r="P249">
        <v>140000.01</v>
      </c>
      <c r="Q249" t="s">
        <v>2178</v>
      </c>
      <c r="R249" t="s">
        <v>2206</v>
      </c>
      <c r="S249">
        <v>3263404</v>
      </c>
      <c r="T249">
        <v>71794.876999999993</v>
      </c>
      <c r="U249" t="s">
        <v>2206</v>
      </c>
      <c r="V249">
        <v>3263404</v>
      </c>
      <c r="W249" t="s">
        <v>2180</v>
      </c>
      <c r="X249">
        <v>71794.876999999993</v>
      </c>
      <c r="Y249">
        <v>71794.876999999993</v>
      </c>
      <c r="Z249">
        <v>71794.876999999993</v>
      </c>
      <c r="AA249">
        <v>3540786</v>
      </c>
      <c r="AB249">
        <v>0</v>
      </c>
      <c r="AC249" s="11">
        <v>46184</v>
      </c>
      <c r="AD249" s="11">
        <v>46222</v>
      </c>
      <c r="AE249" t="s">
        <v>2298</v>
      </c>
      <c r="AF249" t="s">
        <v>2182</v>
      </c>
      <c r="AG249" t="s">
        <v>2183</v>
      </c>
      <c r="AH249">
        <v>1400000.01</v>
      </c>
      <c r="AI249">
        <v>126558</v>
      </c>
      <c r="AJ249" t="s">
        <v>2058</v>
      </c>
    </row>
    <row r="250" spans="1:36" hidden="1" x14ac:dyDescent="0.2">
      <c r="A250" t="s">
        <v>2390</v>
      </c>
      <c r="B250" t="s">
        <v>78</v>
      </c>
      <c r="C250" t="s">
        <v>2391</v>
      </c>
      <c r="D250" t="s">
        <v>274</v>
      </c>
      <c r="E250">
        <v>257531</v>
      </c>
      <c r="F250" t="s">
        <v>2218</v>
      </c>
      <c r="G250">
        <v>8000</v>
      </c>
      <c r="H250">
        <v>581230</v>
      </c>
      <c r="I250" t="s">
        <v>855</v>
      </c>
      <c r="J250" s="11">
        <v>46184</v>
      </c>
      <c r="K250" s="11">
        <v>46222</v>
      </c>
      <c r="L250" t="s">
        <v>2213</v>
      </c>
      <c r="M250" t="s">
        <v>1852</v>
      </c>
      <c r="N250">
        <v>0.15</v>
      </c>
      <c r="O250">
        <v>2800000</v>
      </c>
      <c r="P250">
        <v>420000</v>
      </c>
      <c r="Q250" t="s">
        <v>2262</v>
      </c>
      <c r="R250" t="s">
        <v>2206</v>
      </c>
      <c r="S250">
        <v>1435898</v>
      </c>
      <c r="T250">
        <v>215384.61540000001</v>
      </c>
      <c r="U250" t="s">
        <v>2206</v>
      </c>
      <c r="V250">
        <v>1435898</v>
      </c>
      <c r="W250" t="s">
        <v>2180</v>
      </c>
      <c r="X250">
        <v>215384.61540000001</v>
      </c>
      <c r="Y250">
        <v>215384.61540000001</v>
      </c>
      <c r="Z250">
        <v>215384.61540000001</v>
      </c>
      <c r="AC250" s="11">
        <v>46184</v>
      </c>
      <c r="AD250" s="11">
        <v>46222</v>
      </c>
      <c r="AE250" t="s">
        <v>2298</v>
      </c>
      <c r="AF250" t="s">
        <v>2182</v>
      </c>
      <c r="AG250" t="s">
        <v>2183</v>
      </c>
      <c r="AH250">
        <v>1400000.01</v>
      </c>
      <c r="AI250">
        <v>126558</v>
      </c>
      <c r="AJ250" t="s">
        <v>2058</v>
      </c>
    </row>
    <row r="251" spans="1:36" hidden="1" x14ac:dyDescent="0.2">
      <c r="A251" t="s">
        <v>2203</v>
      </c>
      <c r="B251" t="s">
        <v>212</v>
      </c>
      <c r="C251" t="s">
        <v>2392</v>
      </c>
      <c r="D251" t="s">
        <v>400</v>
      </c>
      <c r="E251">
        <v>257634</v>
      </c>
      <c r="F251" t="s">
        <v>2218</v>
      </c>
      <c r="G251">
        <v>8000</v>
      </c>
      <c r="H251">
        <v>583044</v>
      </c>
      <c r="I251" t="s">
        <v>878</v>
      </c>
      <c r="J251" s="11">
        <v>46174</v>
      </c>
      <c r="K251" s="11">
        <v>46222</v>
      </c>
      <c r="L251" t="s">
        <v>2213</v>
      </c>
      <c r="M251" t="s">
        <v>1852</v>
      </c>
      <c r="N251">
        <v>0.18</v>
      </c>
      <c r="O251">
        <v>13888889</v>
      </c>
      <c r="P251">
        <v>2500000.02</v>
      </c>
      <c r="Q251" t="s">
        <v>2262</v>
      </c>
      <c r="R251" t="s">
        <v>2263</v>
      </c>
      <c r="S251">
        <v>6944444</v>
      </c>
      <c r="T251">
        <v>1250000.01</v>
      </c>
      <c r="U251" t="s">
        <v>2263</v>
      </c>
      <c r="V251">
        <v>6944445</v>
      </c>
      <c r="W251" t="s">
        <v>2180</v>
      </c>
      <c r="X251">
        <v>1250000.01</v>
      </c>
      <c r="Y251">
        <v>1250000.01</v>
      </c>
      <c r="Z251">
        <v>1250000.01</v>
      </c>
      <c r="AC251" s="11">
        <v>46174</v>
      </c>
      <c r="AD251" s="11">
        <v>46222</v>
      </c>
      <c r="AE251" t="s">
        <v>2189</v>
      </c>
      <c r="AF251" t="s">
        <v>2182</v>
      </c>
      <c r="AG251" t="s">
        <v>2183</v>
      </c>
      <c r="AH251">
        <v>3400000.05</v>
      </c>
      <c r="AI251">
        <v>128865</v>
      </c>
      <c r="AJ251" t="s">
        <v>2047</v>
      </c>
    </row>
    <row r="252" spans="1:36" hidden="1" x14ac:dyDescent="0.2">
      <c r="A252" t="s">
        <v>2203</v>
      </c>
      <c r="B252" t="s">
        <v>212</v>
      </c>
      <c r="C252" t="s">
        <v>2392</v>
      </c>
      <c r="D252" t="s">
        <v>400</v>
      </c>
      <c r="E252">
        <v>257634</v>
      </c>
      <c r="F252" t="s">
        <v>2218</v>
      </c>
      <c r="G252">
        <v>8000</v>
      </c>
      <c r="H252">
        <v>591653</v>
      </c>
      <c r="I252" t="s">
        <v>853</v>
      </c>
      <c r="J252" s="11">
        <v>46174</v>
      </c>
      <c r="K252" s="11">
        <v>46222</v>
      </c>
      <c r="L252" t="s">
        <v>2213</v>
      </c>
      <c r="M252" t="s">
        <v>1852</v>
      </c>
      <c r="N252">
        <v>0.03</v>
      </c>
      <c r="O252">
        <v>16666667</v>
      </c>
      <c r="P252">
        <v>500000.01</v>
      </c>
      <c r="Q252" t="s">
        <v>2262</v>
      </c>
      <c r="R252" t="s">
        <v>2263</v>
      </c>
      <c r="S252">
        <v>8333333</v>
      </c>
      <c r="T252">
        <v>250000.005</v>
      </c>
      <c r="U252" t="s">
        <v>2263</v>
      </c>
      <c r="V252">
        <v>8333334</v>
      </c>
      <c r="W252" t="s">
        <v>2180</v>
      </c>
      <c r="X252">
        <v>250000.005</v>
      </c>
      <c r="Y252">
        <v>250000.005</v>
      </c>
      <c r="Z252">
        <v>250000.005</v>
      </c>
      <c r="AC252" s="11">
        <v>46174</v>
      </c>
      <c r="AD252" s="11">
        <v>46222</v>
      </c>
      <c r="AE252" t="s">
        <v>2189</v>
      </c>
      <c r="AF252" t="s">
        <v>2182</v>
      </c>
      <c r="AG252" t="s">
        <v>2183</v>
      </c>
      <c r="AH252">
        <v>3400000.05</v>
      </c>
      <c r="AI252">
        <v>128865</v>
      </c>
      <c r="AJ252" t="s">
        <v>2047</v>
      </c>
    </row>
    <row r="253" spans="1:36" hidden="1" x14ac:dyDescent="0.2">
      <c r="A253" t="s">
        <v>2203</v>
      </c>
      <c r="B253" t="s">
        <v>212</v>
      </c>
      <c r="C253" t="s">
        <v>2392</v>
      </c>
      <c r="D253" t="s">
        <v>400</v>
      </c>
      <c r="E253">
        <v>257634</v>
      </c>
      <c r="H253">
        <v>592195</v>
      </c>
      <c r="I253" t="s">
        <v>2393</v>
      </c>
      <c r="J253" s="11">
        <v>46184</v>
      </c>
      <c r="K253" s="11">
        <v>46222</v>
      </c>
      <c r="L253" t="s">
        <v>2177</v>
      </c>
      <c r="M253" t="s">
        <v>1850</v>
      </c>
      <c r="N253">
        <v>0</v>
      </c>
      <c r="O253">
        <v>0</v>
      </c>
      <c r="P253">
        <v>0</v>
      </c>
      <c r="Q253" t="s">
        <v>2178</v>
      </c>
      <c r="R253" t="s">
        <v>2263</v>
      </c>
      <c r="S253">
        <v>0</v>
      </c>
      <c r="T253">
        <v>0</v>
      </c>
      <c r="U253" t="s">
        <v>2263</v>
      </c>
      <c r="V253">
        <v>0</v>
      </c>
      <c r="W253" t="s">
        <v>2180</v>
      </c>
      <c r="X253">
        <v>0</v>
      </c>
      <c r="Y253">
        <v>0</v>
      </c>
      <c r="Z253">
        <v>0</v>
      </c>
      <c r="AC253" s="11">
        <v>46184</v>
      </c>
      <c r="AD253" s="11">
        <v>46222</v>
      </c>
      <c r="AE253" t="s">
        <v>2189</v>
      </c>
      <c r="AF253" t="s">
        <v>2182</v>
      </c>
      <c r="AG253" t="s">
        <v>2183</v>
      </c>
      <c r="AH253">
        <v>3400000.05</v>
      </c>
      <c r="AI253">
        <v>128865</v>
      </c>
      <c r="AJ253" t="s">
        <v>2047</v>
      </c>
    </row>
    <row r="254" spans="1:36" hidden="1" x14ac:dyDescent="0.2">
      <c r="A254" t="s">
        <v>2203</v>
      </c>
      <c r="B254" t="s">
        <v>212</v>
      </c>
      <c r="C254" t="s">
        <v>2392</v>
      </c>
      <c r="D254" t="s">
        <v>400</v>
      </c>
      <c r="E254">
        <v>257634</v>
      </c>
      <c r="H254">
        <v>592409</v>
      </c>
      <c r="I254" t="s">
        <v>2394</v>
      </c>
      <c r="J254" s="11">
        <v>46184</v>
      </c>
      <c r="K254" s="11">
        <v>46222</v>
      </c>
      <c r="L254" t="s">
        <v>2177</v>
      </c>
      <c r="M254" t="s">
        <v>1850</v>
      </c>
      <c r="N254">
        <v>0</v>
      </c>
      <c r="O254">
        <v>0</v>
      </c>
      <c r="P254">
        <v>0</v>
      </c>
      <c r="Q254" t="s">
        <v>2178</v>
      </c>
      <c r="R254" t="s">
        <v>2263</v>
      </c>
      <c r="S254">
        <v>0</v>
      </c>
      <c r="T254">
        <v>0</v>
      </c>
      <c r="U254" t="s">
        <v>2263</v>
      </c>
      <c r="V254">
        <v>0</v>
      </c>
      <c r="W254" t="s">
        <v>2180</v>
      </c>
      <c r="X254">
        <v>0</v>
      </c>
      <c r="Y254">
        <v>0</v>
      </c>
      <c r="Z254">
        <v>0</v>
      </c>
      <c r="AC254" s="11">
        <v>46184</v>
      </c>
      <c r="AD254" s="11">
        <v>46222</v>
      </c>
      <c r="AE254" t="s">
        <v>2189</v>
      </c>
      <c r="AF254" t="s">
        <v>2182</v>
      </c>
      <c r="AG254" t="s">
        <v>2183</v>
      </c>
      <c r="AH254">
        <v>3400000.05</v>
      </c>
      <c r="AI254">
        <v>128865</v>
      </c>
      <c r="AJ254" t="s">
        <v>2047</v>
      </c>
    </row>
    <row r="255" spans="1:36" hidden="1" x14ac:dyDescent="0.2">
      <c r="A255" t="s">
        <v>2203</v>
      </c>
      <c r="B255" t="s">
        <v>212</v>
      </c>
      <c r="C255" t="s">
        <v>2392</v>
      </c>
      <c r="D255" t="s">
        <v>400</v>
      </c>
      <c r="E255">
        <v>257634</v>
      </c>
      <c r="H255">
        <v>592698</v>
      </c>
      <c r="I255" t="s">
        <v>2395</v>
      </c>
      <c r="J255" s="11">
        <v>46184</v>
      </c>
      <c r="K255" s="11">
        <v>46222</v>
      </c>
      <c r="L255" t="s">
        <v>2177</v>
      </c>
      <c r="M255" t="s">
        <v>1850</v>
      </c>
      <c r="N255">
        <v>17</v>
      </c>
      <c r="O255">
        <v>2941177</v>
      </c>
      <c r="P255">
        <v>50000.01</v>
      </c>
      <c r="Q255" t="s">
        <v>2178</v>
      </c>
      <c r="R255" t="s">
        <v>2263</v>
      </c>
      <c r="S255">
        <v>1470588</v>
      </c>
      <c r="T255">
        <v>25000.005000000001</v>
      </c>
      <c r="U255" t="s">
        <v>2263</v>
      </c>
      <c r="V255">
        <v>1470589</v>
      </c>
      <c r="W255" t="s">
        <v>2180</v>
      </c>
      <c r="X255">
        <v>25000.005000000001</v>
      </c>
      <c r="Y255">
        <v>25000.005000000001</v>
      </c>
      <c r="Z255">
        <v>25000.005000000001</v>
      </c>
      <c r="AC255" s="11">
        <v>46184</v>
      </c>
      <c r="AD255" s="11">
        <v>46222</v>
      </c>
      <c r="AE255" t="s">
        <v>2189</v>
      </c>
      <c r="AF255" t="s">
        <v>2182</v>
      </c>
      <c r="AG255" t="s">
        <v>2183</v>
      </c>
      <c r="AH255">
        <v>3400000.05</v>
      </c>
      <c r="AI255">
        <v>128865</v>
      </c>
      <c r="AJ255" t="s">
        <v>2047</v>
      </c>
    </row>
    <row r="256" spans="1:36" hidden="1" x14ac:dyDescent="0.2">
      <c r="A256" t="s">
        <v>2203</v>
      </c>
      <c r="B256" t="s">
        <v>212</v>
      </c>
      <c r="C256" t="s">
        <v>2392</v>
      </c>
      <c r="D256" t="s">
        <v>400</v>
      </c>
      <c r="E256">
        <v>257634</v>
      </c>
      <c r="H256">
        <v>592699</v>
      </c>
      <c r="I256" t="s">
        <v>2396</v>
      </c>
      <c r="J256" s="11">
        <v>46184</v>
      </c>
      <c r="K256" s="11">
        <v>46222</v>
      </c>
      <c r="L256" t="s">
        <v>2177</v>
      </c>
      <c r="M256" t="s">
        <v>1850</v>
      </c>
      <c r="N256">
        <v>16.25</v>
      </c>
      <c r="O256">
        <v>6153846</v>
      </c>
      <c r="P256">
        <v>100000</v>
      </c>
      <c r="Q256" t="s">
        <v>2178</v>
      </c>
      <c r="R256" t="s">
        <v>2263</v>
      </c>
      <c r="S256">
        <v>3076923</v>
      </c>
      <c r="T256">
        <v>50000</v>
      </c>
      <c r="U256" t="s">
        <v>2263</v>
      </c>
      <c r="V256">
        <v>3076923</v>
      </c>
      <c r="W256" t="s">
        <v>2180</v>
      </c>
      <c r="X256">
        <v>50000</v>
      </c>
      <c r="Y256">
        <v>50000</v>
      </c>
      <c r="Z256">
        <v>50000</v>
      </c>
      <c r="AA256">
        <v>185727</v>
      </c>
      <c r="AC256" s="11">
        <v>46184</v>
      </c>
      <c r="AD256" s="11">
        <v>46222</v>
      </c>
      <c r="AE256" t="s">
        <v>2189</v>
      </c>
      <c r="AF256" t="s">
        <v>2182</v>
      </c>
      <c r="AG256" t="s">
        <v>2183</v>
      </c>
      <c r="AH256">
        <v>3400000.05</v>
      </c>
      <c r="AI256">
        <v>128865</v>
      </c>
      <c r="AJ256" t="s">
        <v>2047</v>
      </c>
    </row>
    <row r="257" spans="1:36" hidden="1" x14ac:dyDescent="0.2">
      <c r="A257" t="s">
        <v>2203</v>
      </c>
      <c r="B257" t="s">
        <v>212</v>
      </c>
      <c r="C257" t="s">
        <v>2392</v>
      </c>
      <c r="D257" t="s">
        <v>400</v>
      </c>
      <c r="E257">
        <v>257634</v>
      </c>
      <c r="F257" t="s">
        <v>2215</v>
      </c>
      <c r="G257">
        <v>8005</v>
      </c>
      <c r="H257">
        <v>593311</v>
      </c>
      <c r="I257" t="s">
        <v>742</v>
      </c>
      <c r="J257" s="11">
        <v>46184</v>
      </c>
      <c r="K257" s="11">
        <v>46222</v>
      </c>
      <c r="L257" t="s">
        <v>2177</v>
      </c>
      <c r="M257" t="s">
        <v>1850</v>
      </c>
      <c r="N257">
        <v>40</v>
      </c>
      <c r="O257">
        <v>2500000</v>
      </c>
      <c r="P257">
        <v>100000</v>
      </c>
      <c r="Q257" t="s">
        <v>2178</v>
      </c>
      <c r="R257" t="s">
        <v>2263</v>
      </c>
      <c r="S257">
        <v>1250000</v>
      </c>
      <c r="T257">
        <v>50000</v>
      </c>
      <c r="U257" t="s">
        <v>2263</v>
      </c>
      <c r="V257">
        <v>1250000</v>
      </c>
      <c r="W257" t="s">
        <v>2180</v>
      </c>
      <c r="X257">
        <v>50000</v>
      </c>
      <c r="Y257">
        <v>50000</v>
      </c>
      <c r="Z257">
        <v>50000</v>
      </c>
      <c r="AA257">
        <v>1671360</v>
      </c>
      <c r="AB257">
        <v>0</v>
      </c>
      <c r="AC257" s="11">
        <v>46184</v>
      </c>
      <c r="AD257" s="11">
        <v>46222</v>
      </c>
      <c r="AE257" t="s">
        <v>2189</v>
      </c>
      <c r="AF257" t="s">
        <v>2182</v>
      </c>
      <c r="AG257" t="s">
        <v>2183</v>
      </c>
      <c r="AH257">
        <v>3400000.05</v>
      </c>
      <c r="AI257">
        <v>128865</v>
      </c>
      <c r="AJ257" t="s">
        <v>2047</v>
      </c>
    </row>
    <row r="258" spans="1:36" hidden="1" x14ac:dyDescent="0.2">
      <c r="A258" t="s">
        <v>2397</v>
      </c>
      <c r="B258" t="s">
        <v>72</v>
      </c>
      <c r="C258" t="s">
        <v>2398</v>
      </c>
      <c r="D258" t="s">
        <v>262</v>
      </c>
      <c r="E258">
        <v>257663</v>
      </c>
      <c r="H258">
        <v>549806</v>
      </c>
      <c r="I258" t="s">
        <v>486</v>
      </c>
      <c r="J258" s="11">
        <v>46113</v>
      </c>
      <c r="K258" s="11">
        <v>46207</v>
      </c>
      <c r="L258" t="s">
        <v>2247</v>
      </c>
      <c r="M258" t="s">
        <v>1850</v>
      </c>
      <c r="N258">
        <v>20.9</v>
      </c>
      <c r="O258">
        <v>17000000</v>
      </c>
      <c r="P258">
        <v>355300</v>
      </c>
      <c r="Q258" t="s">
        <v>2201</v>
      </c>
      <c r="R258" t="s">
        <v>2179</v>
      </c>
      <c r="S258">
        <v>0</v>
      </c>
      <c r="T258">
        <v>0</v>
      </c>
      <c r="U258" t="s">
        <v>2179</v>
      </c>
      <c r="V258">
        <v>3126128</v>
      </c>
      <c r="W258" t="s">
        <v>2180</v>
      </c>
      <c r="X258">
        <v>65336.075199999999</v>
      </c>
      <c r="Y258">
        <v>65336.075199999999</v>
      </c>
      <c r="Z258">
        <v>65336.075199999999</v>
      </c>
      <c r="AA258">
        <v>3067953</v>
      </c>
      <c r="AB258">
        <v>3126128</v>
      </c>
      <c r="AC258" s="11">
        <v>46113</v>
      </c>
      <c r="AD258" s="11">
        <v>46207</v>
      </c>
      <c r="AE258" t="s">
        <v>2287</v>
      </c>
      <c r="AF258" t="s">
        <v>2182</v>
      </c>
      <c r="AG258" t="s">
        <v>2183</v>
      </c>
      <c r="AH258">
        <v>637500.01</v>
      </c>
      <c r="AI258">
        <v>125024</v>
      </c>
      <c r="AJ258" t="s">
        <v>2053</v>
      </c>
    </row>
    <row r="259" spans="1:36" hidden="1" x14ac:dyDescent="0.2">
      <c r="A259" t="s">
        <v>2397</v>
      </c>
      <c r="B259" t="s">
        <v>72</v>
      </c>
      <c r="C259" t="s">
        <v>2398</v>
      </c>
      <c r="D259" t="s">
        <v>262</v>
      </c>
      <c r="E259">
        <v>257663</v>
      </c>
      <c r="H259">
        <v>582762</v>
      </c>
      <c r="I259" t="s">
        <v>487</v>
      </c>
      <c r="J259" s="11">
        <v>46180</v>
      </c>
      <c r="K259" s="11">
        <v>46218</v>
      </c>
      <c r="L259" t="s">
        <v>2247</v>
      </c>
      <c r="M259" t="s">
        <v>1850</v>
      </c>
      <c r="N259">
        <v>38</v>
      </c>
      <c r="O259">
        <v>2689474</v>
      </c>
      <c r="P259">
        <v>102200.01</v>
      </c>
      <c r="Q259" t="s">
        <v>2201</v>
      </c>
      <c r="R259" t="s">
        <v>2179</v>
      </c>
      <c r="S259">
        <v>0</v>
      </c>
      <c r="T259">
        <v>0</v>
      </c>
      <c r="U259" t="s">
        <v>2179</v>
      </c>
      <c r="V259">
        <v>1875242</v>
      </c>
      <c r="W259" t="s">
        <v>2180</v>
      </c>
      <c r="X259">
        <v>71259.195999999996</v>
      </c>
      <c r="Y259">
        <v>71259.195999999996</v>
      </c>
      <c r="Z259">
        <v>71259.195999999996</v>
      </c>
      <c r="AA259">
        <v>1770019</v>
      </c>
      <c r="AB259">
        <v>1875242</v>
      </c>
      <c r="AC259" s="11">
        <v>46180</v>
      </c>
      <c r="AD259" s="11">
        <v>46218</v>
      </c>
      <c r="AE259" t="s">
        <v>2287</v>
      </c>
      <c r="AF259" t="s">
        <v>2182</v>
      </c>
      <c r="AG259" t="s">
        <v>2183</v>
      </c>
      <c r="AH259">
        <v>637500.01</v>
      </c>
      <c r="AI259">
        <v>125024</v>
      </c>
      <c r="AJ259" t="s">
        <v>2053</v>
      </c>
    </row>
    <row r="260" spans="1:36" x14ac:dyDescent="0.2">
      <c r="A260" t="s">
        <v>2190</v>
      </c>
      <c r="B260" t="s">
        <v>139</v>
      </c>
      <c r="C260" t="s">
        <v>2191</v>
      </c>
      <c r="D260" t="s">
        <v>304</v>
      </c>
      <c r="E260">
        <v>258950</v>
      </c>
      <c r="F260" t="s">
        <v>2216</v>
      </c>
      <c r="G260">
        <v>8002</v>
      </c>
      <c r="H260">
        <v>581023</v>
      </c>
      <c r="I260" t="s">
        <v>557</v>
      </c>
      <c r="J260" s="11">
        <v>46174</v>
      </c>
      <c r="K260" s="11">
        <v>46222</v>
      </c>
      <c r="L260" t="s">
        <v>2213</v>
      </c>
      <c r="M260" t="s">
        <v>1850</v>
      </c>
      <c r="N260">
        <v>25</v>
      </c>
      <c r="O260">
        <v>1000000</v>
      </c>
      <c r="P260">
        <v>25000</v>
      </c>
      <c r="Q260" t="s">
        <v>2201</v>
      </c>
      <c r="R260" t="s">
        <v>2179</v>
      </c>
      <c r="S260">
        <v>0</v>
      </c>
      <c r="T260">
        <v>0</v>
      </c>
      <c r="U260" t="s">
        <v>2179</v>
      </c>
      <c r="V260">
        <v>544781</v>
      </c>
      <c r="W260" t="s">
        <v>2180</v>
      </c>
      <c r="X260">
        <v>13619.525</v>
      </c>
      <c r="Y260">
        <v>13619.525</v>
      </c>
      <c r="Z260">
        <v>13619.525</v>
      </c>
      <c r="AA260">
        <v>544781</v>
      </c>
      <c r="AB260">
        <v>0</v>
      </c>
      <c r="AC260" s="11">
        <v>46174</v>
      </c>
      <c r="AD260" s="11">
        <v>46222</v>
      </c>
      <c r="AE260" t="s">
        <v>2193</v>
      </c>
      <c r="AF260" t="s">
        <v>2182</v>
      </c>
      <c r="AG260" t="s">
        <v>2183</v>
      </c>
      <c r="AH260">
        <v>1244033.04</v>
      </c>
      <c r="AI260">
        <v>128041</v>
      </c>
      <c r="AJ260" t="s">
        <v>2057</v>
      </c>
    </row>
    <row r="261" spans="1:36" x14ac:dyDescent="0.2">
      <c r="A261" t="s">
        <v>2190</v>
      </c>
      <c r="B261" t="s">
        <v>139</v>
      </c>
      <c r="C261" t="s">
        <v>2191</v>
      </c>
      <c r="D261" t="s">
        <v>304</v>
      </c>
      <c r="E261">
        <v>258950</v>
      </c>
      <c r="F261" t="s">
        <v>2217</v>
      </c>
      <c r="G261">
        <v>8004</v>
      </c>
      <c r="H261">
        <v>581025</v>
      </c>
      <c r="I261" t="s">
        <v>791</v>
      </c>
      <c r="J261" s="11">
        <v>46174</v>
      </c>
      <c r="K261" s="11">
        <v>46222</v>
      </c>
      <c r="L261" t="s">
        <v>2213</v>
      </c>
      <c r="M261" t="s">
        <v>1850</v>
      </c>
      <c r="N261">
        <v>6</v>
      </c>
      <c r="O261">
        <v>45833333</v>
      </c>
      <c r="P261">
        <v>275000</v>
      </c>
      <c r="Q261" t="s">
        <v>2178</v>
      </c>
      <c r="R261" t="s">
        <v>2179</v>
      </c>
      <c r="S261">
        <v>0</v>
      </c>
      <c r="T261">
        <v>0</v>
      </c>
      <c r="U261" t="s">
        <v>2179</v>
      </c>
      <c r="V261">
        <v>15895695</v>
      </c>
      <c r="W261" t="s">
        <v>2180</v>
      </c>
      <c r="X261">
        <v>95374.17</v>
      </c>
      <c r="Y261">
        <v>95374.17</v>
      </c>
      <c r="Z261">
        <v>95374.17</v>
      </c>
      <c r="AA261">
        <v>15895695</v>
      </c>
      <c r="AB261">
        <v>0</v>
      </c>
      <c r="AC261" s="11">
        <v>46174</v>
      </c>
      <c r="AD261" s="11">
        <v>46222</v>
      </c>
      <c r="AE261" t="s">
        <v>2193</v>
      </c>
      <c r="AF261" t="s">
        <v>2182</v>
      </c>
      <c r="AG261" t="s">
        <v>2183</v>
      </c>
      <c r="AH261">
        <v>1244033.04</v>
      </c>
      <c r="AI261">
        <v>128041</v>
      </c>
      <c r="AJ261" t="s">
        <v>2057</v>
      </c>
    </row>
    <row r="262" spans="1:36" x14ac:dyDescent="0.2">
      <c r="A262" t="s">
        <v>2190</v>
      </c>
      <c r="B262" t="s">
        <v>139</v>
      </c>
      <c r="C262" t="s">
        <v>2191</v>
      </c>
      <c r="D262" t="s">
        <v>304</v>
      </c>
      <c r="E262">
        <v>258950</v>
      </c>
      <c r="F262" t="s">
        <v>2215</v>
      </c>
      <c r="G262">
        <v>8005</v>
      </c>
      <c r="H262">
        <v>581027</v>
      </c>
      <c r="I262" t="s">
        <v>556</v>
      </c>
      <c r="J262" s="11">
        <v>46174</v>
      </c>
      <c r="K262" s="11">
        <v>46222</v>
      </c>
      <c r="M262" t="s">
        <v>1850</v>
      </c>
      <c r="N262">
        <v>30</v>
      </c>
      <c r="O262">
        <v>9166667</v>
      </c>
      <c r="P262">
        <v>275000.01</v>
      </c>
      <c r="Q262" t="s">
        <v>2178</v>
      </c>
      <c r="R262" t="s">
        <v>2179</v>
      </c>
      <c r="S262">
        <v>0</v>
      </c>
      <c r="T262">
        <v>0</v>
      </c>
      <c r="U262" t="s">
        <v>2179</v>
      </c>
      <c r="V262">
        <v>6083425</v>
      </c>
      <c r="W262" t="s">
        <v>2180</v>
      </c>
      <c r="X262">
        <v>182502.75</v>
      </c>
      <c r="Y262">
        <v>182502.75</v>
      </c>
      <c r="Z262">
        <v>182502.75</v>
      </c>
      <c r="AA262">
        <v>6083425</v>
      </c>
      <c r="AB262">
        <v>0</v>
      </c>
      <c r="AC262" s="11">
        <v>46174</v>
      </c>
      <c r="AD262" s="11">
        <v>46222</v>
      </c>
      <c r="AE262" t="s">
        <v>2193</v>
      </c>
      <c r="AF262" t="s">
        <v>2182</v>
      </c>
      <c r="AG262" t="s">
        <v>2183</v>
      </c>
      <c r="AH262">
        <v>1244033.04</v>
      </c>
      <c r="AI262">
        <v>128041</v>
      </c>
      <c r="AJ262" t="s">
        <v>2057</v>
      </c>
    </row>
    <row r="263" spans="1:36" s="19" customFormat="1" x14ac:dyDescent="0.2">
      <c r="A263" s="19" t="s">
        <v>2190</v>
      </c>
      <c r="B263" s="19" t="s">
        <v>139</v>
      </c>
      <c r="C263" s="19" t="s">
        <v>2191</v>
      </c>
      <c r="D263" s="19" t="s">
        <v>304</v>
      </c>
      <c r="E263" s="19">
        <v>258950</v>
      </c>
      <c r="F263" s="19" t="s">
        <v>2218</v>
      </c>
      <c r="G263" s="19">
        <v>8000</v>
      </c>
      <c r="H263" s="19">
        <v>581030</v>
      </c>
      <c r="I263" s="19" t="s">
        <v>860</v>
      </c>
      <c r="J263" s="20">
        <v>46174</v>
      </c>
      <c r="K263" s="20">
        <v>46222</v>
      </c>
      <c r="L263" s="19" t="s">
        <v>2213</v>
      </c>
      <c r="M263" s="19" t="s">
        <v>2205</v>
      </c>
      <c r="N263" s="19">
        <v>300000</v>
      </c>
      <c r="O263" s="19">
        <v>3</v>
      </c>
      <c r="P263" s="19">
        <v>300000</v>
      </c>
      <c r="Q263" s="19" t="s">
        <v>1987</v>
      </c>
      <c r="R263" s="19" t="s">
        <v>2206</v>
      </c>
      <c r="S263" s="19">
        <v>2</v>
      </c>
      <c r="T263" s="19">
        <v>183673.4694</v>
      </c>
      <c r="U263" s="19" t="s">
        <v>2206</v>
      </c>
      <c r="V263" s="19">
        <v>2</v>
      </c>
      <c r="W263" s="19" t="s">
        <v>2180</v>
      </c>
      <c r="X263" s="19">
        <v>183673.4694</v>
      </c>
      <c r="Y263" s="19">
        <v>183673.4694</v>
      </c>
      <c r="Z263" s="19">
        <v>183673.4694</v>
      </c>
      <c r="AC263" s="20">
        <v>46174</v>
      </c>
      <c r="AD263" s="20">
        <v>46222</v>
      </c>
      <c r="AE263" s="19" t="s">
        <v>2193</v>
      </c>
      <c r="AF263" s="19" t="s">
        <v>2182</v>
      </c>
      <c r="AG263" s="19" t="s">
        <v>2183</v>
      </c>
      <c r="AH263" s="19">
        <v>1244033.04</v>
      </c>
      <c r="AI263" s="19">
        <v>128041</v>
      </c>
      <c r="AJ263" s="19" t="s">
        <v>2057</v>
      </c>
    </row>
    <row r="264" spans="1:36" x14ac:dyDescent="0.2">
      <c r="A264" t="s">
        <v>2190</v>
      </c>
      <c r="B264" t="s">
        <v>139</v>
      </c>
      <c r="C264" t="s">
        <v>2191</v>
      </c>
      <c r="D264" t="s">
        <v>304</v>
      </c>
      <c r="E264">
        <v>258950</v>
      </c>
      <c r="F264" t="s">
        <v>2219</v>
      </c>
      <c r="G264">
        <v>7998</v>
      </c>
      <c r="H264">
        <v>582669</v>
      </c>
      <c r="I264" t="s">
        <v>555</v>
      </c>
      <c r="J264" s="11">
        <v>46174</v>
      </c>
      <c r="K264" s="11">
        <v>46222</v>
      </c>
      <c r="L264" t="s">
        <v>2213</v>
      </c>
      <c r="M264" t="s">
        <v>1850</v>
      </c>
      <c r="N264">
        <v>23.53</v>
      </c>
      <c r="O264">
        <v>4846282</v>
      </c>
      <c r="P264">
        <v>114033.02</v>
      </c>
      <c r="Q264" t="s">
        <v>2178</v>
      </c>
      <c r="R264" t="s">
        <v>2179</v>
      </c>
      <c r="S264">
        <v>0</v>
      </c>
      <c r="T264">
        <v>0</v>
      </c>
      <c r="U264" t="s">
        <v>2179</v>
      </c>
      <c r="V264">
        <v>3187194</v>
      </c>
      <c r="W264" t="s">
        <v>2180</v>
      </c>
      <c r="X264">
        <v>74994.674799999993</v>
      </c>
      <c r="Y264">
        <v>74994.674799999993</v>
      </c>
      <c r="Z264">
        <v>74994.674799999993</v>
      </c>
      <c r="AA264">
        <v>3187194</v>
      </c>
      <c r="AB264">
        <v>0</v>
      </c>
      <c r="AC264" s="11">
        <v>46174</v>
      </c>
      <c r="AD264" s="11">
        <v>46222</v>
      </c>
      <c r="AE264" t="s">
        <v>2193</v>
      </c>
      <c r="AF264" t="s">
        <v>2182</v>
      </c>
      <c r="AG264" t="s">
        <v>2183</v>
      </c>
      <c r="AH264">
        <v>1244033.04</v>
      </c>
      <c r="AI264">
        <v>128041</v>
      </c>
      <c r="AJ264" t="s">
        <v>2057</v>
      </c>
    </row>
    <row r="265" spans="1:36" hidden="1" x14ac:dyDescent="0.2">
      <c r="A265" t="s">
        <v>2399</v>
      </c>
      <c r="B265" t="s">
        <v>169</v>
      </c>
      <c r="C265" t="s">
        <v>2400</v>
      </c>
      <c r="D265" t="s">
        <v>313</v>
      </c>
      <c r="E265">
        <v>259151</v>
      </c>
      <c r="F265" t="s">
        <v>2215</v>
      </c>
      <c r="G265">
        <v>8005</v>
      </c>
      <c r="H265">
        <v>582272</v>
      </c>
      <c r="I265" t="s">
        <v>580</v>
      </c>
      <c r="J265" s="11">
        <v>46184</v>
      </c>
      <c r="K265" s="11">
        <v>46222</v>
      </c>
      <c r="L265" t="s">
        <v>2223</v>
      </c>
      <c r="M265" t="s">
        <v>1850</v>
      </c>
      <c r="N265">
        <v>40</v>
      </c>
      <c r="O265">
        <v>6525000</v>
      </c>
      <c r="P265">
        <v>261000</v>
      </c>
      <c r="Q265" t="s">
        <v>2178</v>
      </c>
      <c r="R265" t="s">
        <v>2179</v>
      </c>
      <c r="S265">
        <v>0</v>
      </c>
      <c r="T265">
        <v>0</v>
      </c>
      <c r="U265" t="s">
        <v>2179</v>
      </c>
      <c r="V265">
        <v>4354129</v>
      </c>
      <c r="W265" t="s">
        <v>2180</v>
      </c>
      <c r="X265">
        <v>174165.16</v>
      </c>
      <c r="Y265">
        <v>174165.16</v>
      </c>
      <c r="Z265">
        <v>174165.16</v>
      </c>
      <c r="AA265">
        <v>4354129</v>
      </c>
      <c r="AB265">
        <v>0</v>
      </c>
      <c r="AC265" s="11">
        <v>46184</v>
      </c>
      <c r="AD265" s="11">
        <v>46222</v>
      </c>
      <c r="AE265" t="s">
        <v>2226</v>
      </c>
      <c r="AF265" t="s">
        <v>2182</v>
      </c>
      <c r="AG265" t="s">
        <v>2183</v>
      </c>
      <c r="AH265">
        <v>1305000.01</v>
      </c>
      <c r="AI265">
        <v>128169</v>
      </c>
      <c r="AJ265" t="s">
        <v>2054</v>
      </c>
    </row>
    <row r="266" spans="1:36" hidden="1" x14ac:dyDescent="0.2">
      <c r="A266" t="s">
        <v>2399</v>
      </c>
      <c r="B266" t="s">
        <v>169</v>
      </c>
      <c r="C266" t="s">
        <v>2400</v>
      </c>
      <c r="D266" t="s">
        <v>313</v>
      </c>
      <c r="E266">
        <v>259151</v>
      </c>
      <c r="F266" t="s">
        <v>2242</v>
      </c>
      <c r="G266">
        <v>8003</v>
      </c>
      <c r="H266">
        <v>582287</v>
      </c>
      <c r="I266" t="s">
        <v>787</v>
      </c>
      <c r="J266" s="11">
        <v>46197</v>
      </c>
      <c r="K266" s="11">
        <v>46197</v>
      </c>
      <c r="L266" t="s">
        <v>2177</v>
      </c>
      <c r="M266" t="s">
        <v>2243</v>
      </c>
      <c r="N266">
        <v>42500</v>
      </c>
      <c r="O266">
        <v>6</v>
      </c>
      <c r="P266">
        <v>255000</v>
      </c>
      <c r="Q266" t="s">
        <v>2244</v>
      </c>
      <c r="R266" t="s">
        <v>2206</v>
      </c>
      <c r="S266">
        <v>6</v>
      </c>
      <c r="T266">
        <v>255000</v>
      </c>
      <c r="U266" t="s">
        <v>2206</v>
      </c>
      <c r="V266">
        <v>6</v>
      </c>
      <c r="W266" t="s">
        <v>2180</v>
      </c>
      <c r="X266">
        <v>255000</v>
      </c>
      <c r="Y266">
        <v>255000</v>
      </c>
      <c r="Z266">
        <v>255000</v>
      </c>
      <c r="AA266">
        <v>0</v>
      </c>
      <c r="AB266">
        <v>0</v>
      </c>
      <c r="AC266" s="11">
        <v>46197</v>
      </c>
      <c r="AD266" s="11">
        <v>46197</v>
      </c>
      <c r="AE266" t="s">
        <v>2226</v>
      </c>
      <c r="AF266" t="s">
        <v>2182</v>
      </c>
      <c r="AG266" t="s">
        <v>2183</v>
      </c>
      <c r="AH266">
        <v>1305000.01</v>
      </c>
      <c r="AI266">
        <v>128169</v>
      </c>
      <c r="AJ266" t="s">
        <v>2054</v>
      </c>
    </row>
    <row r="267" spans="1:36" hidden="1" x14ac:dyDescent="0.2">
      <c r="A267" t="s">
        <v>2399</v>
      </c>
      <c r="B267" t="s">
        <v>169</v>
      </c>
      <c r="C267" t="s">
        <v>2400</v>
      </c>
      <c r="D267" t="s">
        <v>313</v>
      </c>
      <c r="E267">
        <v>259151</v>
      </c>
      <c r="F267" t="s">
        <v>2216</v>
      </c>
      <c r="G267">
        <v>8002</v>
      </c>
      <c r="H267">
        <v>582667</v>
      </c>
      <c r="I267" t="s">
        <v>582</v>
      </c>
      <c r="J267" s="11">
        <v>46184</v>
      </c>
      <c r="K267" s="11">
        <v>46222</v>
      </c>
      <c r="L267" t="s">
        <v>2223</v>
      </c>
      <c r="M267" t="s">
        <v>1850</v>
      </c>
      <c r="N267">
        <v>25</v>
      </c>
      <c r="O267">
        <v>3840000</v>
      </c>
      <c r="P267">
        <v>96000.01</v>
      </c>
      <c r="R267" t="s">
        <v>2179</v>
      </c>
      <c r="S267">
        <v>0</v>
      </c>
      <c r="T267">
        <v>0</v>
      </c>
      <c r="U267" t="s">
        <v>2179</v>
      </c>
      <c r="V267">
        <v>1171560</v>
      </c>
      <c r="W267" t="s">
        <v>2180</v>
      </c>
      <c r="X267">
        <v>29289</v>
      </c>
      <c r="Y267">
        <v>29289</v>
      </c>
      <c r="Z267">
        <v>29289</v>
      </c>
      <c r="AA267">
        <v>1171560</v>
      </c>
      <c r="AB267">
        <v>0</v>
      </c>
      <c r="AC267" s="11">
        <v>46184</v>
      </c>
      <c r="AD267" s="11">
        <v>46222</v>
      </c>
      <c r="AE267" t="s">
        <v>2226</v>
      </c>
      <c r="AF267" t="s">
        <v>2182</v>
      </c>
      <c r="AG267" t="s">
        <v>2183</v>
      </c>
      <c r="AH267">
        <v>1305000.01</v>
      </c>
      <c r="AI267">
        <v>128169</v>
      </c>
      <c r="AJ267" t="s">
        <v>2054</v>
      </c>
    </row>
    <row r="268" spans="1:36" hidden="1" x14ac:dyDescent="0.2">
      <c r="A268" t="s">
        <v>2399</v>
      </c>
      <c r="B268" t="s">
        <v>169</v>
      </c>
      <c r="C268" t="s">
        <v>2400</v>
      </c>
      <c r="D268" t="s">
        <v>313</v>
      </c>
      <c r="E268">
        <v>259151</v>
      </c>
      <c r="F268" t="s">
        <v>2219</v>
      </c>
      <c r="G268">
        <v>7998</v>
      </c>
      <c r="H268">
        <v>582672</v>
      </c>
      <c r="I268" t="s">
        <v>581</v>
      </c>
      <c r="J268" s="11">
        <v>46184</v>
      </c>
      <c r="K268" s="11">
        <v>46222</v>
      </c>
      <c r="L268" t="s">
        <v>2223</v>
      </c>
      <c r="M268" t="s">
        <v>1850</v>
      </c>
      <c r="N268">
        <v>20</v>
      </c>
      <c r="O268">
        <v>12150000</v>
      </c>
      <c r="P268">
        <v>243000</v>
      </c>
      <c r="Q268" t="s">
        <v>2178</v>
      </c>
      <c r="R268" t="s">
        <v>2179</v>
      </c>
      <c r="S268">
        <v>0</v>
      </c>
      <c r="T268">
        <v>0</v>
      </c>
      <c r="U268" t="s">
        <v>2179</v>
      </c>
      <c r="V268">
        <v>6754441</v>
      </c>
      <c r="W268" t="s">
        <v>2180</v>
      </c>
      <c r="X268">
        <v>135088.82</v>
      </c>
      <c r="Y268">
        <v>135088.82</v>
      </c>
      <c r="Z268">
        <v>135088.82</v>
      </c>
      <c r="AA268">
        <v>6754441</v>
      </c>
      <c r="AB268">
        <v>0</v>
      </c>
      <c r="AC268" s="11">
        <v>46184</v>
      </c>
      <c r="AD268" s="11">
        <v>46222</v>
      </c>
      <c r="AE268" t="s">
        <v>2226</v>
      </c>
      <c r="AF268" t="s">
        <v>2182</v>
      </c>
      <c r="AG268" t="s">
        <v>2183</v>
      </c>
      <c r="AH268">
        <v>1305000.01</v>
      </c>
      <c r="AI268">
        <v>128169</v>
      </c>
      <c r="AJ268" t="s">
        <v>2054</v>
      </c>
    </row>
    <row r="269" spans="1:36" hidden="1" x14ac:dyDescent="0.2">
      <c r="A269" t="s">
        <v>2399</v>
      </c>
      <c r="B269" t="s">
        <v>169</v>
      </c>
      <c r="C269" t="s">
        <v>2400</v>
      </c>
      <c r="D269" t="s">
        <v>313</v>
      </c>
      <c r="E269">
        <v>259151</v>
      </c>
      <c r="F269" t="s">
        <v>2218</v>
      </c>
      <c r="G269">
        <v>8000</v>
      </c>
      <c r="H269">
        <v>582675</v>
      </c>
      <c r="I269" t="s">
        <v>837</v>
      </c>
      <c r="J269" s="11">
        <v>46174</v>
      </c>
      <c r="K269" s="11">
        <v>46222</v>
      </c>
      <c r="L269" t="s">
        <v>2213</v>
      </c>
      <c r="M269" t="s">
        <v>2205</v>
      </c>
      <c r="N269">
        <v>450000</v>
      </c>
      <c r="O269">
        <v>3</v>
      </c>
      <c r="P269">
        <v>450000</v>
      </c>
      <c r="Q269" t="s">
        <v>1987</v>
      </c>
      <c r="R269" t="s">
        <v>2206</v>
      </c>
      <c r="S269">
        <v>2</v>
      </c>
      <c r="T269">
        <v>275510.20409999997</v>
      </c>
      <c r="U269" t="s">
        <v>2206</v>
      </c>
      <c r="V269">
        <v>2</v>
      </c>
      <c r="W269" t="s">
        <v>2180</v>
      </c>
      <c r="X269">
        <v>275510.20409999997</v>
      </c>
      <c r="Y269">
        <v>275510.20409999997</v>
      </c>
      <c r="Z269">
        <v>275510.20409999997</v>
      </c>
      <c r="AC269" s="11">
        <v>46174</v>
      </c>
      <c r="AD269" s="11">
        <v>46222</v>
      </c>
      <c r="AE269" t="s">
        <v>2226</v>
      </c>
      <c r="AF269" t="s">
        <v>2182</v>
      </c>
      <c r="AG269" t="s">
        <v>2183</v>
      </c>
      <c r="AH269">
        <v>1305000.01</v>
      </c>
      <c r="AI269">
        <v>128169</v>
      </c>
      <c r="AJ269" t="s">
        <v>2054</v>
      </c>
    </row>
    <row r="270" spans="1:36" hidden="1" x14ac:dyDescent="0.2">
      <c r="A270" t="s">
        <v>2284</v>
      </c>
      <c r="B270" t="s">
        <v>158</v>
      </c>
      <c r="C270" t="s">
        <v>2401</v>
      </c>
      <c r="D270" t="s">
        <v>295</v>
      </c>
      <c r="E270">
        <v>259301</v>
      </c>
      <c r="F270" t="s">
        <v>2218</v>
      </c>
      <c r="G270">
        <v>8000</v>
      </c>
      <c r="H270">
        <v>582215</v>
      </c>
      <c r="I270" t="s">
        <v>898</v>
      </c>
      <c r="J270" s="11">
        <v>46174</v>
      </c>
      <c r="K270" s="11">
        <v>46222</v>
      </c>
      <c r="M270" t="s">
        <v>1852</v>
      </c>
      <c r="N270">
        <v>0.15</v>
      </c>
      <c r="O270">
        <v>2000000</v>
      </c>
      <c r="P270">
        <v>300000</v>
      </c>
      <c r="Q270" t="s">
        <v>2262</v>
      </c>
      <c r="R270" t="s">
        <v>2263</v>
      </c>
      <c r="S270">
        <v>1000000</v>
      </c>
      <c r="T270">
        <v>150000</v>
      </c>
      <c r="U270" t="s">
        <v>2263</v>
      </c>
      <c r="V270">
        <v>1000000</v>
      </c>
      <c r="W270" t="s">
        <v>2180</v>
      </c>
      <c r="X270">
        <v>150000</v>
      </c>
      <c r="Y270">
        <v>150000</v>
      </c>
      <c r="Z270">
        <v>150000</v>
      </c>
      <c r="AC270" s="11">
        <v>46174</v>
      </c>
      <c r="AD270" s="11">
        <v>46222</v>
      </c>
      <c r="AE270" t="s">
        <v>2287</v>
      </c>
      <c r="AF270" t="s">
        <v>2182</v>
      </c>
      <c r="AG270" t="s">
        <v>2183</v>
      </c>
      <c r="AH270">
        <v>1000000</v>
      </c>
      <c r="AI270">
        <v>127695</v>
      </c>
      <c r="AJ270" t="s">
        <v>2040</v>
      </c>
    </row>
    <row r="271" spans="1:36" hidden="1" x14ac:dyDescent="0.2">
      <c r="A271" t="s">
        <v>2284</v>
      </c>
      <c r="B271" t="s">
        <v>158</v>
      </c>
      <c r="C271" t="s">
        <v>2401</v>
      </c>
      <c r="D271" t="s">
        <v>295</v>
      </c>
      <c r="E271">
        <v>259301</v>
      </c>
      <c r="F271" t="s">
        <v>2215</v>
      </c>
      <c r="G271">
        <v>8005</v>
      </c>
      <c r="H271">
        <v>582226</v>
      </c>
      <c r="I271" t="s">
        <v>540</v>
      </c>
      <c r="J271" s="11">
        <v>46174</v>
      </c>
      <c r="K271" s="11">
        <v>46222</v>
      </c>
      <c r="L271" t="s">
        <v>2177</v>
      </c>
      <c r="M271" t="s">
        <v>1850</v>
      </c>
      <c r="N271">
        <v>40</v>
      </c>
      <c r="O271">
        <v>15000000</v>
      </c>
      <c r="P271">
        <v>600000</v>
      </c>
      <c r="Q271" t="s">
        <v>2178</v>
      </c>
      <c r="R271" t="s">
        <v>2179</v>
      </c>
      <c r="S271">
        <v>0</v>
      </c>
      <c r="T271">
        <v>0</v>
      </c>
      <c r="U271" t="s">
        <v>2179</v>
      </c>
      <c r="V271">
        <v>8302488</v>
      </c>
      <c r="W271" t="s">
        <v>2180</v>
      </c>
      <c r="X271">
        <v>332099.52</v>
      </c>
      <c r="Y271">
        <v>332099.52</v>
      </c>
      <c r="Z271">
        <v>332099.52</v>
      </c>
      <c r="AA271">
        <v>8313169</v>
      </c>
      <c r="AB271">
        <v>8302488</v>
      </c>
      <c r="AC271" s="11">
        <v>46174</v>
      </c>
      <c r="AD271" s="11">
        <v>46222</v>
      </c>
      <c r="AE271" t="s">
        <v>2287</v>
      </c>
      <c r="AF271" t="s">
        <v>2182</v>
      </c>
      <c r="AG271" t="s">
        <v>2183</v>
      </c>
      <c r="AH271">
        <v>1000000</v>
      </c>
      <c r="AI271">
        <v>127695</v>
      </c>
      <c r="AJ271" t="s">
        <v>2040</v>
      </c>
    </row>
    <row r="272" spans="1:36" hidden="1" x14ac:dyDescent="0.2">
      <c r="A272" t="s">
        <v>2284</v>
      </c>
      <c r="B272" t="s">
        <v>158</v>
      </c>
      <c r="C272" t="s">
        <v>2401</v>
      </c>
      <c r="D272" t="s">
        <v>295</v>
      </c>
      <c r="E272">
        <v>259301</v>
      </c>
      <c r="F272" t="s">
        <v>2217</v>
      </c>
      <c r="G272">
        <v>8004</v>
      </c>
      <c r="H272">
        <v>582237</v>
      </c>
      <c r="I272" t="s">
        <v>782</v>
      </c>
      <c r="J272" s="11">
        <v>46174</v>
      </c>
      <c r="K272" s="11">
        <v>46222</v>
      </c>
      <c r="L272" t="s">
        <v>2177</v>
      </c>
      <c r="M272" t="s">
        <v>1850</v>
      </c>
      <c r="N272">
        <v>6</v>
      </c>
      <c r="O272">
        <v>16666667</v>
      </c>
      <c r="P272">
        <v>100000</v>
      </c>
      <c r="Q272" t="s">
        <v>2178</v>
      </c>
      <c r="R272" t="s">
        <v>2263</v>
      </c>
      <c r="S272">
        <v>8333333</v>
      </c>
      <c r="T272">
        <v>50000</v>
      </c>
      <c r="U272" t="s">
        <v>2263</v>
      </c>
      <c r="V272">
        <v>8333334</v>
      </c>
      <c r="W272" t="s">
        <v>2180</v>
      </c>
      <c r="X272">
        <v>50000</v>
      </c>
      <c r="Y272">
        <v>50000</v>
      </c>
      <c r="Z272">
        <v>50000</v>
      </c>
      <c r="AA272">
        <v>10862662</v>
      </c>
      <c r="AB272">
        <v>10860868</v>
      </c>
      <c r="AC272" s="11">
        <v>46174</v>
      </c>
      <c r="AD272" s="11">
        <v>46222</v>
      </c>
      <c r="AE272" t="s">
        <v>2287</v>
      </c>
      <c r="AF272" t="s">
        <v>2182</v>
      </c>
      <c r="AG272" t="s">
        <v>2183</v>
      </c>
      <c r="AH272">
        <v>1000000</v>
      </c>
      <c r="AI272">
        <v>127695</v>
      </c>
      <c r="AJ272" t="s">
        <v>2040</v>
      </c>
    </row>
    <row r="273" spans="1:36" hidden="1" x14ac:dyDescent="0.2">
      <c r="A273" t="s">
        <v>2257</v>
      </c>
      <c r="B273" t="s">
        <v>186</v>
      </c>
      <c r="C273" t="s">
        <v>2402</v>
      </c>
      <c r="D273" t="s">
        <v>347</v>
      </c>
      <c r="E273">
        <v>259315</v>
      </c>
      <c r="F273" t="s">
        <v>2218</v>
      </c>
      <c r="G273">
        <v>8000</v>
      </c>
      <c r="H273">
        <v>582132</v>
      </c>
      <c r="I273" t="s">
        <v>899</v>
      </c>
      <c r="J273" s="11">
        <v>46184</v>
      </c>
      <c r="K273" s="11">
        <v>46222</v>
      </c>
      <c r="L273" t="s">
        <v>2213</v>
      </c>
      <c r="M273" t="s">
        <v>2205</v>
      </c>
      <c r="N273">
        <v>250000</v>
      </c>
      <c r="O273">
        <v>1</v>
      </c>
      <c r="P273">
        <v>250000</v>
      </c>
      <c r="Q273" t="s">
        <v>1987</v>
      </c>
      <c r="R273" t="s">
        <v>2206</v>
      </c>
      <c r="S273">
        <v>1</v>
      </c>
      <c r="T273">
        <v>128205.1283</v>
      </c>
      <c r="U273" t="s">
        <v>2206</v>
      </c>
      <c r="V273">
        <v>1</v>
      </c>
      <c r="W273" t="s">
        <v>2180</v>
      </c>
      <c r="X273">
        <v>128205.1283</v>
      </c>
      <c r="Y273">
        <v>128205.1283</v>
      </c>
      <c r="Z273">
        <v>128205.1283</v>
      </c>
      <c r="AC273" s="11">
        <v>46184</v>
      </c>
      <c r="AD273" s="11">
        <v>46222</v>
      </c>
      <c r="AE273" t="s">
        <v>2287</v>
      </c>
      <c r="AF273" t="s">
        <v>2182</v>
      </c>
      <c r="AG273" t="s">
        <v>2183</v>
      </c>
      <c r="AH273">
        <v>600000.01</v>
      </c>
      <c r="AI273">
        <v>129350</v>
      </c>
      <c r="AJ273" t="s">
        <v>2040</v>
      </c>
    </row>
    <row r="274" spans="1:36" hidden="1" x14ac:dyDescent="0.2">
      <c r="A274" t="s">
        <v>2257</v>
      </c>
      <c r="B274" t="s">
        <v>186</v>
      </c>
      <c r="C274" t="s">
        <v>2402</v>
      </c>
      <c r="D274" t="s">
        <v>347</v>
      </c>
      <c r="E274">
        <v>259315</v>
      </c>
      <c r="F274" t="s">
        <v>2215</v>
      </c>
      <c r="G274">
        <v>8005</v>
      </c>
      <c r="H274">
        <v>582142</v>
      </c>
      <c r="I274" t="s">
        <v>647</v>
      </c>
      <c r="J274" s="11">
        <v>46174</v>
      </c>
      <c r="K274" s="11">
        <v>46222</v>
      </c>
      <c r="L274" t="s">
        <v>2223</v>
      </c>
      <c r="M274" t="s">
        <v>1850</v>
      </c>
      <c r="N274">
        <v>40</v>
      </c>
      <c r="O274">
        <v>8750000</v>
      </c>
      <c r="P274">
        <v>350000</v>
      </c>
      <c r="Q274" t="s">
        <v>2178</v>
      </c>
      <c r="R274" t="s">
        <v>2179</v>
      </c>
      <c r="S274">
        <v>0</v>
      </c>
      <c r="T274">
        <v>0</v>
      </c>
      <c r="U274" t="s">
        <v>2179</v>
      </c>
      <c r="V274">
        <v>5855991</v>
      </c>
      <c r="W274" t="s">
        <v>2180</v>
      </c>
      <c r="X274">
        <v>234239.64</v>
      </c>
      <c r="Y274">
        <v>234239.64</v>
      </c>
      <c r="Z274">
        <v>234239.64</v>
      </c>
      <c r="AA274">
        <v>5844753</v>
      </c>
      <c r="AB274">
        <v>5855991</v>
      </c>
      <c r="AC274" s="11">
        <v>46174</v>
      </c>
      <c r="AD274" s="11">
        <v>46222</v>
      </c>
      <c r="AE274" t="s">
        <v>2287</v>
      </c>
      <c r="AF274" t="s">
        <v>2182</v>
      </c>
      <c r="AG274" t="s">
        <v>2183</v>
      </c>
      <c r="AH274">
        <v>600000.01</v>
      </c>
      <c r="AI274">
        <v>129350</v>
      </c>
      <c r="AJ274" t="s">
        <v>2040</v>
      </c>
    </row>
    <row r="275" spans="1:36" hidden="1" x14ac:dyDescent="0.2">
      <c r="A275" t="s">
        <v>2245</v>
      </c>
      <c r="B275" t="s">
        <v>119</v>
      </c>
      <c r="C275" t="s">
        <v>2246</v>
      </c>
      <c r="D275" t="s">
        <v>234</v>
      </c>
      <c r="E275">
        <v>259421</v>
      </c>
      <c r="F275" t="s">
        <v>2212</v>
      </c>
      <c r="G275">
        <v>2789</v>
      </c>
      <c r="H275">
        <v>556628</v>
      </c>
      <c r="I275" t="s">
        <v>446</v>
      </c>
      <c r="J275" s="11">
        <v>46113</v>
      </c>
      <c r="K275" s="11">
        <v>46203</v>
      </c>
      <c r="L275" t="s">
        <v>2247</v>
      </c>
      <c r="M275" t="s">
        <v>1850</v>
      </c>
      <c r="N275">
        <v>52.25</v>
      </c>
      <c r="O275">
        <v>956938</v>
      </c>
      <c r="P275">
        <v>50000.01</v>
      </c>
      <c r="Q275" t="s">
        <v>2178</v>
      </c>
      <c r="R275" t="s">
        <v>2179</v>
      </c>
      <c r="S275">
        <v>0</v>
      </c>
      <c r="T275">
        <v>0</v>
      </c>
      <c r="U275" t="s">
        <v>2179</v>
      </c>
      <c r="V275">
        <v>1</v>
      </c>
      <c r="W275" t="s">
        <v>2180</v>
      </c>
      <c r="X275">
        <v>0.05</v>
      </c>
      <c r="Y275">
        <v>0.05</v>
      </c>
      <c r="Z275">
        <v>0.05</v>
      </c>
      <c r="AA275">
        <v>94262</v>
      </c>
      <c r="AB275">
        <v>99974</v>
      </c>
      <c r="AC275" s="11">
        <v>46113</v>
      </c>
      <c r="AD275" s="11">
        <v>46203</v>
      </c>
      <c r="AE275" t="s">
        <v>2193</v>
      </c>
      <c r="AF275" t="s">
        <v>2182</v>
      </c>
      <c r="AG275" t="s">
        <v>2183</v>
      </c>
      <c r="AH275">
        <v>90000.06</v>
      </c>
      <c r="AI275">
        <v>108730</v>
      </c>
      <c r="AJ275" t="s">
        <v>2046</v>
      </c>
    </row>
    <row r="276" spans="1:36" hidden="1" x14ac:dyDescent="0.2">
      <c r="A276" t="s">
        <v>2245</v>
      </c>
      <c r="B276" t="s">
        <v>119</v>
      </c>
      <c r="C276" t="s">
        <v>2246</v>
      </c>
      <c r="D276" t="s">
        <v>288</v>
      </c>
      <c r="E276">
        <v>259423</v>
      </c>
      <c r="F276" t="s">
        <v>2248</v>
      </c>
      <c r="G276">
        <v>3534</v>
      </c>
      <c r="H276">
        <v>556448</v>
      </c>
      <c r="I276" t="s">
        <v>526</v>
      </c>
      <c r="J276" s="11">
        <v>46113</v>
      </c>
      <c r="K276" s="11">
        <v>46203</v>
      </c>
      <c r="L276" t="s">
        <v>2247</v>
      </c>
      <c r="M276" t="s">
        <v>1850</v>
      </c>
      <c r="N276">
        <v>59</v>
      </c>
      <c r="O276">
        <v>1396916</v>
      </c>
      <c r="P276">
        <v>82418.05</v>
      </c>
      <c r="Q276" t="s">
        <v>2178</v>
      </c>
      <c r="R276" t="s">
        <v>2179</v>
      </c>
      <c r="S276">
        <v>0</v>
      </c>
      <c r="T276">
        <v>0</v>
      </c>
      <c r="U276" t="s">
        <v>2179</v>
      </c>
      <c r="V276">
        <v>92455</v>
      </c>
      <c r="W276" t="s">
        <v>2180</v>
      </c>
      <c r="X276">
        <v>5454.8450000000003</v>
      </c>
      <c r="Y276">
        <v>5454.8450000000003</v>
      </c>
      <c r="Z276">
        <v>5454.8450000000003</v>
      </c>
      <c r="AA276">
        <v>93597</v>
      </c>
      <c r="AB276">
        <v>92455</v>
      </c>
      <c r="AC276" s="11">
        <v>46113</v>
      </c>
      <c r="AD276" s="11">
        <v>46203</v>
      </c>
      <c r="AE276" t="s">
        <v>2193</v>
      </c>
      <c r="AF276" t="s">
        <v>2182</v>
      </c>
      <c r="AG276" t="s">
        <v>2183</v>
      </c>
      <c r="AH276">
        <v>150000.35999999999</v>
      </c>
      <c r="AI276">
        <v>108737</v>
      </c>
      <c r="AJ276" t="s">
        <v>2057</v>
      </c>
    </row>
    <row r="277" spans="1:36" hidden="1" x14ac:dyDescent="0.2">
      <c r="A277" t="s">
        <v>2337</v>
      </c>
      <c r="B277" t="s">
        <v>185</v>
      </c>
      <c r="C277" t="s">
        <v>2403</v>
      </c>
      <c r="D277" t="s">
        <v>346</v>
      </c>
      <c r="E277">
        <v>259462</v>
      </c>
      <c r="F277" t="s">
        <v>2217</v>
      </c>
      <c r="G277">
        <v>8004</v>
      </c>
      <c r="H277">
        <v>582775</v>
      </c>
      <c r="I277" t="s">
        <v>812</v>
      </c>
      <c r="J277" s="11">
        <v>46176</v>
      </c>
      <c r="K277" s="11">
        <v>46222</v>
      </c>
      <c r="L277" t="s">
        <v>2177</v>
      </c>
      <c r="M277" t="s">
        <v>1850</v>
      </c>
      <c r="N277">
        <v>6</v>
      </c>
      <c r="O277">
        <v>20281667</v>
      </c>
      <c r="P277">
        <v>121690</v>
      </c>
      <c r="Q277" t="s">
        <v>2178</v>
      </c>
      <c r="R277" t="s">
        <v>2179</v>
      </c>
      <c r="S277">
        <v>0</v>
      </c>
      <c r="T277">
        <v>0</v>
      </c>
      <c r="U277" t="s">
        <v>2179</v>
      </c>
      <c r="V277">
        <v>9671448</v>
      </c>
      <c r="W277" t="s">
        <v>2180</v>
      </c>
      <c r="X277">
        <v>58028.688000000002</v>
      </c>
      <c r="Y277">
        <v>58028.688000000002</v>
      </c>
      <c r="Z277">
        <v>58028.688000000002</v>
      </c>
      <c r="AA277">
        <v>9649662</v>
      </c>
      <c r="AB277">
        <v>9671448</v>
      </c>
      <c r="AC277" s="11">
        <v>46176</v>
      </c>
      <c r="AD277" s="11">
        <v>46222</v>
      </c>
      <c r="AE277" t="s">
        <v>2251</v>
      </c>
      <c r="AF277" t="s">
        <v>2182</v>
      </c>
      <c r="AG277" t="s">
        <v>2183</v>
      </c>
      <c r="AH277">
        <v>1227498.03</v>
      </c>
      <c r="AI277">
        <v>129257</v>
      </c>
      <c r="AJ277" t="s">
        <v>2057</v>
      </c>
    </row>
    <row r="278" spans="1:36" hidden="1" x14ac:dyDescent="0.2">
      <c r="A278" t="s">
        <v>2337</v>
      </c>
      <c r="B278" t="s">
        <v>185</v>
      </c>
      <c r="C278" t="s">
        <v>2403</v>
      </c>
      <c r="D278" t="s">
        <v>346</v>
      </c>
      <c r="E278">
        <v>259462</v>
      </c>
      <c r="F278" t="s">
        <v>2215</v>
      </c>
      <c r="G278">
        <v>8005</v>
      </c>
      <c r="H278">
        <v>582776</v>
      </c>
      <c r="I278" t="s">
        <v>646</v>
      </c>
      <c r="J278" s="11">
        <v>46176</v>
      </c>
      <c r="K278" s="11">
        <v>46222</v>
      </c>
      <c r="L278" t="s">
        <v>2177</v>
      </c>
      <c r="M278" t="s">
        <v>1850</v>
      </c>
      <c r="N278">
        <v>36.5</v>
      </c>
      <c r="O278">
        <v>12778083</v>
      </c>
      <c r="P278">
        <v>466400.03</v>
      </c>
      <c r="Q278" t="s">
        <v>2178</v>
      </c>
      <c r="R278" t="s">
        <v>2179</v>
      </c>
      <c r="S278">
        <v>0</v>
      </c>
      <c r="T278">
        <v>0</v>
      </c>
      <c r="U278" t="s">
        <v>2179</v>
      </c>
      <c r="V278">
        <v>8535998</v>
      </c>
      <c r="W278" t="s">
        <v>2180</v>
      </c>
      <c r="X278">
        <v>311563.92700000003</v>
      </c>
      <c r="Y278">
        <v>311563.92700000003</v>
      </c>
      <c r="Z278">
        <v>311563.92700000003</v>
      </c>
      <c r="AA278">
        <v>8532477</v>
      </c>
      <c r="AB278">
        <v>8535998</v>
      </c>
      <c r="AC278" s="11">
        <v>46176</v>
      </c>
      <c r="AD278" s="11">
        <v>46222</v>
      </c>
      <c r="AE278" t="s">
        <v>2251</v>
      </c>
      <c r="AF278" t="s">
        <v>2182</v>
      </c>
      <c r="AG278" t="s">
        <v>2183</v>
      </c>
      <c r="AH278">
        <v>1227498.03</v>
      </c>
      <c r="AI278">
        <v>129257</v>
      </c>
      <c r="AJ278" t="s">
        <v>2057</v>
      </c>
    </row>
    <row r="279" spans="1:36" hidden="1" x14ac:dyDescent="0.2">
      <c r="A279" t="s">
        <v>2337</v>
      </c>
      <c r="B279" t="s">
        <v>185</v>
      </c>
      <c r="C279" t="s">
        <v>2403</v>
      </c>
      <c r="D279" t="s">
        <v>346</v>
      </c>
      <c r="E279">
        <v>259462</v>
      </c>
      <c r="F279" t="s">
        <v>2218</v>
      </c>
      <c r="G279">
        <v>8000</v>
      </c>
      <c r="H279">
        <v>582777</v>
      </c>
      <c r="I279" t="s">
        <v>839</v>
      </c>
      <c r="J279" s="11">
        <v>46176</v>
      </c>
      <c r="K279" s="11">
        <v>46222</v>
      </c>
      <c r="L279" t="s">
        <v>2213</v>
      </c>
      <c r="M279" t="s">
        <v>2205</v>
      </c>
      <c r="N279">
        <v>389408</v>
      </c>
      <c r="O279">
        <v>3</v>
      </c>
      <c r="P279">
        <v>389408</v>
      </c>
      <c r="Q279" t="s">
        <v>1987</v>
      </c>
      <c r="R279" t="s">
        <v>2206</v>
      </c>
      <c r="S279">
        <v>2</v>
      </c>
      <c r="T279">
        <v>231987.74470000001</v>
      </c>
      <c r="U279" t="s">
        <v>2206</v>
      </c>
      <c r="V279">
        <v>2</v>
      </c>
      <c r="W279" t="s">
        <v>2180</v>
      </c>
      <c r="X279">
        <v>231987.74470000001</v>
      </c>
      <c r="Y279">
        <v>231987.74470000001</v>
      </c>
      <c r="Z279">
        <v>231987.74470000001</v>
      </c>
      <c r="AC279" s="11">
        <v>46176</v>
      </c>
      <c r="AD279" s="11">
        <v>46222</v>
      </c>
      <c r="AE279" t="s">
        <v>2251</v>
      </c>
      <c r="AF279" t="s">
        <v>2182</v>
      </c>
      <c r="AG279" t="s">
        <v>2183</v>
      </c>
      <c r="AH279">
        <v>1227498.03</v>
      </c>
      <c r="AI279">
        <v>129257</v>
      </c>
      <c r="AJ279" t="s">
        <v>2057</v>
      </c>
    </row>
    <row r="280" spans="1:36" hidden="1" x14ac:dyDescent="0.2">
      <c r="A280" t="s">
        <v>2337</v>
      </c>
      <c r="B280" t="s">
        <v>185</v>
      </c>
      <c r="C280" t="s">
        <v>2403</v>
      </c>
      <c r="D280" t="s">
        <v>346</v>
      </c>
      <c r="E280">
        <v>259462</v>
      </c>
      <c r="F280" t="s">
        <v>2242</v>
      </c>
      <c r="G280">
        <v>8003</v>
      </c>
      <c r="H280">
        <v>587938</v>
      </c>
      <c r="I280" t="s">
        <v>811</v>
      </c>
      <c r="J280" s="11">
        <v>46200</v>
      </c>
      <c r="K280" s="11">
        <v>46200</v>
      </c>
      <c r="L280" t="s">
        <v>2177</v>
      </c>
      <c r="M280" t="s">
        <v>2243</v>
      </c>
      <c r="N280">
        <v>41666.67</v>
      </c>
      <c r="O280">
        <v>6</v>
      </c>
      <c r="P280">
        <v>0</v>
      </c>
      <c r="Q280" t="s">
        <v>2244</v>
      </c>
      <c r="R280" t="s">
        <v>2206</v>
      </c>
      <c r="S280">
        <v>0</v>
      </c>
      <c r="T280">
        <v>0</v>
      </c>
      <c r="U280" t="s">
        <v>2179</v>
      </c>
      <c r="V280">
        <v>0</v>
      </c>
      <c r="W280" t="s">
        <v>2180</v>
      </c>
      <c r="X280">
        <v>0</v>
      </c>
      <c r="Y280">
        <v>0</v>
      </c>
      <c r="Z280">
        <v>0</v>
      </c>
      <c r="AA280">
        <v>0</v>
      </c>
      <c r="AB280">
        <v>0</v>
      </c>
      <c r="AC280" s="11">
        <v>46200</v>
      </c>
      <c r="AD280" s="11">
        <v>46200</v>
      </c>
      <c r="AE280" t="s">
        <v>2251</v>
      </c>
      <c r="AF280" t="s">
        <v>2182</v>
      </c>
      <c r="AG280" t="s">
        <v>2183</v>
      </c>
      <c r="AH280">
        <v>1227498.03</v>
      </c>
      <c r="AI280">
        <v>129257</v>
      </c>
      <c r="AJ280" t="s">
        <v>2057</v>
      </c>
    </row>
    <row r="281" spans="1:36" hidden="1" x14ac:dyDescent="0.2">
      <c r="A281" t="s">
        <v>2284</v>
      </c>
      <c r="B281" t="s">
        <v>183</v>
      </c>
      <c r="C281" t="s">
        <v>2404</v>
      </c>
      <c r="D281" t="s">
        <v>342</v>
      </c>
      <c r="E281">
        <v>259726</v>
      </c>
      <c r="F281" t="s">
        <v>2242</v>
      </c>
      <c r="G281">
        <v>8003</v>
      </c>
      <c r="H281">
        <v>579585</v>
      </c>
      <c r="I281" t="s">
        <v>813</v>
      </c>
      <c r="J281" s="11">
        <v>46184</v>
      </c>
      <c r="K281" s="11">
        <v>46184</v>
      </c>
      <c r="L281" t="s">
        <v>2177</v>
      </c>
      <c r="M281" t="s">
        <v>2243</v>
      </c>
      <c r="N281">
        <v>50000</v>
      </c>
      <c r="O281">
        <v>6</v>
      </c>
      <c r="P281">
        <v>300000</v>
      </c>
      <c r="Q281" t="s">
        <v>2244</v>
      </c>
      <c r="R281" t="s">
        <v>2206</v>
      </c>
      <c r="S281">
        <v>6</v>
      </c>
      <c r="T281">
        <v>300000</v>
      </c>
      <c r="U281" t="s">
        <v>2206</v>
      </c>
      <c r="V281">
        <v>6</v>
      </c>
      <c r="W281" t="s">
        <v>2180</v>
      </c>
      <c r="X281">
        <v>300000</v>
      </c>
      <c r="Y281">
        <v>300000</v>
      </c>
      <c r="Z281">
        <v>300000</v>
      </c>
      <c r="AA281">
        <v>0</v>
      </c>
      <c r="AB281">
        <v>0</v>
      </c>
      <c r="AC281" s="11">
        <v>46184</v>
      </c>
      <c r="AD281" s="11">
        <v>46184</v>
      </c>
      <c r="AE281" t="s">
        <v>2198</v>
      </c>
      <c r="AF281" t="s">
        <v>2182</v>
      </c>
      <c r="AG281" t="s">
        <v>2183</v>
      </c>
      <c r="AH281">
        <v>850000</v>
      </c>
      <c r="AI281">
        <v>129276</v>
      </c>
      <c r="AJ281" t="s">
        <v>2064</v>
      </c>
    </row>
    <row r="282" spans="1:36" hidden="1" x14ac:dyDescent="0.2">
      <c r="A282" t="s">
        <v>2284</v>
      </c>
      <c r="B282" t="s">
        <v>183</v>
      </c>
      <c r="C282" t="s">
        <v>2404</v>
      </c>
      <c r="D282" t="s">
        <v>342</v>
      </c>
      <c r="E282">
        <v>259726</v>
      </c>
      <c r="F282" t="s">
        <v>2215</v>
      </c>
      <c r="G282">
        <v>8005</v>
      </c>
      <c r="H282">
        <v>581035</v>
      </c>
      <c r="I282" t="s">
        <v>638</v>
      </c>
      <c r="J282" s="11">
        <v>46182</v>
      </c>
      <c r="K282" s="11">
        <v>46222</v>
      </c>
      <c r="L282" t="s">
        <v>2177</v>
      </c>
      <c r="M282" t="s">
        <v>1850</v>
      </c>
      <c r="N282">
        <v>40</v>
      </c>
      <c r="O282">
        <v>13750000</v>
      </c>
      <c r="P282">
        <v>550000</v>
      </c>
      <c r="Q282" t="s">
        <v>2178</v>
      </c>
      <c r="R282" t="s">
        <v>2179</v>
      </c>
      <c r="S282">
        <v>0</v>
      </c>
      <c r="T282">
        <v>0</v>
      </c>
      <c r="U282" t="s">
        <v>2179</v>
      </c>
      <c r="V282">
        <v>9112118</v>
      </c>
      <c r="W282" t="s">
        <v>2180</v>
      </c>
      <c r="X282">
        <v>364484.72</v>
      </c>
      <c r="Y282">
        <v>364484.72</v>
      </c>
      <c r="Z282">
        <v>364484.72</v>
      </c>
      <c r="AA282">
        <v>9121683</v>
      </c>
      <c r="AB282">
        <v>9112118</v>
      </c>
      <c r="AC282" s="11">
        <v>46182</v>
      </c>
      <c r="AD282" s="11">
        <v>46222</v>
      </c>
      <c r="AE282" t="s">
        <v>2198</v>
      </c>
      <c r="AF282" t="s">
        <v>2182</v>
      </c>
      <c r="AG282" t="s">
        <v>2183</v>
      </c>
      <c r="AH282">
        <v>850000</v>
      </c>
      <c r="AI282">
        <v>129276</v>
      </c>
      <c r="AJ282" t="s">
        <v>2064</v>
      </c>
    </row>
    <row r="283" spans="1:36" hidden="1" x14ac:dyDescent="0.2">
      <c r="A283" t="s">
        <v>2284</v>
      </c>
      <c r="B283" t="s">
        <v>183</v>
      </c>
      <c r="C283" t="s">
        <v>2404</v>
      </c>
      <c r="D283" t="s">
        <v>342</v>
      </c>
      <c r="E283">
        <v>259726</v>
      </c>
      <c r="F283" t="s">
        <v>2242</v>
      </c>
      <c r="G283">
        <v>8003</v>
      </c>
      <c r="H283">
        <v>596271</v>
      </c>
      <c r="I283" t="s">
        <v>826</v>
      </c>
      <c r="J283" s="11">
        <v>46203</v>
      </c>
      <c r="K283" s="11">
        <v>46203</v>
      </c>
      <c r="L283" t="s">
        <v>2177</v>
      </c>
      <c r="M283" t="s">
        <v>2243</v>
      </c>
      <c r="N283">
        <v>75000</v>
      </c>
      <c r="O283">
        <v>4</v>
      </c>
      <c r="P283">
        <v>0</v>
      </c>
      <c r="Q283" t="s">
        <v>2244</v>
      </c>
      <c r="R283" t="s">
        <v>2206</v>
      </c>
      <c r="S283">
        <v>4</v>
      </c>
      <c r="T283">
        <v>0</v>
      </c>
      <c r="U283" t="s">
        <v>2206</v>
      </c>
      <c r="V283">
        <v>4</v>
      </c>
      <c r="W283" t="s">
        <v>2180</v>
      </c>
      <c r="X283">
        <v>0</v>
      </c>
      <c r="Y283">
        <v>0</v>
      </c>
      <c r="Z283">
        <v>0</v>
      </c>
      <c r="AA283">
        <v>0</v>
      </c>
      <c r="AB283">
        <v>0</v>
      </c>
      <c r="AC283" s="11">
        <v>46203</v>
      </c>
      <c r="AD283" s="11">
        <v>46203</v>
      </c>
      <c r="AE283" t="s">
        <v>2198</v>
      </c>
      <c r="AF283" t="s">
        <v>2182</v>
      </c>
      <c r="AG283" t="s">
        <v>2183</v>
      </c>
      <c r="AH283">
        <v>850000</v>
      </c>
      <c r="AI283">
        <v>129276</v>
      </c>
      <c r="AJ283" t="s">
        <v>2064</v>
      </c>
    </row>
    <row r="284" spans="1:36" hidden="1" x14ac:dyDescent="0.2">
      <c r="A284" t="s">
        <v>2255</v>
      </c>
      <c r="B284" t="s">
        <v>122</v>
      </c>
      <c r="C284" t="s">
        <v>2256</v>
      </c>
      <c r="D284" t="s">
        <v>240</v>
      </c>
      <c r="E284">
        <v>259933</v>
      </c>
      <c r="F284" t="s">
        <v>2192</v>
      </c>
      <c r="G284">
        <v>1</v>
      </c>
      <c r="H284">
        <v>556672</v>
      </c>
      <c r="I284" t="s">
        <v>453</v>
      </c>
      <c r="J284" s="11">
        <v>46181</v>
      </c>
      <c r="K284" s="11">
        <v>46203</v>
      </c>
      <c r="L284" t="s">
        <v>2254</v>
      </c>
      <c r="M284" t="s">
        <v>1850</v>
      </c>
      <c r="N284">
        <v>12.5</v>
      </c>
      <c r="O284">
        <v>2500080</v>
      </c>
      <c r="P284">
        <v>31251</v>
      </c>
      <c r="Q284" t="s">
        <v>2178</v>
      </c>
      <c r="R284" t="s">
        <v>2179</v>
      </c>
      <c r="S284">
        <v>0</v>
      </c>
      <c r="T284">
        <v>0</v>
      </c>
      <c r="U284" t="s">
        <v>2179</v>
      </c>
      <c r="V284">
        <v>749897</v>
      </c>
      <c r="W284" t="s">
        <v>2180</v>
      </c>
      <c r="X284">
        <v>9373.7124999999996</v>
      </c>
      <c r="Y284">
        <v>9373.7124999999996</v>
      </c>
      <c r="Z284">
        <v>9373.7124999999996</v>
      </c>
      <c r="AA284">
        <v>742601</v>
      </c>
      <c r="AB284">
        <v>749897</v>
      </c>
      <c r="AC284" s="11">
        <v>46181</v>
      </c>
      <c r="AD284" s="11">
        <v>46203</v>
      </c>
      <c r="AE284" t="s">
        <v>2202</v>
      </c>
      <c r="AF284" t="s">
        <v>2182</v>
      </c>
      <c r="AG284" t="s">
        <v>2183</v>
      </c>
      <c r="AH284">
        <v>31251</v>
      </c>
      <c r="AI284">
        <v>120914</v>
      </c>
      <c r="AJ284" t="s">
        <v>2049</v>
      </c>
    </row>
    <row r="285" spans="1:36" hidden="1" x14ac:dyDescent="0.2">
      <c r="A285" t="s">
        <v>2199</v>
      </c>
      <c r="B285" t="s">
        <v>218</v>
      </c>
      <c r="C285" t="s">
        <v>2405</v>
      </c>
      <c r="D285" t="s">
        <v>421</v>
      </c>
      <c r="E285">
        <v>260564</v>
      </c>
      <c r="F285" t="s">
        <v>2406</v>
      </c>
      <c r="G285">
        <v>7981</v>
      </c>
      <c r="H285">
        <v>558520</v>
      </c>
      <c r="I285" t="s">
        <v>827</v>
      </c>
      <c r="J285" s="11">
        <v>46082</v>
      </c>
      <c r="K285" s="11">
        <v>46225</v>
      </c>
      <c r="L285" t="s">
        <v>2213</v>
      </c>
      <c r="M285" t="s">
        <v>2205</v>
      </c>
      <c r="N285">
        <v>4000000</v>
      </c>
      <c r="O285">
        <v>4</v>
      </c>
      <c r="P285">
        <v>4000000</v>
      </c>
      <c r="Q285" t="s">
        <v>1987</v>
      </c>
      <c r="R285" t="s">
        <v>2206</v>
      </c>
      <c r="S285">
        <v>1</v>
      </c>
      <c r="T285">
        <v>833333.33330000006</v>
      </c>
      <c r="U285" t="s">
        <v>2206</v>
      </c>
      <c r="V285">
        <v>0</v>
      </c>
      <c r="W285" t="s">
        <v>2180</v>
      </c>
      <c r="X285">
        <v>1061946.9029999999</v>
      </c>
      <c r="Y285">
        <v>1061946.9025999999</v>
      </c>
      <c r="Z285">
        <v>1061946.9025999999</v>
      </c>
      <c r="AC285" s="11">
        <v>46082</v>
      </c>
      <c r="AD285" s="11">
        <v>46225</v>
      </c>
      <c r="AE285" t="s">
        <v>2202</v>
      </c>
      <c r="AF285" t="s">
        <v>2182</v>
      </c>
      <c r="AG285" t="s">
        <v>2183</v>
      </c>
      <c r="AH285">
        <v>4000000</v>
      </c>
      <c r="AI285">
        <v>109945</v>
      </c>
      <c r="AJ285" t="s">
        <v>2041</v>
      </c>
    </row>
    <row r="286" spans="1:36" hidden="1" x14ac:dyDescent="0.2">
      <c r="A286" t="s">
        <v>2407</v>
      </c>
      <c r="B286" t="s">
        <v>2408</v>
      </c>
      <c r="C286" t="s">
        <v>2409</v>
      </c>
      <c r="D286" t="s">
        <v>2410</v>
      </c>
      <c r="E286">
        <v>261310</v>
      </c>
      <c r="F286" t="s">
        <v>2274</v>
      </c>
      <c r="G286">
        <v>7950</v>
      </c>
      <c r="H286">
        <v>564222</v>
      </c>
      <c r="I286" t="s">
        <v>2411</v>
      </c>
      <c r="J286" s="11">
        <v>46097</v>
      </c>
      <c r="K286" s="11">
        <v>46326</v>
      </c>
      <c r="L286" t="s">
        <v>2213</v>
      </c>
      <c r="M286" t="s">
        <v>1850</v>
      </c>
      <c r="N286">
        <v>11</v>
      </c>
      <c r="O286">
        <v>18750000</v>
      </c>
      <c r="P286">
        <v>206250</v>
      </c>
      <c r="Q286" t="s">
        <v>2178</v>
      </c>
      <c r="R286" t="s">
        <v>2179</v>
      </c>
      <c r="S286">
        <v>0</v>
      </c>
      <c r="T286">
        <v>0</v>
      </c>
      <c r="U286" t="s">
        <v>2179</v>
      </c>
      <c r="V286">
        <v>0</v>
      </c>
      <c r="W286" t="s">
        <v>2180</v>
      </c>
      <c r="X286">
        <v>0</v>
      </c>
      <c r="Y286">
        <v>0</v>
      </c>
      <c r="Z286">
        <v>0</v>
      </c>
      <c r="AC286" s="11">
        <v>46097</v>
      </c>
      <c r="AD286" s="11">
        <v>46326</v>
      </c>
      <c r="AE286" t="s">
        <v>2210</v>
      </c>
      <c r="AF286" t="s">
        <v>2182</v>
      </c>
      <c r="AG286" t="s">
        <v>2183</v>
      </c>
      <c r="AH286">
        <v>450000</v>
      </c>
      <c r="AI286">
        <v>117008</v>
      </c>
      <c r="AJ286" t="s">
        <v>2060</v>
      </c>
    </row>
    <row r="287" spans="1:36" hidden="1" x14ac:dyDescent="0.2">
      <c r="A287" t="s">
        <v>2184</v>
      </c>
      <c r="B287" t="s">
        <v>161</v>
      </c>
      <c r="C287" t="s">
        <v>2412</v>
      </c>
      <c r="D287" t="s">
        <v>300</v>
      </c>
      <c r="E287">
        <v>261387</v>
      </c>
      <c r="F287" t="s">
        <v>2215</v>
      </c>
      <c r="G287">
        <v>8005</v>
      </c>
      <c r="H287">
        <v>581721</v>
      </c>
      <c r="I287" t="s">
        <v>549</v>
      </c>
      <c r="J287" s="11">
        <v>46184</v>
      </c>
      <c r="K287" s="11">
        <v>46222</v>
      </c>
      <c r="L287" t="s">
        <v>2177</v>
      </c>
      <c r="M287" t="s">
        <v>1850</v>
      </c>
      <c r="N287">
        <v>33.75</v>
      </c>
      <c r="O287">
        <v>20888889</v>
      </c>
      <c r="P287">
        <v>705000</v>
      </c>
      <c r="Q287" t="s">
        <v>2178</v>
      </c>
      <c r="R287" t="s">
        <v>2179</v>
      </c>
      <c r="S287">
        <v>0</v>
      </c>
      <c r="T287">
        <v>0</v>
      </c>
      <c r="U287" t="s">
        <v>2179</v>
      </c>
      <c r="V287">
        <v>14868276</v>
      </c>
      <c r="W287" t="s">
        <v>2180</v>
      </c>
      <c r="X287">
        <v>501804.31510000001</v>
      </c>
      <c r="Y287">
        <v>501804.31510000001</v>
      </c>
      <c r="Z287">
        <v>501804.31510000001</v>
      </c>
      <c r="AA287">
        <v>14834414</v>
      </c>
      <c r="AB287">
        <v>14868276</v>
      </c>
      <c r="AC287" s="11">
        <v>46184</v>
      </c>
      <c r="AD287" s="11">
        <v>46222</v>
      </c>
      <c r="AE287" t="s">
        <v>2189</v>
      </c>
      <c r="AF287" t="s">
        <v>2182</v>
      </c>
      <c r="AG287" t="s">
        <v>2183</v>
      </c>
      <c r="AH287">
        <v>2000000.03</v>
      </c>
      <c r="AI287">
        <v>127769</v>
      </c>
      <c r="AJ287" t="s">
        <v>2047</v>
      </c>
    </row>
    <row r="288" spans="1:36" hidden="1" x14ac:dyDescent="0.2">
      <c r="A288" t="s">
        <v>2184</v>
      </c>
      <c r="B288" t="s">
        <v>161</v>
      </c>
      <c r="C288" t="s">
        <v>2412</v>
      </c>
      <c r="D288" t="s">
        <v>300</v>
      </c>
      <c r="E288">
        <v>261387</v>
      </c>
      <c r="F288" t="s">
        <v>2217</v>
      </c>
      <c r="G288">
        <v>8004</v>
      </c>
      <c r="H288">
        <v>581872</v>
      </c>
      <c r="I288" t="s">
        <v>786</v>
      </c>
      <c r="J288" s="11">
        <v>46184</v>
      </c>
      <c r="K288" s="11">
        <v>46222</v>
      </c>
      <c r="M288" t="s">
        <v>1850</v>
      </c>
      <c r="N288">
        <v>6</v>
      </c>
      <c r="O288">
        <v>7500000</v>
      </c>
      <c r="P288">
        <v>45000</v>
      </c>
      <c r="Q288" t="s">
        <v>2178</v>
      </c>
      <c r="R288" t="s">
        <v>2179</v>
      </c>
      <c r="S288">
        <v>0</v>
      </c>
      <c r="T288">
        <v>0</v>
      </c>
      <c r="U288" t="s">
        <v>2179</v>
      </c>
      <c r="V288">
        <v>2909711</v>
      </c>
      <c r="W288" t="s">
        <v>2180</v>
      </c>
      <c r="X288">
        <v>17458.266</v>
      </c>
      <c r="Y288">
        <v>17458.266</v>
      </c>
      <c r="Z288">
        <v>17458.266</v>
      </c>
      <c r="AA288">
        <v>2910420</v>
      </c>
      <c r="AB288">
        <v>2909711</v>
      </c>
      <c r="AC288" s="11">
        <v>46184</v>
      </c>
      <c r="AD288" s="11">
        <v>46222</v>
      </c>
      <c r="AE288" t="s">
        <v>2189</v>
      </c>
      <c r="AF288" t="s">
        <v>2182</v>
      </c>
      <c r="AG288" t="s">
        <v>2183</v>
      </c>
      <c r="AH288">
        <v>2000000.03</v>
      </c>
      <c r="AI288">
        <v>127769</v>
      </c>
      <c r="AJ288" t="s">
        <v>2047</v>
      </c>
    </row>
    <row r="289" spans="1:36" hidden="1" x14ac:dyDescent="0.2">
      <c r="A289" t="s">
        <v>2184</v>
      </c>
      <c r="B289" t="s">
        <v>161</v>
      </c>
      <c r="C289" t="s">
        <v>2412</v>
      </c>
      <c r="D289" t="s">
        <v>300</v>
      </c>
      <c r="E289">
        <v>261387</v>
      </c>
      <c r="F289" t="s">
        <v>2218</v>
      </c>
      <c r="G289">
        <v>8000</v>
      </c>
      <c r="H289">
        <v>581894</v>
      </c>
      <c r="I289" t="s">
        <v>861</v>
      </c>
      <c r="J289" s="11">
        <v>46184</v>
      </c>
      <c r="K289" s="11">
        <v>46222</v>
      </c>
      <c r="L289" t="s">
        <v>2213</v>
      </c>
      <c r="M289" t="s">
        <v>2205</v>
      </c>
      <c r="N289">
        <v>1000000</v>
      </c>
      <c r="O289">
        <v>1</v>
      </c>
      <c r="P289">
        <v>1000000</v>
      </c>
      <c r="Q289" t="s">
        <v>1987</v>
      </c>
      <c r="R289" t="s">
        <v>2206</v>
      </c>
      <c r="S289">
        <v>1</v>
      </c>
      <c r="T289">
        <v>512820.51289999997</v>
      </c>
      <c r="U289" t="s">
        <v>2206</v>
      </c>
      <c r="V289">
        <v>1</v>
      </c>
      <c r="W289" t="s">
        <v>2180</v>
      </c>
      <c r="X289">
        <v>512820.51289999997</v>
      </c>
      <c r="Y289">
        <v>512820.51289999997</v>
      </c>
      <c r="Z289">
        <v>512820.51289999997</v>
      </c>
      <c r="AC289" s="11">
        <v>46184</v>
      </c>
      <c r="AD289" s="11">
        <v>46222</v>
      </c>
      <c r="AE289" t="s">
        <v>2189</v>
      </c>
      <c r="AF289" t="s">
        <v>2182</v>
      </c>
      <c r="AG289" t="s">
        <v>2183</v>
      </c>
      <c r="AH289">
        <v>2000000.03</v>
      </c>
      <c r="AI289">
        <v>127769</v>
      </c>
      <c r="AJ289" t="s">
        <v>2047</v>
      </c>
    </row>
    <row r="290" spans="1:36" hidden="1" x14ac:dyDescent="0.2">
      <c r="A290" t="s">
        <v>2184</v>
      </c>
      <c r="B290" t="s">
        <v>161</v>
      </c>
      <c r="C290" t="s">
        <v>2412</v>
      </c>
      <c r="D290" t="s">
        <v>300</v>
      </c>
      <c r="E290">
        <v>261387</v>
      </c>
      <c r="F290" t="s">
        <v>2242</v>
      </c>
      <c r="G290">
        <v>8003</v>
      </c>
      <c r="H290">
        <v>581899</v>
      </c>
      <c r="I290" t="s">
        <v>784</v>
      </c>
      <c r="J290" s="11">
        <v>46191</v>
      </c>
      <c r="K290" s="11">
        <v>46191</v>
      </c>
      <c r="L290" t="s">
        <v>2177</v>
      </c>
      <c r="M290" t="s">
        <v>2243</v>
      </c>
      <c r="N290">
        <v>41666.67</v>
      </c>
      <c r="O290">
        <v>6</v>
      </c>
      <c r="P290">
        <v>250000</v>
      </c>
      <c r="Q290" t="s">
        <v>2244</v>
      </c>
      <c r="R290" t="s">
        <v>2206</v>
      </c>
      <c r="S290">
        <v>6</v>
      </c>
      <c r="T290">
        <v>250000</v>
      </c>
      <c r="U290" t="s">
        <v>2206</v>
      </c>
      <c r="V290">
        <v>6</v>
      </c>
      <c r="W290" t="s">
        <v>2180</v>
      </c>
      <c r="X290">
        <v>250000</v>
      </c>
      <c r="Y290">
        <v>250000</v>
      </c>
      <c r="Z290">
        <v>250000</v>
      </c>
      <c r="AA290">
        <v>0</v>
      </c>
      <c r="AB290">
        <v>0</v>
      </c>
      <c r="AC290" s="11">
        <v>46191</v>
      </c>
      <c r="AD290" s="11">
        <v>46191</v>
      </c>
      <c r="AE290" t="s">
        <v>2189</v>
      </c>
      <c r="AF290" t="s">
        <v>2182</v>
      </c>
      <c r="AG290" t="s">
        <v>2183</v>
      </c>
      <c r="AH290">
        <v>2000000.03</v>
      </c>
      <c r="AI290">
        <v>127769</v>
      </c>
      <c r="AJ290" t="s">
        <v>2047</v>
      </c>
    </row>
    <row r="291" spans="1:36" hidden="1" x14ac:dyDescent="0.2">
      <c r="A291" t="s">
        <v>2184</v>
      </c>
      <c r="B291" t="s">
        <v>161</v>
      </c>
      <c r="C291" t="s">
        <v>2412</v>
      </c>
      <c r="D291" t="s">
        <v>300</v>
      </c>
      <c r="E291">
        <v>261387</v>
      </c>
      <c r="F291" t="s">
        <v>2215</v>
      </c>
      <c r="G291">
        <v>8005</v>
      </c>
      <c r="H291">
        <v>595194</v>
      </c>
      <c r="I291" t="s">
        <v>752</v>
      </c>
      <c r="J291" s="11">
        <v>46195</v>
      </c>
      <c r="K291" s="11">
        <v>46222</v>
      </c>
      <c r="L291" t="s">
        <v>2177</v>
      </c>
      <c r="M291" t="s">
        <v>1850</v>
      </c>
      <c r="N291">
        <v>33.75</v>
      </c>
      <c r="O291">
        <v>2853630</v>
      </c>
      <c r="P291">
        <v>0</v>
      </c>
      <c r="Q291" t="s">
        <v>2178</v>
      </c>
      <c r="R291" t="s">
        <v>2179</v>
      </c>
      <c r="S291">
        <v>0</v>
      </c>
      <c r="T291">
        <v>0</v>
      </c>
      <c r="U291" t="s">
        <v>2179</v>
      </c>
      <c r="V291">
        <v>1893917</v>
      </c>
      <c r="W291" t="s">
        <v>2180</v>
      </c>
      <c r="X291">
        <v>0</v>
      </c>
      <c r="Y291">
        <v>0</v>
      </c>
      <c r="Z291">
        <v>0</v>
      </c>
      <c r="AA291">
        <v>1896541</v>
      </c>
      <c r="AB291">
        <v>1893917</v>
      </c>
      <c r="AC291" s="11">
        <v>46195</v>
      </c>
      <c r="AD291" s="11">
        <v>46222</v>
      </c>
      <c r="AE291" t="s">
        <v>2189</v>
      </c>
      <c r="AF291" t="s">
        <v>2182</v>
      </c>
      <c r="AG291" t="s">
        <v>2183</v>
      </c>
      <c r="AH291">
        <v>2000000.03</v>
      </c>
      <c r="AI291">
        <v>127769</v>
      </c>
      <c r="AJ291" t="s">
        <v>2047</v>
      </c>
    </row>
    <row r="292" spans="1:36" hidden="1" x14ac:dyDescent="0.2">
      <c r="A292" t="s">
        <v>2259</v>
      </c>
      <c r="B292" t="s">
        <v>152</v>
      </c>
      <c r="C292" t="s">
        <v>2340</v>
      </c>
      <c r="D292" t="s">
        <v>344</v>
      </c>
      <c r="E292">
        <v>261759</v>
      </c>
      <c r="F292" t="s">
        <v>2215</v>
      </c>
      <c r="G292">
        <v>8005</v>
      </c>
      <c r="H292">
        <v>581831</v>
      </c>
      <c r="I292" t="s">
        <v>641</v>
      </c>
      <c r="J292" s="11">
        <v>46174</v>
      </c>
      <c r="K292" s="11">
        <v>46222</v>
      </c>
      <c r="L292" t="s">
        <v>2223</v>
      </c>
      <c r="M292" t="s">
        <v>1850</v>
      </c>
      <c r="N292">
        <v>40</v>
      </c>
      <c r="O292">
        <v>1800742</v>
      </c>
      <c r="P292">
        <v>72029.679999999993</v>
      </c>
      <c r="Q292" t="s">
        <v>2178</v>
      </c>
      <c r="R292" t="s">
        <v>2179</v>
      </c>
      <c r="S292">
        <v>0</v>
      </c>
      <c r="T292">
        <v>0</v>
      </c>
      <c r="U292" t="s">
        <v>2179</v>
      </c>
      <c r="V292">
        <v>1128511</v>
      </c>
      <c r="W292" t="s">
        <v>2180</v>
      </c>
      <c r="X292">
        <v>45140.44</v>
      </c>
      <c r="Y292">
        <v>45140.44</v>
      </c>
      <c r="Z292">
        <v>45140.44</v>
      </c>
      <c r="AA292">
        <v>1137650</v>
      </c>
      <c r="AB292">
        <v>1128511</v>
      </c>
      <c r="AC292" s="11">
        <v>46174</v>
      </c>
      <c r="AD292" s="11">
        <v>46222</v>
      </c>
      <c r="AE292" t="s">
        <v>2226</v>
      </c>
      <c r="AF292" t="s">
        <v>2182</v>
      </c>
      <c r="AG292" t="s">
        <v>2183</v>
      </c>
      <c r="AH292">
        <v>400000</v>
      </c>
      <c r="AI292">
        <v>129282</v>
      </c>
      <c r="AJ292" t="s">
        <v>2054</v>
      </c>
    </row>
    <row r="293" spans="1:36" hidden="1" x14ac:dyDescent="0.2">
      <c r="A293" t="s">
        <v>2259</v>
      </c>
      <c r="B293" t="s">
        <v>152</v>
      </c>
      <c r="C293" t="s">
        <v>2340</v>
      </c>
      <c r="D293" t="s">
        <v>344</v>
      </c>
      <c r="E293">
        <v>261759</v>
      </c>
      <c r="F293" t="s">
        <v>2217</v>
      </c>
      <c r="G293">
        <v>8004</v>
      </c>
      <c r="H293">
        <v>581834</v>
      </c>
      <c r="I293" t="s">
        <v>816</v>
      </c>
      <c r="J293" s="11">
        <v>46174</v>
      </c>
      <c r="K293" s="11">
        <v>46222</v>
      </c>
      <c r="L293" t="s">
        <v>2177</v>
      </c>
      <c r="M293" t="s">
        <v>1850</v>
      </c>
      <c r="N293">
        <v>6</v>
      </c>
      <c r="O293">
        <v>4500000</v>
      </c>
      <c r="P293">
        <v>27000</v>
      </c>
      <c r="Q293" t="s">
        <v>2178</v>
      </c>
      <c r="R293" t="s">
        <v>2179</v>
      </c>
      <c r="S293">
        <v>0</v>
      </c>
      <c r="T293">
        <v>0</v>
      </c>
      <c r="U293" t="s">
        <v>2179</v>
      </c>
      <c r="V293">
        <v>1926862</v>
      </c>
      <c r="W293" t="s">
        <v>2180</v>
      </c>
      <c r="X293">
        <v>11561.172</v>
      </c>
      <c r="Y293">
        <v>11561.172</v>
      </c>
      <c r="Z293">
        <v>11561.172</v>
      </c>
      <c r="AA293">
        <v>1965690</v>
      </c>
      <c r="AB293">
        <v>1926862</v>
      </c>
      <c r="AC293" s="11">
        <v>46174</v>
      </c>
      <c r="AD293" s="11">
        <v>46222</v>
      </c>
      <c r="AE293" t="s">
        <v>2226</v>
      </c>
      <c r="AF293" t="s">
        <v>2182</v>
      </c>
      <c r="AG293" t="s">
        <v>2183</v>
      </c>
      <c r="AH293">
        <v>400000</v>
      </c>
      <c r="AI293">
        <v>129282</v>
      </c>
      <c r="AJ293" t="s">
        <v>2054</v>
      </c>
    </row>
    <row r="294" spans="1:36" hidden="1" x14ac:dyDescent="0.2">
      <c r="A294" t="s">
        <v>2259</v>
      </c>
      <c r="B294" t="s">
        <v>152</v>
      </c>
      <c r="C294" t="s">
        <v>2340</v>
      </c>
      <c r="D294" t="s">
        <v>344</v>
      </c>
      <c r="E294">
        <v>261759</v>
      </c>
      <c r="F294" t="s">
        <v>2219</v>
      </c>
      <c r="G294">
        <v>7998</v>
      </c>
      <c r="H294">
        <v>581845</v>
      </c>
      <c r="I294" t="s">
        <v>643</v>
      </c>
      <c r="J294" s="11">
        <v>46174</v>
      </c>
      <c r="K294" s="11">
        <v>46222</v>
      </c>
      <c r="L294" t="s">
        <v>2223</v>
      </c>
      <c r="M294" t="s">
        <v>1850</v>
      </c>
      <c r="N294">
        <v>20</v>
      </c>
      <c r="O294">
        <v>9579523</v>
      </c>
      <c r="P294">
        <v>191590.46</v>
      </c>
      <c r="Q294" t="s">
        <v>2178</v>
      </c>
      <c r="R294" t="s">
        <v>2179</v>
      </c>
      <c r="S294">
        <v>0</v>
      </c>
      <c r="T294">
        <v>0</v>
      </c>
      <c r="U294" t="s">
        <v>2179</v>
      </c>
      <c r="V294">
        <v>3481510</v>
      </c>
      <c r="W294" t="s">
        <v>2180</v>
      </c>
      <c r="X294">
        <v>69630.2</v>
      </c>
      <c r="Y294">
        <v>69630.2</v>
      </c>
      <c r="Z294">
        <v>69630.2</v>
      </c>
      <c r="AA294">
        <v>3489001</v>
      </c>
      <c r="AB294">
        <v>3481510</v>
      </c>
      <c r="AC294" s="11">
        <v>46174</v>
      </c>
      <c r="AD294" s="11">
        <v>46222</v>
      </c>
      <c r="AE294" t="s">
        <v>2226</v>
      </c>
      <c r="AF294" t="s">
        <v>2182</v>
      </c>
      <c r="AG294" t="s">
        <v>2183</v>
      </c>
      <c r="AH294">
        <v>400000</v>
      </c>
      <c r="AI294">
        <v>129282</v>
      </c>
      <c r="AJ294" t="s">
        <v>2054</v>
      </c>
    </row>
    <row r="295" spans="1:36" hidden="1" x14ac:dyDescent="0.2">
      <c r="A295" t="s">
        <v>2259</v>
      </c>
      <c r="B295" t="s">
        <v>152</v>
      </c>
      <c r="C295" t="s">
        <v>2340</v>
      </c>
      <c r="D295" t="s">
        <v>344</v>
      </c>
      <c r="E295">
        <v>261759</v>
      </c>
      <c r="F295" t="s">
        <v>2219</v>
      </c>
      <c r="G295">
        <v>7998</v>
      </c>
      <c r="H295">
        <v>590795</v>
      </c>
      <c r="I295" t="s">
        <v>642</v>
      </c>
      <c r="J295" s="11">
        <v>46174</v>
      </c>
      <c r="K295" s="11">
        <v>46199</v>
      </c>
      <c r="L295" t="s">
        <v>2223</v>
      </c>
      <c r="M295" t="s">
        <v>1850</v>
      </c>
      <c r="N295">
        <v>20</v>
      </c>
      <c r="O295">
        <v>4070477</v>
      </c>
      <c r="P295">
        <v>81409.539999999994</v>
      </c>
      <c r="Q295" t="s">
        <v>2178</v>
      </c>
      <c r="R295" t="s">
        <v>2179</v>
      </c>
      <c r="S295">
        <v>0</v>
      </c>
      <c r="T295">
        <v>0</v>
      </c>
      <c r="U295" t="s">
        <v>2179</v>
      </c>
      <c r="V295">
        <v>4070477</v>
      </c>
      <c r="W295" t="s">
        <v>2180</v>
      </c>
      <c r="X295">
        <v>81409.539999999994</v>
      </c>
      <c r="Y295">
        <v>81409.539999999994</v>
      </c>
      <c r="Z295">
        <v>81409.539999999994</v>
      </c>
      <c r="AA295">
        <v>4098424</v>
      </c>
      <c r="AB295">
        <v>4070481</v>
      </c>
      <c r="AC295" s="11">
        <v>46174</v>
      </c>
      <c r="AD295" s="11">
        <v>46199</v>
      </c>
      <c r="AE295" t="s">
        <v>2226</v>
      </c>
      <c r="AF295" t="s">
        <v>2182</v>
      </c>
      <c r="AG295" t="s">
        <v>2183</v>
      </c>
      <c r="AH295">
        <v>400000</v>
      </c>
      <c r="AI295">
        <v>129282</v>
      </c>
      <c r="AJ295" t="s">
        <v>2054</v>
      </c>
    </row>
    <row r="296" spans="1:36" hidden="1" x14ac:dyDescent="0.2">
      <c r="A296" t="s">
        <v>2259</v>
      </c>
      <c r="B296" t="s">
        <v>152</v>
      </c>
      <c r="C296" t="s">
        <v>2340</v>
      </c>
      <c r="D296" t="s">
        <v>344</v>
      </c>
      <c r="E296">
        <v>261759</v>
      </c>
      <c r="F296" t="s">
        <v>2215</v>
      </c>
      <c r="G296">
        <v>8005</v>
      </c>
      <c r="H296">
        <v>590798</v>
      </c>
      <c r="I296" t="s">
        <v>640</v>
      </c>
      <c r="J296" s="11">
        <v>46174</v>
      </c>
      <c r="K296" s="11">
        <v>46199</v>
      </c>
      <c r="L296" t="s">
        <v>2223</v>
      </c>
      <c r="M296" t="s">
        <v>1850</v>
      </c>
      <c r="N296">
        <v>40</v>
      </c>
      <c r="O296">
        <v>699258</v>
      </c>
      <c r="P296">
        <v>27970.32</v>
      </c>
      <c r="Q296" t="s">
        <v>2178</v>
      </c>
      <c r="R296" t="s">
        <v>2179</v>
      </c>
      <c r="S296">
        <v>0</v>
      </c>
      <c r="T296">
        <v>0</v>
      </c>
      <c r="U296" t="s">
        <v>2179</v>
      </c>
      <c r="V296">
        <v>697719</v>
      </c>
      <c r="W296" t="s">
        <v>2180</v>
      </c>
      <c r="X296">
        <v>27908.76</v>
      </c>
      <c r="Y296">
        <v>27908.76</v>
      </c>
      <c r="Z296">
        <v>27908.76</v>
      </c>
      <c r="AA296">
        <v>699301</v>
      </c>
      <c r="AB296">
        <v>697719</v>
      </c>
      <c r="AC296" s="11">
        <v>46174</v>
      </c>
      <c r="AD296" s="11">
        <v>46199</v>
      </c>
      <c r="AE296" t="s">
        <v>2226</v>
      </c>
      <c r="AF296" t="s">
        <v>2182</v>
      </c>
      <c r="AG296" t="s">
        <v>2183</v>
      </c>
      <c r="AH296">
        <v>400000</v>
      </c>
      <c r="AI296">
        <v>129282</v>
      </c>
      <c r="AJ296" t="s">
        <v>2054</v>
      </c>
    </row>
    <row r="297" spans="1:36" hidden="1" x14ac:dyDescent="0.2">
      <c r="A297" t="s">
        <v>2267</v>
      </c>
      <c r="B297" t="s">
        <v>188</v>
      </c>
      <c r="C297" t="s">
        <v>2268</v>
      </c>
      <c r="D297" t="s">
        <v>353</v>
      </c>
      <c r="E297">
        <v>261931</v>
      </c>
      <c r="F297" t="s">
        <v>2215</v>
      </c>
      <c r="G297">
        <v>8005</v>
      </c>
      <c r="H297">
        <v>582202</v>
      </c>
      <c r="I297" t="s">
        <v>654</v>
      </c>
      <c r="J297" s="11">
        <v>46174</v>
      </c>
      <c r="K297" s="11">
        <v>46222</v>
      </c>
      <c r="L297" t="s">
        <v>2254</v>
      </c>
      <c r="M297" t="s">
        <v>1850</v>
      </c>
      <c r="N297">
        <v>40</v>
      </c>
      <c r="O297">
        <v>13385000</v>
      </c>
      <c r="P297">
        <v>535400</v>
      </c>
      <c r="Q297" t="s">
        <v>2178</v>
      </c>
      <c r="R297" t="s">
        <v>2179</v>
      </c>
      <c r="S297">
        <v>0</v>
      </c>
      <c r="T297">
        <v>0</v>
      </c>
      <c r="U297" t="s">
        <v>2179</v>
      </c>
      <c r="V297">
        <v>8674835</v>
      </c>
      <c r="W297" t="s">
        <v>2180</v>
      </c>
      <c r="X297">
        <v>346993.4</v>
      </c>
      <c r="Y297">
        <v>346993.4</v>
      </c>
      <c r="Z297">
        <v>346993.4</v>
      </c>
      <c r="AA297">
        <v>8895334</v>
      </c>
      <c r="AB297">
        <v>8674835</v>
      </c>
      <c r="AC297" s="11">
        <v>46174</v>
      </c>
      <c r="AD297" s="11">
        <v>46222</v>
      </c>
      <c r="AE297" t="s">
        <v>2222</v>
      </c>
      <c r="AF297" t="s">
        <v>2182</v>
      </c>
      <c r="AG297" t="s">
        <v>2183</v>
      </c>
      <c r="AH297">
        <v>2430400</v>
      </c>
      <c r="AI297">
        <v>128503</v>
      </c>
      <c r="AJ297" t="s">
        <v>2039</v>
      </c>
    </row>
    <row r="298" spans="1:36" hidden="1" x14ac:dyDescent="0.2">
      <c r="A298" t="s">
        <v>2267</v>
      </c>
      <c r="B298" t="s">
        <v>188</v>
      </c>
      <c r="C298" t="s">
        <v>2268</v>
      </c>
      <c r="D298" t="s">
        <v>353</v>
      </c>
      <c r="E298">
        <v>261931</v>
      </c>
      <c r="F298" t="s">
        <v>2218</v>
      </c>
      <c r="G298">
        <v>8000</v>
      </c>
      <c r="H298">
        <v>582204</v>
      </c>
      <c r="I298" t="s">
        <v>857</v>
      </c>
      <c r="J298" s="11">
        <v>46174</v>
      </c>
      <c r="K298" s="11">
        <v>46222</v>
      </c>
      <c r="L298" t="s">
        <v>2213</v>
      </c>
      <c r="M298" t="s">
        <v>2205</v>
      </c>
      <c r="N298">
        <v>1895000</v>
      </c>
      <c r="O298">
        <v>3</v>
      </c>
      <c r="P298">
        <v>1895000</v>
      </c>
      <c r="Q298" t="s">
        <v>1987</v>
      </c>
      <c r="R298" t="s">
        <v>2206</v>
      </c>
      <c r="S298">
        <v>2</v>
      </c>
      <c r="T298">
        <v>1160204.0819999999</v>
      </c>
      <c r="U298" t="s">
        <v>2206</v>
      </c>
      <c r="V298">
        <v>2</v>
      </c>
      <c r="W298" t="s">
        <v>2180</v>
      </c>
      <c r="X298">
        <v>1160204.0819999999</v>
      </c>
      <c r="Y298">
        <v>1160204.0817</v>
      </c>
      <c r="Z298">
        <v>1160204.0817</v>
      </c>
      <c r="AC298" s="11">
        <v>46174</v>
      </c>
      <c r="AD298" s="11">
        <v>46222</v>
      </c>
      <c r="AE298" t="s">
        <v>2222</v>
      </c>
      <c r="AF298" t="s">
        <v>2182</v>
      </c>
      <c r="AG298" t="s">
        <v>2183</v>
      </c>
      <c r="AH298">
        <v>2430400</v>
      </c>
      <c r="AI298">
        <v>128503</v>
      </c>
      <c r="AJ298" t="s">
        <v>2039</v>
      </c>
    </row>
    <row r="299" spans="1:36" hidden="1" x14ac:dyDescent="0.2">
      <c r="A299" t="s">
        <v>2267</v>
      </c>
      <c r="B299" t="s">
        <v>188</v>
      </c>
      <c r="C299" t="s">
        <v>2268</v>
      </c>
      <c r="D299" t="s">
        <v>359</v>
      </c>
      <c r="E299">
        <v>262034</v>
      </c>
      <c r="F299" t="s">
        <v>2215</v>
      </c>
      <c r="G299">
        <v>8005</v>
      </c>
      <c r="H299">
        <v>582096</v>
      </c>
      <c r="I299" t="s">
        <v>662</v>
      </c>
      <c r="J299" s="11">
        <v>46174</v>
      </c>
      <c r="K299" s="11">
        <v>46222</v>
      </c>
      <c r="L299" t="s">
        <v>2254</v>
      </c>
      <c r="M299" t="s">
        <v>1850</v>
      </c>
      <c r="N299">
        <v>40</v>
      </c>
      <c r="O299">
        <v>2825000</v>
      </c>
      <c r="P299">
        <v>113000</v>
      </c>
      <c r="Q299" t="s">
        <v>2178</v>
      </c>
      <c r="R299" t="s">
        <v>2179</v>
      </c>
      <c r="S299">
        <v>0</v>
      </c>
      <c r="T299">
        <v>0</v>
      </c>
      <c r="U299" t="s">
        <v>2179</v>
      </c>
      <c r="V299">
        <v>1928920</v>
      </c>
      <c r="W299" t="s">
        <v>2180</v>
      </c>
      <c r="X299">
        <v>77156.800000000003</v>
      </c>
      <c r="Y299">
        <v>77156.800000000003</v>
      </c>
      <c r="Z299">
        <v>77156.800000000003</v>
      </c>
      <c r="AA299">
        <v>2005227</v>
      </c>
      <c r="AB299">
        <v>1928920</v>
      </c>
      <c r="AC299" s="11">
        <v>46174</v>
      </c>
      <c r="AD299" s="11">
        <v>46222</v>
      </c>
      <c r="AE299" t="s">
        <v>2222</v>
      </c>
      <c r="AF299" t="s">
        <v>2182</v>
      </c>
      <c r="AG299" t="s">
        <v>2183</v>
      </c>
      <c r="AH299">
        <v>172000</v>
      </c>
      <c r="AI299">
        <v>128500</v>
      </c>
      <c r="AJ299" t="s">
        <v>2039</v>
      </c>
    </row>
    <row r="300" spans="1:36" hidden="1" x14ac:dyDescent="0.2">
      <c r="A300" t="s">
        <v>2267</v>
      </c>
      <c r="B300" t="s">
        <v>188</v>
      </c>
      <c r="C300" t="s">
        <v>2268</v>
      </c>
      <c r="D300" t="s">
        <v>359</v>
      </c>
      <c r="E300">
        <v>262034</v>
      </c>
      <c r="F300" t="s">
        <v>2218</v>
      </c>
      <c r="G300">
        <v>8000</v>
      </c>
      <c r="H300">
        <v>582113</v>
      </c>
      <c r="I300" t="s">
        <v>890</v>
      </c>
      <c r="J300" s="11">
        <v>46174</v>
      </c>
      <c r="K300" s="11">
        <v>46222</v>
      </c>
      <c r="L300" t="s">
        <v>2213</v>
      </c>
      <c r="M300" t="s">
        <v>2205</v>
      </c>
      <c r="N300">
        <v>59000</v>
      </c>
      <c r="O300">
        <v>3</v>
      </c>
      <c r="P300">
        <v>59000</v>
      </c>
      <c r="Q300" t="s">
        <v>1987</v>
      </c>
      <c r="R300" t="s">
        <v>2206</v>
      </c>
      <c r="S300">
        <v>2</v>
      </c>
      <c r="T300">
        <v>36122.449000000001</v>
      </c>
      <c r="U300" t="s">
        <v>2206</v>
      </c>
      <c r="V300">
        <v>2</v>
      </c>
      <c r="W300" t="s">
        <v>2180</v>
      </c>
      <c r="X300">
        <v>36122.449000000001</v>
      </c>
      <c r="Y300">
        <v>36122.449000000001</v>
      </c>
      <c r="Z300">
        <v>36122.449000000001</v>
      </c>
      <c r="AC300" s="11">
        <v>46174</v>
      </c>
      <c r="AD300" s="11">
        <v>46222</v>
      </c>
      <c r="AE300" t="s">
        <v>2222</v>
      </c>
      <c r="AF300" t="s">
        <v>2182</v>
      </c>
      <c r="AG300" t="s">
        <v>2183</v>
      </c>
      <c r="AH300">
        <v>172000</v>
      </c>
      <c r="AI300">
        <v>128500</v>
      </c>
      <c r="AJ300" t="s">
        <v>2039</v>
      </c>
    </row>
    <row r="301" spans="1:36" hidden="1" x14ac:dyDescent="0.2">
      <c r="A301" t="s">
        <v>2413</v>
      </c>
      <c r="B301" t="s">
        <v>99</v>
      </c>
      <c r="C301" t="s">
        <v>2414</v>
      </c>
      <c r="D301" t="s">
        <v>370</v>
      </c>
      <c r="E301">
        <v>262385</v>
      </c>
      <c r="F301" t="s">
        <v>2274</v>
      </c>
      <c r="G301">
        <v>7950</v>
      </c>
      <c r="H301">
        <v>565285</v>
      </c>
      <c r="I301" t="s">
        <v>689</v>
      </c>
      <c r="J301" s="11">
        <v>46174</v>
      </c>
      <c r="K301" s="11">
        <v>46201</v>
      </c>
      <c r="L301" t="s">
        <v>2213</v>
      </c>
      <c r="M301" t="s">
        <v>1850</v>
      </c>
      <c r="N301">
        <v>21.25</v>
      </c>
      <c r="O301">
        <v>9882353</v>
      </c>
      <c r="P301">
        <v>210000.01</v>
      </c>
      <c r="Q301" t="s">
        <v>2178</v>
      </c>
      <c r="R301" t="s">
        <v>2179</v>
      </c>
      <c r="S301">
        <v>0</v>
      </c>
      <c r="T301">
        <v>0</v>
      </c>
      <c r="U301" t="s">
        <v>2179</v>
      </c>
      <c r="V301">
        <v>9882353</v>
      </c>
      <c r="W301" t="s">
        <v>2180</v>
      </c>
      <c r="X301">
        <v>210000.01</v>
      </c>
      <c r="Y301">
        <v>210000.01</v>
      </c>
      <c r="Z301">
        <v>210000.01</v>
      </c>
      <c r="AA301">
        <v>10108533</v>
      </c>
      <c r="AB301">
        <v>0</v>
      </c>
      <c r="AC301" s="11">
        <v>46174</v>
      </c>
      <c r="AD301" s="11">
        <v>46201</v>
      </c>
      <c r="AE301" t="s">
        <v>2266</v>
      </c>
      <c r="AF301" t="s">
        <v>2182</v>
      </c>
      <c r="AG301" t="s">
        <v>2183</v>
      </c>
      <c r="AH301">
        <v>250000.03</v>
      </c>
      <c r="AI301">
        <v>129821</v>
      </c>
      <c r="AJ301" t="s">
        <v>2062</v>
      </c>
    </row>
    <row r="302" spans="1:36" hidden="1" x14ac:dyDescent="0.2">
      <c r="A302" t="s">
        <v>2413</v>
      </c>
      <c r="B302" t="s">
        <v>99</v>
      </c>
      <c r="C302" t="s">
        <v>2414</v>
      </c>
      <c r="D302" t="s">
        <v>370</v>
      </c>
      <c r="E302">
        <v>262385</v>
      </c>
      <c r="H302">
        <v>565482</v>
      </c>
      <c r="I302" t="s">
        <v>690</v>
      </c>
      <c r="J302" s="11">
        <v>46174</v>
      </c>
      <c r="K302" s="11">
        <v>46201</v>
      </c>
      <c r="L302" t="s">
        <v>2213</v>
      </c>
      <c r="M302" t="s">
        <v>1850</v>
      </c>
      <c r="N302">
        <v>30</v>
      </c>
      <c r="O302">
        <v>1333334</v>
      </c>
      <c r="P302">
        <v>40000.019999999997</v>
      </c>
      <c r="Q302" t="s">
        <v>2178</v>
      </c>
      <c r="R302" t="s">
        <v>2179</v>
      </c>
      <c r="S302">
        <v>0</v>
      </c>
      <c r="T302">
        <v>0</v>
      </c>
      <c r="U302" t="s">
        <v>2179</v>
      </c>
      <c r="V302">
        <v>1133108</v>
      </c>
      <c r="W302" t="s">
        <v>2180</v>
      </c>
      <c r="X302">
        <v>33993.24</v>
      </c>
      <c r="Y302">
        <v>33993.24</v>
      </c>
      <c r="Z302">
        <v>33993.24</v>
      </c>
      <c r="AA302">
        <v>1133108</v>
      </c>
      <c r="AC302" s="11">
        <v>46174</v>
      </c>
      <c r="AD302" s="11">
        <v>46201</v>
      </c>
      <c r="AE302" t="s">
        <v>2266</v>
      </c>
      <c r="AF302" t="s">
        <v>2182</v>
      </c>
      <c r="AG302" t="s">
        <v>2183</v>
      </c>
      <c r="AH302">
        <v>250000.03</v>
      </c>
      <c r="AI302">
        <v>129821</v>
      </c>
      <c r="AJ302" t="s">
        <v>2062</v>
      </c>
    </row>
    <row r="303" spans="1:36" hidden="1" x14ac:dyDescent="0.2">
      <c r="A303" t="s">
        <v>2415</v>
      </c>
      <c r="B303" t="s">
        <v>160</v>
      </c>
      <c r="C303" t="s">
        <v>2416</v>
      </c>
      <c r="D303" t="s">
        <v>298</v>
      </c>
      <c r="E303">
        <v>262576</v>
      </c>
      <c r="F303" t="s">
        <v>2215</v>
      </c>
      <c r="G303">
        <v>8005</v>
      </c>
      <c r="H303">
        <v>582343</v>
      </c>
      <c r="I303" t="s">
        <v>543</v>
      </c>
      <c r="J303" s="11">
        <v>46174</v>
      </c>
      <c r="K303" s="11">
        <v>46222</v>
      </c>
      <c r="M303" t="s">
        <v>1850</v>
      </c>
      <c r="N303">
        <v>40</v>
      </c>
      <c r="O303">
        <v>15000000</v>
      </c>
      <c r="P303">
        <v>600000</v>
      </c>
      <c r="Q303" t="s">
        <v>2178</v>
      </c>
      <c r="R303" t="s">
        <v>2179</v>
      </c>
      <c r="S303">
        <v>0</v>
      </c>
      <c r="T303">
        <v>0</v>
      </c>
      <c r="U303" t="s">
        <v>2179</v>
      </c>
      <c r="V303">
        <v>10012667</v>
      </c>
      <c r="W303" t="s">
        <v>2180</v>
      </c>
      <c r="X303">
        <v>400506.68</v>
      </c>
      <c r="Y303">
        <v>400506.68</v>
      </c>
      <c r="Z303">
        <v>400506.68</v>
      </c>
      <c r="AA303">
        <v>10012667</v>
      </c>
      <c r="AB303">
        <v>0</v>
      </c>
      <c r="AC303" s="11">
        <v>46174</v>
      </c>
      <c r="AD303" s="11">
        <v>46222</v>
      </c>
      <c r="AE303" t="s">
        <v>2287</v>
      </c>
      <c r="AF303" t="s">
        <v>2182</v>
      </c>
      <c r="AG303" t="s">
        <v>2183</v>
      </c>
      <c r="AH303">
        <v>2000000.01</v>
      </c>
      <c r="AI303">
        <v>127799</v>
      </c>
      <c r="AJ303" t="s">
        <v>2042</v>
      </c>
    </row>
    <row r="304" spans="1:36" hidden="1" x14ac:dyDescent="0.2">
      <c r="A304" t="s">
        <v>2415</v>
      </c>
      <c r="B304" t="s">
        <v>160</v>
      </c>
      <c r="C304" t="s">
        <v>2416</v>
      </c>
      <c r="D304" t="s">
        <v>298</v>
      </c>
      <c r="E304">
        <v>262576</v>
      </c>
      <c r="F304" t="s">
        <v>2217</v>
      </c>
      <c r="G304">
        <v>8004</v>
      </c>
      <c r="H304">
        <v>582348</v>
      </c>
      <c r="I304" t="s">
        <v>785</v>
      </c>
      <c r="J304" s="11">
        <v>46174</v>
      </c>
      <c r="K304" s="11">
        <v>46222</v>
      </c>
      <c r="M304" t="s">
        <v>1850</v>
      </c>
      <c r="N304">
        <v>6</v>
      </c>
      <c r="O304">
        <v>33333334</v>
      </c>
      <c r="P304">
        <v>200000</v>
      </c>
      <c r="Q304" t="s">
        <v>2178</v>
      </c>
      <c r="R304" t="s">
        <v>2206</v>
      </c>
      <c r="S304">
        <v>20408164</v>
      </c>
      <c r="T304">
        <v>122448.97960000001</v>
      </c>
      <c r="U304" t="s">
        <v>2206</v>
      </c>
      <c r="V304">
        <v>20408164</v>
      </c>
      <c r="W304" t="s">
        <v>2180</v>
      </c>
      <c r="X304">
        <v>122448.97960000001</v>
      </c>
      <c r="Y304">
        <v>122448.97960000001</v>
      </c>
      <c r="Z304">
        <v>122448.97960000001</v>
      </c>
      <c r="AA304">
        <v>14401166</v>
      </c>
      <c r="AB304">
        <v>0</v>
      </c>
      <c r="AC304" s="11">
        <v>46174</v>
      </c>
      <c r="AD304" s="11">
        <v>46222</v>
      </c>
      <c r="AE304" t="s">
        <v>2287</v>
      </c>
      <c r="AF304" t="s">
        <v>2182</v>
      </c>
      <c r="AG304" t="s">
        <v>2183</v>
      </c>
      <c r="AH304">
        <v>2000000.01</v>
      </c>
      <c r="AI304">
        <v>127799</v>
      </c>
      <c r="AJ304" t="s">
        <v>2042</v>
      </c>
    </row>
    <row r="305" spans="1:36" hidden="1" x14ac:dyDescent="0.2">
      <c r="A305" t="s">
        <v>2415</v>
      </c>
      <c r="B305" t="s">
        <v>160</v>
      </c>
      <c r="C305" t="s">
        <v>2416</v>
      </c>
      <c r="D305" t="s">
        <v>298</v>
      </c>
      <c r="E305">
        <v>262576</v>
      </c>
      <c r="F305" t="s">
        <v>2216</v>
      </c>
      <c r="G305">
        <v>8002</v>
      </c>
      <c r="H305">
        <v>582415</v>
      </c>
      <c r="I305" t="s">
        <v>545</v>
      </c>
      <c r="J305" s="11">
        <v>46174</v>
      </c>
      <c r="K305" s="11">
        <v>46222</v>
      </c>
      <c r="M305" t="s">
        <v>1850</v>
      </c>
      <c r="N305">
        <v>25</v>
      </c>
      <c r="O305">
        <v>1000000</v>
      </c>
      <c r="P305">
        <v>25000</v>
      </c>
      <c r="R305" t="s">
        <v>2179</v>
      </c>
      <c r="S305">
        <v>0</v>
      </c>
      <c r="T305">
        <v>0</v>
      </c>
      <c r="U305" t="s">
        <v>2179</v>
      </c>
      <c r="V305">
        <v>446951</v>
      </c>
      <c r="W305" t="s">
        <v>2180</v>
      </c>
      <c r="X305">
        <v>11173.775</v>
      </c>
      <c r="Y305">
        <v>11173.775</v>
      </c>
      <c r="Z305">
        <v>11173.775</v>
      </c>
      <c r="AA305">
        <v>446951</v>
      </c>
      <c r="AB305">
        <v>0</v>
      </c>
      <c r="AC305" s="11">
        <v>46174</v>
      </c>
      <c r="AD305" s="11">
        <v>46222</v>
      </c>
      <c r="AE305" t="s">
        <v>2287</v>
      </c>
      <c r="AF305" t="s">
        <v>2182</v>
      </c>
      <c r="AG305" t="s">
        <v>2183</v>
      </c>
      <c r="AH305">
        <v>2000000.01</v>
      </c>
      <c r="AI305">
        <v>127799</v>
      </c>
      <c r="AJ305" t="s">
        <v>2042</v>
      </c>
    </row>
    <row r="306" spans="1:36" hidden="1" x14ac:dyDescent="0.2">
      <c r="A306" t="s">
        <v>2415</v>
      </c>
      <c r="B306" t="s">
        <v>160</v>
      </c>
      <c r="C306" t="s">
        <v>2416</v>
      </c>
      <c r="D306" t="s">
        <v>298</v>
      </c>
      <c r="E306">
        <v>262576</v>
      </c>
      <c r="F306" t="s">
        <v>2219</v>
      </c>
      <c r="G306">
        <v>7998</v>
      </c>
      <c r="H306">
        <v>582417</v>
      </c>
      <c r="I306" t="s">
        <v>544</v>
      </c>
      <c r="J306" s="11">
        <v>46174</v>
      </c>
      <c r="K306" s="11">
        <v>46222</v>
      </c>
      <c r="M306" t="s">
        <v>1850</v>
      </c>
      <c r="N306">
        <v>20</v>
      </c>
      <c r="O306">
        <v>23750000</v>
      </c>
      <c r="P306">
        <v>475000</v>
      </c>
      <c r="Q306" t="s">
        <v>2178</v>
      </c>
      <c r="R306" t="s">
        <v>2179</v>
      </c>
      <c r="S306">
        <v>0</v>
      </c>
      <c r="T306">
        <v>0</v>
      </c>
      <c r="U306" t="s">
        <v>2179</v>
      </c>
      <c r="V306">
        <v>16748183</v>
      </c>
      <c r="W306" t="s">
        <v>2180</v>
      </c>
      <c r="X306">
        <v>334963.65999999997</v>
      </c>
      <c r="Y306">
        <v>334963.65999999997</v>
      </c>
      <c r="Z306">
        <v>334963.65999999997</v>
      </c>
      <c r="AA306">
        <v>16748183</v>
      </c>
      <c r="AB306">
        <v>0</v>
      </c>
      <c r="AC306" s="11">
        <v>46174</v>
      </c>
      <c r="AD306" s="11">
        <v>46222</v>
      </c>
      <c r="AE306" t="s">
        <v>2287</v>
      </c>
      <c r="AF306" t="s">
        <v>2182</v>
      </c>
      <c r="AG306" t="s">
        <v>2183</v>
      </c>
      <c r="AH306">
        <v>2000000.01</v>
      </c>
      <c r="AI306">
        <v>127799</v>
      </c>
      <c r="AJ306" t="s">
        <v>2042</v>
      </c>
    </row>
    <row r="307" spans="1:36" hidden="1" x14ac:dyDescent="0.2">
      <c r="A307" t="s">
        <v>2415</v>
      </c>
      <c r="B307" t="s">
        <v>160</v>
      </c>
      <c r="C307" t="s">
        <v>2416</v>
      </c>
      <c r="D307" t="s">
        <v>298</v>
      </c>
      <c r="E307">
        <v>262576</v>
      </c>
      <c r="F307" t="s">
        <v>2218</v>
      </c>
      <c r="G307">
        <v>8000</v>
      </c>
      <c r="H307">
        <v>582420</v>
      </c>
      <c r="I307" t="s">
        <v>859</v>
      </c>
      <c r="J307" s="11">
        <v>46174</v>
      </c>
      <c r="K307" s="11">
        <v>46222</v>
      </c>
      <c r="M307" t="s">
        <v>1852</v>
      </c>
      <c r="N307">
        <v>0.15</v>
      </c>
      <c r="O307">
        <v>2000000</v>
      </c>
      <c r="P307">
        <v>300000</v>
      </c>
      <c r="Q307" t="s">
        <v>2262</v>
      </c>
      <c r="R307" t="s">
        <v>2206</v>
      </c>
      <c r="S307">
        <v>1224490</v>
      </c>
      <c r="T307">
        <v>183673.4694</v>
      </c>
      <c r="U307" t="s">
        <v>2206</v>
      </c>
      <c r="V307">
        <v>1224490</v>
      </c>
      <c r="W307" t="s">
        <v>2180</v>
      </c>
      <c r="X307">
        <v>183673.4694</v>
      </c>
      <c r="Y307">
        <v>183673.4694</v>
      </c>
      <c r="Z307">
        <v>183673.4694</v>
      </c>
      <c r="AC307" s="11">
        <v>46174</v>
      </c>
      <c r="AD307" s="11">
        <v>46222</v>
      </c>
      <c r="AE307" t="s">
        <v>2287</v>
      </c>
      <c r="AF307" t="s">
        <v>2182</v>
      </c>
      <c r="AG307" t="s">
        <v>2183</v>
      </c>
      <c r="AH307">
        <v>2000000.01</v>
      </c>
      <c r="AI307">
        <v>127799</v>
      </c>
      <c r="AJ307" t="s">
        <v>2042</v>
      </c>
    </row>
    <row r="308" spans="1:36" hidden="1" x14ac:dyDescent="0.2">
      <c r="A308" t="s">
        <v>2267</v>
      </c>
      <c r="B308" t="s">
        <v>188</v>
      </c>
      <c r="C308" t="s">
        <v>2268</v>
      </c>
      <c r="D308" t="s">
        <v>422</v>
      </c>
      <c r="E308">
        <v>262910</v>
      </c>
      <c r="F308" t="s">
        <v>2417</v>
      </c>
      <c r="G308">
        <v>7997</v>
      </c>
      <c r="H308">
        <v>570181</v>
      </c>
      <c r="I308" t="s">
        <v>841</v>
      </c>
      <c r="J308" s="11">
        <v>46074</v>
      </c>
      <c r="K308" s="11">
        <v>46383</v>
      </c>
      <c r="L308" t="s">
        <v>2213</v>
      </c>
      <c r="M308" t="s">
        <v>2205</v>
      </c>
      <c r="N308">
        <v>100000</v>
      </c>
      <c r="O308">
        <v>0</v>
      </c>
      <c r="P308">
        <v>100000</v>
      </c>
      <c r="Q308" t="s">
        <v>1987</v>
      </c>
      <c r="R308" t="s">
        <v>2206</v>
      </c>
      <c r="S308">
        <v>0</v>
      </c>
      <c r="T308">
        <v>9677.4192999999996</v>
      </c>
      <c r="U308" t="s">
        <v>2206</v>
      </c>
      <c r="V308">
        <v>0</v>
      </c>
      <c r="W308" t="s">
        <v>2180</v>
      </c>
      <c r="X308">
        <v>9090.9143000000004</v>
      </c>
      <c r="Y308">
        <v>9090.9143000000004</v>
      </c>
      <c r="Z308">
        <v>9090.9143000000004</v>
      </c>
      <c r="AC308" s="11">
        <v>46074</v>
      </c>
      <c r="AD308" s="11">
        <v>46383</v>
      </c>
      <c r="AE308" t="s">
        <v>2222</v>
      </c>
      <c r="AF308" t="s">
        <v>2182</v>
      </c>
      <c r="AG308" t="s">
        <v>2183</v>
      </c>
      <c r="AH308">
        <v>99999.99</v>
      </c>
      <c r="AI308">
        <v>118413</v>
      </c>
      <c r="AJ308" t="s">
        <v>2039</v>
      </c>
    </row>
    <row r="309" spans="1:36" hidden="1" x14ac:dyDescent="0.2">
      <c r="A309" t="s">
        <v>2321</v>
      </c>
      <c r="B309" t="s">
        <v>174</v>
      </c>
      <c r="C309" t="s">
        <v>2418</v>
      </c>
      <c r="D309" t="s">
        <v>323</v>
      </c>
      <c r="E309">
        <v>263026</v>
      </c>
      <c r="F309" t="s">
        <v>2215</v>
      </c>
      <c r="G309">
        <v>8005</v>
      </c>
      <c r="H309">
        <v>584032</v>
      </c>
      <c r="I309" t="s">
        <v>596</v>
      </c>
      <c r="J309" s="11">
        <v>46181</v>
      </c>
      <c r="K309" s="11">
        <v>46222</v>
      </c>
      <c r="L309" t="s">
        <v>2223</v>
      </c>
      <c r="M309" t="s">
        <v>1850</v>
      </c>
      <c r="N309">
        <v>43</v>
      </c>
      <c r="O309">
        <v>5232559</v>
      </c>
      <c r="P309">
        <v>225000.04</v>
      </c>
      <c r="Q309" t="s">
        <v>2178</v>
      </c>
      <c r="R309" t="s">
        <v>2179</v>
      </c>
      <c r="S309">
        <v>0</v>
      </c>
      <c r="T309">
        <v>0</v>
      </c>
      <c r="U309" t="s">
        <v>2179</v>
      </c>
      <c r="V309">
        <v>3556694</v>
      </c>
      <c r="W309" t="s">
        <v>2180</v>
      </c>
      <c r="X309">
        <v>152937.842</v>
      </c>
      <c r="Y309">
        <v>152937.842</v>
      </c>
      <c r="Z309">
        <v>152937.842</v>
      </c>
      <c r="AA309">
        <v>3545562</v>
      </c>
      <c r="AB309">
        <v>3556694</v>
      </c>
      <c r="AC309" s="11">
        <v>46181</v>
      </c>
      <c r="AD309" s="11">
        <v>46222</v>
      </c>
      <c r="AE309" t="s">
        <v>2266</v>
      </c>
      <c r="AF309" t="s">
        <v>2182</v>
      </c>
      <c r="AG309" t="s">
        <v>2183</v>
      </c>
      <c r="AH309">
        <v>450000.07</v>
      </c>
      <c r="AI309">
        <v>128371</v>
      </c>
      <c r="AJ309" t="s">
        <v>2062</v>
      </c>
    </row>
    <row r="310" spans="1:36" hidden="1" x14ac:dyDescent="0.2">
      <c r="A310" t="s">
        <v>2321</v>
      </c>
      <c r="B310" t="s">
        <v>174</v>
      </c>
      <c r="C310" t="s">
        <v>2418</v>
      </c>
      <c r="D310" t="s">
        <v>323</v>
      </c>
      <c r="E310">
        <v>263026</v>
      </c>
      <c r="F310" t="s">
        <v>2219</v>
      </c>
      <c r="G310">
        <v>7998</v>
      </c>
      <c r="H310">
        <v>586134</v>
      </c>
      <c r="I310" t="s">
        <v>595</v>
      </c>
      <c r="J310" s="11">
        <v>46181</v>
      </c>
      <c r="K310" s="11">
        <v>46236</v>
      </c>
      <c r="L310" t="s">
        <v>2223</v>
      </c>
      <c r="M310" t="s">
        <v>1850</v>
      </c>
      <c r="N310">
        <v>14.46</v>
      </c>
      <c r="O310">
        <v>15560167</v>
      </c>
      <c r="P310">
        <v>225000.02</v>
      </c>
      <c r="Q310" t="s">
        <v>2178</v>
      </c>
      <c r="R310" t="s">
        <v>2179</v>
      </c>
      <c r="S310">
        <v>0</v>
      </c>
      <c r="T310">
        <v>0</v>
      </c>
      <c r="U310" t="s">
        <v>2179</v>
      </c>
      <c r="V310">
        <v>6278807</v>
      </c>
      <c r="W310" t="s">
        <v>2180</v>
      </c>
      <c r="X310">
        <v>90791.549199999994</v>
      </c>
      <c r="Y310">
        <v>90791.549199999994</v>
      </c>
      <c r="Z310">
        <v>90791.549199999994</v>
      </c>
      <c r="AA310">
        <v>6254151</v>
      </c>
      <c r="AB310">
        <v>6278807</v>
      </c>
      <c r="AC310" s="11">
        <v>46181</v>
      </c>
      <c r="AD310" s="11">
        <v>46236</v>
      </c>
      <c r="AE310" t="s">
        <v>2266</v>
      </c>
      <c r="AF310" t="s">
        <v>2182</v>
      </c>
      <c r="AG310" t="s">
        <v>2183</v>
      </c>
      <c r="AH310">
        <v>450000.07</v>
      </c>
      <c r="AI310">
        <v>128371</v>
      </c>
      <c r="AJ310" t="s">
        <v>2062</v>
      </c>
    </row>
    <row r="311" spans="1:36" hidden="1" x14ac:dyDescent="0.2">
      <c r="A311" t="s">
        <v>2348</v>
      </c>
      <c r="B311" t="s">
        <v>114</v>
      </c>
      <c r="C311" t="s">
        <v>2381</v>
      </c>
      <c r="D311" t="s">
        <v>254</v>
      </c>
      <c r="E311">
        <v>264043</v>
      </c>
      <c r="F311" t="s">
        <v>2212</v>
      </c>
      <c r="G311">
        <v>2789</v>
      </c>
      <c r="H311">
        <v>578383</v>
      </c>
      <c r="I311" t="s">
        <v>468</v>
      </c>
      <c r="J311" s="11">
        <v>46113</v>
      </c>
      <c r="K311" s="11">
        <v>46203</v>
      </c>
      <c r="L311" t="s">
        <v>2223</v>
      </c>
      <c r="M311" t="s">
        <v>1850</v>
      </c>
      <c r="N311">
        <v>13.6</v>
      </c>
      <c r="O311">
        <v>18529412</v>
      </c>
      <c r="P311">
        <v>252000</v>
      </c>
      <c r="R311" t="s">
        <v>2179</v>
      </c>
      <c r="S311">
        <v>0</v>
      </c>
      <c r="T311">
        <v>0</v>
      </c>
      <c r="U311" t="s">
        <v>2179</v>
      </c>
      <c r="V311">
        <v>5852568</v>
      </c>
      <c r="W311" t="s">
        <v>2180</v>
      </c>
      <c r="X311">
        <v>79594.924799999993</v>
      </c>
      <c r="Y311">
        <v>79594.924799999993</v>
      </c>
      <c r="Z311">
        <v>79594.924799999993</v>
      </c>
      <c r="AA311">
        <v>5836845</v>
      </c>
      <c r="AB311">
        <v>5852568</v>
      </c>
      <c r="AC311" s="11">
        <v>46113</v>
      </c>
      <c r="AD311" s="11">
        <v>46203</v>
      </c>
      <c r="AE311" t="s">
        <v>2198</v>
      </c>
      <c r="AF311" t="s">
        <v>2182</v>
      </c>
      <c r="AG311" t="s">
        <v>2183</v>
      </c>
      <c r="AH311">
        <v>252000</v>
      </c>
      <c r="AI311">
        <v>123490</v>
      </c>
      <c r="AJ311" t="s">
        <v>2042</v>
      </c>
    </row>
    <row r="312" spans="1:36" hidden="1" x14ac:dyDescent="0.2">
      <c r="A312" t="s">
        <v>2419</v>
      </c>
      <c r="B312" t="s">
        <v>193</v>
      </c>
      <c r="C312" t="s">
        <v>2420</v>
      </c>
      <c r="D312" t="s">
        <v>361</v>
      </c>
      <c r="E312">
        <v>264071</v>
      </c>
      <c r="H312">
        <v>587304</v>
      </c>
      <c r="I312" t="s">
        <v>2421</v>
      </c>
      <c r="J312" s="11">
        <v>46176</v>
      </c>
      <c r="K312" s="11">
        <v>46208</v>
      </c>
      <c r="L312" t="s">
        <v>2177</v>
      </c>
      <c r="M312" t="s">
        <v>1850</v>
      </c>
      <c r="N312">
        <v>30</v>
      </c>
      <c r="O312">
        <v>10000000</v>
      </c>
      <c r="P312">
        <v>300000</v>
      </c>
      <c r="Q312" t="s">
        <v>2201</v>
      </c>
      <c r="R312" t="s">
        <v>2179</v>
      </c>
      <c r="S312">
        <v>0</v>
      </c>
      <c r="T312">
        <v>0</v>
      </c>
      <c r="U312" t="s">
        <v>2179</v>
      </c>
      <c r="V312">
        <v>9873823</v>
      </c>
      <c r="W312" t="s">
        <v>2180</v>
      </c>
      <c r="X312">
        <v>296214.69</v>
      </c>
      <c r="Y312">
        <v>296214.69</v>
      </c>
      <c r="Z312">
        <v>296214.69</v>
      </c>
      <c r="AA312">
        <v>9251904</v>
      </c>
      <c r="AB312">
        <v>9873823</v>
      </c>
      <c r="AC312" s="11">
        <v>46176</v>
      </c>
      <c r="AD312" s="11">
        <v>46208</v>
      </c>
      <c r="AE312" t="s">
        <v>2266</v>
      </c>
      <c r="AF312" t="s">
        <v>2182</v>
      </c>
      <c r="AG312" t="s">
        <v>2183</v>
      </c>
      <c r="AH312">
        <v>350000</v>
      </c>
      <c r="AI312">
        <v>129536</v>
      </c>
      <c r="AJ312" t="s">
        <v>2062</v>
      </c>
    </row>
    <row r="313" spans="1:36" hidden="1" x14ac:dyDescent="0.2">
      <c r="A313" t="s">
        <v>2419</v>
      </c>
      <c r="B313" t="s">
        <v>193</v>
      </c>
      <c r="C313" t="s">
        <v>2420</v>
      </c>
      <c r="D313" t="s">
        <v>361</v>
      </c>
      <c r="E313">
        <v>264071</v>
      </c>
      <c r="F313" t="s">
        <v>2212</v>
      </c>
      <c r="G313">
        <v>2789</v>
      </c>
      <c r="H313">
        <v>587311</v>
      </c>
      <c r="I313" t="s">
        <v>664</v>
      </c>
      <c r="J313" s="11">
        <v>46176</v>
      </c>
      <c r="K313" s="11">
        <v>46208</v>
      </c>
      <c r="L313" t="s">
        <v>2177</v>
      </c>
      <c r="M313" t="s">
        <v>1850</v>
      </c>
      <c r="N313">
        <v>18</v>
      </c>
      <c r="O313">
        <v>2777778</v>
      </c>
      <c r="P313">
        <v>50000</v>
      </c>
      <c r="Q313" t="s">
        <v>2178</v>
      </c>
      <c r="R313" t="s">
        <v>2179</v>
      </c>
      <c r="S313">
        <v>0</v>
      </c>
      <c r="T313">
        <v>0</v>
      </c>
      <c r="U313" t="s">
        <v>2179</v>
      </c>
      <c r="V313">
        <v>2107382</v>
      </c>
      <c r="W313" t="s">
        <v>2180</v>
      </c>
      <c r="X313">
        <v>37932.875999999997</v>
      </c>
      <c r="Y313">
        <v>37932.875999999997</v>
      </c>
      <c r="Z313">
        <v>37932.875999999997</v>
      </c>
      <c r="AA313">
        <v>1956897</v>
      </c>
      <c r="AB313">
        <v>2107382</v>
      </c>
      <c r="AC313" s="11">
        <v>46176</v>
      </c>
      <c r="AD313" s="11">
        <v>46208</v>
      </c>
      <c r="AE313" t="s">
        <v>2266</v>
      </c>
      <c r="AF313" t="s">
        <v>2182</v>
      </c>
      <c r="AG313" t="s">
        <v>2183</v>
      </c>
      <c r="AH313">
        <v>350000</v>
      </c>
      <c r="AI313">
        <v>129536</v>
      </c>
      <c r="AJ313" t="s">
        <v>2062</v>
      </c>
    </row>
    <row r="314" spans="1:36" hidden="1" x14ac:dyDescent="0.2">
      <c r="A314" t="s">
        <v>2422</v>
      </c>
      <c r="B314" t="s">
        <v>123</v>
      </c>
      <c r="C314" t="s">
        <v>2423</v>
      </c>
      <c r="D314" t="s">
        <v>242</v>
      </c>
      <c r="E314">
        <v>264255</v>
      </c>
      <c r="F314" t="s">
        <v>2212</v>
      </c>
      <c r="G314">
        <v>2789</v>
      </c>
      <c r="H314">
        <v>571990</v>
      </c>
      <c r="I314" t="s">
        <v>455</v>
      </c>
      <c r="J314" s="11">
        <v>46111</v>
      </c>
      <c r="K314" s="11">
        <v>46194</v>
      </c>
      <c r="L314" t="s">
        <v>2177</v>
      </c>
      <c r="M314" t="s">
        <v>1850</v>
      </c>
      <c r="N314">
        <v>17.989999999999998</v>
      </c>
      <c r="O314">
        <v>2390217</v>
      </c>
      <c r="P314">
        <v>43000</v>
      </c>
      <c r="Q314" t="s">
        <v>2178</v>
      </c>
      <c r="R314" t="s">
        <v>2179</v>
      </c>
      <c r="S314">
        <v>0</v>
      </c>
      <c r="T314">
        <v>0</v>
      </c>
      <c r="U314" t="s">
        <v>2179</v>
      </c>
      <c r="V314">
        <v>532561</v>
      </c>
      <c r="W314" t="s">
        <v>2180</v>
      </c>
      <c r="X314">
        <v>9580.77</v>
      </c>
      <c r="Y314">
        <v>9580.77</v>
      </c>
      <c r="Z314">
        <v>9580.77</v>
      </c>
      <c r="AA314">
        <v>593277</v>
      </c>
      <c r="AB314">
        <v>597032</v>
      </c>
      <c r="AC314" s="11">
        <v>46111</v>
      </c>
      <c r="AD314" s="11">
        <v>46194</v>
      </c>
      <c r="AE314" t="s">
        <v>2222</v>
      </c>
      <c r="AF314" t="s">
        <v>2182</v>
      </c>
      <c r="AG314" t="s">
        <v>2183</v>
      </c>
      <c r="AH314">
        <v>233000</v>
      </c>
      <c r="AI314">
        <v>121331</v>
      </c>
      <c r="AJ314" t="s">
        <v>2050</v>
      </c>
    </row>
    <row r="315" spans="1:36" hidden="1" x14ac:dyDescent="0.2">
      <c r="A315" t="s">
        <v>2264</v>
      </c>
      <c r="B315" t="s">
        <v>157</v>
      </c>
      <c r="C315" t="s">
        <v>2265</v>
      </c>
      <c r="D315" t="s">
        <v>2424</v>
      </c>
      <c r="E315">
        <v>264278</v>
      </c>
      <c r="F315" t="s">
        <v>2212</v>
      </c>
      <c r="G315">
        <v>2789</v>
      </c>
      <c r="H315">
        <v>571740</v>
      </c>
      <c r="I315" t="s">
        <v>2425</v>
      </c>
      <c r="J315" s="11">
        <v>46195</v>
      </c>
      <c r="K315" s="11">
        <v>46201</v>
      </c>
      <c r="L315" t="s">
        <v>2177</v>
      </c>
      <c r="M315" t="s">
        <v>1850</v>
      </c>
      <c r="N315">
        <v>19</v>
      </c>
      <c r="O315">
        <v>8169474</v>
      </c>
      <c r="P315">
        <v>155220.01</v>
      </c>
      <c r="Q315" t="s">
        <v>2201</v>
      </c>
      <c r="R315" t="s">
        <v>2179</v>
      </c>
      <c r="S315">
        <v>0</v>
      </c>
      <c r="T315">
        <v>0</v>
      </c>
      <c r="U315" t="s">
        <v>2179</v>
      </c>
      <c r="V315">
        <v>0</v>
      </c>
      <c r="W315" t="s">
        <v>2180</v>
      </c>
      <c r="X315">
        <v>0</v>
      </c>
      <c r="Y315">
        <v>0</v>
      </c>
      <c r="Z315">
        <v>0</v>
      </c>
      <c r="AC315" s="11">
        <v>46195</v>
      </c>
      <c r="AD315" s="11">
        <v>46201</v>
      </c>
      <c r="AE315" t="s">
        <v>2266</v>
      </c>
      <c r="AF315" t="s">
        <v>2182</v>
      </c>
      <c r="AG315" t="s">
        <v>2183</v>
      </c>
      <c r="AH315">
        <v>275000.02</v>
      </c>
      <c r="AI315">
        <v>121044</v>
      </c>
      <c r="AJ315" t="s">
        <v>2061</v>
      </c>
    </row>
    <row r="316" spans="1:36" hidden="1" x14ac:dyDescent="0.2">
      <c r="A316" t="s">
        <v>2264</v>
      </c>
      <c r="B316" t="s">
        <v>157</v>
      </c>
      <c r="C316" t="s">
        <v>2265</v>
      </c>
      <c r="D316" t="s">
        <v>2424</v>
      </c>
      <c r="E316">
        <v>264278</v>
      </c>
      <c r="F316" t="s">
        <v>2212</v>
      </c>
      <c r="G316">
        <v>2789</v>
      </c>
      <c r="H316">
        <v>571745</v>
      </c>
      <c r="I316" t="s">
        <v>2426</v>
      </c>
      <c r="J316" s="11">
        <v>46202</v>
      </c>
      <c r="K316" s="11">
        <v>46292</v>
      </c>
      <c r="L316" t="s">
        <v>2177</v>
      </c>
      <c r="M316" t="s">
        <v>1850</v>
      </c>
      <c r="N316">
        <v>19</v>
      </c>
      <c r="O316">
        <v>6304211</v>
      </c>
      <c r="P316">
        <v>119780.01</v>
      </c>
      <c r="Q316" t="s">
        <v>2201</v>
      </c>
      <c r="R316" t="s">
        <v>2179</v>
      </c>
      <c r="S316">
        <v>0</v>
      </c>
      <c r="T316">
        <v>0</v>
      </c>
      <c r="U316" t="s">
        <v>2179</v>
      </c>
      <c r="V316">
        <v>0</v>
      </c>
      <c r="W316" t="s">
        <v>2180</v>
      </c>
      <c r="X316">
        <v>0</v>
      </c>
      <c r="Y316">
        <v>0</v>
      </c>
      <c r="Z316">
        <v>0</v>
      </c>
      <c r="AC316" s="11">
        <v>46202</v>
      </c>
      <c r="AD316" s="11">
        <v>46292</v>
      </c>
      <c r="AE316" t="s">
        <v>2266</v>
      </c>
      <c r="AF316" t="s">
        <v>2182</v>
      </c>
      <c r="AG316" t="s">
        <v>2183</v>
      </c>
      <c r="AH316">
        <v>275000.02</v>
      </c>
      <c r="AI316">
        <v>121044</v>
      </c>
      <c r="AJ316" t="s">
        <v>2061</v>
      </c>
    </row>
    <row r="317" spans="1:36" hidden="1" x14ac:dyDescent="0.2">
      <c r="A317" t="s">
        <v>2259</v>
      </c>
      <c r="B317" t="s">
        <v>152</v>
      </c>
      <c r="C317" t="s">
        <v>2340</v>
      </c>
      <c r="D317" t="s">
        <v>364</v>
      </c>
      <c r="E317">
        <v>264419</v>
      </c>
      <c r="F317" t="s">
        <v>2344</v>
      </c>
      <c r="G317">
        <v>8038</v>
      </c>
      <c r="H317">
        <v>591635</v>
      </c>
      <c r="I317" t="s">
        <v>669</v>
      </c>
      <c r="J317" s="11">
        <v>46171</v>
      </c>
      <c r="K317" s="11">
        <v>46203</v>
      </c>
      <c r="L317" t="s">
        <v>2223</v>
      </c>
      <c r="M317" t="s">
        <v>1850</v>
      </c>
      <c r="N317">
        <v>23.97</v>
      </c>
      <c r="O317">
        <v>91718</v>
      </c>
      <c r="P317">
        <v>2198.48</v>
      </c>
      <c r="Q317" t="s">
        <v>2178</v>
      </c>
      <c r="R317" t="s">
        <v>2179</v>
      </c>
      <c r="S317">
        <v>0</v>
      </c>
      <c r="T317">
        <v>0</v>
      </c>
      <c r="U317" t="s">
        <v>2179</v>
      </c>
      <c r="V317">
        <v>57220</v>
      </c>
      <c r="W317" t="s">
        <v>2180</v>
      </c>
      <c r="X317">
        <v>1371.56</v>
      </c>
      <c r="Y317">
        <v>1371.56</v>
      </c>
      <c r="Z317">
        <v>1371.56</v>
      </c>
      <c r="AA317">
        <v>77535</v>
      </c>
      <c r="AB317">
        <v>77552</v>
      </c>
      <c r="AC317" s="11">
        <v>46171</v>
      </c>
      <c r="AD317" s="11">
        <v>46203</v>
      </c>
      <c r="AE317" t="s">
        <v>2226</v>
      </c>
      <c r="AF317" t="s">
        <v>2182</v>
      </c>
      <c r="AG317" t="s">
        <v>2183</v>
      </c>
      <c r="AH317">
        <v>41735.050000000003</v>
      </c>
      <c r="AI317">
        <v>129716</v>
      </c>
      <c r="AJ317" t="s">
        <v>2054</v>
      </c>
    </row>
    <row r="318" spans="1:36" hidden="1" x14ac:dyDescent="0.2">
      <c r="A318" t="s">
        <v>2259</v>
      </c>
      <c r="B318" t="s">
        <v>152</v>
      </c>
      <c r="C318" t="s">
        <v>2340</v>
      </c>
      <c r="D318" t="s">
        <v>364</v>
      </c>
      <c r="E318">
        <v>264419</v>
      </c>
      <c r="F318" t="s">
        <v>2344</v>
      </c>
      <c r="G318">
        <v>8038</v>
      </c>
      <c r="H318">
        <v>591648</v>
      </c>
      <c r="I318" t="s">
        <v>670</v>
      </c>
      <c r="J318" s="11">
        <v>46171</v>
      </c>
      <c r="K318" s="11">
        <v>46203</v>
      </c>
      <c r="L318" t="s">
        <v>2223</v>
      </c>
      <c r="M318" t="s">
        <v>1850</v>
      </c>
      <c r="N318">
        <v>23.97</v>
      </c>
      <c r="O318">
        <v>866566</v>
      </c>
      <c r="P318">
        <v>20771.59</v>
      </c>
      <c r="Q318" t="s">
        <v>2178</v>
      </c>
      <c r="R318" t="s">
        <v>2179</v>
      </c>
      <c r="S318">
        <v>0</v>
      </c>
      <c r="T318">
        <v>0</v>
      </c>
      <c r="U318" t="s">
        <v>2179</v>
      </c>
      <c r="V318">
        <v>772764</v>
      </c>
      <c r="W318" t="s">
        <v>2180</v>
      </c>
      <c r="X318">
        <v>18523.16</v>
      </c>
      <c r="Y318">
        <v>18523.16</v>
      </c>
      <c r="Z318">
        <v>18523.16</v>
      </c>
      <c r="AA318">
        <v>797388</v>
      </c>
      <c r="AB318">
        <v>794387</v>
      </c>
      <c r="AC318" s="11">
        <v>46171</v>
      </c>
      <c r="AD318" s="11">
        <v>46203</v>
      </c>
      <c r="AE318" t="s">
        <v>2226</v>
      </c>
      <c r="AF318" t="s">
        <v>2182</v>
      </c>
      <c r="AG318" t="s">
        <v>2183</v>
      </c>
      <c r="AH318">
        <v>41735.050000000003</v>
      </c>
      <c r="AI318">
        <v>129716</v>
      </c>
      <c r="AJ318" t="s">
        <v>2054</v>
      </c>
    </row>
    <row r="319" spans="1:36" hidden="1" x14ac:dyDescent="0.2">
      <c r="A319" t="s">
        <v>2194</v>
      </c>
      <c r="B319" t="s">
        <v>222</v>
      </c>
      <c r="C319" t="s">
        <v>2427</v>
      </c>
      <c r="D319" t="s">
        <v>433</v>
      </c>
      <c r="E319">
        <v>264707</v>
      </c>
      <c r="F319" t="s">
        <v>2248</v>
      </c>
      <c r="G319">
        <v>3534</v>
      </c>
      <c r="H319">
        <v>573139</v>
      </c>
      <c r="I319" t="s">
        <v>911</v>
      </c>
      <c r="J319" s="11">
        <v>46111</v>
      </c>
      <c r="K319" s="11">
        <v>46201</v>
      </c>
      <c r="L319" t="s">
        <v>2213</v>
      </c>
      <c r="M319" t="s">
        <v>2205</v>
      </c>
      <c r="N319">
        <v>500000</v>
      </c>
      <c r="O319">
        <v>1</v>
      </c>
      <c r="P319">
        <v>500000</v>
      </c>
      <c r="Q319" t="s">
        <v>1987</v>
      </c>
      <c r="R319" t="s">
        <v>2206</v>
      </c>
      <c r="S319">
        <v>0</v>
      </c>
      <c r="T319">
        <v>153846.1538</v>
      </c>
      <c r="U319" t="s">
        <v>2206</v>
      </c>
      <c r="V319">
        <v>0</v>
      </c>
      <c r="W319" t="s">
        <v>2180</v>
      </c>
      <c r="X319">
        <v>153846.16</v>
      </c>
      <c r="Y319">
        <v>153846.16</v>
      </c>
      <c r="Z319">
        <v>153846.16</v>
      </c>
      <c r="AC319" s="11">
        <v>46111</v>
      </c>
      <c r="AD319" s="11">
        <v>46201</v>
      </c>
      <c r="AE319" t="s">
        <v>2222</v>
      </c>
      <c r="AF319" t="s">
        <v>2182</v>
      </c>
      <c r="AG319" t="s">
        <v>2183</v>
      </c>
      <c r="AH319">
        <v>500000.02</v>
      </c>
      <c r="AI319">
        <v>120117</v>
      </c>
      <c r="AJ319" t="s">
        <v>2039</v>
      </c>
    </row>
    <row r="320" spans="1:36" hidden="1" x14ac:dyDescent="0.2">
      <c r="A320" t="s">
        <v>2280</v>
      </c>
      <c r="B320" t="s">
        <v>121</v>
      </c>
      <c r="C320" t="s">
        <v>2281</v>
      </c>
      <c r="D320" t="s">
        <v>239</v>
      </c>
      <c r="E320">
        <v>264809</v>
      </c>
      <c r="F320" t="s">
        <v>2176</v>
      </c>
      <c r="G320">
        <v>3535</v>
      </c>
      <c r="H320">
        <v>573327</v>
      </c>
      <c r="I320" t="s">
        <v>452</v>
      </c>
      <c r="J320" s="11">
        <v>46111</v>
      </c>
      <c r="K320" s="11">
        <v>46201</v>
      </c>
      <c r="L320" t="s">
        <v>2223</v>
      </c>
      <c r="M320" t="s">
        <v>1850</v>
      </c>
      <c r="N320">
        <v>25.21</v>
      </c>
      <c r="O320">
        <v>20735819</v>
      </c>
      <c r="P320">
        <v>522750</v>
      </c>
      <c r="Q320" t="s">
        <v>2201</v>
      </c>
      <c r="R320" t="s">
        <v>2179</v>
      </c>
      <c r="S320">
        <v>0</v>
      </c>
      <c r="T320">
        <v>0</v>
      </c>
      <c r="U320" t="s">
        <v>2179</v>
      </c>
      <c r="V320">
        <v>4536917</v>
      </c>
      <c r="W320" t="s">
        <v>2180</v>
      </c>
      <c r="X320">
        <v>114375.6776</v>
      </c>
      <c r="Y320">
        <v>114375.6776</v>
      </c>
      <c r="Z320">
        <v>114375.6776</v>
      </c>
      <c r="AA320">
        <v>4483916</v>
      </c>
      <c r="AB320">
        <v>4536917</v>
      </c>
      <c r="AC320" s="11">
        <v>46111</v>
      </c>
      <c r="AD320" s="11">
        <v>46201</v>
      </c>
      <c r="AE320" t="s">
        <v>2210</v>
      </c>
      <c r="AF320" t="s">
        <v>2182</v>
      </c>
      <c r="AG320" t="s">
        <v>2183</v>
      </c>
      <c r="AH320">
        <v>522749.99</v>
      </c>
      <c r="AI320">
        <v>120470</v>
      </c>
      <c r="AJ320" t="s">
        <v>2048</v>
      </c>
    </row>
    <row r="321" spans="1:36" hidden="1" x14ac:dyDescent="0.2">
      <c r="A321" t="s">
        <v>2331</v>
      </c>
      <c r="B321" t="s">
        <v>127</v>
      </c>
      <c r="C321" t="s">
        <v>2428</v>
      </c>
      <c r="D321" t="s">
        <v>249</v>
      </c>
      <c r="E321">
        <v>264954</v>
      </c>
      <c r="F321" t="s">
        <v>2209</v>
      </c>
      <c r="G321">
        <v>7968</v>
      </c>
      <c r="H321">
        <v>576210</v>
      </c>
      <c r="I321" t="s">
        <v>461</v>
      </c>
      <c r="J321" s="11">
        <v>46113</v>
      </c>
      <c r="K321" s="11">
        <v>46203</v>
      </c>
      <c r="L321" t="s">
        <v>2254</v>
      </c>
      <c r="M321" t="s">
        <v>1850</v>
      </c>
      <c r="N321">
        <v>28.75</v>
      </c>
      <c r="O321">
        <v>695652</v>
      </c>
      <c r="P321">
        <v>20000</v>
      </c>
      <c r="Q321" t="s">
        <v>2201</v>
      </c>
      <c r="R321" t="s">
        <v>2179</v>
      </c>
      <c r="S321">
        <v>0</v>
      </c>
      <c r="T321">
        <v>0</v>
      </c>
      <c r="U321" t="s">
        <v>2179</v>
      </c>
      <c r="V321">
        <v>803</v>
      </c>
      <c r="W321" t="s">
        <v>2180</v>
      </c>
      <c r="X321">
        <v>23.086300000000001</v>
      </c>
      <c r="Y321">
        <v>23.086300000000001</v>
      </c>
      <c r="Z321">
        <v>23.086300000000001</v>
      </c>
      <c r="AA321">
        <v>814</v>
      </c>
      <c r="AB321">
        <v>803</v>
      </c>
      <c r="AC321" s="11">
        <v>46113</v>
      </c>
      <c r="AD321" s="11">
        <v>46203</v>
      </c>
      <c r="AE321" t="s">
        <v>2210</v>
      </c>
      <c r="AF321" t="s">
        <v>2182</v>
      </c>
      <c r="AG321" t="s">
        <v>2183</v>
      </c>
      <c r="AH321">
        <v>20000</v>
      </c>
      <c r="AI321">
        <v>121997</v>
      </c>
      <c r="AJ321" t="s">
        <v>2041</v>
      </c>
    </row>
    <row r="322" spans="1:36" hidden="1" x14ac:dyDescent="0.2">
      <c r="A322" t="s">
        <v>2207</v>
      </c>
      <c r="B322" t="s">
        <v>178</v>
      </c>
      <c r="C322" t="s">
        <v>2429</v>
      </c>
      <c r="D322" t="s">
        <v>329</v>
      </c>
      <c r="E322">
        <v>265065</v>
      </c>
      <c r="F322" t="s">
        <v>2217</v>
      </c>
      <c r="G322">
        <v>8004</v>
      </c>
      <c r="H322">
        <v>588533</v>
      </c>
      <c r="I322" t="s">
        <v>805</v>
      </c>
      <c r="J322" s="11">
        <v>46201</v>
      </c>
      <c r="K322" s="11">
        <v>46222</v>
      </c>
      <c r="L322" t="s">
        <v>2223</v>
      </c>
      <c r="M322" t="s">
        <v>1850</v>
      </c>
      <c r="N322">
        <v>5</v>
      </c>
      <c r="O322">
        <v>50000000</v>
      </c>
      <c r="P322">
        <v>250000</v>
      </c>
      <c r="Q322" t="s">
        <v>2178</v>
      </c>
      <c r="R322" t="s">
        <v>2179</v>
      </c>
      <c r="S322">
        <v>0</v>
      </c>
      <c r="T322">
        <v>0</v>
      </c>
      <c r="U322" t="s">
        <v>2179</v>
      </c>
      <c r="V322">
        <v>7347922</v>
      </c>
      <c r="W322" t="s">
        <v>2180</v>
      </c>
      <c r="X322">
        <v>36739.61</v>
      </c>
      <c r="Y322">
        <v>36739.61</v>
      </c>
      <c r="Z322">
        <v>36739.61</v>
      </c>
      <c r="AA322">
        <v>7347922</v>
      </c>
      <c r="AB322">
        <v>0</v>
      </c>
      <c r="AC322" s="11">
        <v>46201</v>
      </c>
      <c r="AD322" s="11">
        <v>46222</v>
      </c>
      <c r="AE322" t="s">
        <v>2210</v>
      </c>
      <c r="AF322" t="s">
        <v>2182</v>
      </c>
      <c r="AG322" t="s">
        <v>2183</v>
      </c>
      <c r="AH322">
        <v>2450000.0699999998</v>
      </c>
      <c r="AI322">
        <v>128780</v>
      </c>
      <c r="AJ322" t="s">
        <v>2060</v>
      </c>
    </row>
    <row r="323" spans="1:36" hidden="1" x14ac:dyDescent="0.2">
      <c r="A323" t="s">
        <v>2207</v>
      </c>
      <c r="B323" t="s">
        <v>178</v>
      </c>
      <c r="C323" t="s">
        <v>2429</v>
      </c>
      <c r="D323" t="s">
        <v>329</v>
      </c>
      <c r="E323">
        <v>265065</v>
      </c>
      <c r="F323" t="s">
        <v>2215</v>
      </c>
      <c r="G323">
        <v>8005</v>
      </c>
      <c r="H323">
        <v>588770</v>
      </c>
      <c r="I323" t="s">
        <v>616</v>
      </c>
      <c r="J323" s="11">
        <v>46184</v>
      </c>
      <c r="K323" s="11">
        <v>46222</v>
      </c>
      <c r="L323" t="s">
        <v>2223</v>
      </c>
      <c r="M323" t="s">
        <v>1850</v>
      </c>
      <c r="N323">
        <v>30</v>
      </c>
      <c r="O323">
        <v>19166667</v>
      </c>
      <c r="P323">
        <v>575000.01</v>
      </c>
      <c r="Q323" t="s">
        <v>2178</v>
      </c>
      <c r="R323" t="s">
        <v>2179</v>
      </c>
      <c r="S323">
        <v>0</v>
      </c>
      <c r="T323">
        <v>0</v>
      </c>
      <c r="U323" t="s">
        <v>2179</v>
      </c>
      <c r="V323">
        <v>9951650</v>
      </c>
      <c r="W323" t="s">
        <v>2180</v>
      </c>
      <c r="X323">
        <v>298549.5</v>
      </c>
      <c r="Y323">
        <v>298549.5</v>
      </c>
      <c r="Z323">
        <v>298549.5</v>
      </c>
      <c r="AA323">
        <v>9949906</v>
      </c>
      <c r="AB323">
        <v>9951650</v>
      </c>
      <c r="AC323" s="11">
        <v>46184</v>
      </c>
      <c r="AD323" s="11">
        <v>46222</v>
      </c>
      <c r="AE323" t="s">
        <v>2210</v>
      </c>
      <c r="AF323" t="s">
        <v>2182</v>
      </c>
      <c r="AG323" t="s">
        <v>2183</v>
      </c>
      <c r="AH323">
        <v>2450000.0699999998</v>
      </c>
      <c r="AI323">
        <v>128780</v>
      </c>
      <c r="AJ323" t="s">
        <v>2060</v>
      </c>
    </row>
    <row r="324" spans="1:36" hidden="1" x14ac:dyDescent="0.2">
      <c r="A324" t="s">
        <v>2207</v>
      </c>
      <c r="B324" t="s">
        <v>178</v>
      </c>
      <c r="C324" t="s">
        <v>2429</v>
      </c>
      <c r="D324" t="s">
        <v>329</v>
      </c>
      <c r="E324">
        <v>265065</v>
      </c>
      <c r="F324" t="s">
        <v>2218</v>
      </c>
      <c r="G324">
        <v>8000</v>
      </c>
      <c r="H324">
        <v>588775</v>
      </c>
      <c r="I324" t="s">
        <v>869</v>
      </c>
      <c r="J324" s="11">
        <v>46184</v>
      </c>
      <c r="K324" s="11">
        <v>46222</v>
      </c>
      <c r="L324" t="s">
        <v>2223</v>
      </c>
      <c r="M324" t="s">
        <v>1852</v>
      </c>
      <c r="N324">
        <v>0.15</v>
      </c>
      <c r="O324">
        <v>5333334</v>
      </c>
      <c r="P324">
        <v>800000.1</v>
      </c>
      <c r="Q324" t="s">
        <v>2262</v>
      </c>
      <c r="R324" t="s">
        <v>2206</v>
      </c>
      <c r="S324">
        <v>2735044</v>
      </c>
      <c r="T324">
        <v>410256.46159999998</v>
      </c>
      <c r="U324" t="s">
        <v>2206</v>
      </c>
      <c r="V324">
        <v>2735044</v>
      </c>
      <c r="W324" t="s">
        <v>2180</v>
      </c>
      <c r="X324">
        <v>410256.46159999998</v>
      </c>
      <c r="Y324">
        <v>410256.46159999998</v>
      </c>
      <c r="Z324">
        <v>410256.46159999998</v>
      </c>
      <c r="AC324" s="11">
        <v>46184</v>
      </c>
      <c r="AD324" s="11">
        <v>46222</v>
      </c>
      <c r="AE324" t="s">
        <v>2210</v>
      </c>
      <c r="AF324" t="s">
        <v>2182</v>
      </c>
      <c r="AG324" t="s">
        <v>2183</v>
      </c>
      <c r="AH324">
        <v>2450000.0699999998</v>
      </c>
      <c r="AI324">
        <v>128780</v>
      </c>
      <c r="AJ324" t="s">
        <v>2060</v>
      </c>
    </row>
    <row r="325" spans="1:36" hidden="1" x14ac:dyDescent="0.2">
      <c r="A325" t="s">
        <v>2207</v>
      </c>
      <c r="B325" t="s">
        <v>178</v>
      </c>
      <c r="C325" t="s">
        <v>2429</v>
      </c>
      <c r="D325" t="s">
        <v>329</v>
      </c>
      <c r="E325">
        <v>265065</v>
      </c>
      <c r="F325" t="s">
        <v>2218</v>
      </c>
      <c r="G325">
        <v>8000</v>
      </c>
      <c r="H325">
        <v>596028</v>
      </c>
      <c r="I325" t="s">
        <v>836</v>
      </c>
      <c r="J325" s="11">
        <v>46181</v>
      </c>
      <c r="K325" s="11">
        <v>46222</v>
      </c>
      <c r="L325" t="s">
        <v>2223</v>
      </c>
      <c r="M325" t="s">
        <v>1852</v>
      </c>
      <c r="N325">
        <v>0.15</v>
      </c>
      <c r="O325">
        <v>1000000</v>
      </c>
      <c r="P325">
        <v>150000</v>
      </c>
      <c r="Q325" t="s">
        <v>2262</v>
      </c>
      <c r="R325" t="s">
        <v>2206</v>
      </c>
      <c r="S325">
        <v>547620</v>
      </c>
      <c r="T325">
        <v>82142.857199999999</v>
      </c>
      <c r="U325" t="s">
        <v>2206</v>
      </c>
      <c r="V325">
        <v>547620</v>
      </c>
      <c r="W325" t="s">
        <v>2180</v>
      </c>
      <c r="X325">
        <v>82142.857199999999</v>
      </c>
      <c r="Y325">
        <v>82142.857199999999</v>
      </c>
      <c r="Z325">
        <v>82142.857199999999</v>
      </c>
      <c r="AC325" s="11">
        <v>46181</v>
      </c>
      <c r="AD325" s="11">
        <v>46222</v>
      </c>
      <c r="AE325" t="s">
        <v>2210</v>
      </c>
      <c r="AF325" t="s">
        <v>2182</v>
      </c>
      <c r="AG325" t="s">
        <v>2183</v>
      </c>
      <c r="AH325">
        <v>2450000.0699999998</v>
      </c>
      <c r="AI325">
        <v>128780</v>
      </c>
      <c r="AJ325" t="s">
        <v>2060</v>
      </c>
    </row>
    <row r="326" spans="1:36" hidden="1" x14ac:dyDescent="0.2">
      <c r="A326" t="s">
        <v>2207</v>
      </c>
      <c r="B326" t="s">
        <v>178</v>
      </c>
      <c r="C326" t="s">
        <v>2429</v>
      </c>
      <c r="D326" t="s">
        <v>329</v>
      </c>
      <c r="E326">
        <v>265065</v>
      </c>
      <c r="F326" t="s">
        <v>2218</v>
      </c>
      <c r="G326">
        <v>8000</v>
      </c>
      <c r="H326">
        <v>596032</v>
      </c>
      <c r="I326" t="s">
        <v>863</v>
      </c>
      <c r="J326" s="11">
        <v>46181</v>
      </c>
      <c r="K326" s="11">
        <v>46222</v>
      </c>
      <c r="L326" t="s">
        <v>2223</v>
      </c>
      <c r="M326" t="s">
        <v>2430</v>
      </c>
      <c r="N326">
        <v>0</v>
      </c>
      <c r="O326">
        <v>933333</v>
      </c>
      <c r="P326">
        <v>299999.95</v>
      </c>
      <c r="R326" t="s">
        <v>2206</v>
      </c>
      <c r="S326">
        <v>511111</v>
      </c>
      <c r="T326">
        <v>164285.68700000001</v>
      </c>
      <c r="U326" t="s">
        <v>2206</v>
      </c>
      <c r="V326">
        <v>511111</v>
      </c>
      <c r="W326" t="s">
        <v>2180</v>
      </c>
      <c r="X326">
        <v>164285.68700000001</v>
      </c>
      <c r="Y326">
        <v>164285.68700000001</v>
      </c>
      <c r="Z326">
        <v>164285.68700000001</v>
      </c>
      <c r="AC326" s="11">
        <v>46181</v>
      </c>
      <c r="AD326" s="11">
        <v>46222</v>
      </c>
      <c r="AE326" t="s">
        <v>2210</v>
      </c>
      <c r="AF326" t="s">
        <v>2182</v>
      </c>
      <c r="AG326" t="s">
        <v>2183</v>
      </c>
      <c r="AH326">
        <v>2450000.0699999998</v>
      </c>
      <c r="AI326">
        <v>128780</v>
      </c>
      <c r="AJ326" t="s">
        <v>2060</v>
      </c>
    </row>
    <row r="327" spans="1:36" hidden="1" x14ac:dyDescent="0.2">
      <c r="A327" t="s">
        <v>2280</v>
      </c>
      <c r="B327" t="s">
        <v>121</v>
      </c>
      <c r="C327" t="s">
        <v>2281</v>
      </c>
      <c r="D327" t="s">
        <v>247</v>
      </c>
      <c r="E327">
        <v>265145</v>
      </c>
      <c r="F327" t="s">
        <v>2248</v>
      </c>
      <c r="G327">
        <v>3534</v>
      </c>
      <c r="H327">
        <v>574576</v>
      </c>
      <c r="I327" t="s">
        <v>459</v>
      </c>
      <c r="J327" s="11">
        <v>46106</v>
      </c>
      <c r="K327" s="11">
        <v>46292</v>
      </c>
      <c r="L327" t="s">
        <v>2223</v>
      </c>
      <c r="M327" t="s">
        <v>1850</v>
      </c>
      <c r="N327">
        <v>32.25</v>
      </c>
      <c r="O327">
        <v>241953</v>
      </c>
      <c r="P327">
        <v>7802.98</v>
      </c>
      <c r="Q327" t="s">
        <v>2201</v>
      </c>
      <c r="R327" t="s">
        <v>2179</v>
      </c>
      <c r="S327">
        <v>0</v>
      </c>
      <c r="T327">
        <v>0</v>
      </c>
      <c r="U327" t="s">
        <v>2179</v>
      </c>
      <c r="V327">
        <v>209</v>
      </c>
      <c r="W327" t="s">
        <v>2180</v>
      </c>
      <c r="X327">
        <v>6.7403000000000004</v>
      </c>
      <c r="Y327">
        <v>6.7403000000000004</v>
      </c>
      <c r="Z327">
        <v>6.7403000000000004</v>
      </c>
      <c r="AA327">
        <v>229</v>
      </c>
      <c r="AB327">
        <v>209</v>
      </c>
      <c r="AC327" s="11">
        <v>46106</v>
      </c>
      <c r="AD327" s="11">
        <v>46292</v>
      </c>
      <c r="AE327" t="s">
        <v>2210</v>
      </c>
      <c r="AF327" t="s">
        <v>2182</v>
      </c>
      <c r="AG327" t="s">
        <v>2183</v>
      </c>
      <c r="AH327">
        <v>78030.02</v>
      </c>
      <c r="AI327">
        <v>121817</v>
      </c>
      <c r="AJ327" t="s">
        <v>2041</v>
      </c>
    </row>
    <row r="328" spans="1:36" hidden="1" x14ac:dyDescent="0.2">
      <c r="A328" t="s">
        <v>2194</v>
      </c>
      <c r="B328" t="s">
        <v>125</v>
      </c>
      <c r="C328" t="s">
        <v>2360</v>
      </c>
      <c r="D328" t="s">
        <v>245</v>
      </c>
      <c r="E328">
        <v>265377</v>
      </c>
      <c r="F328" t="s">
        <v>2192</v>
      </c>
      <c r="G328">
        <v>1</v>
      </c>
      <c r="H328">
        <v>575474</v>
      </c>
      <c r="I328" t="s">
        <v>457</v>
      </c>
      <c r="J328" s="11">
        <v>46111</v>
      </c>
      <c r="K328" s="11">
        <v>46201</v>
      </c>
      <c r="L328" t="s">
        <v>2177</v>
      </c>
      <c r="M328" t="s">
        <v>1850</v>
      </c>
      <c r="N328">
        <v>23</v>
      </c>
      <c r="O328">
        <v>2797087</v>
      </c>
      <c r="P328">
        <v>64333</v>
      </c>
      <c r="Q328" t="s">
        <v>2178</v>
      </c>
      <c r="R328" t="s">
        <v>2179</v>
      </c>
      <c r="S328">
        <v>0</v>
      </c>
      <c r="T328">
        <v>0</v>
      </c>
      <c r="U328" t="s">
        <v>2179</v>
      </c>
      <c r="V328">
        <v>534994</v>
      </c>
      <c r="W328" t="s">
        <v>2180</v>
      </c>
      <c r="X328">
        <v>12304.861999999999</v>
      </c>
      <c r="Y328">
        <v>12304.861999999999</v>
      </c>
      <c r="Z328">
        <v>12304.861999999999</v>
      </c>
      <c r="AA328">
        <v>526362</v>
      </c>
      <c r="AB328">
        <v>534994</v>
      </c>
      <c r="AC328" s="11">
        <v>46111</v>
      </c>
      <c r="AD328" s="11">
        <v>46201</v>
      </c>
      <c r="AE328" t="s">
        <v>2222</v>
      </c>
      <c r="AF328" t="s">
        <v>2182</v>
      </c>
      <c r="AG328" t="s">
        <v>2183</v>
      </c>
      <c r="AH328">
        <v>114333.01</v>
      </c>
      <c r="AI328">
        <v>121653</v>
      </c>
      <c r="AJ328" t="s">
        <v>2046</v>
      </c>
    </row>
    <row r="329" spans="1:36" hidden="1" x14ac:dyDescent="0.2">
      <c r="A329" t="s">
        <v>2431</v>
      </c>
      <c r="B329" t="s">
        <v>159</v>
      </c>
      <c r="C329" t="s">
        <v>2432</v>
      </c>
      <c r="D329" t="s">
        <v>296</v>
      </c>
      <c r="E329">
        <v>265472</v>
      </c>
      <c r="F329" t="s">
        <v>2215</v>
      </c>
      <c r="G329">
        <v>8005</v>
      </c>
      <c r="H329">
        <v>581684</v>
      </c>
      <c r="I329" t="s">
        <v>541</v>
      </c>
      <c r="J329" s="11">
        <v>46174</v>
      </c>
      <c r="K329" s="11">
        <v>46222</v>
      </c>
      <c r="M329" t="s">
        <v>1850</v>
      </c>
      <c r="N329">
        <v>40</v>
      </c>
      <c r="O329">
        <v>12500000</v>
      </c>
      <c r="P329">
        <v>500000</v>
      </c>
      <c r="Q329" t="s">
        <v>2178</v>
      </c>
      <c r="R329" t="s">
        <v>2179</v>
      </c>
      <c r="S329">
        <v>0</v>
      </c>
      <c r="T329">
        <v>0</v>
      </c>
      <c r="U329" t="s">
        <v>2179</v>
      </c>
      <c r="V329">
        <v>8818535</v>
      </c>
      <c r="W329" t="s">
        <v>2180</v>
      </c>
      <c r="X329">
        <v>352741.4</v>
      </c>
      <c r="Y329">
        <v>352741.4</v>
      </c>
      <c r="Z329">
        <v>352741.4</v>
      </c>
      <c r="AA329">
        <v>8835354</v>
      </c>
      <c r="AB329">
        <v>8818535</v>
      </c>
      <c r="AC329" s="11">
        <v>46174</v>
      </c>
      <c r="AD329" s="11">
        <v>46222</v>
      </c>
      <c r="AE329" t="s">
        <v>2233</v>
      </c>
      <c r="AF329" t="s">
        <v>2182</v>
      </c>
      <c r="AG329" t="s">
        <v>2183</v>
      </c>
      <c r="AH329">
        <v>1000000.4</v>
      </c>
      <c r="AI329">
        <v>127637</v>
      </c>
      <c r="AJ329" t="s">
        <v>2043</v>
      </c>
    </row>
    <row r="330" spans="1:36" hidden="1" x14ac:dyDescent="0.2">
      <c r="A330" t="s">
        <v>2431</v>
      </c>
      <c r="B330" t="s">
        <v>159</v>
      </c>
      <c r="C330" t="s">
        <v>2432</v>
      </c>
      <c r="D330" t="s">
        <v>296</v>
      </c>
      <c r="E330">
        <v>265472</v>
      </c>
      <c r="F330" t="s">
        <v>2218</v>
      </c>
      <c r="G330">
        <v>8000</v>
      </c>
      <c r="H330">
        <v>582851</v>
      </c>
      <c r="I330" t="s">
        <v>835</v>
      </c>
      <c r="J330" s="11">
        <v>46174</v>
      </c>
      <c r="K330" s="11">
        <v>46222</v>
      </c>
      <c r="M330" t="s">
        <v>1852</v>
      </c>
      <c r="N330">
        <v>0.15</v>
      </c>
      <c r="O330">
        <v>3333336</v>
      </c>
      <c r="P330">
        <v>500000.4</v>
      </c>
      <c r="Q330" t="s">
        <v>2301</v>
      </c>
      <c r="R330" t="s">
        <v>2263</v>
      </c>
      <c r="S330">
        <v>1666668</v>
      </c>
      <c r="T330">
        <v>250000.2</v>
      </c>
      <c r="U330" t="s">
        <v>2263</v>
      </c>
      <c r="V330">
        <v>1666668</v>
      </c>
      <c r="W330" t="s">
        <v>2180</v>
      </c>
      <c r="X330">
        <v>250000.2</v>
      </c>
      <c r="Y330">
        <v>250000.2</v>
      </c>
      <c r="Z330">
        <v>250000.2</v>
      </c>
      <c r="AC330" s="11">
        <v>46174</v>
      </c>
      <c r="AD330" s="11">
        <v>46222</v>
      </c>
      <c r="AE330" t="s">
        <v>2233</v>
      </c>
      <c r="AF330" t="s">
        <v>2182</v>
      </c>
      <c r="AG330" t="s">
        <v>2183</v>
      </c>
      <c r="AH330">
        <v>1000000.4</v>
      </c>
      <c r="AI330">
        <v>127637</v>
      </c>
      <c r="AJ330" t="s">
        <v>2043</v>
      </c>
    </row>
    <row r="331" spans="1:36" hidden="1" x14ac:dyDescent="0.2">
      <c r="A331" t="s">
        <v>2194</v>
      </c>
      <c r="B331" t="s">
        <v>113</v>
      </c>
      <c r="C331" t="s">
        <v>2376</v>
      </c>
      <c r="D331" t="s">
        <v>256</v>
      </c>
      <c r="E331">
        <v>265769</v>
      </c>
      <c r="F331" t="s">
        <v>2192</v>
      </c>
      <c r="G331">
        <v>1</v>
      </c>
      <c r="H331">
        <v>576699</v>
      </c>
      <c r="I331" t="s">
        <v>498</v>
      </c>
      <c r="J331" s="11">
        <v>46111</v>
      </c>
      <c r="K331" s="11">
        <v>46201</v>
      </c>
      <c r="L331" t="s">
        <v>2223</v>
      </c>
      <c r="M331" t="s">
        <v>1850</v>
      </c>
      <c r="N331">
        <v>14.61</v>
      </c>
      <c r="O331">
        <v>2270959</v>
      </c>
      <c r="P331">
        <v>33178.71</v>
      </c>
      <c r="Q331" t="s">
        <v>2201</v>
      </c>
      <c r="R331" t="s">
        <v>2179</v>
      </c>
      <c r="S331">
        <v>0</v>
      </c>
      <c r="T331">
        <v>0</v>
      </c>
      <c r="U331" t="s">
        <v>2179</v>
      </c>
      <c r="V331">
        <v>29420</v>
      </c>
      <c r="W331" t="s">
        <v>2180</v>
      </c>
      <c r="X331">
        <v>429.81</v>
      </c>
      <c r="Y331">
        <v>429.81</v>
      </c>
      <c r="Z331">
        <v>429.81</v>
      </c>
      <c r="AA331">
        <v>34609</v>
      </c>
      <c r="AB331">
        <v>34595</v>
      </c>
      <c r="AC331" s="11">
        <v>46111</v>
      </c>
      <c r="AD331" s="11">
        <v>46201</v>
      </c>
      <c r="AE331" t="s">
        <v>2222</v>
      </c>
      <c r="AF331" t="s">
        <v>2182</v>
      </c>
      <c r="AG331" t="s">
        <v>2183</v>
      </c>
      <c r="AH331">
        <v>271346.15999999997</v>
      </c>
      <c r="AI331">
        <v>123831</v>
      </c>
      <c r="AJ331" t="s">
        <v>2041</v>
      </c>
    </row>
    <row r="332" spans="1:36" hidden="1" x14ac:dyDescent="0.2">
      <c r="A332" t="s">
        <v>2194</v>
      </c>
      <c r="B332" t="s">
        <v>113</v>
      </c>
      <c r="C332" t="s">
        <v>2376</v>
      </c>
      <c r="D332" t="s">
        <v>256</v>
      </c>
      <c r="E332">
        <v>265769</v>
      </c>
      <c r="F332" t="s">
        <v>2433</v>
      </c>
      <c r="G332">
        <v>7952</v>
      </c>
      <c r="H332">
        <v>576705</v>
      </c>
      <c r="I332" t="s">
        <v>474</v>
      </c>
      <c r="J332" s="11">
        <v>46111</v>
      </c>
      <c r="K332" s="11">
        <v>46201</v>
      </c>
      <c r="L332" t="s">
        <v>2223</v>
      </c>
      <c r="M332" t="s">
        <v>1850</v>
      </c>
      <c r="N332">
        <v>14.61</v>
      </c>
      <c r="O332">
        <v>4575223</v>
      </c>
      <c r="P332">
        <v>66844</v>
      </c>
      <c r="Q332" t="s">
        <v>2178</v>
      </c>
      <c r="R332" t="s">
        <v>2179</v>
      </c>
      <c r="S332">
        <v>0</v>
      </c>
      <c r="T332">
        <v>0</v>
      </c>
      <c r="U332" t="s">
        <v>2179</v>
      </c>
      <c r="V332">
        <v>2855093</v>
      </c>
      <c r="W332" t="s">
        <v>2180</v>
      </c>
      <c r="X332">
        <v>41712.908799999997</v>
      </c>
      <c r="Y332">
        <v>41712.908799999997</v>
      </c>
      <c r="Z332">
        <v>41712.908799999997</v>
      </c>
      <c r="AA332">
        <v>2863208</v>
      </c>
      <c r="AB332">
        <v>2855093</v>
      </c>
      <c r="AC332" s="11">
        <v>46111</v>
      </c>
      <c r="AD332" s="11">
        <v>46201</v>
      </c>
      <c r="AE332" t="s">
        <v>2222</v>
      </c>
      <c r="AF332" t="s">
        <v>2182</v>
      </c>
      <c r="AG332" t="s">
        <v>2183</v>
      </c>
      <c r="AH332">
        <v>271346.15999999997</v>
      </c>
      <c r="AI332">
        <v>123831</v>
      </c>
      <c r="AJ332" t="s">
        <v>2041</v>
      </c>
    </row>
    <row r="333" spans="1:36" hidden="1" x14ac:dyDescent="0.2">
      <c r="A333" t="s">
        <v>2194</v>
      </c>
      <c r="B333" t="s">
        <v>113</v>
      </c>
      <c r="C333" t="s">
        <v>2376</v>
      </c>
      <c r="D333" t="s">
        <v>256</v>
      </c>
      <c r="E333">
        <v>265769</v>
      </c>
      <c r="F333" t="s">
        <v>2433</v>
      </c>
      <c r="G333">
        <v>7952</v>
      </c>
      <c r="H333">
        <v>576851</v>
      </c>
      <c r="I333" t="s">
        <v>475</v>
      </c>
      <c r="J333" s="11">
        <v>46188</v>
      </c>
      <c r="K333" s="11">
        <v>46201</v>
      </c>
      <c r="L333" t="s">
        <v>2223</v>
      </c>
      <c r="M333" t="s">
        <v>1850</v>
      </c>
      <c r="N333">
        <v>14.61</v>
      </c>
      <c r="O333">
        <v>4827606</v>
      </c>
      <c r="P333">
        <v>70531.320000000007</v>
      </c>
      <c r="Q333" t="s">
        <v>2178</v>
      </c>
      <c r="R333" t="s">
        <v>2179</v>
      </c>
      <c r="S333">
        <v>0</v>
      </c>
      <c r="T333">
        <v>0</v>
      </c>
      <c r="U333" t="s">
        <v>2179</v>
      </c>
      <c r="V333">
        <v>4827606</v>
      </c>
      <c r="W333" t="s">
        <v>2180</v>
      </c>
      <c r="X333">
        <v>70531.320000000007</v>
      </c>
      <c r="Y333">
        <v>70531.320000000007</v>
      </c>
      <c r="Z333">
        <v>70531.320000000007</v>
      </c>
      <c r="AA333">
        <v>4871465</v>
      </c>
      <c r="AB333">
        <v>4853861</v>
      </c>
      <c r="AC333" s="11">
        <v>46188</v>
      </c>
      <c r="AD333" s="11">
        <v>46201</v>
      </c>
      <c r="AE333" t="s">
        <v>2222</v>
      </c>
      <c r="AF333" t="s">
        <v>2182</v>
      </c>
      <c r="AG333" t="s">
        <v>2183</v>
      </c>
      <c r="AH333">
        <v>271346.15999999997</v>
      </c>
      <c r="AI333">
        <v>123831</v>
      </c>
      <c r="AJ333" t="s">
        <v>2041</v>
      </c>
    </row>
    <row r="334" spans="1:36" hidden="1" x14ac:dyDescent="0.2">
      <c r="A334" t="s">
        <v>2311</v>
      </c>
      <c r="B334" t="s">
        <v>192</v>
      </c>
      <c r="C334" t="s">
        <v>2434</v>
      </c>
      <c r="D334" t="s">
        <v>357</v>
      </c>
      <c r="E334">
        <v>265792</v>
      </c>
      <c r="F334" t="s">
        <v>2274</v>
      </c>
      <c r="G334">
        <v>7950</v>
      </c>
      <c r="H334">
        <v>591110</v>
      </c>
      <c r="I334" t="s">
        <v>661</v>
      </c>
      <c r="J334" s="11">
        <v>46174</v>
      </c>
      <c r="K334" s="11">
        <v>46180</v>
      </c>
      <c r="L334" t="s">
        <v>2247</v>
      </c>
      <c r="M334" t="s">
        <v>1850</v>
      </c>
      <c r="N334">
        <v>17</v>
      </c>
      <c r="O334">
        <v>147063</v>
      </c>
      <c r="P334">
        <v>2500.08</v>
      </c>
      <c r="Q334" t="s">
        <v>2178</v>
      </c>
      <c r="R334" t="s">
        <v>2179</v>
      </c>
      <c r="S334">
        <v>0</v>
      </c>
      <c r="T334">
        <v>0</v>
      </c>
      <c r="U334" t="s">
        <v>2179</v>
      </c>
      <c r="V334">
        <v>119466</v>
      </c>
      <c r="W334" t="s">
        <v>2180</v>
      </c>
      <c r="X334">
        <v>2030.922</v>
      </c>
      <c r="Y334">
        <v>2030.922</v>
      </c>
      <c r="Z334">
        <v>2030.922</v>
      </c>
      <c r="AA334">
        <v>151579</v>
      </c>
      <c r="AB334">
        <v>119466</v>
      </c>
      <c r="AC334" s="11">
        <v>46174</v>
      </c>
      <c r="AD334" s="11">
        <v>46180</v>
      </c>
      <c r="AE334" t="s">
        <v>2210</v>
      </c>
      <c r="AF334" t="s">
        <v>2182</v>
      </c>
      <c r="AG334" t="s">
        <v>2183</v>
      </c>
      <c r="AH334">
        <v>30000.959999999999</v>
      </c>
      <c r="AI334">
        <v>129468</v>
      </c>
      <c r="AJ334" t="s">
        <v>2050</v>
      </c>
    </row>
    <row r="335" spans="1:36" hidden="1" x14ac:dyDescent="0.2">
      <c r="A335" t="s">
        <v>2311</v>
      </c>
      <c r="B335" t="s">
        <v>192</v>
      </c>
      <c r="C335" t="s">
        <v>2434</v>
      </c>
      <c r="D335" t="s">
        <v>357</v>
      </c>
      <c r="E335">
        <v>265792</v>
      </c>
      <c r="F335" t="s">
        <v>2274</v>
      </c>
      <c r="G335">
        <v>7950</v>
      </c>
      <c r="H335">
        <v>591123</v>
      </c>
      <c r="I335" t="s">
        <v>661</v>
      </c>
      <c r="J335" s="11">
        <v>46181</v>
      </c>
      <c r="K335" s="11">
        <v>46187</v>
      </c>
      <c r="L335" t="s">
        <v>2247</v>
      </c>
      <c r="M335" t="s">
        <v>1850</v>
      </c>
      <c r="N335">
        <v>17</v>
      </c>
      <c r="O335">
        <v>147063</v>
      </c>
      <c r="P335">
        <v>2500.08</v>
      </c>
      <c r="Q335" t="s">
        <v>2178</v>
      </c>
      <c r="R335" t="s">
        <v>2179</v>
      </c>
      <c r="S335">
        <v>0</v>
      </c>
      <c r="T335">
        <v>0</v>
      </c>
      <c r="U335" t="s">
        <v>2179</v>
      </c>
      <c r="V335">
        <v>140250</v>
      </c>
      <c r="W335" t="s">
        <v>2180</v>
      </c>
      <c r="X335">
        <v>2384.25</v>
      </c>
      <c r="Y335">
        <v>2384.25</v>
      </c>
      <c r="Z335">
        <v>2384.25</v>
      </c>
      <c r="AA335">
        <v>152040</v>
      </c>
      <c r="AB335">
        <v>140250</v>
      </c>
      <c r="AC335" s="11">
        <v>46181</v>
      </c>
      <c r="AD335" s="11">
        <v>46187</v>
      </c>
      <c r="AE335" t="s">
        <v>2210</v>
      </c>
      <c r="AF335" t="s">
        <v>2182</v>
      </c>
      <c r="AG335" t="s">
        <v>2183</v>
      </c>
      <c r="AH335">
        <v>30000.959999999999</v>
      </c>
      <c r="AI335">
        <v>129468</v>
      </c>
      <c r="AJ335" t="s">
        <v>2050</v>
      </c>
    </row>
    <row r="336" spans="1:36" hidden="1" x14ac:dyDescent="0.2">
      <c r="A336" t="s">
        <v>2311</v>
      </c>
      <c r="B336" t="s">
        <v>192</v>
      </c>
      <c r="C336" t="s">
        <v>2434</v>
      </c>
      <c r="D336" t="s">
        <v>357</v>
      </c>
      <c r="E336">
        <v>265792</v>
      </c>
      <c r="F336" t="s">
        <v>2274</v>
      </c>
      <c r="G336">
        <v>7950</v>
      </c>
      <c r="H336">
        <v>591126</v>
      </c>
      <c r="I336" t="s">
        <v>661</v>
      </c>
      <c r="J336" s="11">
        <v>46188</v>
      </c>
      <c r="K336" s="11">
        <v>46194</v>
      </c>
      <c r="L336" t="s">
        <v>2247</v>
      </c>
      <c r="M336" t="s">
        <v>1850</v>
      </c>
      <c r="N336">
        <v>17</v>
      </c>
      <c r="O336">
        <v>147063</v>
      </c>
      <c r="P336">
        <v>2500.08</v>
      </c>
      <c r="Q336" t="s">
        <v>2178</v>
      </c>
      <c r="R336" t="s">
        <v>2179</v>
      </c>
      <c r="S336">
        <v>0</v>
      </c>
      <c r="T336">
        <v>0</v>
      </c>
      <c r="U336" t="s">
        <v>2179</v>
      </c>
      <c r="V336">
        <v>147063</v>
      </c>
      <c r="W336" t="s">
        <v>2180</v>
      </c>
      <c r="X336">
        <v>2500.08</v>
      </c>
      <c r="Y336">
        <v>2500.08</v>
      </c>
      <c r="Z336">
        <v>2500.08</v>
      </c>
      <c r="AA336">
        <v>152083</v>
      </c>
      <c r="AB336">
        <v>147216</v>
      </c>
      <c r="AC336" s="11">
        <v>46188</v>
      </c>
      <c r="AD336" s="11">
        <v>46194</v>
      </c>
      <c r="AE336" t="s">
        <v>2210</v>
      </c>
      <c r="AF336" t="s">
        <v>2182</v>
      </c>
      <c r="AG336" t="s">
        <v>2183</v>
      </c>
      <c r="AH336">
        <v>30000.959999999999</v>
      </c>
      <c r="AI336">
        <v>129468</v>
      </c>
      <c r="AJ336" t="s">
        <v>2050</v>
      </c>
    </row>
    <row r="337" spans="1:36" hidden="1" x14ac:dyDescent="0.2">
      <c r="A337" t="s">
        <v>2311</v>
      </c>
      <c r="B337" t="s">
        <v>192</v>
      </c>
      <c r="C337" t="s">
        <v>2434</v>
      </c>
      <c r="D337" t="s">
        <v>357</v>
      </c>
      <c r="E337">
        <v>265792</v>
      </c>
      <c r="F337" t="s">
        <v>2274</v>
      </c>
      <c r="G337">
        <v>7950</v>
      </c>
      <c r="H337">
        <v>591129</v>
      </c>
      <c r="I337" t="s">
        <v>661</v>
      </c>
      <c r="J337" s="11">
        <v>46195</v>
      </c>
      <c r="K337" s="11">
        <v>46201</v>
      </c>
      <c r="L337" t="s">
        <v>2247</v>
      </c>
      <c r="M337" t="s">
        <v>1850</v>
      </c>
      <c r="N337">
        <v>17</v>
      </c>
      <c r="O337">
        <v>147063</v>
      </c>
      <c r="P337">
        <v>2500.08</v>
      </c>
      <c r="Q337" t="s">
        <v>2178</v>
      </c>
      <c r="R337" t="s">
        <v>2179</v>
      </c>
      <c r="S337">
        <v>0</v>
      </c>
      <c r="T337">
        <v>0</v>
      </c>
      <c r="U337" t="s">
        <v>2179</v>
      </c>
      <c r="V337">
        <v>147063</v>
      </c>
      <c r="W337" t="s">
        <v>2180</v>
      </c>
      <c r="X337">
        <v>2500.08</v>
      </c>
      <c r="Y337">
        <v>2500.08</v>
      </c>
      <c r="Z337">
        <v>2500.08</v>
      </c>
      <c r="AA337">
        <v>143029</v>
      </c>
      <c r="AB337">
        <v>148802</v>
      </c>
      <c r="AC337" s="11">
        <v>46195</v>
      </c>
      <c r="AD337" s="11">
        <v>46201</v>
      </c>
      <c r="AE337" t="s">
        <v>2210</v>
      </c>
      <c r="AF337" t="s">
        <v>2182</v>
      </c>
      <c r="AG337" t="s">
        <v>2183</v>
      </c>
      <c r="AH337">
        <v>30000.959999999999</v>
      </c>
      <c r="AI337">
        <v>129468</v>
      </c>
      <c r="AJ337" t="s">
        <v>2050</v>
      </c>
    </row>
    <row r="338" spans="1:36" hidden="1" x14ac:dyDescent="0.2">
      <c r="A338" t="s">
        <v>2313</v>
      </c>
      <c r="B338" t="s">
        <v>136</v>
      </c>
      <c r="C338" t="s">
        <v>2314</v>
      </c>
      <c r="D338" t="s">
        <v>260</v>
      </c>
      <c r="E338">
        <v>265853</v>
      </c>
      <c r="F338" t="s">
        <v>2215</v>
      </c>
      <c r="G338">
        <v>8005</v>
      </c>
      <c r="H338">
        <v>580827</v>
      </c>
      <c r="I338" t="s">
        <v>482</v>
      </c>
      <c r="J338" s="11">
        <v>46174</v>
      </c>
      <c r="K338" s="11">
        <v>46222</v>
      </c>
      <c r="L338" t="s">
        <v>2247</v>
      </c>
      <c r="M338" t="s">
        <v>1850</v>
      </c>
      <c r="N338">
        <v>40</v>
      </c>
      <c r="O338">
        <v>500000</v>
      </c>
      <c r="P338">
        <v>20000</v>
      </c>
      <c r="Q338" t="s">
        <v>2178</v>
      </c>
      <c r="R338" t="s">
        <v>2206</v>
      </c>
      <c r="S338">
        <v>306123</v>
      </c>
      <c r="T338">
        <v>12244.897999999999</v>
      </c>
      <c r="U338" t="s">
        <v>2206</v>
      </c>
      <c r="V338">
        <v>306123</v>
      </c>
      <c r="W338" t="s">
        <v>2180</v>
      </c>
      <c r="X338">
        <v>12244.897999999999</v>
      </c>
      <c r="Y338">
        <v>12244.897999999999</v>
      </c>
      <c r="Z338">
        <v>12244.897999999999</v>
      </c>
      <c r="AA338">
        <v>329777</v>
      </c>
      <c r="AB338">
        <v>334686</v>
      </c>
      <c r="AC338" s="11">
        <v>46174</v>
      </c>
      <c r="AD338" s="11">
        <v>46222</v>
      </c>
      <c r="AE338" t="s">
        <v>2298</v>
      </c>
      <c r="AF338" t="s">
        <v>2182</v>
      </c>
      <c r="AG338" t="s">
        <v>2183</v>
      </c>
      <c r="AH338">
        <v>659615.11</v>
      </c>
      <c r="AI338">
        <v>124244</v>
      </c>
      <c r="AJ338" t="s">
        <v>2055</v>
      </c>
    </row>
    <row r="339" spans="1:36" hidden="1" x14ac:dyDescent="0.2">
      <c r="A339" t="s">
        <v>2313</v>
      </c>
      <c r="B339" t="s">
        <v>136</v>
      </c>
      <c r="C339" t="s">
        <v>2314</v>
      </c>
      <c r="D339" t="s">
        <v>260</v>
      </c>
      <c r="E339">
        <v>265853</v>
      </c>
      <c r="F339" t="s">
        <v>2216</v>
      </c>
      <c r="G339">
        <v>8002</v>
      </c>
      <c r="H339">
        <v>580830</v>
      </c>
      <c r="I339" t="s">
        <v>481</v>
      </c>
      <c r="J339" s="11">
        <v>46113</v>
      </c>
      <c r="K339" s="11">
        <v>46222</v>
      </c>
      <c r="L339" t="s">
        <v>2247</v>
      </c>
      <c r="M339" t="s">
        <v>1850</v>
      </c>
      <c r="N339">
        <v>25</v>
      </c>
      <c r="O339">
        <v>2000000</v>
      </c>
      <c r="P339">
        <v>50000</v>
      </c>
      <c r="Q339" t="s">
        <v>2201</v>
      </c>
      <c r="R339" t="s">
        <v>2206</v>
      </c>
      <c r="S339">
        <v>545454</v>
      </c>
      <c r="T339">
        <v>13636.363600000001</v>
      </c>
      <c r="U339" t="s">
        <v>2206</v>
      </c>
      <c r="V339">
        <v>760570</v>
      </c>
      <c r="W339" t="s">
        <v>2180</v>
      </c>
      <c r="X339">
        <v>19014.2327</v>
      </c>
      <c r="Y339">
        <v>19014.2327</v>
      </c>
      <c r="Z339">
        <v>19014.2327</v>
      </c>
      <c r="AA339">
        <v>505991</v>
      </c>
      <c r="AB339">
        <v>498321</v>
      </c>
      <c r="AC339" s="11">
        <v>46113</v>
      </c>
      <c r="AD339" s="11">
        <v>46222</v>
      </c>
      <c r="AE339" t="s">
        <v>2298</v>
      </c>
      <c r="AF339" t="s">
        <v>2182</v>
      </c>
      <c r="AG339" t="s">
        <v>2183</v>
      </c>
      <c r="AH339">
        <v>659615.11</v>
      </c>
      <c r="AI339">
        <v>124244</v>
      </c>
      <c r="AJ339" t="s">
        <v>2055</v>
      </c>
    </row>
    <row r="340" spans="1:36" hidden="1" x14ac:dyDescent="0.2">
      <c r="A340" t="s">
        <v>2313</v>
      </c>
      <c r="B340" t="s">
        <v>136</v>
      </c>
      <c r="C340" t="s">
        <v>2314</v>
      </c>
      <c r="D340" t="s">
        <v>260</v>
      </c>
      <c r="E340">
        <v>265853</v>
      </c>
      <c r="F340" t="s">
        <v>2219</v>
      </c>
      <c r="G340">
        <v>7998</v>
      </c>
      <c r="H340">
        <v>580832</v>
      </c>
      <c r="I340" t="s">
        <v>480</v>
      </c>
      <c r="J340" s="11">
        <v>46113</v>
      </c>
      <c r="K340" s="11">
        <v>46222</v>
      </c>
      <c r="L340" t="s">
        <v>2247</v>
      </c>
      <c r="M340" t="s">
        <v>1850</v>
      </c>
      <c r="N340">
        <v>20</v>
      </c>
      <c r="O340">
        <v>9003350</v>
      </c>
      <c r="P340">
        <v>180067</v>
      </c>
      <c r="Q340" t="s">
        <v>2178</v>
      </c>
      <c r="R340" t="s">
        <v>2206</v>
      </c>
      <c r="S340">
        <v>2455459</v>
      </c>
      <c r="T340">
        <v>49109.181799999998</v>
      </c>
      <c r="U340" t="s">
        <v>2206</v>
      </c>
      <c r="V340">
        <v>735013</v>
      </c>
      <c r="W340" t="s">
        <v>2180</v>
      </c>
      <c r="X340">
        <v>14700.269399999999</v>
      </c>
      <c r="Y340">
        <v>14700.269399999999</v>
      </c>
      <c r="Z340">
        <v>14700.269399999999</v>
      </c>
      <c r="AA340">
        <v>2483212</v>
      </c>
      <c r="AB340">
        <v>2505354</v>
      </c>
      <c r="AC340" s="11">
        <v>46113</v>
      </c>
      <c r="AD340" s="11">
        <v>46222</v>
      </c>
      <c r="AE340" t="s">
        <v>2298</v>
      </c>
      <c r="AF340" t="s">
        <v>2182</v>
      </c>
      <c r="AG340" t="s">
        <v>2183</v>
      </c>
      <c r="AH340">
        <v>659615.11</v>
      </c>
      <c r="AI340">
        <v>124244</v>
      </c>
      <c r="AJ340" t="s">
        <v>2055</v>
      </c>
    </row>
    <row r="341" spans="1:36" hidden="1" x14ac:dyDescent="0.2">
      <c r="A341" t="s">
        <v>2313</v>
      </c>
      <c r="B341" t="s">
        <v>136</v>
      </c>
      <c r="C341" t="s">
        <v>2314</v>
      </c>
      <c r="D341" t="s">
        <v>260</v>
      </c>
      <c r="E341">
        <v>265853</v>
      </c>
      <c r="F341" t="s">
        <v>2218</v>
      </c>
      <c r="G341">
        <v>8000</v>
      </c>
      <c r="H341">
        <v>580835</v>
      </c>
      <c r="I341" t="s">
        <v>885</v>
      </c>
      <c r="J341" s="11">
        <v>46174</v>
      </c>
      <c r="K341" s="11">
        <v>46222</v>
      </c>
      <c r="L341" t="s">
        <v>2247</v>
      </c>
      <c r="M341" t="s">
        <v>2430</v>
      </c>
      <c r="N341">
        <v>0</v>
      </c>
      <c r="O341">
        <v>2313654</v>
      </c>
      <c r="P341">
        <v>347048.1</v>
      </c>
      <c r="R341" t="s">
        <v>2206</v>
      </c>
      <c r="S341">
        <v>1416523</v>
      </c>
      <c r="T341">
        <v>212478.42860000001</v>
      </c>
      <c r="U341" t="s">
        <v>2206</v>
      </c>
      <c r="V341">
        <v>1416523</v>
      </c>
      <c r="W341" t="s">
        <v>2180</v>
      </c>
      <c r="X341">
        <v>212478.42860000001</v>
      </c>
      <c r="Y341">
        <v>212478.42860000001</v>
      </c>
      <c r="Z341">
        <v>212478.42860000001</v>
      </c>
      <c r="AC341" s="11">
        <v>46174</v>
      </c>
      <c r="AD341" s="11">
        <v>46222</v>
      </c>
      <c r="AE341" t="s">
        <v>2298</v>
      </c>
      <c r="AF341" t="s">
        <v>2182</v>
      </c>
      <c r="AG341" t="s">
        <v>2183</v>
      </c>
      <c r="AH341">
        <v>659615.11</v>
      </c>
      <c r="AI341">
        <v>124244</v>
      </c>
      <c r="AJ341" t="s">
        <v>2055</v>
      </c>
    </row>
    <row r="342" spans="1:36" hidden="1" x14ac:dyDescent="0.2">
      <c r="A342" t="s">
        <v>2313</v>
      </c>
      <c r="B342" t="s">
        <v>136</v>
      </c>
      <c r="C342" t="s">
        <v>2314</v>
      </c>
      <c r="D342" t="s">
        <v>260</v>
      </c>
      <c r="E342">
        <v>265853</v>
      </c>
      <c r="F342" t="s">
        <v>2218</v>
      </c>
      <c r="G342">
        <v>8000</v>
      </c>
      <c r="H342">
        <v>593185</v>
      </c>
      <c r="I342" t="s">
        <v>877</v>
      </c>
      <c r="J342" s="11">
        <v>46174</v>
      </c>
      <c r="K342" s="11">
        <v>46222</v>
      </c>
      <c r="L342" t="s">
        <v>2247</v>
      </c>
      <c r="M342" t="s">
        <v>2205</v>
      </c>
      <c r="N342">
        <v>62500</v>
      </c>
      <c r="O342">
        <v>0</v>
      </c>
      <c r="P342">
        <v>62500</v>
      </c>
      <c r="Q342" t="s">
        <v>1987</v>
      </c>
      <c r="R342" t="s">
        <v>2206</v>
      </c>
      <c r="S342">
        <v>0</v>
      </c>
      <c r="T342">
        <v>38265.306199999999</v>
      </c>
      <c r="U342" t="s">
        <v>2206</v>
      </c>
      <c r="V342">
        <v>0</v>
      </c>
      <c r="W342" t="s">
        <v>2180</v>
      </c>
      <c r="X342">
        <v>38265.306199999999</v>
      </c>
      <c r="Y342">
        <v>38265.306199999999</v>
      </c>
      <c r="Z342">
        <v>38265.306199999999</v>
      </c>
      <c r="AC342" s="11">
        <v>46174</v>
      </c>
      <c r="AD342" s="11">
        <v>46222</v>
      </c>
      <c r="AE342" t="s">
        <v>2298</v>
      </c>
      <c r="AF342" t="s">
        <v>2182</v>
      </c>
      <c r="AG342" t="s">
        <v>2183</v>
      </c>
      <c r="AH342">
        <v>659615.11</v>
      </c>
      <c r="AI342">
        <v>124244</v>
      </c>
      <c r="AJ342" t="s">
        <v>2055</v>
      </c>
    </row>
    <row r="343" spans="1:36" hidden="1" x14ac:dyDescent="0.2">
      <c r="A343" t="s">
        <v>2252</v>
      </c>
      <c r="B343" t="s">
        <v>133</v>
      </c>
      <c r="C343" t="s">
        <v>2253</v>
      </c>
      <c r="D343" t="s">
        <v>257</v>
      </c>
      <c r="E343">
        <v>266090</v>
      </c>
      <c r="H343">
        <v>580681</v>
      </c>
      <c r="I343" t="s">
        <v>477</v>
      </c>
      <c r="J343" s="11">
        <v>46163</v>
      </c>
      <c r="K343" s="11">
        <v>46190</v>
      </c>
      <c r="L343" t="s">
        <v>2254</v>
      </c>
      <c r="M343" t="s">
        <v>1850</v>
      </c>
      <c r="N343">
        <v>18.89</v>
      </c>
      <c r="O343">
        <v>8913727</v>
      </c>
      <c r="P343">
        <v>168380.3</v>
      </c>
      <c r="Q343" t="s">
        <v>2201</v>
      </c>
      <c r="R343" t="s">
        <v>2179</v>
      </c>
      <c r="S343">
        <v>0</v>
      </c>
      <c r="T343">
        <v>0</v>
      </c>
      <c r="U343" t="s">
        <v>2179</v>
      </c>
      <c r="V343">
        <v>3331099</v>
      </c>
      <c r="W343" t="s">
        <v>2180</v>
      </c>
      <c r="X343">
        <v>62924.46</v>
      </c>
      <c r="Y343">
        <v>62924.46</v>
      </c>
      <c r="Z343">
        <v>62924.46</v>
      </c>
      <c r="AA343">
        <v>4285234</v>
      </c>
      <c r="AB343">
        <v>4209974</v>
      </c>
      <c r="AC343" s="11">
        <v>46163</v>
      </c>
      <c r="AD343" s="11">
        <v>46190</v>
      </c>
      <c r="AE343" t="s">
        <v>2198</v>
      </c>
      <c r="AF343" t="s">
        <v>2182</v>
      </c>
      <c r="AG343" t="s">
        <v>2183</v>
      </c>
      <c r="AH343">
        <v>547236</v>
      </c>
      <c r="AI343">
        <v>123238</v>
      </c>
      <c r="AJ343" t="s">
        <v>2053</v>
      </c>
    </row>
    <row r="344" spans="1:36" hidden="1" x14ac:dyDescent="0.2">
      <c r="A344" t="s">
        <v>2252</v>
      </c>
      <c r="B344" t="s">
        <v>133</v>
      </c>
      <c r="C344" t="s">
        <v>2253</v>
      </c>
      <c r="D344" t="s">
        <v>257</v>
      </c>
      <c r="E344">
        <v>266090</v>
      </c>
      <c r="H344">
        <v>580682</v>
      </c>
      <c r="I344" t="s">
        <v>476</v>
      </c>
      <c r="J344" s="11">
        <v>46191</v>
      </c>
      <c r="K344" s="11">
        <v>46201</v>
      </c>
      <c r="L344" t="s">
        <v>2254</v>
      </c>
      <c r="M344" t="s">
        <v>1850</v>
      </c>
      <c r="N344">
        <v>18.89</v>
      </c>
      <c r="O344">
        <v>3501822</v>
      </c>
      <c r="P344">
        <v>66149.42</v>
      </c>
      <c r="Q344" t="s">
        <v>2201</v>
      </c>
      <c r="R344" t="s">
        <v>2179</v>
      </c>
      <c r="S344">
        <v>0</v>
      </c>
      <c r="T344">
        <v>0</v>
      </c>
      <c r="U344" t="s">
        <v>2179</v>
      </c>
      <c r="V344">
        <v>3501822</v>
      </c>
      <c r="W344" t="s">
        <v>2180</v>
      </c>
      <c r="X344">
        <v>66149.42</v>
      </c>
      <c r="Y344">
        <v>66149.42</v>
      </c>
      <c r="Z344">
        <v>66149.42</v>
      </c>
      <c r="AA344">
        <v>3646154</v>
      </c>
      <c r="AB344">
        <v>3636191</v>
      </c>
      <c r="AC344" s="11">
        <v>46191</v>
      </c>
      <c r="AD344" s="11">
        <v>46201</v>
      </c>
      <c r="AE344" t="s">
        <v>2198</v>
      </c>
      <c r="AF344" t="s">
        <v>2182</v>
      </c>
      <c r="AG344" t="s">
        <v>2183</v>
      </c>
      <c r="AH344">
        <v>547236</v>
      </c>
      <c r="AI344">
        <v>123238</v>
      </c>
      <c r="AJ344" t="s">
        <v>2053</v>
      </c>
    </row>
    <row r="345" spans="1:36" hidden="1" x14ac:dyDescent="0.2">
      <c r="A345" t="s">
        <v>2435</v>
      </c>
      <c r="B345" t="s">
        <v>209</v>
      </c>
      <c r="C345" t="s">
        <v>2436</v>
      </c>
      <c r="D345" t="s">
        <v>394</v>
      </c>
      <c r="E345">
        <v>266094</v>
      </c>
      <c r="F345" t="s">
        <v>2215</v>
      </c>
      <c r="G345">
        <v>8005</v>
      </c>
      <c r="H345">
        <v>582278</v>
      </c>
      <c r="I345" t="s">
        <v>730</v>
      </c>
      <c r="J345" s="11">
        <v>46183</v>
      </c>
      <c r="K345" s="11">
        <v>46222</v>
      </c>
      <c r="M345" t="s">
        <v>1850</v>
      </c>
      <c r="N345">
        <v>44</v>
      </c>
      <c r="O345">
        <v>1704546</v>
      </c>
      <c r="P345">
        <v>75000.02</v>
      </c>
      <c r="Q345" t="s">
        <v>2178</v>
      </c>
      <c r="R345" t="s">
        <v>2179</v>
      </c>
      <c r="S345">
        <v>0</v>
      </c>
      <c r="T345">
        <v>0</v>
      </c>
      <c r="U345" t="s">
        <v>2179</v>
      </c>
      <c r="V345">
        <v>650168</v>
      </c>
      <c r="W345" t="s">
        <v>2180</v>
      </c>
      <c r="X345">
        <v>28607.392</v>
      </c>
      <c r="Y345">
        <v>28607.392</v>
      </c>
      <c r="Z345">
        <v>28607.392</v>
      </c>
      <c r="AA345">
        <v>940990</v>
      </c>
      <c r="AB345">
        <v>650168</v>
      </c>
      <c r="AC345" s="11">
        <v>46183</v>
      </c>
      <c r="AD345" s="11">
        <v>46222</v>
      </c>
      <c r="AE345" t="s">
        <v>2287</v>
      </c>
      <c r="AF345" t="s">
        <v>2182</v>
      </c>
      <c r="AG345" t="s">
        <v>2183</v>
      </c>
      <c r="AH345">
        <v>150000.03</v>
      </c>
      <c r="AI345">
        <v>130913</v>
      </c>
      <c r="AJ345" t="s">
        <v>2042</v>
      </c>
    </row>
    <row r="346" spans="1:36" hidden="1" x14ac:dyDescent="0.2">
      <c r="A346" t="s">
        <v>2435</v>
      </c>
      <c r="B346" t="s">
        <v>209</v>
      </c>
      <c r="C346" t="s">
        <v>2436</v>
      </c>
      <c r="D346" t="s">
        <v>394</v>
      </c>
      <c r="E346">
        <v>266094</v>
      </c>
      <c r="F346" t="s">
        <v>2219</v>
      </c>
      <c r="G346">
        <v>7998</v>
      </c>
      <c r="H346">
        <v>592128</v>
      </c>
      <c r="I346" t="s">
        <v>2437</v>
      </c>
      <c r="J346" s="11">
        <v>46183</v>
      </c>
      <c r="K346" s="11">
        <v>46222</v>
      </c>
      <c r="M346" t="s">
        <v>1850</v>
      </c>
      <c r="N346">
        <v>0</v>
      </c>
      <c r="O346">
        <v>0</v>
      </c>
      <c r="P346">
        <v>0</v>
      </c>
      <c r="Q346" t="s">
        <v>2178</v>
      </c>
      <c r="R346" t="s">
        <v>2179</v>
      </c>
      <c r="S346">
        <v>0</v>
      </c>
      <c r="T346">
        <v>0</v>
      </c>
      <c r="U346" t="s">
        <v>2179</v>
      </c>
      <c r="V346">
        <v>0</v>
      </c>
      <c r="W346" t="s">
        <v>2180</v>
      </c>
      <c r="X346">
        <v>0</v>
      </c>
      <c r="Y346">
        <v>0</v>
      </c>
      <c r="Z346">
        <v>0</v>
      </c>
      <c r="AA346">
        <v>446262</v>
      </c>
      <c r="AB346">
        <v>256972</v>
      </c>
      <c r="AC346" s="11">
        <v>46183</v>
      </c>
      <c r="AD346" s="11">
        <v>46222</v>
      </c>
      <c r="AE346" t="s">
        <v>2287</v>
      </c>
      <c r="AF346" t="s">
        <v>2182</v>
      </c>
      <c r="AG346" t="s">
        <v>2183</v>
      </c>
      <c r="AH346">
        <v>150000.03</v>
      </c>
      <c r="AI346">
        <v>130913</v>
      </c>
      <c r="AJ346" t="s">
        <v>2042</v>
      </c>
    </row>
    <row r="347" spans="1:36" hidden="1" x14ac:dyDescent="0.2">
      <c r="A347" t="s">
        <v>2435</v>
      </c>
      <c r="B347" t="s">
        <v>209</v>
      </c>
      <c r="C347" t="s">
        <v>2436</v>
      </c>
      <c r="D347" t="s">
        <v>394</v>
      </c>
      <c r="E347">
        <v>266094</v>
      </c>
      <c r="F347" t="s">
        <v>2216</v>
      </c>
      <c r="G347">
        <v>8002</v>
      </c>
      <c r="H347">
        <v>595783</v>
      </c>
      <c r="I347" t="s">
        <v>761</v>
      </c>
      <c r="J347" s="11">
        <v>46197</v>
      </c>
      <c r="K347" s="11">
        <v>46295</v>
      </c>
      <c r="L347" t="s">
        <v>2177</v>
      </c>
      <c r="M347" t="s">
        <v>1850</v>
      </c>
      <c r="N347">
        <v>25</v>
      </c>
      <c r="O347">
        <v>3000000</v>
      </c>
      <c r="P347">
        <v>75000</v>
      </c>
      <c r="Q347" t="s">
        <v>2178</v>
      </c>
      <c r="R347" t="s">
        <v>2179</v>
      </c>
      <c r="S347">
        <v>0</v>
      </c>
      <c r="T347">
        <v>0</v>
      </c>
      <c r="U347" t="s">
        <v>2179</v>
      </c>
      <c r="V347">
        <v>9192</v>
      </c>
      <c r="W347" t="s">
        <v>2180</v>
      </c>
      <c r="X347">
        <v>229.8</v>
      </c>
      <c r="Y347">
        <v>229.8</v>
      </c>
      <c r="Z347">
        <v>229.8</v>
      </c>
      <c r="AA347">
        <v>10341</v>
      </c>
      <c r="AB347">
        <v>9192</v>
      </c>
      <c r="AC347" s="11">
        <v>46197</v>
      </c>
      <c r="AD347" s="11">
        <v>46295</v>
      </c>
      <c r="AE347" t="s">
        <v>2287</v>
      </c>
      <c r="AF347" t="s">
        <v>2182</v>
      </c>
      <c r="AG347" t="s">
        <v>2183</v>
      </c>
      <c r="AH347">
        <v>150000.03</v>
      </c>
      <c r="AI347">
        <v>130913</v>
      </c>
      <c r="AJ347" t="s">
        <v>2042</v>
      </c>
    </row>
    <row r="348" spans="1:36" hidden="1" x14ac:dyDescent="0.2">
      <c r="A348" t="s">
        <v>2438</v>
      </c>
      <c r="B348" t="s">
        <v>140</v>
      </c>
      <c r="C348" t="s">
        <v>2439</v>
      </c>
      <c r="D348" t="s">
        <v>269</v>
      </c>
      <c r="E348">
        <v>266368</v>
      </c>
      <c r="F348" t="s">
        <v>2209</v>
      </c>
      <c r="G348">
        <v>7968</v>
      </c>
      <c r="H348">
        <v>578617</v>
      </c>
      <c r="I348" t="s">
        <v>499</v>
      </c>
      <c r="J348" s="11">
        <v>46113</v>
      </c>
      <c r="K348" s="11">
        <v>46203</v>
      </c>
      <c r="L348" t="s">
        <v>2177</v>
      </c>
      <c r="M348" t="s">
        <v>1850</v>
      </c>
      <c r="N348">
        <v>21.79</v>
      </c>
      <c r="O348">
        <v>11702616</v>
      </c>
      <c r="P348">
        <v>255000.01</v>
      </c>
      <c r="R348" t="s">
        <v>2179</v>
      </c>
      <c r="S348">
        <v>0</v>
      </c>
      <c r="T348">
        <v>0</v>
      </c>
      <c r="U348" t="s">
        <v>2179</v>
      </c>
      <c r="V348">
        <v>3454995</v>
      </c>
      <c r="W348" t="s">
        <v>2180</v>
      </c>
      <c r="X348">
        <v>75284.350000000006</v>
      </c>
      <c r="Y348">
        <v>75284.350000000006</v>
      </c>
      <c r="Z348">
        <v>75284.350000000006</v>
      </c>
      <c r="AA348">
        <v>3649701</v>
      </c>
      <c r="AB348">
        <v>3574491</v>
      </c>
      <c r="AC348" s="11">
        <v>46113</v>
      </c>
      <c r="AD348" s="11">
        <v>46203</v>
      </c>
      <c r="AE348" t="s">
        <v>2222</v>
      </c>
      <c r="AF348" t="s">
        <v>2182</v>
      </c>
      <c r="AG348" t="s">
        <v>2183</v>
      </c>
      <c r="AH348">
        <v>255000.01</v>
      </c>
      <c r="AI348">
        <v>123974</v>
      </c>
      <c r="AJ348" t="s">
        <v>2054</v>
      </c>
    </row>
    <row r="349" spans="1:36" hidden="1" x14ac:dyDescent="0.2">
      <c r="A349" t="s">
        <v>2259</v>
      </c>
      <c r="B349" t="s">
        <v>132</v>
      </c>
      <c r="C349" t="s">
        <v>2260</v>
      </c>
      <c r="D349" t="s">
        <v>255</v>
      </c>
      <c r="E349">
        <v>266431</v>
      </c>
      <c r="F349" t="s">
        <v>2209</v>
      </c>
      <c r="G349">
        <v>7968</v>
      </c>
      <c r="H349">
        <v>578855</v>
      </c>
      <c r="I349" t="s">
        <v>469</v>
      </c>
      <c r="J349" s="11">
        <v>46143</v>
      </c>
      <c r="K349" s="11">
        <v>46180</v>
      </c>
      <c r="L349" t="s">
        <v>2223</v>
      </c>
      <c r="M349" t="s">
        <v>1850</v>
      </c>
      <c r="N349">
        <v>29.21</v>
      </c>
      <c r="O349">
        <v>18465</v>
      </c>
      <c r="P349">
        <v>539.36</v>
      </c>
      <c r="Q349" t="s">
        <v>2178</v>
      </c>
      <c r="R349" t="s">
        <v>2263</v>
      </c>
      <c r="S349">
        <v>9233</v>
      </c>
      <c r="T349">
        <v>269.68</v>
      </c>
      <c r="U349" t="s">
        <v>2263</v>
      </c>
      <c r="V349">
        <v>0</v>
      </c>
      <c r="W349" t="s">
        <v>2180</v>
      </c>
      <c r="X349">
        <v>0</v>
      </c>
      <c r="Y349">
        <v>0</v>
      </c>
      <c r="Z349">
        <v>0</v>
      </c>
      <c r="AA349">
        <v>5744</v>
      </c>
      <c r="AB349">
        <v>5719</v>
      </c>
      <c r="AC349" s="11">
        <v>46143</v>
      </c>
      <c r="AD349" s="11">
        <v>46180</v>
      </c>
      <c r="AE349" t="s">
        <v>2226</v>
      </c>
      <c r="AF349" t="s">
        <v>2182</v>
      </c>
      <c r="AG349" t="s">
        <v>2183</v>
      </c>
      <c r="AH349">
        <v>150000</v>
      </c>
      <c r="AI349">
        <v>123556</v>
      </c>
      <c r="AJ349" t="s">
        <v>2054</v>
      </c>
    </row>
    <row r="350" spans="1:36" hidden="1" x14ac:dyDescent="0.2">
      <c r="A350" t="s">
        <v>2259</v>
      </c>
      <c r="B350" t="s">
        <v>132</v>
      </c>
      <c r="C350" t="s">
        <v>2260</v>
      </c>
      <c r="D350" t="s">
        <v>255</v>
      </c>
      <c r="E350">
        <v>266431</v>
      </c>
      <c r="F350" t="s">
        <v>2209</v>
      </c>
      <c r="G350">
        <v>7968</v>
      </c>
      <c r="H350">
        <v>578857</v>
      </c>
      <c r="I350" t="s">
        <v>470</v>
      </c>
      <c r="J350" s="11">
        <v>46195</v>
      </c>
      <c r="K350" s="11">
        <v>46201</v>
      </c>
      <c r="L350" t="s">
        <v>2223</v>
      </c>
      <c r="M350" t="s">
        <v>1850</v>
      </c>
      <c r="N350">
        <v>29.21</v>
      </c>
      <c r="O350">
        <v>170280</v>
      </c>
      <c r="P350">
        <v>4973.88</v>
      </c>
      <c r="Q350" t="s">
        <v>2178</v>
      </c>
      <c r="R350" t="s">
        <v>2263</v>
      </c>
      <c r="S350">
        <v>170280</v>
      </c>
      <c r="T350">
        <v>4973.88</v>
      </c>
      <c r="U350" t="s">
        <v>2263</v>
      </c>
      <c r="V350">
        <v>170280</v>
      </c>
      <c r="W350" t="s">
        <v>2180</v>
      </c>
      <c r="X350">
        <v>4973.88</v>
      </c>
      <c r="Y350">
        <v>4973.88</v>
      </c>
      <c r="Z350">
        <v>4973.88</v>
      </c>
      <c r="AA350">
        <v>209364</v>
      </c>
      <c r="AB350">
        <v>211246</v>
      </c>
      <c r="AC350" s="11">
        <v>46195</v>
      </c>
      <c r="AD350" s="11">
        <v>46201</v>
      </c>
      <c r="AE350" t="s">
        <v>2226</v>
      </c>
      <c r="AF350" t="s">
        <v>2182</v>
      </c>
      <c r="AG350" t="s">
        <v>2183</v>
      </c>
      <c r="AH350">
        <v>150000</v>
      </c>
      <c r="AI350">
        <v>123556</v>
      </c>
      <c r="AJ350" t="s">
        <v>2054</v>
      </c>
    </row>
    <row r="351" spans="1:36" hidden="1" x14ac:dyDescent="0.2">
      <c r="A351" t="s">
        <v>2259</v>
      </c>
      <c r="B351" t="s">
        <v>132</v>
      </c>
      <c r="C351" t="s">
        <v>2260</v>
      </c>
      <c r="D351" t="s">
        <v>255</v>
      </c>
      <c r="E351">
        <v>266431</v>
      </c>
      <c r="F351" t="s">
        <v>2209</v>
      </c>
      <c r="G351">
        <v>7968</v>
      </c>
      <c r="H351">
        <v>578859</v>
      </c>
      <c r="I351" t="s">
        <v>471</v>
      </c>
      <c r="J351" s="11">
        <v>46146</v>
      </c>
      <c r="K351" s="11">
        <v>46194</v>
      </c>
      <c r="L351" t="s">
        <v>2223</v>
      </c>
      <c r="M351" t="s">
        <v>1850</v>
      </c>
      <c r="N351">
        <v>29.21</v>
      </c>
      <c r="O351">
        <v>1097919</v>
      </c>
      <c r="P351">
        <v>32070.21</v>
      </c>
      <c r="Q351" t="s">
        <v>2178</v>
      </c>
      <c r="R351" t="s">
        <v>2263</v>
      </c>
      <c r="S351">
        <v>548960</v>
      </c>
      <c r="T351">
        <v>16035.105</v>
      </c>
      <c r="U351" t="s">
        <v>2263</v>
      </c>
      <c r="V351">
        <v>647399</v>
      </c>
      <c r="W351" t="s">
        <v>2180</v>
      </c>
      <c r="X351">
        <v>18910.509999999998</v>
      </c>
      <c r="Y351">
        <v>18910.509999999998</v>
      </c>
      <c r="Z351">
        <v>18910.509999999998</v>
      </c>
      <c r="AA351">
        <v>889350</v>
      </c>
      <c r="AB351">
        <v>897753</v>
      </c>
      <c r="AC351" s="11">
        <v>46146</v>
      </c>
      <c r="AD351" s="11">
        <v>46194</v>
      </c>
      <c r="AE351" t="s">
        <v>2226</v>
      </c>
      <c r="AF351" t="s">
        <v>2182</v>
      </c>
      <c r="AG351" t="s">
        <v>2183</v>
      </c>
      <c r="AH351">
        <v>150000</v>
      </c>
      <c r="AI351">
        <v>123556</v>
      </c>
      <c r="AJ351" t="s">
        <v>2054</v>
      </c>
    </row>
    <row r="352" spans="1:36" hidden="1" x14ac:dyDescent="0.2">
      <c r="A352" t="s">
        <v>2259</v>
      </c>
      <c r="B352" t="s">
        <v>132</v>
      </c>
      <c r="C352" t="s">
        <v>2260</v>
      </c>
      <c r="D352" t="s">
        <v>255</v>
      </c>
      <c r="E352">
        <v>266431</v>
      </c>
      <c r="F352" t="s">
        <v>2209</v>
      </c>
      <c r="G352">
        <v>7968</v>
      </c>
      <c r="H352">
        <v>578865</v>
      </c>
      <c r="I352" t="s">
        <v>472</v>
      </c>
      <c r="J352" s="11">
        <v>46146</v>
      </c>
      <c r="K352" s="11">
        <v>46194</v>
      </c>
      <c r="L352" t="s">
        <v>2223</v>
      </c>
      <c r="M352" t="s">
        <v>1850</v>
      </c>
      <c r="N352">
        <v>29.21</v>
      </c>
      <c r="O352">
        <v>1144136</v>
      </c>
      <c r="P352">
        <v>33420.21</v>
      </c>
      <c r="Q352" t="s">
        <v>2178</v>
      </c>
      <c r="R352" t="s">
        <v>2263</v>
      </c>
      <c r="S352">
        <v>572068</v>
      </c>
      <c r="T352">
        <v>16710.105</v>
      </c>
      <c r="U352" t="s">
        <v>2263</v>
      </c>
      <c r="V352">
        <v>618884</v>
      </c>
      <c r="W352" t="s">
        <v>2180</v>
      </c>
      <c r="X352">
        <v>18077.599999999999</v>
      </c>
      <c r="Y352">
        <v>18077.599999999999</v>
      </c>
      <c r="Z352">
        <v>18077.599999999999</v>
      </c>
      <c r="AA352">
        <v>899051</v>
      </c>
      <c r="AB352">
        <v>907341</v>
      </c>
      <c r="AC352" s="11">
        <v>46146</v>
      </c>
      <c r="AD352" s="11">
        <v>46194</v>
      </c>
      <c r="AE352" t="s">
        <v>2226</v>
      </c>
      <c r="AF352" t="s">
        <v>2182</v>
      </c>
      <c r="AG352" t="s">
        <v>2183</v>
      </c>
      <c r="AH352">
        <v>150000</v>
      </c>
      <c r="AI352">
        <v>123556</v>
      </c>
      <c r="AJ352" t="s">
        <v>2054</v>
      </c>
    </row>
    <row r="353" spans="1:36" hidden="1" x14ac:dyDescent="0.2">
      <c r="A353" t="s">
        <v>2259</v>
      </c>
      <c r="B353" t="s">
        <v>132</v>
      </c>
      <c r="C353" t="s">
        <v>2260</v>
      </c>
      <c r="D353" t="s">
        <v>255</v>
      </c>
      <c r="E353">
        <v>266431</v>
      </c>
      <c r="F353" t="s">
        <v>2209</v>
      </c>
      <c r="G353">
        <v>7968</v>
      </c>
      <c r="H353">
        <v>578869</v>
      </c>
      <c r="I353" t="s">
        <v>473</v>
      </c>
      <c r="J353" s="11">
        <v>46143</v>
      </c>
      <c r="K353" s="11">
        <v>46201</v>
      </c>
      <c r="L353" t="s">
        <v>2223</v>
      </c>
      <c r="M353" t="s">
        <v>1850</v>
      </c>
      <c r="N353">
        <v>29.21</v>
      </c>
      <c r="O353">
        <v>960040</v>
      </c>
      <c r="P353">
        <v>28042.77</v>
      </c>
      <c r="Q353" t="s">
        <v>2178</v>
      </c>
      <c r="R353" t="s">
        <v>2263</v>
      </c>
      <c r="S353">
        <v>480020</v>
      </c>
      <c r="T353">
        <v>14021.385</v>
      </c>
      <c r="U353" t="s">
        <v>2263</v>
      </c>
      <c r="V353">
        <v>402811</v>
      </c>
      <c r="W353" t="s">
        <v>2180</v>
      </c>
      <c r="X353">
        <v>11766.11</v>
      </c>
      <c r="Y353">
        <v>11766.11</v>
      </c>
      <c r="Z353">
        <v>11766.11</v>
      </c>
      <c r="AA353">
        <v>580823</v>
      </c>
      <c r="AB353">
        <v>586494</v>
      </c>
      <c r="AC353" s="11">
        <v>46143</v>
      </c>
      <c r="AD353" s="11">
        <v>46201</v>
      </c>
      <c r="AE353" t="s">
        <v>2226</v>
      </c>
      <c r="AF353" t="s">
        <v>2182</v>
      </c>
      <c r="AG353" t="s">
        <v>2183</v>
      </c>
      <c r="AH353">
        <v>150000</v>
      </c>
      <c r="AI353">
        <v>123556</v>
      </c>
      <c r="AJ353" t="s">
        <v>2054</v>
      </c>
    </row>
    <row r="354" spans="1:36" hidden="1" x14ac:dyDescent="0.2">
      <c r="A354" t="s">
        <v>2284</v>
      </c>
      <c r="B354" t="s">
        <v>112</v>
      </c>
      <c r="C354" t="s">
        <v>2345</v>
      </c>
      <c r="D354" t="s">
        <v>371</v>
      </c>
      <c r="E354">
        <v>266666</v>
      </c>
      <c r="F354" t="s">
        <v>2209</v>
      </c>
      <c r="G354">
        <v>7968</v>
      </c>
      <c r="H354">
        <v>588479</v>
      </c>
      <c r="I354" t="s">
        <v>691</v>
      </c>
      <c r="J354" s="11">
        <v>46170</v>
      </c>
      <c r="K354" s="11">
        <v>46355</v>
      </c>
      <c r="L354" t="s">
        <v>2247</v>
      </c>
      <c r="M354" t="s">
        <v>1850</v>
      </c>
      <c r="N354">
        <v>23.76</v>
      </c>
      <c r="O354">
        <v>17676768</v>
      </c>
      <c r="P354">
        <v>420000.01</v>
      </c>
      <c r="Q354" t="s">
        <v>2201</v>
      </c>
      <c r="R354" t="s">
        <v>2179</v>
      </c>
      <c r="S354">
        <v>0</v>
      </c>
      <c r="T354">
        <v>0</v>
      </c>
      <c r="U354" t="s">
        <v>2179</v>
      </c>
      <c r="V354">
        <v>1477</v>
      </c>
      <c r="W354" t="s">
        <v>2180</v>
      </c>
      <c r="X354">
        <v>35.093499999999999</v>
      </c>
      <c r="Y354">
        <v>35.093499999999999</v>
      </c>
      <c r="Z354">
        <v>35.093499999999999</v>
      </c>
      <c r="AA354">
        <v>7082</v>
      </c>
      <c r="AB354">
        <v>1477</v>
      </c>
      <c r="AC354" s="11">
        <v>46170</v>
      </c>
      <c r="AD354" s="11">
        <v>46355</v>
      </c>
      <c r="AE354" t="s">
        <v>2198</v>
      </c>
      <c r="AF354" t="s">
        <v>2182</v>
      </c>
      <c r="AG354" t="s">
        <v>2183</v>
      </c>
      <c r="AH354">
        <v>420000.01</v>
      </c>
      <c r="AI354">
        <v>129915</v>
      </c>
      <c r="AJ354" t="s">
        <v>2040</v>
      </c>
    </row>
    <row r="355" spans="1:36" hidden="1" x14ac:dyDescent="0.2">
      <c r="A355" t="s">
        <v>2313</v>
      </c>
      <c r="B355" t="s">
        <v>136</v>
      </c>
      <c r="C355" t="s">
        <v>2314</v>
      </c>
      <c r="D355" t="s">
        <v>264</v>
      </c>
      <c r="E355">
        <v>266704</v>
      </c>
      <c r="F355" t="s">
        <v>2215</v>
      </c>
      <c r="G355">
        <v>8005</v>
      </c>
      <c r="H355">
        <v>580930</v>
      </c>
      <c r="I355" t="s">
        <v>492</v>
      </c>
      <c r="J355" s="11">
        <v>46174</v>
      </c>
      <c r="K355" s="11">
        <v>46222</v>
      </c>
      <c r="L355" t="s">
        <v>2247</v>
      </c>
      <c r="M355" t="s">
        <v>1850</v>
      </c>
      <c r="N355">
        <v>40</v>
      </c>
      <c r="O355">
        <v>500000</v>
      </c>
      <c r="P355">
        <v>20000</v>
      </c>
      <c r="Q355" t="s">
        <v>2178</v>
      </c>
      <c r="R355" t="s">
        <v>2206</v>
      </c>
      <c r="S355">
        <v>306123</v>
      </c>
      <c r="T355">
        <v>12244.897999999999</v>
      </c>
      <c r="U355" t="s">
        <v>2206</v>
      </c>
      <c r="V355">
        <v>306123</v>
      </c>
      <c r="W355" t="s">
        <v>2180</v>
      </c>
      <c r="X355">
        <v>12244.897999999999</v>
      </c>
      <c r="Y355">
        <v>12244.897999999999</v>
      </c>
      <c r="Z355">
        <v>12244.897999999999</v>
      </c>
      <c r="AA355">
        <v>354920</v>
      </c>
      <c r="AB355">
        <v>357110</v>
      </c>
      <c r="AC355" s="11">
        <v>46174</v>
      </c>
      <c r="AD355" s="11">
        <v>46222</v>
      </c>
      <c r="AE355" t="s">
        <v>2298</v>
      </c>
      <c r="AF355" t="s">
        <v>2182</v>
      </c>
      <c r="AG355" t="s">
        <v>2183</v>
      </c>
      <c r="AH355">
        <v>697348.11</v>
      </c>
      <c r="AI355">
        <v>125400</v>
      </c>
      <c r="AJ355" t="s">
        <v>2055</v>
      </c>
    </row>
    <row r="356" spans="1:36" hidden="1" x14ac:dyDescent="0.2">
      <c r="A356" t="s">
        <v>2313</v>
      </c>
      <c r="B356" t="s">
        <v>136</v>
      </c>
      <c r="C356" t="s">
        <v>2314</v>
      </c>
      <c r="D356" t="s">
        <v>264</v>
      </c>
      <c r="E356">
        <v>266704</v>
      </c>
      <c r="F356" t="s">
        <v>2216</v>
      </c>
      <c r="G356">
        <v>8002</v>
      </c>
      <c r="H356">
        <v>580933</v>
      </c>
      <c r="I356" t="s">
        <v>493</v>
      </c>
      <c r="J356" s="11">
        <v>46125</v>
      </c>
      <c r="K356" s="11">
        <v>46222</v>
      </c>
      <c r="L356" t="s">
        <v>2247</v>
      </c>
      <c r="M356" t="s">
        <v>1850</v>
      </c>
      <c r="N356">
        <v>25</v>
      </c>
      <c r="O356">
        <v>2000000</v>
      </c>
      <c r="P356">
        <v>50000</v>
      </c>
      <c r="Q356" t="s">
        <v>2201</v>
      </c>
      <c r="R356" t="s">
        <v>2206</v>
      </c>
      <c r="S356">
        <v>612245</v>
      </c>
      <c r="T356">
        <v>15306.122499999999</v>
      </c>
      <c r="U356" t="s">
        <v>2206</v>
      </c>
      <c r="V356">
        <v>999585</v>
      </c>
      <c r="W356" t="s">
        <v>2180</v>
      </c>
      <c r="X356">
        <v>24989.587800000001</v>
      </c>
      <c r="Y356">
        <v>24989.587800000001</v>
      </c>
      <c r="Z356">
        <v>24989.587800000001</v>
      </c>
      <c r="AA356">
        <v>599527</v>
      </c>
      <c r="AB356">
        <v>591533</v>
      </c>
      <c r="AC356" s="11">
        <v>46125</v>
      </c>
      <c r="AD356" s="11">
        <v>46222</v>
      </c>
      <c r="AE356" t="s">
        <v>2298</v>
      </c>
      <c r="AF356" t="s">
        <v>2182</v>
      </c>
      <c r="AG356" t="s">
        <v>2183</v>
      </c>
      <c r="AH356">
        <v>697348.11</v>
      </c>
      <c r="AI356">
        <v>125400</v>
      </c>
      <c r="AJ356" t="s">
        <v>2055</v>
      </c>
    </row>
    <row r="357" spans="1:36" hidden="1" x14ac:dyDescent="0.2">
      <c r="A357" t="s">
        <v>2313</v>
      </c>
      <c r="B357" t="s">
        <v>136</v>
      </c>
      <c r="C357" t="s">
        <v>2314</v>
      </c>
      <c r="D357" t="s">
        <v>264</v>
      </c>
      <c r="E357">
        <v>266704</v>
      </c>
      <c r="F357" t="s">
        <v>2219</v>
      </c>
      <c r="G357">
        <v>7998</v>
      </c>
      <c r="H357">
        <v>580935</v>
      </c>
      <c r="I357" t="s">
        <v>491</v>
      </c>
      <c r="J357" s="11">
        <v>46125</v>
      </c>
      <c r="K357" s="11">
        <v>46222</v>
      </c>
      <c r="L357" t="s">
        <v>2247</v>
      </c>
      <c r="M357" t="s">
        <v>1850</v>
      </c>
      <c r="N357">
        <v>20</v>
      </c>
      <c r="O357">
        <v>4000000</v>
      </c>
      <c r="P357">
        <v>80000</v>
      </c>
      <c r="Q357" t="s">
        <v>2178</v>
      </c>
      <c r="R357" t="s">
        <v>2206</v>
      </c>
      <c r="S357">
        <v>1224490</v>
      </c>
      <c r="T357">
        <v>24489.795999999998</v>
      </c>
      <c r="U357" t="s">
        <v>2206</v>
      </c>
      <c r="V357">
        <v>1999168</v>
      </c>
      <c r="W357" t="s">
        <v>2180</v>
      </c>
      <c r="X357">
        <v>39983.340400000001</v>
      </c>
      <c r="Y357">
        <v>39983.340400000001</v>
      </c>
      <c r="Z357">
        <v>39983.340400000001</v>
      </c>
      <c r="AA357">
        <v>1216661</v>
      </c>
      <c r="AB357">
        <v>1212373</v>
      </c>
      <c r="AC357" s="11">
        <v>46125</v>
      </c>
      <c r="AD357" s="11">
        <v>46222</v>
      </c>
      <c r="AE357" t="s">
        <v>2298</v>
      </c>
      <c r="AF357" t="s">
        <v>2182</v>
      </c>
      <c r="AG357" t="s">
        <v>2183</v>
      </c>
      <c r="AH357">
        <v>697348.11</v>
      </c>
      <c r="AI357">
        <v>125400</v>
      </c>
      <c r="AJ357" t="s">
        <v>2055</v>
      </c>
    </row>
    <row r="358" spans="1:36" hidden="1" x14ac:dyDescent="0.2">
      <c r="A358" t="s">
        <v>2313</v>
      </c>
      <c r="B358" t="s">
        <v>136</v>
      </c>
      <c r="C358" t="s">
        <v>2314</v>
      </c>
      <c r="D358" t="s">
        <v>264</v>
      </c>
      <c r="E358">
        <v>266704</v>
      </c>
      <c r="F358" t="s">
        <v>2218</v>
      </c>
      <c r="G358">
        <v>8000</v>
      </c>
      <c r="H358">
        <v>580938</v>
      </c>
      <c r="I358" t="s">
        <v>856</v>
      </c>
      <c r="J358" s="11">
        <v>46125</v>
      </c>
      <c r="K358" s="11">
        <v>46222</v>
      </c>
      <c r="L358" t="s">
        <v>2247</v>
      </c>
      <c r="M358" t="s">
        <v>2430</v>
      </c>
      <c r="N358">
        <v>0</v>
      </c>
      <c r="O358">
        <v>2815654</v>
      </c>
      <c r="P358">
        <v>547348.1</v>
      </c>
      <c r="R358" t="s">
        <v>2206</v>
      </c>
      <c r="S358">
        <v>861935</v>
      </c>
      <c r="T358">
        <v>167555.54089999999</v>
      </c>
      <c r="U358" t="s">
        <v>2206</v>
      </c>
      <c r="V358">
        <v>1723870</v>
      </c>
      <c r="W358" t="s">
        <v>2180</v>
      </c>
      <c r="X358">
        <v>321054.44089999999</v>
      </c>
      <c r="Y358">
        <v>321054.44089999999</v>
      </c>
      <c r="Z358">
        <v>321054.44089999999</v>
      </c>
      <c r="AC358" s="11">
        <v>46125</v>
      </c>
      <c r="AD358" s="11">
        <v>46222</v>
      </c>
      <c r="AE358" t="s">
        <v>2298</v>
      </c>
      <c r="AF358" t="s">
        <v>2182</v>
      </c>
      <c r="AG358" t="s">
        <v>2183</v>
      </c>
      <c r="AH358">
        <v>697348.11</v>
      </c>
      <c r="AI358">
        <v>125400</v>
      </c>
      <c r="AJ358" t="s">
        <v>2055</v>
      </c>
    </row>
    <row r="359" spans="1:36" hidden="1" x14ac:dyDescent="0.2">
      <c r="A359" t="s">
        <v>2313</v>
      </c>
      <c r="B359" t="s">
        <v>136</v>
      </c>
      <c r="C359" t="s">
        <v>2314</v>
      </c>
      <c r="D359" t="s">
        <v>261</v>
      </c>
      <c r="E359">
        <v>266710</v>
      </c>
      <c r="F359" t="s">
        <v>2215</v>
      </c>
      <c r="G359">
        <v>8005</v>
      </c>
      <c r="H359">
        <v>580968</v>
      </c>
      <c r="I359" t="s">
        <v>485</v>
      </c>
      <c r="J359" s="11">
        <v>46174</v>
      </c>
      <c r="K359" s="11">
        <v>46222</v>
      </c>
      <c r="L359" t="s">
        <v>2247</v>
      </c>
      <c r="M359" t="s">
        <v>1850</v>
      </c>
      <c r="N359">
        <v>40</v>
      </c>
      <c r="O359">
        <v>500000</v>
      </c>
      <c r="P359">
        <v>20000</v>
      </c>
      <c r="Q359" t="s">
        <v>2178</v>
      </c>
      <c r="R359" t="s">
        <v>2206</v>
      </c>
      <c r="S359">
        <v>306123</v>
      </c>
      <c r="T359">
        <v>12244.897999999999</v>
      </c>
      <c r="U359" t="s">
        <v>2206</v>
      </c>
      <c r="V359">
        <v>306123</v>
      </c>
      <c r="W359" t="s">
        <v>2180</v>
      </c>
      <c r="X359">
        <v>12244.897999999999</v>
      </c>
      <c r="Y359">
        <v>12244.897999999999</v>
      </c>
      <c r="Z359">
        <v>12244.897999999999</v>
      </c>
      <c r="AA359">
        <v>329279</v>
      </c>
      <c r="AB359">
        <v>334306</v>
      </c>
      <c r="AC359" s="11">
        <v>46174</v>
      </c>
      <c r="AD359" s="11">
        <v>46222</v>
      </c>
      <c r="AE359" t="s">
        <v>2298</v>
      </c>
      <c r="AF359" t="s">
        <v>2182</v>
      </c>
      <c r="AG359" t="s">
        <v>2183</v>
      </c>
      <c r="AH359">
        <v>609480.11</v>
      </c>
      <c r="AI359">
        <v>124455</v>
      </c>
      <c r="AJ359" t="s">
        <v>2055</v>
      </c>
    </row>
    <row r="360" spans="1:36" hidden="1" x14ac:dyDescent="0.2">
      <c r="A360" t="s">
        <v>2313</v>
      </c>
      <c r="B360" t="s">
        <v>136</v>
      </c>
      <c r="C360" t="s">
        <v>2314</v>
      </c>
      <c r="D360" t="s">
        <v>261</v>
      </c>
      <c r="E360">
        <v>266710</v>
      </c>
      <c r="F360" t="s">
        <v>2216</v>
      </c>
      <c r="G360">
        <v>8002</v>
      </c>
      <c r="H360">
        <v>580980</v>
      </c>
      <c r="I360" t="s">
        <v>484</v>
      </c>
      <c r="J360" s="11">
        <v>46113</v>
      </c>
      <c r="K360" s="11">
        <v>46222</v>
      </c>
      <c r="L360" t="s">
        <v>2247</v>
      </c>
      <c r="M360" t="s">
        <v>1850</v>
      </c>
      <c r="N360">
        <v>25</v>
      </c>
      <c r="O360">
        <v>2000000</v>
      </c>
      <c r="P360">
        <v>50000</v>
      </c>
      <c r="Q360" t="s">
        <v>2201</v>
      </c>
      <c r="R360" t="s">
        <v>2206</v>
      </c>
      <c r="S360">
        <v>545454</v>
      </c>
      <c r="T360">
        <v>13636.363600000001</v>
      </c>
      <c r="U360" t="s">
        <v>2206</v>
      </c>
      <c r="V360">
        <v>890538</v>
      </c>
      <c r="W360" t="s">
        <v>2180</v>
      </c>
      <c r="X360">
        <v>22263.450799999999</v>
      </c>
      <c r="Y360">
        <v>22263.450799999999</v>
      </c>
      <c r="Z360">
        <v>22263.450799999999</v>
      </c>
      <c r="AA360">
        <v>517298</v>
      </c>
      <c r="AB360">
        <v>504229</v>
      </c>
      <c r="AC360" s="11">
        <v>46113</v>
      </c>
      <c r="AD360" s="11">
        <v>46222</v>
      </c>
      <c r="AE360" t="s">
        <v>2298</v>
      </c>
      <c r="AF360" t="s">
        <v>2182</v>
      </c>
      <c r="AG360" t="s">
        <v>2183</v>
      </c>
      <c r="AH360">
        <v>609480.11</v>
      </c>
      <c r="AI360">
        <v>124455</v>
      </c>
      <c r="AJ360" t="s">
        <v>2055</v>
      </c>
    </row>
    <row r="361" spans="1:36" hidden="1" x14ac:dyDescent="0.2">
      <c r="A361" t="s">
        <v>2313</v>
      </c>
      <c r="B361" t="s">
        <v>136</v>
      </c>
      <c r="C361" t="s">
        <v>2314</v>
      </c>
      <c r="D361" t="s">
        <v>261</v>
      </c>
      <c r="E361">
        <v>266710</v>
      </c>
      <c r="F361" t="s">
        <v>2219</v>
      </c>
      <c r="G361">
        <v>7998</v>
      </c>
      <c r="H361">
        <v>580982</v>
      </c>
      <c r="I361" t="s">
        <v>483</v>
      </c>
      <c r="J361" s="11">
        <v>46113</v>
      </c>
      <c r="K361" s="11">
        <v>46222</v>
      </c>
      <c r="L361" t="s">
        <v>2247</v>
      </c>
      <c r="M361" t="s">
        <v>1850</v>
      </c>
      <c r="N361">
        <v>20</v>
      </c>
      <c r="O361">
        <v>6496600</v>
      </c>
      <c r="P361">
        <v>129932</v>
      </c>
      <c r="Q361" t="s">
        <v>2178</v>
      </c>
      <c r="R361" t="s">
        <v>2206</v>
      </c>
      <c r="S361">
        <v>1771800</v>
      </c>
      <c r="T361">
        <v>35436</v>
      </c>
      <c r="U361" t="s">
        <v>2206</v>
      </c>
      <c r="V361">
        <v>2892735</v>
      </c>
      <c r="W361" t="s">
        <v>2180</v>
      </c>
      <c r="X361">
        <v>57854.693899999998</v>
      </c>
      <c r="Y361">
        <v>57854.693899999998</v>
      </c>
      <c r="Z361">
        <v>57854.693899999998</v>
      </c>
      <c r="AA361">
        <v>1887041</v>
      </c>
      <c r="AB361">
        <v>1902468</v>
      </c>
      <c r="AC361" s="11">
        <v>46113</v>
      </c>
      <c r="AD361" s="11">
        <v>46222</v>
      </c>
      <c r="AE361" t="s">
        <v>2298</v>
      </c>
      <c r="AF361" t="s">
        <v>2182</v>
      </c>
      <c r="AG361" t="s">
        <v>2183</v>
      </c>
      <c r="AH361">
        <v>609480.11</v>
      </c>
      <c r="AI361">
        <v>124455</v>
      </c>
      <c r="AJ361" t="s">
        <v>2055</v>
      </c>
    </row>
    <row r="362" spans="1:36" hidden="1" x14ac:dyDescent="0.2">
      <c r="A362" t="s">
        <v>2313</v>
      </c>
      <c r="B362" t="s">
        <v>136</v>
      </c>
      <c r="C362" t="s">
        <v>2314</v>
      </c>
      <c r="D362" t="s">
        <v>261</v>
      </c>
      <c r="E362">
        <v>266710</v>
      </c>
      <c r="F362" t="s">
        <v>2218</v>
      </c>
      <c r="G362">
        <v>8000</v>
      </c>
      <c r="H362">
        <v>580985</v>
      </c>
      <c r="I362" t="s">
        <v>832</v>
      </c>
      <c r="J362" s="11">
        <v>46174</v>
      </c>
      <c r="K362" s="11">
        <v>46222</v>
      </c>
      <c r="L362" t="s">
        <v>2247</v>
      </c>
      <c r="M362" t="s">
        <v>2430</v>
      </c>
      <c r="N362">
        <v>0</v>
      </c>
      <c r="O362">
        <v>2313654</v>
      </c>
      <c r="P362">
        <v>347048.1</v>
      </c>
      <c r="R362" t="s">
        <v>2206</v>
      </c>
      <c r="S362">
        <v>1416523</v>
      </c>
      <c r="T362">
        <v>212478.42860000001</v>
      </c>
      <c r="U362" t="s">
        <v>2206</v>
      </c>
      <c r="V362">
        <v>1360973</v>
      </c>
      <c r="W362" t="s">
        <v>2180</v>
      </c>
      <c r="X362">
        <v>204145.9412</v>
      </c>
      <c r="Y362">
        <v>204145.9412</v>
      </c>
      <c r="Z362">
        <v>204145.9412</v>
      </c>
      <c r="AC362" s="11">
        <v>46174</v>
      </c>
      <c r="AD362" s="11">
        <v>46222</v>
      </c>
      <c r="AE362" t="s">
        <v>2298</v>
      </c>
      <c r="AF362" t="s">
        <v>2182</v>
      </c>
      <c r="AG362" t="s">
        <v>2183</v>
      </c>
      <c r="AH362">
        <v>609480.11</v>
      </c>
      <c r="AI362">
        <v>124455</v>
      </c>
      <c r="AJ362" t="s">
        <v>2055</v>
      </c>
    </row>
    <row r="363" spans="1:36" hidden="1" x14ac:dyDescent="0.2">
      <c r="A363" t="s">
        <v>2313</v>
      </c>
      <c r="B363" t="s">
        <v>136</v>
      </c>
      <c r="C363" t="s">
        <v>2314</v>
      </c>
      <c r="D363" t="s">
        <v>261</v>
      </c>
      <c r="E363">
        <v>266710</v>
      </c>
      <c r="F363" t="s">
        <v>2218</v>
      </c>
      <c r="G363">
        <v>8000</v>
      </c>
      <c r="H363">
        <v>593176</v>
      </c>
      <c r="I363" t="s">
        <v>903</v>
      </c>
      <c r="J363" s="11">
        <v>46174</v>
      </c>
      <c r="K363" s="11">
        <v>46222</v>
      </c>
      <c r="L363" t="s">
        <v>2247</v>
      </c>
      <c r="M363" t="s">
        <v>2205</v>
      </c>
      <c r="N363">
        <v>62500</v>
      </c>
      <c r="O363">
        <v>0</v>
      </c>
      <c r="P363">
        <v>62500</v>
      </c>
      <c r="Q363" t="s">
        <v>1987</v>
      </c>
      <c r="R363" t="s">
        <v>2206</v>
      </c>
      <c r="S363">
        <v>0</v>
      </c>
      <c r="T363">
        <v>38265.306199999999</v>
      </c>
      <c r="U363" t="s">
        <v>2206</v>
      </c>
      <c r="V363">
        <v>0</v>
      </c>
      <c r="W363" t="s">
        <v>2180</v>
      </c>
      <c r="X363">
        <v>38265.306199999999</v>
      </c>
      <c r="Y363">
        <v>38265.306199999999</v>
      </c>
      <c r="Z363">
        <v>38265.306199999999</v>
      </c>
      <c r="AC363" s="11">
        <v>46174</v>
      </c>
      <c r="AD363" s="11">
        <v>46222</v>
      </c>
      <c r="AE363" t="s">
        <v>2298</v>
      </c>
      <c r="AF363" t="s">
        <v>2182</v>
      </c>
      <c r="AG363" t="s">
        <v>2183</v>
      </c>
      <c r="AH363">
        <v>609480.11</v>
      </c>
      <c r="AI363">
        <v>124455</v>
      </c>
      <c r="AJ363" t="s">
        <v>2055</v>
      </c>
    </row>
    <row r="364" spans="1:36" hidden="1" x14ac:dyDescent="0.2">
      <c r="A364" t="s">
        <v>2313</v>
      </c>
      <c r="B364" t="s">
        <v>136</v>
      </c>
      <c r="C364" t="s">
        <v>2314</v>
      </c>
      <c r="D364" t="s">
        <v>263</v>
      </c>
      <c r="E364">
        <v>266711</v>
      </c>
      <c r="F364" t="s">
        <v>2215</v>
      </c>
      <c r="G364">
        <v>8005</v>
      </c>
      <c r="H364">
        <v>581007</v>
      </c>
      <c r="I364" t="s">
        <v>490</v>
      </c>
      <c r="J364" s="11">
        <v>46174</v>
      </c>
      <c r="K364" s="11">
        <v>46222</v>
      </c>
      <c r="L364" t="s">
        <v>2247</v>
      </c>
      <c r="M364" t="s">
        <v>1850</v>
      </c>
      <c r="N364">
        <v>40</v>
      </c>
      <c r="O364">
        <v>500000</v>
      </c>
      <c r="P364">
        <v>20000</v>
      </c>
      <c r="Q364" t="s">
        <v>2178</v>
      </c>
      <c r="R364" t="s">
        <v>2206</v>
      </c>
      <c r="S364">
        <v>306123</v>
      </c>
      <c r="T364">
        <v>12244.897999999999</v>
      </c>
      <c r="U364" t="s">
        <v>2206</v>
      </c>
      <c r="V364">
        <v>306123</v>
      </c>
      <c r="W364" t="s">
        <v>2180</v>
      </c>
      <c r="X364">
        <v>12244.897999999999</v>
      </c>
      <c r="Y364">
        <v>12244.897999999999</v>
      </c>
      <c r="Z364">
        <v>12244.897999999999</v>
      </c>
      <c r="AA364">
        <v>329376</v>
      </c>
      <c r="AB364">
        <v>334480</v>
      </c>
      <c r="AC364" s="11">
        <v>46174</v>
      </c>
      <c r="AD364" s="11">
        <v>46222</v>
      </c>
      <c r="AE364" t="s">
        <v>2298</v>
      </c>
      <c r="AF364" t="s">
        <v>2182</v>
      </c>
      <c r="AG364" t="s">
        <v>2183</v>
      </c>
      <c r="AH364">
        <v>433979.22</v>
      </c>
      <c r="AI364">
        <v>125118</v>
      </c>
      <c r="AJ364" t="s">
        <v>2055</v>
      </c>
    </row>
    <row r="365" spans="1:36" hidden="1" x14ac:dyDescent="0.2">
      <c r="A365" t="s">
        <v>2313</v>
      </c>
      <c r="B365" t="s">
        <v>136</v>
      </c>
      <c r="C365" t="s">
        <v>2314</v>
      </c>
      <c r="D365" t="s">
        <v>263</v>
      </c>
      <c r="E365">
        <v>266711</v>
      </c>
      <c r="F365" t="s">
        <v>2216</v>
      </c>
      <c r="G365">
        <v>8002</v>
      </c>
      <c r="H365">
        <v>581010</v>
      </c>
      <c r="I365" t="s">
        <v>488</v>
      </c>
      <c r="J365" s="11">
        <v>46113</v>
      </c>
      <c r="K365" s="11">
        <v>46222</v>
      </c>
      <c r="L365" t="s">
        <v>2247</v>
      </c>
      <c r="M365" t="s">
        <v>1850</v>
      </c>
      <c r="N365">
        <v>25</v>
      </c>
      <c r="O365">
        <v>2000000</v>
      </c>
      <c r="P365">
        <v>50000</v>
      </c>
      <c r="R365" t="s">
        <v>2206</v>
      </c>
      <c r="S365">
        <v>545454</v>
      </c>
      <c r="T365">
        <v>13636.363600000001</v>
      </c>
      <c r="U365" t="s">
        <v>2206</v>
      </c>
      <c r="V365">
        <v>530009</v>
      </c>
      <c r="W365" t="s">
        <v>2180</v>
      </c>
      <c r="X365">
        <v>13250.204100000001</v>
      </c>
      <c r="Y365">
        <v>13250.204100000001</v>
      </c>
      <c r="Z365">
        <v>13250.204100000001</v>
      </c>
      <c r="AA365">
        <v>519395</v>
      </c>
      <c r="AB365">
        <v>510025</v>
      </c>
      <c r="AC365" s="11">
        <v>46113</v>
      </c>
      <c r="AD365" s="11">
        <v>46222</v>
      </c>
      <c r="AE365" t="s">
        <v>2298</v>
      </c>
      <c r="AF365" t="s">
        <v>2182</v>
      </c>
      <c r="AG365" t="s">
        <v>2183</v>
      </c>
      <c r="AH365">
        <v>433979.22</v>
      </c>
      <c r="AI365">
        <v>125118</v>
      </c>
      <c r="AJ365" t="s">
        <v>2055</v>
      </c>
    </row>
    <row r="366" spans="1:36" hidden="1" x14ac:dyDescent="0.2">
      <c r="A366" t="s">
        <v>2313</v>
      </c>
      <c r="B366" t="s">
        <v>136</v>
      </c>
      <c r="C366" t="s">
        <v>2314</v>
      </c>
      <c r="D366" t="s">
        <v>263</v>
      </c>
      <c r="E366">
        <v>266711</v>
      </c>
      <c r="F366" t="s">
        <v>2219</v>
      </c>
      <c r="G366">
        <v>7998</v>
      </c>
      <c r="H366">
        <v>581011</v>
      </c>
      <c r="I366" t="s">
        <v>489</v>
      </c>
      <c r="J366" s="11">
        <v>46113</v>
      </c>
      <c r="K366" s="11">
        <v>46222</v>
      </c>
      <c r="L366" t="s">
        <v>2247</v>
      </c>
      <c r="M366" t="s">
        <v>1850</v>
      </c>
      <c r="N366">
        <v>20</v>
      </c>
      <c r="O366">
        <v>5250000</v>
      </c>
      <c r="P366">
        <v>105000</v>
      </c>
      <c r="Q366" t="s">
        <v>2178</v>
      </c>
      <c r="R366" t="s">
        <v>2206</v>
      </c>
      <c r="S366">
        <v>1431818</v>
      </c>
      <c r="T366">
        <v>28636.363600000001</v>
      </c>
      <c r="U366" t="s">
        <v>2206</v>
      </c>
      <c r="V366">
        <v>459184</v>
      </c>
      <c r="W366" t="s">
        <v>2180</v>
      </c>
      <c r="X366">
        <v>9183.6735000000008</v>
      </c>
      <c r="Y366">
        <v>9183.6735000000008</v>
      </c>
      <c r="Z366">
        <v>9183.6735000000008</v>
      </c>
      <c r="AA366">
        <v>1376252</v>
      </c>
      <c r="AB366">
        <v>1392175</v>
      </c>
      <c r="AC366" s="11">
        <v>46113</v>
      </c>
      <c r="AD366" s="11">
        <v>46222</v>
      </c>
      <c r="AE366" t="s">
        <v>2298</v>
      </c>
      <c r="AF366" t="s">
        <v>2182</v>
      </c>
      <c r="AG366" t="s">
        <v>2183</v>
      </c>
      <c r="AH366">
        <v>433979.22</v>
      </c>
      <c r="AI366">
        <v>125118</v>
      </c>
      <c r="AJ366" t="s">
        <v>2055</v>
      </c>
    </row>
    <row r="367" spans="1:36" hidden="1" x14ac:dyDescent="0.2">
      <c r="A367" t="s">
        <v>2313</v>
      </c>
      <c r="B367" t="s">
        <v>136</v>
      </c>
      <c r="C367" t="s">
        <v>2314</v>
      </c>
      <c r="D367" t="s">
        <v>263</v>
      </c>
      <c r="E367">
        <v>266711</v>
      </c>
      <c r="F367" t="s">
        <v>2218</v>
      </c>
      <c r="G367">
        <v>8000</v>
      </c>
      <c r="H367">
        <v>581015</v>
      </c>
      <c r="I367" t="s">
        <v>854</v>
      </c>
      <c r="J367" s="11">
        <v>46174</v>
      </c>
      <c r="K367" s="11">
        <v>46222</v>
      </c>
      <c r="M367" t="s">
        <v>1852</v>
      </c>
      <c r="N367">
        <v>0.15</v>
      </c>
      <c r="O367">
        <v>1726528</v>
      </c>
      <c r="P367">
        <v>258979.20000000001</v>
      </c>
      <c r="Q367" t="s">
        <v>2262</v>
      </c>
      <c r="R367" t="s">
        <v>2206</v>
      </c>
      <c r="S367">
        <v>1057058</v>
      </c>
      <c r="T367">
        <v>158558.69390000001</v>
      </c>
      <c r="U367" t="s">
        <v>2206</v>
      </c>
      <c r="V367">
        <v>1057058</v>
      </c>
      <c r="W367" t="s">
        <v>2180</v>
      </c>
      <c r="X367">
        <v>158558.69390000001</v>
      </c>
      <c r="Y367">
        <v>158558.69390000001</v>
      </c>
      <c r="Z367">
        <v>158558.69390000001</v>
      </c>
      <c r="AC367" s="11">
        <v>46174</v>
      </c>
      <c r="AD367" s="11">
        <v>46222</v>
      </c>
      <c r="AE367" t="s">
        <v>2298</v>
      </c>
      <c r="AF367" t="s">
        <v>2182</v>
      </c>
      <c r="AG367" t="s">
        <v>2183</v>
      </c>
      <c r="AH367">
        <v>433979.22</v>
      </c>
      <c r="AI367">
        <v>125118</v>
      </c>
      <c r="AJ367" t="s">
        <v>2055</v>
      </c>
    </row>
    <row r="368" spans="1:36" hidden="1" x14ac:dyDescent="0.2">
      <c r="A368" t="s">
        <v>2313</v>
      </c>
      <c r="B368" t="s">
        <v>136</v>
      </c>
      <c r="C368" t="s">
        <v>2314</v>
      </c>
      <c r="D368" t="s">
        <v>280</v>
      </c>
      <c r="E368">
        <v>266871</v>
      </c>
      <c r="F368" t="s">
        <v>2215</v>
      </c>
      <c r="G368">
        <v>8005</v>
      </c>
      <c r="H368">
        <v>581183</v>
      </c>
      <c r="I368" t="s">
        <v>514</v>
      </c>
      <c r="J368" s="11">
        <v>46184</v>
      </c>
      <c r="K368" s="11">
        <v>46222</v>
      </c>
      <c r="L368" t="s">
        <v>2247</v>
      </c>
      <c r="M368" t="s">
        <v>1850</v>
      </c>
      <c r="N368">
        <v>40</v>
      </c>
      <c r="O368">
        <v>1439826</v>
      </c>
      <c r="P368">
        <v>57593.04</v>
      </c>
      <c r="Q368" t="s">
        <v>2178</v>
      </c>
      <c r="R368" t="s">
        <v>2206</v>
      </c>
      <c r="S368">
        <v>738373</v>
      </c>
      <c r="T368">
        <v>29534.892400000001</v>
      </c>
      <c r="U368" t="s">
        <v>2206</v>
      </c>
      <c r="V368">
        <v>738373</v>
      </c>
      <c r="W368" t="s">
        <v>2180</v>
      </c>
      <c r="X368">
        <v>29534.892400000001</v>
      </c>
      <c r="Y368">
        <v>29534.892400000001</v>
      </c>
      <c r="Z368">
        <v>29534.892400000001</v>
      </c>
      <c r="AA368">
        <v>958716</v>
      </c>
      <c r="AB368">
        <v>1054003</v>
      </c>
      <c r="AC368" s="11">
        <v>46184</v>
      </c>
      <c r="AD368" s="11">
        <v>46222</v>
      </c>
      <c r="AE368" t="s">
        <v>2298</v>
      </c>
      <c r="AF368" t="s">
        <v>2182</v>
      </c>
      <c r="AG368" t="s">
        <v>2183</v>
      </c>
      <c r="AH368">
        <v>57593.04</v>
      </c>
      <c r="AI368">
        <v>126806</v>
      </c>
      <c r="AJ368" t="s">
        <v>2055</v>
      </c>
    </row>
    <row r="369" spans="1:36" hidden="1" x14ac:dyDescent="0.2">
      <c r="A369" t="s">
        <v>2313</v>
      </c>
      <c r="B369" t="s">
        <v>136</v>
      </c>
      <c r="C369" t="s">
        <v>2314</v>
      </c>
      <c r="D369" t="s">
        <v>275</v>
      </c>
      <c r="E369">
        <v>266872</v>
      </c>
      <c r="F369" t="s">
        <v>2215</v>
      </c>
      <c r="G369">
        <v>8005</v>
      </c>
      <c r="H369">
        <v>581186</v>
      </c>
      <c r="I369" t="s">
        <v>509</v>
      </c>
      <c r="J369" s="11">
        <v>46184</v>
      </c>
      <c r="K369" s="11">
        <v>46222</v>
      </c>
      <c r="L369" t="s">
        <v>2247</v>
      </c>
      <c r="M369" t="s">
        <v>1850</v>
      </c>
      <c r="N369">
        <v>40</v>
      </c>
      <c r="O369">
        <v>2997900</v>
      </c>
      <c r="P369">
        <v>119916</v>
      </c>
      <c r="Q369" t="s">
        <v>2178</v>
      </c>
      <c r="R369" t="s">
        <v>2206</v>
      </c>
      <c r="S369">
        <v>1537385</v>
      </c>
      <c r="T369">
        <v>61495.384700000002</v>
      </c>
      <c r="U369" t="s">
        <v>2206</v>
      </c>
      <c r="V369">
        <v>1537385</v>
      </c>
      <c r="W369" t="s">
        <v>2180</v>
      </c>
      <c r="X369">
        <v>61495.384700000002</v>
      </c>
      <c r="Y369">
        <v>61495.384700000002</v>
      </c>
      <c r="Z369">
        <v>61495.384700000002</v>
      </c>
      <c r="AA369">
        <v>2001713</v>
      </c>
      <c r="AB369">
        <v>2008411</v>
      </c>
      <c r="AC369" s="11">
        <v>46184</v>
      </c>
      <c r="AD369" s="11">
        <v>46222</v>
      </c>
      <c r="AE369" t="s">
        <v>2298</v>
      </c>
      <c r="AF369" t="s">
        <v>2182</v>
      </c>
      <c r="AG369" t="s">
        <v>2183</v>
      </c>
      <c r="AH369">
        <v>119916</v>
      </c>
      <c r="AI369">
        <v>126800</v>
      </c>
      <c r="AJ369" t="s">
        <v>2055</v>
      </c>
    </row>
    <row r="370" spans="1:36" hidden="1" x14ac:dyDescent="0.2">
      <c r="A370" t="s">
        <v>2313</v>
      </c>
      <c r="B370" t="s">
        <v>136</v>
      </c>
      <c r="C370" t="s">
        <v>2314</v>
      </c>
      <c r="D370" t="s">
        <v>277</v>
      </c>
      <c r="E370">
        <v>266874</v>
      </c>
      <c r="F370" t="s">
        <v>2215</v>
      </c>
      <c r="G370">
        <v>8005</v>
      </c>
      <c r="H370">
        <v>581190</v>
      </c>
      <c r="I370" t="s">
        <v>511</v>
      </c>
      <c r="J370" s="11">
        <v>46184</v>
      </c>
      <c r="K370" s="11">
        <v>46222</v>
      </c>
      <c r="L370" t="s">
        <v>2247</v>
      </c>
      <c r="M370" t="s">
        <v>1850</v>
      </c>
      <c r="N370">
        <v>40</v>
      </c>
      <c r="O370">
        <v>2997876</v>
      </c>
      <c r="P370">
        <v>119915.04</v>
      </c>
      <c r="Q370" t="s">
        <v>2178</v>
      </c>
      <c r="R370" t="s">
        <v>2206</v>
      </c>
      <c r="S370">
        <v>1537373</v>
      </c>
      <c r="T370">
        <v>61494.892399999997</v>
      </c>
      <c r="U370" t="s">
        <v>2206</v>
      </c>
      <c r="V370">
        <v>1537373</v>
      </c>
      <c r="W370" t="s">
        <v>2180</v>
      </c>
      <c r="X370">
        <v>61494.892399999997</v>
      </c>
      <c r="Y370">
        <v>61494.892399999997</v>
      </c>
      <c r="Z370">
        <v>61494.892399999997</v>
      </c>
      <c r="AA370">
        <v>2002034</v>
      </c>
      <c r="AB370">
        <v>2194861</v>
      </c>
      <c r="AC370" s="11">
        <v>46184</v>
      </c>
      <c r="AD370" s="11">
        <v>46222</v>
      </c>
      <c r="AE370" t="s">
        <v>2298</v>
      </c>
      <c r="AF370" t="s">
        <v>2182</v>
      </c>
      <c r="AG370" t="s">
        <v>2183</v>
      </c>
      <c r="AH370">
        <v>119915.04</v>
      </c>
      <c r="AI370">
        <v>126812</v>
      </c>
      <c r="AJ370" t="s">
        <v>2055</v>
      </c>
    </row>
    <row r="371" spans="1:36" hidden="1" x14ac:dyDescent="0.2">
      <c r="A371" t="s">
        <v>2377</v>
      </c>
      <c r="B371" t="s">
        <v>134</v>
      </c>
      <c r="C371" t="s">
        <v>2378</v>
      </c>
      <c r="D371" t="s">
        <v>428</v>
      </c>
      <c r="E371">
        <v>267105</v>
      </c>
      <c r="F371" t="s">
        <v>2218</v>
      </c>
      <c r="G371">
        <v>8000</v>
      </c>
      <c r="H371">
        <v>582267</v>
      </c>
      <c r="I371" t="s">
        <v>875</v>
      </c>
      <c r="J371" s="11">
        <v>46174</v>
      </c>
      <c r="K371" s="11">
        <v>46222</v>
      </c>
      <c r="L371" t="s">
        <v>2213</v>
      </c>
      <c r="M371" t="s">
        <v>2205</v>
      </c>
      <c r="N371">
        <v>750000</v>
      </c>
      <c r="O371">
        <v>3</v>
      </c>
      <c r="P371">
        <v>750000</v>
      </c>
      <c r="Q371" t="s">
        <v>1987</v>
      </c>
      <c r="R371" t="s">
        <v>2206</v>
      </c>
      <c r="S371">
        <v>2</v>
      </c>
      <c r="T371">
        <v>459183.67349999998</v>
      </c>
      <c r="U371" t="s">
        <v>2206</v>
      </c>
      <c r="V371">
        <v>2</v>
      </c>
      <c r="W371" t="s">
        <v>2180</v>
      </c>
      <c r="X371">
        <v>459183.67349999998</v>
      </c>
      <c r="Y371">
        <v>459183.67349999998</v>
      </c>
      <c r="Z371">
        <v>459183.67349999998</v>
      </c>
      <c r="AC371" s="11">
        <v>46174</v>
      </c>
      <c r="AD371" s="11">
        <v>46222</v>
      </c>
      <c r="AE371" t="s">
        <v>2226</v>
      </c>
      <c r="AF371" t="s">
        <v>2182</v>
      </c>
      <c r="AG371" t="s">
        <v>2183</v>
      </c>
      <c r="AH371">
        <v>750000</v>
      </c>
      <c r="AI371">
        <v>131161</v>
      </c>
      <c r="AJ371" t="s">
        <v>2054</v>
      </c>
    </row>
    <row r="372" spans="1:36" hidden="1" x14ac:dyDescent="0.2">
      <c r="A372" t="s">
        <v>2440</v>
      </c>
      <c r="B372" t="s">
        <v>146</v>
      </c>
      <c r="C372" t="s">
        <v>2441</v>
      </c>
      <c r="D372" t="s">
        <v>281</v>
      </c>
      <c r="E372">
        <v>267136</v>
      </c>
      <c r="F372" t="s">
        <v>2219</v>
      </c>
      <c r="G372">
        <v>7998</v>
      </c>
      <c r="H372">
        <v>583352</v>
      </c>
      <c r="I372" t="s">
        <v>515</v>
      </c>
      <c r="J372" s="11">
        <v>46132</v>
      </c>
      <c r="K372" s="11">
        <v>46203</v>
      </c>
      <c r="M372" t="s">
        <v>1850</v>
      </c>
      <c r="N372">
        <v>21.25</v>
      </c>
      <c r="O372">
        <v>2352942</v>
      </c>
      <c r="P372">
        <v>50000.02</v>
      </c>
      <c r="Q372" t="s">
        <v>2178</v>
      </c>
      <c r="R372" t="s">
        <v>2179</v>
      </c>
      <c r="S372">
        <v>0</v>
      </c>
      <c r="T372">
        <v>0</v>
      </c>
      <c r="U372" t="s">
        <v>2179</v>
      </c>
      <c r="V372">
        <v>830777</v>
      </c>
      <c r="W372" t="s">
        <v>2180</v>
      </c>
      <c r="X372">
        <v>17654.011200000001</v>
      </c>
      <c r="Y372">
        <v>17654.011200000001</v>
      </c>
      <c r="Z372">
        <v>17654.011200000001</v>
      </c>
      <c r="AA372">
        <v>887873</v>
      </c>
      <c r="AB372">
        <v>900563</v>
      </c>
      <c r="AC372" s="11">
        <v>46132</v>
      </c>
      <c r="AD372" s="11">
        <v>46203</v>
      </c>
      <c r="AE372" t="s">
        <v>2306</v>
      </c>
      <c r="AF372" t="s">
        <v>2182</v>
      </c>
      <c r="AG372" t="s">
        <v>2183</v>
      </c>
      <c r="AH372">
        <v>100000.04</v>
      </c>
      <c r="AI372">
        <v>126667</v>
      </c>
      <c r="AJ372" t="s">
        <v>2059</v>
      </c>
    </row>
    <row r="373" spans="1:36" hidden="1" x14ac:dyDescent="0.2">
      <c r="A373" t="s">
        <v>2440</v>
      </c>
      <c r="B373" t="s">
        <v>146</v>
      </c>
      <c r="C373" t="s">
        <v>2441</v>
      </c>
      <c r="D373" t="s">
        <v>281</v>
      </c>
      <c r="E373">
        <v>267136</v>
      </c>
      <c r="F373" t="s">
        <v>2219</v>
      </c>
      <c r="G373">
        <v>7998</v>
      </c>
      <c r="H373">
        <v>583356</v>
      </c>
      <c r="I373" t="s">
        <v>516</v>
      </c>
      <c r="J373" s="11">
        <v>46132</v>
      </c>
      <c r="K373" s="11">
        <v>46203</v>
      </c>
      <c r="M373" t="s">
        <v>1850</v>
      </c>
      <c r="N373">
        <v>21.25</v>
      </c>
      <c r="O373">
        <v>2352942</v>
      </c>
      <c r="P373">
        <v>50000.02</v>
      </c>
      <c r="Q373" t="s">
        <v>2178</v>
      </c>
      <c r="R373" t="s">
        <v>2179</v>
      </c>
      <c r="S373">
        <v>0</v>
      </c>
      <c r="T373">
        <v>0</v>
      </c>
      <c r="U373" t="s">
        <v>2179</v>
      </c>
      <c r="V373">
        <v>831317</v>
      </c>
      <c r="W373" t="s">
        <v>2180</v>
      </c>
      <c r="X373">
        <v>17665.4912</v>
      </c>
      <c r="Y373">
        <v>17665.4912</v>
      </c>
      <c r="Z373">
        <v>17665.4912</v>
      </c>
      <c r="AA373">
        <v>886100</v>
      </c>
      <c r="AB373">
        <v>898095</v>
      </c>
      <c r="AC373" s="11">
        <v>46132</v>
      </c>
      <c r="AD373" s="11">
        <v>46203</v>
      </c>
      <c r="AE373" t="s">
        <v>2306</v>
      </c>
      <c r="AF373" t="s">
        <v>2182</v>
      </c>
      <c r="AG373" t="s">
        <v>2183</v>
      </c>
      <c r="AH373">
        <v>100000.04</v>
      </c>
      <c r="AI373">
        <v>126667</v>
      </c>
      <c r="AJ373" t="s">
        <v>2059</v>
      </c>
    </row>
    <row r="374" spans="1:36" hidden="1" x14ac:dyDescent="0.2">
      <c r="A374" t="s">
        <v>2399</v>
      </c>
      <c r="B374" t="s">
        <v>169</v>
      </c>
      <c r="C374" t="s">
        <v>2400</v>
      </c>
      <c r="D374" t="s">
        <v>314</v>
      </c>
      <c r="E374">
        <v>267191</v>
      </c>
      <c r="F374" t="s">
        <v>2215</v>
      </c>
      <c r="G374">
        <v>8005</v>
      </c>
      <c r="H374">
        <v>582701</v>
      </c>
      <c r="I374" t="s">
        <v>580</v>
      </c>
      <c r="J374" s="11">
        <v>46184</v>
      </c>
      <c r="K374" s="11">
        <v>46222</v>
      </c>
      <c r="L374" t="s">
        <v>2223</v>
      </c>
      <c r="M374" t="s">
        <v>1850</v>
      </c>
      <c r="N374">
        <v>40</v>
      </c>
      <c r="O374">
        <v>2437500</v>
      </c>
      <c r="P374">
        <v>97500</v>
      </c>
      <c r="Q374" t="s">
        <v>2178</v>
      </c>
      <c r="R374" t="s">
        <v>2179</v>
      </c>
      <c r="S374">
        <v>0</v>
      </c>
      <c r="T374">
        <v>0</v>
      </c>
      <c r="U374" t="s">
        <v>2179</v>
      </c>
      <c r="V374">
        <v>1730657</v>
      </c>
      <c r="W374" t="s">
        <v>2180</v>
      </c>
      <c r="X374">
        <v>69226.28</v>
      </c>
      <c r="Y374">
        <v>69226.28</v>
      </c>
      <c r="Z374">
        <v>69226.28</v>
      </c>
      <c r="AA374">
        <v>1730657</v>
      </c>
      <c r="AB374">
        <v>0</v>
      </c>
      <c r="AC374" s="11">
        <v>46184</v>
      </c>
      <c r="AD374" s="11">
        <v>46222</v>
      </c>
      <c r="AE374" t="s">
        <v>2226</v>
      </c>
      <c r="AF374" t="s">
        <v>2182</v>
      </c>
      <c r="AG374" t="s">
        <v>2183</v>
      </c>
      <c r="AH374">
        <v>195000.01</v>
      </c>
      <c r="AI374">
        <v>128231</v>
      </c>
      <c r="AJ374" t="s">
        <v>2054</v>
      </c>
    </row>
    <row r="375" spans="1:36" hidden="1" x14ac:dyDescent="0.2">
      <c r="A375" t="s">
        <v>2399</v>
      </c>
      <c r="B375" t="s">
        <v>169</v>
      </c>
      <c r="C375" t="s">
        <v>2400</v>
      </c>
      <c r="D375" t="s">
        <v>314</v>
      </c>
      <c r="E375">
        <v>267191</v>
      </c>
      <c r="F375" t="s">
        <v>2216</v>
      </c>
      <c r="G375">
        <v>8002</v>
      </c>
      <c r="H375">
        <v>582711</v>
      </c>
      <c r="I375" t="s">
        <v>582</v>
      </c>
      <c r="J375" s="11">
        <v>46184</v>
      </c>
      <c r="K375" s="11">
        <v>46222</v>
      </c>
      <c r="L375" t="s">
        <v>2223</v>
      </c>
      <c r="M375" t="s">
        <v>1850</v>
      </c>
      <c r="N375">
        <v>25</v>
      </c>
      <c r="O375">
        <v>1950000</v>
      </c>
      <c r="P375">
        <v>48750</v>
      </c>
      <c r="R375" t="s">
        <v>2179</v>
      </c>
      <c r="S375">
        <v>0</v>
      </c>
      <c r="T375">
        <v>0</v>
      </c>
      <c r="U375" t="s">
        <v>2179</v>
      </c>
      <c r="V375">
        <v>756615</v>
      </c>
      <c r="W375" t="s">
        <v>2180</v>
      </c>
      <c r="X375">
        <v>18915.375</v>
      </c>
      <c r="Y375">
        <v>18915.375</v>
      </c>
      <c r="Z375">
        <v>18915.375</v>
      </c>
      <c r="AA375">
        <v>756615</v>
      </c>
      <c r="AB375">
        <v>0</v>
      </c>
      <c r="AC375" s="11">
        <v>46184</v>
      </c>
      <c r="AD375" s="11">
        <v>46222</v>
      </c>
      <c r="AE375" t="s">
        <v>2226</v>
      </c>
      <c r="AF375" t="s">
        <v>2182</v>
      </c>
      <c r="AG375" t="s">
        <v>2183</v>
      </c>
      <c r="AH375">
        <v>195000.01</v>
      </c>
      <c r="AI375">
        <v>128231</v>
      </c>
      <c r="AJ375" t="s">
        <v>2054</v>
      </c>
    </row>
    <row r="376" spans="1:36" hidden="1" x14ac:dyDescent="0.2">
      <c r="A376" t="s">
        <v>2399</v>
      </c>
      <c r="B376" t="s">
        <v>169</v>
      </c>
      <c r="C376" t="s">
        <v>2400</v>
      </c>
      <c r="D376" t="s">
        <v>314</v>
      </c>
      <c r="E376">
        <v>267191</v>
      </c>
      <c r="F376" t="s">
        <v>2219</v>
      </c>
      <c r="G376">
        <v>7998</v>
      </c>
      <c r="H376">
        <v>582713</v>
      </c>
      <c r="I376" t="s">
        <v>583</v>
      </c>
      <c r="J376" s="11">
        <v>46184</v>
      </c>
      <c r="K376" s="11">
        <v>46222</v>
      </c>
      <c r="L376" t="s">
        <v>2223</v>
      </c>
      <c r="M376" t="s">
        <v>1850</v>
      </c>
      <c r="N376">
        <v>20</v>
      </c>
      <c r="O376">
        <v>2437500</v>
      </c>
      <c r="P376">
        <v>48750</v>
      </c>
      <c r="Q376" t="s">
        <v>2178</v>
      </c>
      <c r="R376" t="s">
        <v>2179</v>
      </c>
      <c r="S376">
        <v>0</v>
      </c>
      <c r="T376">
        <v>0</v>
      </c>
      <c r="U376" t="s">
        <v>2179</v>
      </c>
      <c r="V376">
        <v>1341823</v>
      </c>
      <c r="W376" t="s">
        <v>2180</v>
      </c>
      <c r="X376">
        <v>26836.46</v>
      </c>
      <c r="Y376">
        <v>26836.46</v>
      </c>
      <c r="Z376">
        <v>26836.46</v>
      </c>
      <c r="AA376">
        <v>1341823</v>
      </c>
      <c r="AB376">
        <v>0</v>
      </c>
      <c r="AC376" s="11">
        <v>46184</v>
      </c>
      <c r="AD376" s="11">
        <v>46222</v>
      </c>
      <c r="AE376" t="s">
        <v>2226</v>
      </c>
      <c r="AF376" t="s">
        <v>2182</v>
      </c>
      <c r="AG376" t="s">
        <v>2183</v>
      </c>
      <c r="AH376">
        <v>195000.01</v>
      </c>
      <c r="AI376">
        <v>128231</v>
      </c>
      <c r="AJ376" t="s">
        <v>2054</v>
      </c>
    </row>
    <row r="377" spans="1:36" hidden="1" x14ac:dyDescent="0.2">
      <c r="A377" t="s">
        <v>2224</v>
      </c>
      <c r="B377" t="s">
        <v>153</v>
      </c>
      <c r="C377" t="s">
        <v>2227</v>
      </c>
      <c r="D377" t="s">
        <v>305</v>
      </c>
      <c r="E377">
        <v>267432</v>
      </c>
      <c r="F377" t="s">
        <v>2219</v>
      </c>
      <c r="G377">
        <v>7998</v>
      </c>
      <c r="H377">
        <v>586040</v>
      </c>
      <c r="I377" t="s">
        <v>558</v>
      </c>
      <c r="J377" s="11">
        <v>46168</v>
      </c>
      <c r="K377" s="11">
        <v>46183</v>
      </c>
      <c r="L377" t="s">
        <v>2177</v>
      </c>
      <c r="M377" t="s">
        <v>1850</v>
      </c>
      <c r="N377">
        <v>20</v>
      </c>
      <c r="O377">
        <v>7500000</v>
      </c>
      <c r="P377">
        <v>150000</v>
      </c>
      <c r="Q377" t="s">
        <v>2178</v>
      </c>
      <c r="R377" t="s">
        <v>2179</v>
      </c>
      <c r="S377">
        <v>0</v>
      </c>
      <c r="T377">
        <v>0</v>
      </c>
      <c r="U377" t="s">
        <v>2179</v>
      </c>
      <c r="V377">
        <v>3943882</v>
      </c>
      <c r="W377" t="s">
        <v>2180</v>
      </c>
      <c r="X377">
        <v>78877.64</v>
      </c>
      <c r="Y377">
        <v>78877.64</v>
      </c>
      <c r="Z377">
        <v>78877.64</v>
      </c>
      <c r="AA377">
        <v>4094432</v>
      </c>
      <c r="AB377">
        <v>4062940</v>
      </c>
      <c r="AC377" s="11">
        <v>46168</v>
      </c>
      <c r="AD377" s="11">
        <v>46183</v>
      </c>
      <c r="AE377" t="s">
        <v>2226</v>
      </c>
      <c r="AF377" t="s">
        <v>2182</v>
      </c>
      <c r="AG377" t="s">
        <v>2183</v>
      </c>
      <c r="AH377">
        <v>300000</v>
      </c>
      <c r="AI377">
        <v>128142</v>
      </c>
      <c r="AJ377" t="s">
        <v>2039</v>
      </c>
    </row>
    <row r="378" spans="1:36" hidden="1" x14ac:dyDescent="0.2">
      <c r="A378" t="s">
        <v>2224</v>
      </c>
      <c r="B378" t="s">
        <v>153</v>
      </c>
      <c r="C378" t="s">
        <v>2227</v>
      </c>
      <c r="D378" t="s">
        <v>305</v>
      </c>
      <c r="E378">
        <v>267432</v>
      </c>
      <c r="F378" t="s">
        <v>2218</v>
      </c>
      <c r="G378">
        <v>8000</v>
      </c>
      <c r="H378">
        <v>586087</v>
      </c>
      <c r="I378" t="s">
        <v>900</v>
      </c>
      <c r="J378" s="11">
        <v>46168</v>
      </c>
      <c r="K378" s="11">
        <v>46183</v>
      </c>
      <c r="L378" t="s">
        <v>2213</v>
      </c>
      <c r="M378" t="s">
        <v>2205</v>
      </c>
      <c r="N378">
        <v>150000</v>
      </c>
      <c r="O378">
        <v>3</v>
      </c>
      <c r="P378">
        <v>150000</v>
      </c>
      <c r="Q378" t="s">
        <v>1987</v>
      </c>
      <c r="R378" t="s">
        <v>2206</v>
      </c>
      <c r="S378">
        <v>2</v>
      </c>
      <c r="T378">
        <v>93750</v>
      </c>
      <c r="U378" t="s">
        <v>2206</v>
      </c>
      <c r="V378">
        <v>2</v>
      </c>
      <c r="W378" t="s">
        <v>2180</v>
      </c>
      <c r="X378">
        <v>75000</v>
      </c>
      <c r="Y378">
        <v>75000</v>
      </c>
      <c r="Z378">
        <v>75000</v>
      </c>
      <c r="AC378" s="11">
        <v>46168</v>
      </c>
      <c r="AD378" s="11">
        <v>46183</v>
      </c>
      <c r="AE378" t="s">
        <v>2226</v>
      </c>
      <c r="AF378" t="s">
        <v>2182</v>
      </c>
      <c r="AG378" t="s">
        <v>2183</v>
      </c>
      <c r="AH378">
        <v>300000</v>
      </c>
      <c r="AI378">
        <v>128142</v>
      </c>
      <c r="AJ378" t="s">
        <v>2039</v>
      </c>
    </row>
    <row r="379" spans="1:36" hidden="1" x14ac:dyDescent="0.2">
      <c r="A379" t="s">
        <v>2358</v>
      </c>
      <c r="B379" t="s">
        <v>138</v>
      </c>
      <c r="C379" t="s">
        <v>2442</v>
      </c>
      <c r="D379" t="s">
        <v>266</v>
      </c>
      <c r="E379">
        <v>267640</v>
      </c>
      <c r="F379" t="s">
        <v>2216</v>
      </c>
      <c r="G379">
        <v>8002</v>
      </c>
      <c r="H379">
        <v>584536</v>
      </c>
      <c r="I379" t="s">
        <v>495</v>
      </c>
      <c r="J379" s="11">
        <v>46132</v>
      </c>
      <c r="K379" s="11">
        <v>46203</v>
      </c>
      <c r="L379" t="s">
        <v>2177</v>
      </c>
      <c r="M379" t="s">
        <v>1850</v>
      </c>
      <c r="N379">
        <v>21.5</v>
      </c>
      <c r="O379">
        <v>1234432</v>
      </c>
      <c r="P379">
        <v>26540.29</v>
      </c>
      <c r="Q379" t="s">
        <v>2201</v>
      </c>
      <c r="R379" t="s">
        <v>2179</v>
      </c>
      <c r="S379">
        <v>0</v>
      </c>
      <c r="T379">
        <v>0</v>
      </c>
      <c r="U379" t="s">
        <v>2179</v>
      </c>
      <c r="V379">
        <v>335303</v>
      </c>
      <c r="W379" t="s">
        <v>2180</v>
      </c>
      <c r="X379">
        <v>7209.0145000000002</v>
      </c>
      <c r="Y379">
        <v>7209.0145000000002</v>
      </c>
      <c r="Z379">
        <v>7209.0145000000002</v>
      </c>
      <c r="AA379">
        <v>297746</v>
      </c>
      <c r="AB379">
        <v>335303</v>
      </c>
      <c r="AC379" s="11">
        <v>46132</v>
      </c>
      <c r="AD379" s="11">
        <v>46203</v>
      </c>
      <c r="AE379" t="s">
        <v>2202</v>
      </c>
      <c r="AF379" t="s">
        <v>2182</v>
      </c>
      <c r="AG379" t="s">
        <v>2183</v>
      </c>
      <c r="AH379">
        <v>26540.29</v>
      </c>
      <c r="AI379">
        <v>126158</v>
      </c>
      <c r="AJ379" t="s">
        <v>2043</v>
      </c>
    </row>
    <row r="380" spans="1:36" hidden="1" x14ac:dyDescent="0.2">
      <c r="A380" t="s">
        <v>2280</v>
      </c>
      <c r="B380" t="s">
        <v>121</v>
      </c>
      <c r="C380" t="s">
        <v>2281</v>
      </c>
      <c r="D380" t="s">
        <v>297</v>
      </c>
      <c r="E380">
        <v>267744</v>
      </c>
      <c r="F380" t="s">
        <v>2212</v>
      </c>
      <c r="G380">
        <v>2789</v>
      </c>
      <c r="H380">
        <v>587212</v>
      </c>
      <c r="I380" t="s">
        <v>542</v>
      </c>
      <c r="J380" s="11">
        <v>46153</v>
      </c>
      <c r="K380" s="11">
        <v>46201</v>
      </c>
      <c r="L380" t="s">
        <v>2223</v>
      </c>
      <c r="M380" t="s">
        <v>1850</v>
      </c>
      <c r="N380">
        <v>25.21</v>
      </c>
      <c r="O380">
        <v>6743356</v>
      </c>
      <c r="P380">
        <v>170000</v>
      </c>
      <c r="Q380" t="s">
        <v>2201</v>
      </c>
      <c r="R380" t="s">
        <v>2179</v>
      </c>
      <c r="S380">
        <v>0</v>
      </c>
      <c r="T380">
        <v>0</v>
      </c>
      <c r="U380" t="s">
        <v>2179</v>
      </c>
      <c r="V380">
        <v>3048373</v>
      </c>
      <c r="W380" t="s">
        <v>2180</v>
      </c>
      <c r="X380">
        <v>76849.483300000007</v>
      </c>
      <c r="Y380">
        <v>76849.483300000007</v>
      </c>
      <c r="Z380">
        <v>76849.483300000007</v>
      </c>
      <c r="AA380">
        <v>3035251</v>
      </c>
      <c r="AB380">
        <v>3048373</v>
      </c>
      <c r="AC380" s="11">
        <v>46153</v>
      </c>
      <c r="AD380" s="11">
        <v>46201</v>
      </c>
      <c r="AE380" t="s">
        <v>2210</v>
      </c>
      <c r="AF380" t="s">
        <v>2182</v>
      </c>
      <c r="AG380" t="s">
        <v>2183</v>
      </c>
      <c r="AH380">
        <v>170000</v>
      </c>
      <c r="AI380">
        <v>127692</v>
      </c>
      <c r="AJ380" t="s">
        <v>2048</v>
      </c>
    </row>
    <row r="381" spans="1:36" hidden="1" x14ac:dyDescent="0.2">
      <c r="A381" t="s">
        <v>2311</v>
      </c>
      <c r="B381" t="s">
        <v>179</v>
      </c>
      <c r="C381" t="s">
        <v>2443</v>
      </c>
      <c r="D381" t="s">
        <v>331</v>
      </c>
      <c r="E381">
        <v>267803</v>
      </c>
      <c r="F381" t="s">
        <v>2215</v>
      </c>
      <c r="G381">
        <v>8005</v>
      </c>
      <c r="H381">
        <v>585576</v>
      </c>
      <c r="I381" t="s">
        <v>619</v>
      </c>
      <c r="J381" s="11">
        <v>46174</v>
      </c>
      <c r="K381" s="11">
        <v>46222</v>
      </c>
      <c r="L381" t="s">
        <v>2247</v>
      </c>
      <c r="M381" t="s">
        <v>1850</v>
      </c>
      <c r="N381">
        <v>44</v>
      </c>
      <c r="O381">
        <v>15284091</v>
      </c>
      <c r="P381">
        <v>672500.01</v>
      </c>
      <c r="Q381" t="s">
        <v>2178</v>
      </c>
      <c r="R381" t="s">
        <v>2279</v>
      </c>
      <c r="S381">
        <v>0</v>
      </c>
      <c r="T381">
        <v>0</v>
      </c>
      <c r="U381" t="s">
        <v>2279</v>
      </c>
      <c r="V381">
        <v>10080638</v>
      </c>
      <c r="W381" t="s">
        <v>2180</v>
      </c>
      <c r="X381">
        <v>443548.07199999999</v>
      </c>
      <c r="Y381">
        <v>443548.07199999999</v>
      </c>
      <c r="Z381">
        <v>443548.07199999999</v>
      </c>
      <c r="AA381">
        <v>10122724</v>
      </c>
      <c r="AB381">
        <v>10080638</v>
      </c>
      <c r="AC381" s="11">
        <v>46174</v>
      </c>
      <c r="AD381" s="11">
        <v>46222</v>
      </c>
      <c r="AE381" t="s">
        <v>2210</v>
      </c>
      <c r="AF381" t="s">
        <v>2182</v>
      </c>
      <c r="AG381" t="s">
        <v>2183</v>
      </c>
      <c r="AH381">
        <v>1395000.01</v>
      </c>
      <c r="AI381">
        <v>128876</v>
      </c>
      <c r="AJ381" t="s">
        <v>2060</v>
      </c>
    </row>
    <row r="382" spans="1:36" hidden="1" x14ac:dyDescent="0.2">
      <c r="A382" t="s">
        <v>2311</v>
      </c>
      <c r="B382" t="s">
        <v>179</v>
      </c>
      <c r="C382" t="s">
        <v>2443</v>
      </c>
      <c r="D382" t="s">
        <v>331</v>
      </c>
      <c r="E382">
        <v>267803</v>
      </c>
      <c r="F382" t="s">
        <v>2219</v>
      </c>
      <c r="G382">
        <v>7998</v>
      </c>
      <c r="H382">
        <v>585595</v>
      </c>
      <c r="I382" t="s">
        <v>618</v>
      </c>
      <c r="J382" s="11">
        <v>46174</v>
      </c>
      <c r="K382" s="11">
        <v>46292</v>
      </c>
      <c r="L382" t="s">
        <v>2247</v>
      </c>
      <c r="M382" t="s">
        <v>1850</v>
      </c>
      <c r="N382">
        <v>20</v>
      </c>
      <c r="O382">
        <v>21125000</v>
      </c>
      <c r="P382">
        <v>422500</v>
      </c>
      <c r="Q382" t="s">
        <v>2178</v>
      </c>
      <c r="R382" t="s">
        <v>2279</v>
      </c>
      <c r="S382">
        <v>0</v>
      </c>
      <c r="T382">
        <v>0</v>
      </c>
      <c r="U382" t="s">
        <v>2279</v>
      </c>
      <c r="V382">
        <v>6125356</v>
      </c>
      <c r="W382" t="s">
        <v>2180</v>
      </c>
      <c r="X382">
        <v>122507.12</v>
      </c>
      <c r="Y382">
        <v>122507.12</v>
      </c>
      <c r="Z382">
        <v>122507.12</v>
      </c>
      <c r="AA382">
        <v>6129891</v>
      </c>
      <c r="AB382">
        <v>6125356</v>
      </c>
      <c r="AC382" s="11">
        <v>46174</v>
      </c>
      <c r="AD382" s="11">
        <v>46292</v>
      </c>
      <c r="AE382" t="s">
        <v>2210</v>
      </c>
      <c r="AF382" t="s">
        <v>2182</v>
      </c>
      <c r="AG382" t="s">
        <v>2183</v>
      </c>
      <c r="AH382">
        <v>1395000.01</v>
      </c>
      <c r="AI382">
        <v>128876</v>
      </c>
      <c r="AJ382" t="s">
        <v>2060</v>
      </c>
    </row>
    <row r="383" spans="1:36" hidden="1" x14ac:dyDescent="0.2">
      <c r="A383" t="s">
        <v>2311</v>
      </c>
      <c r="B383" t="s">
        <v>179</v>
      </c>
      <c r="C383" t="s">
        <v>2443</v>
      </c>
      <c r="D383" t="s">
        <v>331</v>
      </c>
      <c r="E383">
        <v>267803</v>
      </c>
      <c r="F383" t="s">
        <v>2218</v>
      </c>
      <c r="G383">
        <v>8000</v>
      </c>
      <c r="H383">
        <v>588687</v>
      </c>
      <c r="I383" t="s">
        <v>872</v>
      </c>
      <c r="J383" s="11">
        <v>46174</v>
      </c>
      <c r="K383" s="11">
        <v>46222</v>
      </c>
      <c r="L383" t="s">
        <v>2213</v>
      </c>
      <c r="M383" t="s">
        <v>1852</v>
      </c>
      <c r="N383">
        <v>0.15</v>
      </c>
      <c r="O383">
        <v>2000000</v>
      </c>
      <c r="P383">
        <v>300000</v>
      </c>
      <c r="Q383" t="s">
        <v>2262</v>
      </c>
      <c r="R383" t="s">
        <v>2206</v>
      </c>
      <c r="S383">
        <v>1224490</v>
      </c>
      <c r="T383">
        <v>183673.4694</v>
      </c>
      <c r="U383" t="s">
        <v>2206</v>
      </c>
      <c r="V383">
        <v>1224490</v>
      </c>
      <c r="W383" t="s">
        <v>2180</v>
      </c>
      <c r="X383">
        <v>183673.4694</v>
      </c>
      <c r="Y383">
        <v>183673.4694</v>
      </c>
      <c r="Z383">
        <v>183673.4694</v>
      </c>
      <c r="AC383" s="11">
        <v>46174</v>
      </c>
      <c r="AD383" s="11">
        <v>46222</v>
      </c>
      <c r="AE383" t="s">
        <v>2210</v>
      </c>
      <c r="AF383" t="s">
        <v>2182</v>
      </c>
      <c r="AG383" t="s">
        <v>2183</v>
      </c>
      <c r="AH383">
        <v>1395000.01</v>
      </c>
      <c r="AI383">
        <v>128876</v>
      </c>
      <c r="AJ383" t="s">
        <v>2060</v>
      </c>
    </row>
    <row r="384" spans="1:36" hidden="1" x14ac:dyDescent="0.2">
      <c r="A384" t="s">
        <v>2259</v>
      </c>
      <c r="B384" t="s">
        <v>152</v>
      </c>
      <c r="C384" t="s">
        <v>2340</v>
      </c>
      <c r="D384" t="s">
        <v>315</v>
      </c>
      <c r="E384">
        <v>267883</v>
      </c>
      <c r="F384" t="s">
        <v>2215</v>
      </c>
      <c r="G384">
        <v>8005</v>
      </c>
      <c r="H384">
        <v>585798</v>
      </c>
      <c r="I384" t="s">
        <v>586</v>
      </c>
      <c r="J384" s="11">
        <v>46174</v>
      </c>
      <c r="K384" s="11">
        <v>46203</v>
      </c>
      <c r="L384" t="s">
        <v>2223</v>
      </c>
      <c r="M384" t="s">
        <v>1850</v>
      </c>
      <c r="N384">
        <v>40</v>
      </c>
      <c r="O384">
        <v>781250</v>
      </c>
      <c r="P384">
        <v>31250</v>
      </c>
      <c r="Q384" t="s">
        <v>2178</v>
      </c>
      <c r="R384" t="s">
        <v>2179</v>
      </c>
      <c r="S384">
        <v>0</v>
      </c>
      <c r="T384">
        <v>0</v>
      </c>
      <c r="U384" t="s">
        <v>2179</v>
      </c>
      <c r="V384">
        <v>781250</v>
      </c>
      <c r="W384" t="s">
        <v>2180</v>
      </c>
      <c r="X384">
        <v>31250</v>
      </c>
      <c r="Y384">
        <v>31250</v>
      </c>
      <c r="Z384">
        <v>31250</v>
      </c>
      <c r="AA384">
        <v>818653</v>
      </c>
      <c r="AB384">
        <v>812717</v>
      </c>
      <c r="AC384" s="11">
        <v>46174</v>
      </c>
      <c r="AD384" s="11">
        <v>46203</v>
      </c>
      <c r="AE384" t="s">
        <v>2226</v>
      </c>
      <c r="AF384" t="s">
        <v>2182</v>
      </c>
      <c r="AG384" t="s">
        <v>2183</v>
      </c>
      <c r="AH384">
        <v>848628</v>
      </c>
      <c r="AI384">
        <v>128045</v>
      </c>
      <c r="AJ384" t="s">
        <v>2054</v>
      </c>
    </row>
    <row r="385" spans="1:36" hidden="1" x14ac:dyDescent="0.2">
      <c r="A385" t="s">
        <v>2259</v>
      </c>
      <c r="B385" t="s">
        <v>152</v>
      </c>
      <c r="C385" t="s">
        <v>2340</v>
      </c>
      <c r="D385" t="s">
        <v>315</v>
      </c>
      <c r="E385">
        <v>267883</v>
      </c>
      <c r="F385" t="s">
        <v>2219</v>
      </c>
      <c r="G385">
        <v>7998</v>
      </c>
      <c r="H385">
        <v>585818</v>
      </c>
      <c r="I385" t="s">
        <v>587</v>
      </c>
      <c r="J385" s="11">
        <v>46154</v>
      </c>
      <c r="K385" s="11">
        <v>46203</v>
      </c>
      <c r="L385" t="s">
        <v>2223</v>
      </c>
      <c r="M385" t="s">
        <v>1850</v>
      </c>
      <c r="N385">
        <v>20</v>
      </c>
      <c r="O385">
        <v>5778200</v>
      </c>
      <c r="P385">
        <v>115564</v>
      </c>
      <c r="Q385" t="s">
        <v>2178</v>
      </c>
      <c r="R385" t="s">
        <v>2179</v>
      </c>
      <c r="S385">
        <v>0</v>
      </c>
      <c r="T385">
        <v>0</v>
      </c>
      <c r="U385" t="s">
        <v>2179</v>
      </c>
      <c r="V385">
        <v>3556875</v>
      </c>
      <c r="W385" t="s">
        <v>2180</v>
      </c>
      <c r="X385">
        <v>71137.5</v>
      </c>
      <c r="Y385">
        <v>71137.5</v>
      </c>
      <c r="Z385">
        <v>71137.5</v>
      </c>
      <c r="AA385">
        <v>3708381</v>
      </c>
      <c r="AB385">
        <v>3697427</v>
      </c>
      <c r="AC385" s="11">
        <v>46154</v>
      </c>
      <c r="AD385" s="11">
        <v>46203</v>
      </c>
      <c r="AE385" t="s">
        <v>2226</v>
      </c>
      <c r="AF385" t="s">
        <v>2182</v>
      </c>
      <c r="AG385" t="s">
        <v>2183</v>
      </c>
      <c r="AH385">
        <v>848628</v>
      </c>
      <c r="AI385">
        <v>128045</v>
      </c>
      <c r="AJ385" t="s">
        <v>2054</v>
      </c>
    </row>
    <row r="386" spans="1:36" hidden="1" x14ac:dyDescent="0.2">
      <c r="A386" t="s">
        <v>2259</v>
      </c>
      <c r="B386" t="s">
        <v>152</v>
      </c>
      <c r="C386" t="s">
        <v>2340</v>
      </c>
      <c r="D386" t="s">
        <v>315</v>
      </c>
      <c r="E386">
        <v>267883</v>
      </c>
      <c r="F386" t="s">
        <v>2215</v>
      </c>
      <c r="G386">
        <v>8005</v>
      </c>
      <c r="H386">
        <v>585821</v>
      </c>
      <c r="I386" t="s">
        <v>584</v>
      </c>
      <c r="J386" s="11">
        <v>46174</v>
      </c>
      <c r="K386" s="11">
        <v>46203</v>
      </c>
      <c r="L386" t="s">
        <v>2223</v>
      </c>
      <c r="M386" t="s">
        <v>1850</v>
      </c>
      <c r="N386">
        <v>40</v>
      </c>
      <c r="O386">
        <v>781250</v>
      </c>
      <c r="P386">
        <v>31250</v>
      </c>
      <c r="Q386" t="s">
        <v>2178</v>
      </c>
      <c r="R386" t="s">
        <v>2179</v>
      </c>
      <c r="S386">
        <v>0</v>
      </c>
      <c r="T386">
        <v>0</v>
      </c>
      <c r="U386" t="s">
        <v>2179</v>
      </c>
      <c r="V386">
        <v>781250</v>
      </c>
      <c r="W386" t="s">
        <v>2180</v>
      </c>
      <c r="X386">
        <v>31250</v>
      </c>
      <c r="Y386">
        <v>31250</v>
      </c>
      <c r="Z386">
        <v>31250</v>
      </c>
      <c r="AA386">
        <v>818937</v>
      </c>
      <c r="AB386">
        <v>813305</v>
      </c>
      <c r="AC386" s="11">
        <v>46174</v>
      </c>
      <c r="AD386" s="11">
        <v>46203</v>
      </c>
      <c r="AE386" t="s">
        <v>2226</v>
      </c>
      <c r="AF386" t="s">
        <v>2182</v>
      </c>
      <c r="AG386" t="s">
        <v>2183</v>
      </c>
      <c r="AH386">
        <v>848628</v>
      </c>
      <c r="AI386">
        <v>128045</v>
      </c>
      <c r="AJ386" t="s">
        <v>2054</v>
      </c>
    </row>
    <row r="387" spans="1:36" hidden="1" x14ac:dyDescent="0.2">
      <c r="A387" t="s">
        <v>2259</v>
      </c>
      <c r="B387" t="s">
        <v>152</v>
      </c>
      <c r="C387" t="s">
        <v>2340</v>
      </c>
      <c r="D387" t="s">
        <v>315</v>
      </c>
      <c r="E387">
        <v>267883</v>
      </c>
      <c r="F387" t="s">
        <v>2219</v>
      </c>
      <c r="G387">
        <v>7998</v>
      </c>
      <c r="H387">
        <v>585828</v>
      </c>
      <c r="I387" t="s">
        <v>585</v>
      </c>
      <c r="J387" s="11">
        <v>46154</v>
      </c>
      <c r="K387" s="11">
        <v>46203</v>
      </c>
      <c r="L387" t="s">
        <v>2223</v>
      </c>
      <c r="M387" t="s">
        <v>1850</v>
      </c>
      <c r="N387">
        <v>20</v>
      </c>
      <c r="O387">
        <v>5778200</v>
      </c>
      <c r="P387">
        <v>115564</v>
      </c>
      <c r="Q387" t="s">
        <v>2178</v>
      </c>
      <c r="R387" t="s">
        <v>2179</v>
      </c>
      <c r="S387">
        <v>0</v>
      </c>
      <c r="T387">
        <v>0</v>
      </c>
      <c r="U387" t="s">
        <v>2179</v>
      </c>
      <c r="V387">
        <v>3550736</v>
      </c>
      <c r="W387" t="s">
        <v>2180</v>
      </c>
      <c r="X387">
        <v>71014.720000000001</v>
      </c>
      <c r="Y387">
        <v>71014.720000000001</v>
      </c>
      <c r="Z387">
        <v>71014.720000000001</v>
      </c>
      <c r="AA387">
        <v>3705294</v>
      </c>
      <c r="AB387">
        <v>3707253</v>
      </c>
      <c r="AC387" s="11">
        <v>46154</v>
      </c>
      <c r="AD387" s="11">
        <v>46203</v>
      </c>
      <c r="AE387" t="s">
        <v>2226</v>
      </c>
      <c r="AF387" t="s">
        <v>2182</v>
      </c>
      <c r="AG387" t="s">
        <v>2183</v>
      </c>
      <c r="AH387">
        <v>848628</v>
      </c>
      <c r="AI387">
        <v>128045</v>
      </c>
      <c r="AJ387" t="s">
        <v>2054</v>
      </c>
    </row>
    <row r="388" spans="1:36" hidden="1" x14ac:dyDescent="0.2">
      <c r="A388" t="s">
        <v>2259</v>
      </c>
      <c r="B388" t="s">
        <v>152</v>
      </c>
      <c r="C388" t="s">
        <v>2340</v>
      </c>
      <c r="D388" t="s">
        <v>315</v>
      </c>
      <c r="E388">
        <v>267883</v>
      </c>
      <c r="H388">
        <v>585853</v>
      </c>
      <c r="I388" t="s">
        <v>2444</v>
      </c>
      <c r="J388" s="11">
        <v>46184</v>
      </c>
      <c r="K388" s="11">
        <v>46184</v>
      </c>
      <c r="L388" t="s">
        <v>2223</v>
      </c>
      <c r="M388" t="s">
        <v>1850</v>
      </c>
      <c r="N388">
        <v>28</v>
      </c>
      <c r="O388">
        <v>6607143</v>
      </c>
      <c r="P388">
        <v>185000</v>
      </c>
      <c r="Q388" t="s">
        <v>2178</v>
      </c>
      <c r="R388" t="s">
        <v>2179</v>
      </c>
      <c r="S388">
        <v>0</v>
      </c>
      <c r="T388">
        <v>0</v>
      </c>
      <c r="U388" t="s">
        <v>2179</v>
      </c>
      <c r="V388">
        <v>2639225</v>
      </c>
      <c r="W388" t="s">
        <v>2180</v>
      </c>
      <c r="X388">
        <v>73898.3</v>
      </c>
      <c r="Y388">
        <v>73898.3</v>
      </c>
      <c r="Z388">
        <v>73898.3</v>
      </c>
      <c r="AA388">
        <v>2639225</v>
      </c>
      <c r="AC388" s="11">
        <v>46184</v>
      </c>
      <c r="AD388" s="11">
        <v>46184</v>
      </c>
      <c r="AE388" t="s">
        <v>2226</v>
      </c>
      <c r="AF388" t="s">
        <v>2182</v>
      </c>
      <c r="AG388" t="s">
        <v>2183</v>
      </c>
      <c r="AH388">
        <v>848628</v>
      </c>
      <c r="AI388">
        <v>128045</v>
      </c>
      <c r="AJ388" t="s">
        <v>2054</v>
      </c>
    </row>
    <row r="389" spans="1:36" hidden="1" x14ac:dyDescent="0.2">
      <c r="A389" t="s">
        <v>2259</v>
      </c>
      <c r="B389" t="s">
        <v>152</v>
      </c>
      <c r="C389" t="s">
        <v>2340</v>
      </c>
      <c r="D389" t="s">
        <v>315</v>
      </c>
      <c r="E389">
        <v>267883</v>
      </c>
      <c r="H389">
        <v>585854</v>
      </c>
      <c r="I389" t="s">
        <v>2445</v>
      </c>
      <c r="J389" s="11">
        <v>46187</v>
      </c>
      <c r="K389" s="11">
        <v>46187</v>
      </c>
      <c r="L389" t="s">
        <v>2223</v>
      </c>
      <c r="M389" t="s">
        <v>1850</v>
      </c>
      <c r="N389">
        <v>28</v>
      </c>
      <c r="O389">
        <v>6607143</v>
      </c>
      <c r="P389">
        <v>185000</v>
      </c>
      <c r="Q389" t="s">
        <v>2178</v>
      </c>
      <c r="R389" t="s">
        <v>2179</v>
      </c>
      <c r="S389">
        <v>0</v>
      </c>
      <c r="T389">
        <v>0</v>
      </c>
      <c r="U389" t="s">
        <v>2179</v>
      </c>
      <c r="V389">
        <v>3130647</v>
      </c>
      <c r="W389" t="s">
        <v>2180</v>
      </c>
      <c r="X389">
        <v>87658.115999999995</v>
      </c>
      <c r="Y389">
        <v>87658.115999999995</v>
      </c>
      <c r="Z389">
        <v>87658.115999999995</v>
      </c>
      <c r="AA389">
        <v>3130647</v>
      </c>
      <c r="AC389" s="11">
        <v>46187</v>
      </c>
      <c r="AD389" s="11">
        <v>46187</v>
      </c>
      <c r="AE389" t="s">
        <v>2226</v>
      </c>
      <c r="AF389" t="s">
        <v>2182</v>
      </c>
      <c r="AG389" t="s">
        <v>2183</v>
      </c>
      <c r="AH389">
        <v>848628</v>
      </c>
      <c r="AI389">
        <v>128045</v>
      </c>
      <c r="AJ389" t="s">
        <v>2054</v>
      </c>
    </row>
    <row r="390" spans="1:36" hidden="1" x14ac:dyDescent="0.2">
      <c r="A390" t="s">
        <v>2259</v>
      </c>
      <c r="B390" t="s">
        <v>152</v>
      </c>
      <c r="C390" t="s">
        <v>2340</v>
      </c>
      <c r="D390" t="s">
        <v>315</v>
      </c>
      <c r="E390">
        <v>267883</v>
      </c>
      <c r="H390">
        <v>585855</v>
      </c>
      <c r="I390" t="s">
        <v>2446</v>
      </c>
      <c r="J390" s="11">
        <v>46192</v>
      </c>
      <c r="K390" s="11">
        <v>46192</v>
      </c>
      <c r="L390" t="s">
        <v>2223</v>
      </c>
      <c r="M390" t="s">
        <v>1850</v>
      </c>
      <c r="N390">
        <v>28</v>
      </c>
      <c r="O390">
        <v>6607143</v>
      </c>
      <c r="P390">
        <v>185000</v>
      </c>
      <c r="Q390" t="s">
        <v>2178</v>
      </c>
      <c r="R390" t="s">
        <v>2179</v>
      </c>
      <c r="S390">
        <v>0</v>
      </c>
      <c r="T390">
        <v>0</v>
      </c>
      <c r="U390" t="s">
        <v>2179</v>
      </c>
      <c r="V390">
        <v>4906250</v>
      </c>
      <c r="W390" t="s">
        <v>2180</v>
      </c>
      <c r="X390">
        <v>137375</v>
      </c>
      <c r="Y390">
        <v>137375</v>
      </c>
      <c r="Z390">
        <v>137375</v>
      </c>
      <c r="AA390">
        <v>4906250</v>
      </c>
      <c r="AC390" s="11">
        <v>46192</v>
      </c>
      <c r="AD390" s="11">
        <v>46192</v>
      </c>
      <c r="AE390" t="s">
        <v>2226</v>
      </c>
      <c r="AF390" t="s">
        <v>2182</v>
      </c>
      <c r="AG390" t="s">
        <v>2183</v>
      </c>
      <c r="AH390">
        <v>848628</v>
      </c>
      <c r="AI390">
        <v>128045</v>
      </c>
      <c r="AJ390" t="s">
        <v>2054</v>
      </c>
    </row>
    <row r="391" spans="1:36" hidden="1" x14ac:dyDescent="0.2">
      <c r="A391" t="s">
        <v>2207</v>
      </c>
      <c r="B391" t="s">
        <v>163</v>
      </c>
      <c r="C391" t="s">
        <v>2447</v>
      </c>
      <c r="D391" t="s">
        <v>302</v>
      </c>
      <c r="E391">
        <v>267903</v>
      </c>
      <c r="F391" t="s">
        <v>2215</v>
      </c>
      <c r="G391">
        <v>8005</v>
      </c>
      <c r="H391">
        <v>587629</v>
      </c>
      <c r="I391" t="s">
        <v>551</v>
      </c>
      <c r="J391" s="11">
        <v>46153</v>
      </c>
      <c r="K391" s="11">
        <v>46222</v>
      </c>
      <c r="L391" t="s">
        <v>2213</v>
      </c>
      <c r="M391" t="s">
        <v>1850</v>
      </c>
      <c r="N391">
        <v>40</v>
      </c>
      <c r="O391">
        <v>2500000</v>
      </c>
      <c r="P391">
        <v>100000</v>
      </c>
      <c r="Q391" t="s">
        <v>2178</v>
      </c>
      <c r="R391" t="s">
        <v>2448</v>
      </c>
      <c r="S391">
        <v>0</v>
      </c>
      <c r="T391">
        <v>0</v>
      </c>
      <c r="U391" t="s">
        <v>2448</v>
      </c>
      <c r="V391">
        <v>1009125</v>
      </c>
      <c r="W391" t="s">
        <v>2180</v>
      </c>
      <c r="X391">
        <v>40365</v>
      </c>
      <c r="Y391">
        <v>40365</v>
      </c>
      <c r="Z391">
        <v>40365</v>
      </c>
      <c r="AA391">
        <v>1009125</v>
      </c>
      <c r="AB391">
        <v>0</v>
      </c>
      <c r="AC391" s="11">
        <v>46153</v>
      </c>
      <c r="AD391" s="11">
        <v>46222</v>
      </c>
      <c r="AE391" t="s">
        <v>2210</v>
      </c>
      <c r="AF391" t="s">
        <v>2182</v>
      </c>
      <c r="AG391" t="s">
        <v>2183</v>
      </c>
      <c r="AH391">
        <v>250002</v>
      </c>
      <c r="AI391">
        <v>128029</v>
      </c>
      <c r="AJ391" t="s">
        <v>2060</v>
      </c>
    </row>
    <row r="392" spans="1:36" hidden="1" x14ac:dyDescent="0.2">
      <c r="A392" t="s">
        <v>2207</v>
      </c>
      <c r="B392" t="s">
        <v>163</v>
      </c>
      <c r="C392" t="s">
        <v>2447</v>
      </c>
      <c r="D392" t="s">
        <v>302</v>
      </c>
      <c r="E392">
        <v>267903</v>
      </c>
      <c r="F392" t="s">
        <v>2219</v>
      </c>
      <c r="G392">
        <v>7998</v>
      </c>
      <c r="H392">
        <v>587634</v>
      </c>
      <c r="I392" t="s">
        <v>552</v>
      </c>
      <c r="J392" s="11">
        <v>46153</v>
      </c>
      <c r="K392" s="11">
        <v>46229</v>
      </c>
      <c r="L392" t="s">
        <v>2213</v>
      </c>
      <c r="M392" t="s">
        <v>1850</v>
      </c>
      <c r="N392">
        <v>20</v>
      </c>
      <c r="O392">
        <v>5000050</v>
      </c>
      <c r="P392">
        <v>100001</v>
      </c>
      <c r="Q392" t="s">
        <v>2178</v>
      </c>
      <c r="R392" t="s">
        <v>2448</v>
      </c>
      <c r="S392">
        <v>0</v>
      </c>
      <c r="T392">
        <v>0</v>
      </c>
      <c r="U392" t="s">
        <v>2448</v>
      </c>
      <c r="V392">
        <v>2033289</v>
      </c>
      <c r="W392" t="s">
        <v>2180</v>
      </c>
      <c r="X392">
        <v>40665.78</v>
      </c>
      <c r="Y392">
        <v>40665.78</v>
      </c>
      <c r="Z392">
        <v>40665.78</v>
      </c>
      <c r="AA392">
        <v>2033289</v>
      </c>
      <c r="AB392">
        <v>0</v>
      </c>
      <c r="AC392" s="11">
        <v>46153</v>
      </c>
      <c r="AD392" s="11">
        <v>46229</v>
      </c>
      <c r="AE392" t="s">
        <v>2210</v>
      </c>
      <c r="AF392" t="s">
        <v>2182</v>
      </c>
      <c r="AG392" t="s">
        <v>2183</v>
      </c>
      <c r="AH392">
        <v>250002</v>
      </c>
      <c r="AI392">
        <v>128029</v>
      </c>
      <c r="AJ392" t="s">
        <v>2060</v>
      </c>
    </row>
    <row r="393" spans="1:36" hidden="1" x14ac:dyDescent="0.2">
      <c r="A393" t="s">
        <v>2207</v>
      </c>
      <c r="B393" t="s">
        <v>163</v>
      </c>
      <c r="C393" t="s">
        <v>2447</v>
      </c>
      <c r="D393" t="s">
        <v>302</v>
      </c>
      <c r="E393">
        <v>267903</v>
      </c>
      <c r="F393" t="s">
        <v>2449</v>
      </c>
      <c r="G393">
        <v>7940</v>
      </c>
      <c r="H393">
        <v>588573</v>
      </c>
      <c r="I393" t="s">
        <v>2450</v>
      </c>
      <c r="J393" s="11">
        <v>46154</v>
      </c>
      <c r="K393" s="11">
        <v>46229</v>
      </c>
      <c r="L393" t="s">
        <v>2213</v>
      </c>
      <c r="M393" t="s">
        <v>1850</v>
      </c>
      <c r="N393">
        <v>17</v>
      </c>
      <c r="O393">
        <v>2941235</v>
      </c>
      <c r="P393">
        <v>50001</v>
      </c>
      <c r="Q393" t="s">
        <v>2178</v>
      </c>
      <c r="R393" t="s">
        <v>2448</v>
      </c>
      <c r="S393">
        <v>0</v>
      </c>
      <c r="T393">
        <v>0</v>
      </c>
      <c r="U393" t="s">
        <v>2448</v>
      </c>
      <c r="V393">
        <v>266804</v>
      </c>
      <c r="W393" t="s">
        <v>2180</v>
      </c>
      <c r="X393">
        <v>4535.6679999999997</v>
      </c>
      <c r="Y393">
        <v>4535.6679999999997</v>
      </c>
      <c r="Z393">
        <v>4535.6679999999997</v>
      </c>
      <c r="AA393">
        <v>266804</v>
      </c>
      <c r="AB393">
        <v>0</v>
      </c>
      <c r="AC393" s="11">
        <v>46154</v>
      </c>
      <c r="AD393" s="11">
        <v>46229</v>
      </c>
      <c r="AE393" t="s">
        <v>2210</v>
      </c>
      <c r="AF393" t="s">
        <v>2182</v>
      </c>
      <c r="AG393" t="s">
        <v>2183</v>
      </c>
      <c r="AH393">
        <v>250002</v>
      </c>
      <c r="AI393">
        <v>128029</v>
      </c>
      <c r="AJ393" t="s">
        <v>2060</v>
      </c>
    </row>
    <row r="394" spans="1:36" hidden="1" x14ac:dyDescent="0.2">
      <c r="A394" t="s">
        <v>2451</v>
      </c>
      <c r="B394" t="s">
        <v>149</v>
      </c>
      <c r="C394" t="s">
        <v>2452</v>
      </c>
      <c r="D394" t="s">
        <v>285</v>
      </c>
      <c r="E394">
        <v>267935</v>
      </c>
      <c r="F394" t="s">
        <v>2209</v>
      </c>
      <c r="G394">
        <v>7968</v>
      </c>
      <c r="H394">
        <v>585497</v>
      </c>
      <c r="I394" t="s">
        <v>523</v>
      </c>
      <c r="J394" s="11">
        <v>46143</v>
      </c>
      <c r="K394" s="11">
        <v>46387</v>
      </c>
      <c r="L394" t="s">
        <v>2213</v>
      </c>
      <c r="M394" t="s">
        <v>1850</v>
      </c>
      <c r="N394">
        <v>30</v>
      </c>
      <c r="O394">
        <v>1016667</v>
      </c>
      <c r="P394">
        <v>30500.01</v>
      </c>
      <c r="Q394" t="s">
        <v>2178</v>
      </c>
      <c r="R394" t="s">
        <v>2179</v>
      </c>
      <c r="S394">
        <v>0</v>
      </c>
      <c r="T394">
        <v>0</v>
      </c>
      <c r="U394" t="s">
        <v>2179</v>
      </c>
      <c r="V394">
        <v>27111</v>
      </c>
      <c r="W394" t="s">
        <v>2180</v>
      </c>
      <c r="X394">
        <v>813.33</v>
      </c>
      <c r="Y394">
        <v>813.33</v>
      </c>
      <c r="Z394">
        <v>813.33</v>
      </c>
      <c r="AA394">
        <v>27111</v>
      </c>
      <c r="AB394">
        <v>0</v>
      </c>
      <c r="AC394" s="11">
        <v>46143</v>
      </c>
      <c r="AD394" s="11">
        <v>46387</v>
      </c>
      <c r="AE394" t="s">
        <v>2298</v>
      </c>
      <c r="AF394" t="s">
        <v>2182</v>
      </c>
      <c r="AG394" t="s">
        <v>2183</v>
      </c>
      <c r="AH394">
        <v>170000.02</v>
      </c>
      <c r="AI394">
        <v>127221</v>
      </c>
      <c r="AJ394" t="s">
        <v>2047</v>
      </c>
    </row>
    <row r="395" spans="1:36" hidden="1" x14ac:dyDescent="0.2">
      <c r="A395" t="s">
        <v>2451</v>
      </c>
      <c r="B395" t="s">
        <v>149</v>
      </c>
      <c r="C395" t="s">
        <v>2452</v>
      </c>
      <c r="D395" t="s">
        <v>285</v>
      </c>
      <c r="E395">
        <v>267935</v>
      </c>
      <c r="F395" t="s">
        <v>2209</v>
      </c>
      <c r="G395">
        <v>7968</v>
      </c>
      <c r="H395">
        <v>585499</v>
      </c>
      <c r="I395" t="s">
        <v>522</v>
      </c>
      <c r="J395" s="11">
        <v>46143</v>
      </c>
      <c r="K395" s="11">
        <v>46387</v>
      </c>
      <c r="L395" t="s">
        <v>2213</v>
      </c>
      <c r="M395" t="s">
        <v>1850</v>
      </c>
      <c r="N395">
        <v>30</v>
      </c>
      <c r="O395">
        <v>3150000</v>
      </c>
      <c r="P395">
        <v>94500</v>
      </c>
      <c r="Q395" t="s">
        <v>2178</v>
      </c>
      <c r="R395" t="s">
        <v>2179</v>
      </c>
      <c r="S395">
        <v>0</v>
      </c>
      <c r="T395">
        <v>0</v>
      </c>
      <c r="U395" t="s">
        <v>2179</v>
      </c>
      <c r="V395">
        <v>93495</v>
      </c>
      <c r="W395" t="s">
        <v>2180</v>
      </c>
      <c r="X395">
        <v>2804.85</v>
      </c>
      <c r="Y395">
        <v>2804.85</v>
      </c>
      <c r="Z395">
        <v>2804.85</v>
      </c>
      <c r="AA395">
        <v>93495</v>
      </c>
      <c r="AB395">
        <v>0</v>
      </c>
      <c r="AC395" s="11">
        <v>46143</v>
      </c>
      <c r="AD395" s="11">
        <v>46387</v>
      </c>
      <c r="AE395" t="s">
        <v>2298</v>
      </c>
      <c r="AF395" t="s">
        <v>2182</v>
      </c>
      <c r="AG395" t="s">
        <v>2183</v>
      </c>
      <c r="AH395">
        <v>170000.02</v>
      </c>
      <c r="AI395">
        <v>127221</v>
      </c>
      <c r="AJ395" t="s">
        <v>2047</v>
      </c>
    </row>
    <row r="396" spans="1:36" hidden="1" x14ac:dyDescent="0.2">
      <c r="A396" t="s">
        <v>2259</v>
      </c>
      <c r="B396" t="s">
        <v>152</v>
      </c>
      <c r="C396" t="s">
        <v>2340</v>
      </c>
      <c r="D396" t="s">
        <v>289</v>
      </c>
      <c r="E396">
        <v>268012</v>
      </c>
      <c r="F396" t="s">
        <v>2215</v>
      </c>
      <c r="G396">
        <v>8005</v>
      </c>
      <c r="H396">
        <v>585856</v>
      </c>
      <c r="I396" t="s">
        <v>530</v>
      </c>
      <c r="J396" s="11">
        <v>46184</v>
      </c>
      <c r="K396" s="11">
        <v>46203</v>
      </c>
      <c r="L396" t="s">
        <v>2223</v>
      </c>
      <c r="M396" t="s">
        <v>1850</v>
      </c>
      <c r="N396">
        <v>40</v>
      </c>
      <c r="O396">
        <v>781250</v>
      </c>
      <c r="P396">
        <v>31250</v>
      </c>
      <c r="Q396" t="s">
        <v>2178</v>
      </c>
      <c r="R396" t="s">
        <v>2179</v>
      </c>
      <c r="S396">
        <v>0</v>
      </c>
      <c r="T396">
        <v>0</v>
      </c>
      <c r="U396" t="s">
        <v>2179</v>
      </c>
      <c r="V396">
        <v>781250</v>
      </c>
      <c r="W396" t="s">
        <v>2180</v>
      </c>
      <c r="X396">
        <v>31250</v>
      </c>
      <c r="Y396">
        <v>31250</v>
      </c>
      <c r="Z396">
        <v>31250</v>
      </c>
      <c r="AA396">
        <v>803404</v>
      </c>
      <c r="AB396">
        <v>797606</v>
      </c>
      <c r="AC396" s="11">
        <v>46184</v>
      </c>
      <c r="AD396" s="11">
        <v>46203</v>
      </c>
      <c r="AE396" t="s">
        <v>2226</v>
      </c>
      <c r="AF396" t="s">
        <v>2182</v>
      </c>
      <c r="AG396" t="s">
        <v>2183</v>
      </c>
      <c r="AH396">
        <v>541530</v>
      </c>
      <c r="AI396">
        <v>127213</v>
      </c>
      <c r="AJ396" t="s">
        <v>2054</v>
      </c>
    </row>
    <row r="397" spans="1:36" hidden="1" x14ac:dyDescent="0.2">
      <c r="A397" t="s">
        <v>2259</v>
      </c>
      <c r="B397" t="s">
        <v>152</v>
      </c>
      <c r="C397" t="s">
        <v>2340</v>
      </c>
      <c r="D397" t="s">
        <v>289</v>
      </c>
      <c r="E397">
        <v>268012</v>
      </c>
      <c r="F397" t="s">
        <v>2219</v>
      </c>
      <c r="G397">
        <v>7998</v>
      </c>
      <c r="H397">
        <v>585859</v>
      </c>
      <c r="I397" t="s">
        <v>529</v>
      </c>
      <c r="J397" s="11">
        <v>46154</v>
      </c>
      <c r="K397" s="11">
        <v>46203</v>
      </c>
      <c r="L397" t="s">
        <v>2223</v>
      </c>
      <c r="M397" t="s">
        <v>1850</v>
      </c>
      <c r="N397">
        <v>20</v>
      </c>
      <c r="O397">
        <v>2725750</v>
      </c>
      <c r="P397">
        <v>54515</v>
      </c>
      <c r="Q397" t="s">
        <v>2178</v>
      </c>
      <c r="R397" t="s">
        <v>2179</v>
      </c>
      <c r="S397">
        <v>0</v>
      </c>
      <c r="T397">
        <v>0</v>
      </c>
      <c r="U397" t="s">
        <v>2179</v>
      </c>
      <c r="V397">
        <v>2725750</v>
      </c>
      <c r="W397" t="s">
        <v>2180</v>
      </c>
      <c r="X397">
        <v>54515</v>
      </c>
      <c r="Y397">
        <v>54515</v>
      </c>
      <c r="Z397">
        <v>54515</v>
      </c>
      <c r="AA397">
        <v>2923220</v>
      </c>
      <c r="AB397">
        <v>2927485</v>
      </c>
      <c r="AC397" s="11">
        <v>46154</v>
      </c>
      <c r="AD397" s="11">
        <v>46203</v>
      </c>
      <c r="AE397" t="s">
        <v>2226</v>
      </c>
      <c r="AF397" t="s">
        <v>2182</v>
      </c>
      <c r="AG397" t="s">
        <v>2183</v>
      </c>
      <c r="AH397">
        <v>541530</v>
      </c>
      <c r="AI397">
        <v>127213</v>
      </c>
      <c r="AJ397" t="s">
        <v>2054</v>
      </c>
    </row>
    <row r="398" spans="1:36" hidden="1" x14ac:dyDescent="0.2">
      <c r="A398" t="s">
        <v>2259</v>
      </c>
      <c r="B398" t="s">
        <v>152</v>
      </c>
      <c r="C398" t="s">
        <v>2340</v>
      </c>
      <c r="D398" t="s">
        <v>289</v>
      </c>
      <c r="E398">
        <v>268012</v>
      </c>
      <c r="F398" t="s">
        <v>2215</v>
      </c>
      <c r="G398">
        <v>8005</v>
      </c>
      <c r="H398">
        <v>585862</v>
      </c>
      <c r="I398" t="s">
        <v>528</v>
      </c>
      <c r="J398" s="11">
        <v>46184</v>
      </c>
      <c r="K398" s="11">
        <v>46203</v>
      </c>
      <c r="L398" t="s">
        <v>2223</v>
      </c>
      <c r="M398" t="s">
        <v>1850</v>
      </c>
      <c r="N398">
        <v>40</v>
      </c>
      <c r="O398">
        <v>781250</v>
      </c>
      <c r="P398">
        <v>31250</v>
      </c>
      <c r="Q398" t="s">
        <v>2178</v>
      </c>
      <c r="R398" t="s">
        <v>2179</v>
      </c>
      <c r="S398">
        <v>0</v>
      </c>
      <c r="T398">
        <v>0</v>
      </c>
      <c r="U398" t="s">
        <v>2179</v>
      </c>
      <c r="V398">
        <v>781250</v>
      </c>
      <c r="W398" t="s">
        <v>2180</v>
      </c>
      <c r="X398">
        <v>31250</v>
      </c>
      <c r="Y398">
        <v>31250</v>
      </c>
      <c r="Z398">
        <v>31250</v>
      </c>
      <c r="AA398">
        <v>803490</v>
      </c>
      <c r="AB398">
        <v>798053</v>
      </c>
      <c r="AC398" s="11">
        <v>46184</v>
      </c>
      <c r="AD398" s="11">
        <v>46203</v>
      </c>
      <c r="AE398" t="s">
        <v>2226</v>
      </c>
      <c r="AF398" t="s">
        <v>2182</v>
      </c>
      <c r="AG398" t="s">
        <v>2183</v>
      </c>
      <c r="AH398">
        <v>541530</v>
      </c>
      <c r="AI398">
        <v>127213</v>
      </c>
      <c r="AJ398" t="s">
        <v>2054</v>
      </c>
    </row>
    <row r="399" spans="1:36" hidden="1" x14ac:dyDescent="0.2">
      <c r="A399" t="s">
        <v>2259</v>
      </c>
      <c r="B399" t="s">
        <v>152</v>
      </c>
      <c r="C399" t="s">
        <v>2340</v>
      </c>
      <c r="D399" t="s">
        <v>289</v>
      </c>
      <c r="E399">
        <v>268012</v>
      </c>
      <c r="F399" t="s">
        <v>2219</v>
      </c>
      <c r="G399">
        <v>7998</v>
      </c>
      <c r="H399">
        <v>585865</v>
      </c>
      <c r="I399" t="s">
        <v>527</v>
      </c>
      <c r="J399" s="11">
        <v>46154</v>
      </c>
      <c r="K399" s="11">
        <v>46203</v>
      </c>
      <c r="L399" t="s">
        <v>2223</v>
      </c>
      <c r="M399" t="s">
        <v>1850</v>
      </c>
      <c r="N399">
        <v>20</v>
      </c>
      <c r="O399">
        <v>2725750</v>
      </c>
      <c r="P399">
        <v>54515</v>
      </c>
      <c r="Q399" t="s">
        <v>2178</v>
      </c>
      <c r="R399" t="s">
        <v>2179</v>
      </c>
      <c r="S399">
        <v>0</v>
      </c>
      <c r="T399">
        <v>0</v>
      </c>
      <c r="U399" t="s">
        <v>2179</v>
      </c>
      <c r="V399">
        <v>2725750</v>
      </c>
      <c r="W399" t="s">
        <v>2180</v>
      </c>
      <c r="X399">
        <v>54515</v>
      </c>
      <c r="Y399">
        <v>54515</v>
      </c>
      <c r="Z399">
        <v>54515</v>
      </c>
      <c r="AA399">
        <v>2969974</v>
      </c>
      <c r="AB399">
        <v>2969803</v>
      </c>
      <c r="AC399" s="11">
        <v>46154</v>
      </c>
      <c r="AD399" s="11">
        <v>46203</v>
      </c>
      <c r="AE399" t="s">
        <v>2226</v>
      </c>
      <c r="AF399" t="s">
        <v>2182</v>
      </c>
      <c r="AG399" t="s">
        <v>2183</v>
      </c>
      <c r="AH399">
        <v>541530</v>
      </c>
      <c r="AI399">
        <v>127213</v>
      </c>
      <c r="AJ399" t="s">
        <v>2054</v>
      </c>
    </row>
    <row r="400" spans="1:36" hidden="1" x14ac:dyDescent="0.2">
      <c r="A400" t="s">
        <v>2259</v>
      </c>
      <c r="B400" t="s">
        <v>152</v>
      </c>
      <c r="C400" t="s">
        <v>2340</v>
      </c>
      <c r="D400" t="s">
        <v>289</v>
      </c>
      <c r="E400">
        <v>268012</v>
      </c>
      <c r="H400">
        <v>585868</v>
      </c>
      <c r="I400" t="s">
        <v>2453</v>
      </c>
      <c r="J400" s="11">
        <v>46188</v>
      </c>
      <c r="K400" s="11">
        <v>46188</v>
      </c>
      <c r="L400" t="s">
        <v>2223</v>
      </c>
      <c r="M400" t="s">
        <v>1850</v>
      </c>
      <c r="N400">
        <v>28</v>
      </c>
      <c r="O400">
        <v>6607143</v>
      </c>
      <c r="P400">
        <v>185000</v>
      </c>
      <c r="Q400" t="s">
        <v>2178</v>
      </c>
      <c r="R400" t="s">
        <v>2179</v>
      </c>
      <c r="S400">
        <v>0</v>
      </c>
      <c r="T400">
        <v>0</v>
      </c>
      <c r="U400" t="s">
        <v>2179</v>
      </c>
      <c r="V400">
        <v>4326422</v>
      </c>
      <c r="W400" t="s">
        <v>2180</v>
      </c>
      <c r="X400">
        <v>121139.81600000001</v>
      </c>
      <c r="Y400">
        <v>121139.81600000001</v>
      </c>
      <c r="Z400">
        <v>121139.81600000001</v>
      </c>
      <c r="AA400">
        <v>4326422</v>
      </c>
      <c r="AC400" s="11">
        <v>46188</v>
      </c>
      <c r="AD400" s="11">
        <v>46188</v>
      </c>
      <c r="AE400" t="s">
        <v>2226</v>
      </c>
      <c r="AF400" t="s">
        <v>2182</v>
      </c>
      <c r="AG400" t="s">
        <v>2183</v>
      </c>
      <c r="AH400">
        <v>541530</v>
      </c>
      <c r="AI400">
        <v>127213</v>
      </c>
      <c r="AJ400" t="s">
        <v>2054</v>
      </c>
    </row>
    <row r="401" spans="1:36" hidden="1" x14ac:dyDescent="0.2">
      <c r="A401" t="s">
        <v>2259</v>
      </c>
      <c r="B401" t="s">
        <v>152</v>
      </c>
      <c r="C401" t="s">
        <v>2340</v>
      </c>
      <c r="D401" t="s">
        <v>289</v>
      </c>
      <c r="E401">
        <v>268012</v>
      </c>
      <c r="H401">
        <v>585869</v>
      </c>
      <c r="I401" t="s">
        <v>2454</v>
      </c>
      <c r="J401" s="11">
        <v>46189</v>
      </c>
      <c r="K401" s="11">
        <v>46189</v>
      </c>
      <c r="L401" t="s">
        <v>2223</v>
      </c>
      <c r="M401" t="s">
        <v>1850</v>
      </c>
      <c r="N401">
        <v>28</v>
      </c>
      <c r="O401">
        <v>6607143</v>
      </c>
      <c r="P401">
        <v>185000</v>
      </c>
      <c r="Q401" t="s">
        <v>2178</v>
      </c>
      <c r="R401" t="s">
        <v>2179</v>
      </c>
      <c r="S401">
        <v>0</v>
      </c>
      <c r="T401">
        <v>0</v>
      </c>
      <c r="U401" t="s">
        <v>2179</v>
      </c>
      <c r="V401">
        <v>4770879</v>
      </c>
      <c r="W401" t="s">
        <v>2180</v>
      </c>
      <c r="X401">
        <v>133584.61199999999</v>
      </c>
      <c r="Y401">
        <v>133584.61199999999</v>
      </c>
      <c r="Z401">
        <v>133584.61199999999</v>
      </c>
      <c r="AA401">
        <v>4770879</v>
      </c>
      <c r="AC401" s="11">
        <v>46189</v>
      </c>
      <c r="AD401" s="11">
        <v>46189</v>
      </c>
      <c r="AE401" t="s">
        <v>2226</v>
      </c>
      <c r="AF401" t="s">
        <v>2182</v>
      </c>
      <c r="AG401" t="s">
        <v>2183</v>
      </c>
      <c r="AH401">
        <v>541530</v>
      </c>
      <c r="AI401">
        <v>127213</v>
      </c>
      <c r="AJ401" t="s">
        <v>2054</v>
      </c>
    </row>
    <row r="402" spans="1:36" hidden="1" x14ac:dyDescent="0.2">
      <c r="A402" t="s">
        <v>2259</v>
      </c>
      <c r="B402" t="s">
        <v>152</v>
      </c>
      <c r="C402" t="s">
        <v>2340</v>
      </c>
      <c r="D402" t="s">
        <v>2455</v>
      </c>
      <c r="E402">
        <v>268013</v>
      </c>
      <c r="H402">
        <v>594316</v>
      </c>
      <c r="I402" t="s">
        <v>2456</v>
      </c>
      <c r="J402" s="11">
        <v>46190</v>
      </c>
      <c r="K402" s="11">
        <v>46203</v>
      </c>
      <c r="L402" t="s">
        <v>2223</v>
      </c>
      <c r="M402" t="s">
        <v>1850</v>
      </c>
      <c r="N402">
        <v>19.25</v>
      </c>
      <c r="O402">
        <v>5950234</v>
      </c>
      <c r="P402">
        <v>114542</v>
      </c>
      <c r="Q402" t="s">
        <v>2178</v>
      </c>
      <c r="R402" t="s">
        <v>2179</v>
      </c>
      <c r="S402">
        <v>0</v>
      </c>
      <c r="T402">
        <v>0</v>
      </c>
      <c r="U402" t="s">
        <v>2179</v>
      </c>
      <c r="V402">
        <v>1299465</v>
      </c>
      <c r="W402" t="s">
        <v>2180</v>
      </c>
      <c r="X402">
        <v>25014.701300000001</v>
      </c>
      <c r="Y402">
        <v>25014.701300000001</v>
      </c>
      <c r="Z402">
        <v>25014.701300000001</v>
      </c>
      <c r="AA402">
        <v>1299465</v>
      </c>
      <c r="AC402" s="11">
        <v>46190</v>
      </c>
      <c r="AD402" s="11">
        <v>46203</v>
      </c>
      <c r="AE402" t="s">
        <v>2226</v>
      </c>
      <c r="AF402" t="s">
        <v>2182</v>
      </c>
      <c r="AG402" t="s">
        <v>2183</v>
      </c>
      <c r="AH402">
        <v>229084</v>
      </c>
      <c r="AI402">
        <v>128099</v>
      </c>
      <c r="AJ402" t="s">
        <v>2054</v>
      </c>
    </row>
    <row r="403" spans="1:36" hidden="1" x14ac:dyDescent="0.2">
      <c r="A403" t="s">
        <v>2259</v>
      </c>
      <c r="B403" t="s">
        <v>152</v>
      </c>
      <c r="C403" t="s">
        <v>2340</v>
      </c>
      <c r="D403" t="s">
        <v>2455</v>
      </c>
      <c r="E403">
        <v>268013</v>
      </c>
      <c r="H403">
        <v>594317</v>
      </c>
      <c r="I403" t="s">
        <v>2457</v>
      </c>
      <c r="J403" s="11">
        <v>46190</v>
      </c>
      <c r="K403" s="11">
        <v>46203</v>
      </c>
      <c r="L403" t="s">
        <v>2223</v>
      </c>
      <c r="M403" t="s">
        <v>1850</v>
      </c>
      <c r="N403">
        <v>19.25</v>
      </c>
      <c r="O403">
        <v>5950234</v>
      </c>
      <c r="P403">
        <v>114542</v>
      </c>
      <c r="Q403" t="s">
        <v>2178</v>
      </c>
      <c r="R403" t="s">
        <v>2179</v>
      </c>
      <c r="S403">
        <v>0</v>
      </c>
      <c r="T403">
        <v>0</v>
      </c>
      <c r="U403" t="s">
        <v>2179</v>
      </c>
      <c r="V403">
        <v>869143</v>
      </c>
      <c r="W403" t="s">
        <v>2180</v>
      </c>
      <c r="X403">
        <v>16731.002799999998</v>
      </c>
      <c r="Y403">
        <v>16731.002799999998</v>
      </c>
      <c r="Z403">
        <v>16731.002799999998</v>
      </c>
      <c r="AA403">
        <v>869143</v>
      </c>
      <c r="AC403" s="11">
        <v>46190</v>
      </c>
      <c r="AD403" s="11">
        <v>46203</v>
      </c>
      <c r="AE403" t="s">
        <v>2226</v>
      </c>
      <c r="AF403" t="s">
        <v>2182</v>
      </c>
      <c r="AG403" t="s">
        <v>2183</v>
      </c>
      <c r="AH403">
        <v>229084</v>
      </c>
      <c r="AI403">
        <v>128099</v>
      </c>
      <c r="AJ403" t="s">
        <v>2054</v>
      </c>
    </row>
    <row r="404" spans="1:36" hidden="1" x14ac:dyDescent="0.2">
      <c r="A404" t="s">
        <v>2259</v>
      </c>
      <c r="B404" t="s">
        <v>132</v>
      </c>
      <c r="C404" t="s">
        <v>2260</v>
      </c>
      <c r="D404" t="s">
        <v>356</v>
      </c>
      <c r="E404">
        <v>268021</v>
      </c>
      <c r="F404" t="s">
        <v>2219</v>
      </c>
      <c r="G404">
        <v>7998</v>
      </c>
      <c r="H404">
        <v>585996</v>
      </c>
      <c r="I404" t="s">
        <v>660</v>
      </c>
      <c r="J404" s="11">
        <v>46181</v>
      </c>
      <c r="K404" s="11">
        <v>46201</v>
      </c>
      <c r="L404" t="s">
        <v>2223</v>
      </c>
      <c r="M404" t="s">
        <v>1850</v>
      </c>
      <c r="N404">
        <v>16.46</v>
      </c>
      <c r="O404">
        <v>7594168</v>
      </c>
      <c r="P404">
        <v>125000</v>
      </c>
      <c r="Q404" t="s">
        <v>2178</v>
      </c>
      <c r="R404" t="s">
        <v>2179</v>
      </c>
      <c r="S404">
        <v>0</v>
      </c>
      <c r="T404">
        <v>0</v>
      </c>
      <c r="U404" t="s">
        <v>2179</v>
      </c>
      <c r="V404">
        <v>7594168</v>
      </c>
      <c r="W404" t="s">
        <v>2180</v>
      </c>
      <c r="X404">
        <v>125000</v>
      </c>
      <c r="Y404">
        <v>125000</v>
      </c>
      <c r="Z404">
        <v>125000</v>
      </c>
      <c r="AA404">
        <v>7799119</v>
      </c>
      <c r="AB404">
        <v>7813337</v>
      </c>
      <c r="AC404" s="11">
        <v>46181</v>
      </c>
      <c r="AD404" s="11">
        <v>46201</v>
      </c>
      <c r="AE404" t="s">
        <v>2226</v>
      </c>
      <c r="AF404" t="s">
        <v>2182</v>
      </c>
      <c r="AG404" t="s">
        <v>2183</v>
      </c>
      <c r="AH404">
        <v>125000</v>
      </c>
      <c r="AI404">
        <v>129374</v>
      </c>
      <c r="AJ404" t="s">
        <v>2050</v>
      </c>
    </row>
    <row r="405" spans="1:36" hidden="1" x14ac:dyDescent="0.2">
      <c r="A405" t="s">
        <v>2255</v>
      </c>
      <c r="B405" t="s">
        <v>202</v>
      </c>
      <c r="C405" t="s">
        <v>2458</v>
      </c>
      <c r="D405" t="s">
        <v>383</v>
      </c>
      <c r="E405">
        <v>268274</v>
      </c>
      <c r="F405" t="s">
        <v>2459</v>
      </c>
      <c r="G405">
        <v>7965</v>
      </c>
      <c r="H405">
        <v>586943</v>
      </c>
      <c r="I405" t="s">
        <v>708</v>
      </c>
      <c r="J405" s="11">
        <v>46143</v>
      </c>
      <c r="K405" s="11">
        <v>46203</v>
      </c>
      <c r="M405" t="s">
        <v>1850</v>
      </c>
      <c r="N405">
        <v>15</v>
      </c>
      <c r="O405">
        <v>2433334</v>
      </c>
      <c r="P405">
        <v>36500.03</v>
      </c>
      <c r="Q405" t="s">
        <v>2178</v>
      </c>
      <c r="R405" t="s">
        <v>2179</v>
      </c>
      <c r="S405">
        <v>0</v>
      </c>
      <c r="T405">
        <v>0</v>
      </c>
      <c r="U405" t="s">
        <v>2179</v>
      </c>
      <c r="V405">
        <v>70</v>
      </c>
      <c r="W405" t="s">
        <v>2180</v>
      </c>
      <c r="X405">
        <v>1.05</v>
      </c>
      <c r="Y405">
        <v>1.05</v>
      </c>
      <c r="Z405">
        <v>1.05</v>
      </c>
      <c r="AA405">
        <v>91</v>
      </c>
      <c r="AB405">
        <v>70</v>
      </c>
      <c r="AC405" s="11">
        <v>46143</v>
      </c>
      <c r="AD405" s="11">
        <v>46203</v>
      </c>
      <c r="AE405" t="s">
        <v>2233</v>
      </c>
      <c r="AF405" t="s">
        <v>2182</v>
      </c>
      <c r="AG405" t="s">
        <v>2183</v>
      </c>
      <c r="AH405">
        <v>36500.03</v>
      </c>
      <c r="AI405">
        <v>130332</v>
      </c>
      <c r="AJ405" t="s">
        <v>2058</v>
      </c>
    </row>
    <row r="406" spans="1:36" hidden="1" x14ac:dyDescent="0.2">
      <c r="A406" t="s">
        <v>2203</v>
      </c>
      <c r="B406" t="s">
        <v>173</v>
      </c>
      <c r="C406" t="s">
        <v>2339</v>
      </c>
      <c r="D406" t="s">
        <v>321</v>
      </c>
      <c r="E406">
        <v>269483</v>
      </c>
      <c r="F406" t="s">
        <v>2217</v>
      </c>
      <c r="G406">
        <v>8004</v>
      </c>
      <c r="H406">
        <v>588412</v>
      </c>
      <c r="I406" t="s">
        <v>789</v>
      </c>
      <c r="J406" s="11">
        <v>46174</v>
      </c>
      <c r="K406" s="11">
        <v>46203</v>
      </c>
      <c r="L406" t="s">
        <v>2177</v>
      </c>
      <c r="M406" t="s">
        <v>1850</v>
      </c>
      <c r="N406">
        <v>6</v>
      </c>
      <c r="O406">
        <v>5838167</v>
      </c>
      <c r="P406">
        <v>35029</v>
      </c>
      <c r="Q406" t="s">
        <v>2178</v>
      </c>
      <c r="R406" t="s">
        <v>2179</v>
      </c>
      <c r="S406">
        <v>0</v>
      </c>
      <c r="T406">
        <v>0</v>
      </c>
      <c r="U406" t="s">
        <v>2179</v>
      </c>
      <c r="V406">
        <v>3784642</v>
      </c>
      <c r="W406" t="s">
        <v>2180</v>
      </c>
      <c r="X406">
        <v>22707.851999999999</v>
      </c>
      <c r="Y406">
        <v>22707.851999999999</v>
      </c>
      <c r="Z406">
        <v>22707.851999999999</v>
      </c>
      <c r="AA406">
        <v>3785281</v>
      </c>
      <c r="AB406">
        <v>3784642</v>
      </c>
      <c r="AC406" s="11">
        <v>46174</v>
      </c>
      <c r="AD406" s="11">
        <v>46203</v>
      </c>
      <c r="AE406" t="s">
        <v>2189</v>
      </c>
      <c r="AF406" t="s">
        <v>2182</v>
      </c>
      <c r="AG406" t="s">
        <v>2183</v>
      </c>
      <c r="AH406">
        <v>140114.01</v>
      </c>
      <c r="AI406">
        <v>128364</v>
      </c>
      <c r="AJ406" t="s">
        <v>2047</v>
      </c>
    </row>
    <row r="407" spans="1:36" hidden="1" x14ac:dyDescent="0.2">
      <c r="A407" t="s">
        <v>2203</v>
      </c>
      <c r="B407" t="s">
        <v>173</v>
      </c>
      <c r="C407" t="s">
        <v>2339</v>
      </c>
      <c r="D407" t="s">
        <v>321</v>
      </c>
      <c r="E407">
        <v>269483</v>
      </c>
      <c r="F407" t="s">
        <v>2215</v>
      </c>
      <c r="G407">
        <v>8005</v>
      </c>
      <c r="H407">
        <v>588414</v>
      </c>
      <c r="I407" t="s">
        <v>593</v>
      </c>
      <c r="J407" s="11">
        <v>46174</v>
      </c>
      <c r="K407" s="11">
        <v>46203</v>
      </c>
      <c r="L407" t="s">
        <v>2177</v>
      </c>
      <c r="M407" t="s">
        <v>1850</v>
      </c>
      <c r="N407">
        <v>32.5</v>
      </c>
      <c r="O407">
        <v>3233385</v>
      </c>
      <c r="P407">
        <v>105085.01</v>
      </c>
      <c r="Q407" t="s">
        <v>2178</v>
      </c>
      <c r="R407" t="s">
        <v>2179</v>
      </c>
      <c r="S407">
        <v>0</v>
      </c>
      <c r="T407">
        <v>0</v>
      </c>
      <c r="U407" t="s">
        <v>2179</v>
      </c>
      <c r="V407">
        <v>3233385</v>
      </c>
      <c r="W407" t="s">
        <v>2180</v>
      </c>
      <c r="X407">
        <v>105085.01</v>
      </c>
      <c r="Y407">
        <v>105085.01</v>
      </c>
      <c r="Z407">
        <v>105085.01</v>
      </c>
      <c r="AA407">
        <v>3291255</v>
      </c>
      <c r="AB407">
        <v>3272327</v>
      </c>
      <c r="AC407" s="11">
        <v>46174</v>
      </c>
      <c r="AD407" s="11">
        <v>46203</v>
      </c>
      <c r="AE407" t="s">
        <v>2189</v>
      </c>
      <c r="AF407" t="s">
        <v>2182</v>
      </c>
      <c r="AG407" t="s">
        <v>2183</v>
      </c>
      <c r="AH407">
        <v>140114.01</v>
      </c>
      <c r="AI407">
        <v>128364</v>
      </c>
      <c r="AJ407" t="s">
        <v>2047</v>
      </c>
    </row>
    <row r="408" spans="1:36" hidden="1" x14ac:dyDescent="0.2">
      <c r="A408" t="s">
        <v>2259</v>
      </c>
      <c r="B408" t="s">
        <v>152</v>
      </c>
      <c r="C408" t="s">
        <v>2340</v>
      </c>
      <c r="D408" t="s">
        <v>340</v>
      </c>
      <c r="E408">
        <v>269582</v>
      </c>
      <c r="F408" t="s">
        <v>2215</v>
      </c>
      <c r="G408">
        <v>8005</v>
      </c>
      <c r="H408">
        <v>588586</v>
      </c>
      <c r="I408" t="s">
        <v>636</v>
      </c>
      <c r="J408" s="11">
        <v>46174</v>
      </c>
      <c r="K408" s="11">
        <v>46222</v>
      </c>
      <c r="L408" t="s">
        <v>2223</v>
      </c>
      <c r="M408" t="s">
        <v>1850</v>
      </c>
      <c r="N408">
        <v>40</v>
      </c>
      <c r="O408">
        <v>125000</v>
      </c>
      <c r="P408">
        <v>5000</v>
      </c>
      <c r="Q408" t="s">
        <v>2178</v>
      </c>
      <c r="R408" t="s">
        <v>2179</v>
      </c>
      <c r="S408">
        <v>0</v>
      </c>
      <c r="T408">
        <v>0</v>
      </c>
      <c r="U408" t="s">
        <v>2179</v>
      </c>
      <c r="V408">
        <v>90165</v>
      </c>
      <c r="W408" t="s">
        <v>2180</v>
      </c>
      <c r="X408">
        <v>3606.6</v>
      </c>
      <c r="Y408">
        <v>3606.6</v>
      </c>
      <c r="Z408">
        <v>3606.6</v>
      </c>
      <c r="AA408">
        <v>88453</v>
      </c>
      <c r="AB408">
        <v>90165</v>
      </c>
      <c r="AC408" s="11">
        <v>46174</v>
      </c>
      <c r="AD408" s="11">
        <v>46222</v>
      </c>
      <c r="AE408" t="s">
        <v>2226</v>
      </c>
      <c r="AF408" t="s">
        <v>2182</v>
      </c>
      <c r="AG408" t="s">
        <v>2183</v>
      </c>
      <c r="AH408">
        <v>50000</v>
      </c>
      <c r="AI408">
        <v>129145</v>
      </c>
      <c r="AJ408" t="s">
        <v>2054</v>
      </c>
    </row>
    <row r="409" spans="1:36" hidden="1" x14ac:dyDescent="0.2">
      <c r="A409" t="s">
        <v>2259</v>
      </c>
      <c r="B409" t="s">
        <v>152</v>
      </c>
      <c r="C409" t="s">
        <v>2340</v>
      </c>
      <c r="D409" t="s">
        <v>340</v>
      </c>
      <c r="E409">
        <v>269582</v>
      </c>
      <c r="F409" t="s">
        <v>2217</v>
      </c>
      <c r="G409">
        <v>8004</v>
      </c>
      <c r="H409">
        <v>588589</v>
      </c>
      <c r="I409" t="s">
        <v>806</v>
      </c>
      <c r="J409" s="11">
        <v>46174</v>
      </c>
      <c r="K409" s="11">
        <v>46222</v>
      </c>
      <c r="L409" t="s">
        <v>2177</v>
      </c>
      <c r="M409" t="s">
        <v>1850</v>
      </c>
      <c r="N409">
        <v>6</v>
      </c>
      <c r="O409">
        <v>833333</v>
      </c>
      <c r="P409">
        <v>5000</v>
      </c>
      <c r="Q409" t="s">
        <v>2178</v>
      </c>
      <c r="R409" t="s">
        <v>2179</v>
      </c>
      <c r="S409">
        <v>0</v>
      </c>
      <c r="T409">
        <v>0</v>
      </c>
      <c r="U409" t="s">
        <v>2179</v>
      </c>
      <c r="V409">
        <v>407618</v>
      </c>
      <c r="W409" t="s">
        <v>2180</v>
      </c>
      <c r="X409">
        <v>2445.7080000000001</v>
      </c>
      <c r="Y409">
        <v>2445.7080000000001</v>
      </c>
      <c r="Z409">
        <v>2445.7080000000001</v>
      </c>
      <c r="AA409">
        <v>407708</v>
      </c>
      <c r="AB409">
        <v>407618</v>
      </c>
      <c r="AC409" s="11">
        <v>46174</v>
      </c>
      <c r="AD409" s="11">
        <v>46222</v>
      </c>
      <c r="AE409" t="s">
        <v>2226</v>
      </c>
      <c r="AF409" t="s">
        <v>2182</v>
      </c>
      <c r="AG409" t="s">
        <v>2183</v>
      </c>
      <c r="AH409">
        <v>50000</v>
      </c>
      <c r="AI409">
        <v>129145</v>
      </c>
      <c r="AJ409" t="s">
        <v>2054</v>
      </c>
    </row>
    <row r="410" spans="1:36" hidden="1" x14ac:dyDescent="0.2">
      <c r="A410" t="s">
        <v>2259</v>
      </c>
      <c r="B410" t="s">
        <v>152</v>
      </c>
      <c r="C410" t="s">
        <v>2340</v>
      </c>
      <c r="D410" t="s">
        <v>340</v>
      </c>
      <c r="E410">
        <v>269582</v>
      </c>
      <c r="F410" t="s">
        <v>2216</v>
      </c>
      <c r="G410">
        <v>8002</v>
      </c>
      <c r="H410">
        <v>588591</v>
      </c>
      <c r="I410" t="s">
        <v>632</v>
      </c>
      <c r="J410" s="11">
        <v>46174</v>
      </c>
      <c r="K410" s="11">
        <v>46222</v>
      </c>
      <c r="L410" t="s">
        <v>2223</v>
      </c>
      <c r="M410" t="s">
        <v>1850</v>
      </c>
      <c r="N410">
        <v>25</v>
      </c>
      <c r="O410">
        <v>400000</v>
      </c>
      <c r="P410">
        <v>10000</v>
      </c>
      <c r="Q410" t="s">
        <v>2201</v>
      </c>
      <c r="R410" t="s">
        <v>2179</v>
      </c>
      <c r="S410">
        <v>0</v>
      </c>
      <c r="T410">
        <v>0</v>
      </c>
      <c r="U410" t="s">
        <v>2179</v>
      </c>
      <c r="V410">
        <v>209735</v>
      </c>
      <c r="W410" t="s">
        <v>2180</v>
      </c>
      <c r="X410">
        <v>5243.375</v>
      </c>
      <c r="Y410">
        <v>5243.375</v>
      </c>
      <c r="Z410">
        <v>5243.375</v>
      </c>
      <c r="AA410">
        <v>207327</v>
      </c>
      <c r="AB410">
        <v>209735</v>
      </c>
      <c r="AC410" s="11">
        <v>46174</v>
      </c>
      <c r="AD410" s="11">
        <v>46222</v>
      </c>
      <c r="AE410" t="s">
        <v>2226</v>
      </c>
      <c r="AF410" t="s">
        <v>2182</v>
      </c>
      <c r="AG410" t="s">
        <v>2183</v>
      </c>
      <c r="AH410">
        <v>50000</v>
      </c>
      <c r="AI410">
        <v>129145</v>
      </c>
      <c r="AJ410" t="s">
        <v>2054</v>
      </c>
    </row>
    <row r="411" spans="1:36" hidden="1" x14ac:dyDescent="0.2">
      <c r="A411" t="s">
        <v>2259</v>
      </c>
      <c r="B411" t="s">
        <v>152</v>
      </c>
      <c r="C411" t="s">
        <v>2340</v>
      </c>
      <c r="D411" t="s">
        <v>340</v>
      </c>
      <c r="E411">
        <v>269582</v>
      </c>
      <c r="F411" t="s">
        <v>2215</v>
      </c>
      <c r="G411">
        <v>8005</v>
      </c>
      <c r="H411">
        <v>588663</v>
      </c>
      <c r="I411" t="s">
        <v>635</v>
      </c>
      <c r="J411" s="11">
        <v>46174</v>
      </c>
      <c r="K411" s="11">
        <v>46222</v>
      </c>
      <c r="L411" t="s">
        <v>2223</v>
      </c>
      <c r="M411" t="s">
        <v>1850</v>
      </c>
      <c r="N411">
        <v>80</v>
      </c>
      <c r="O411">
        <v>125000</v>
      </c>
      <c r="P411">
        <v>10000</v>
      </c>
      <c r="Q411" t="s">
        <v>2178</v>
      </c>
      <c r="R411" t="s">
        <v>2179</v>
      </c>
      <c r="S411">
        <v>0</v>
      </c>
      <c r="T411">
        <v>0</v>
      </c>
      <c r="U411" t="s">
        <v>2179</v>
      </c>
      <c r="V411">
        <v>91432</v>
      </c>
      <c r="W411" t="s">
        <v>2180</v>
      </c>
      <c r="X411">
        <v>7314.56</v>
      </c>
      <c r="Y411">
        <v>7314.56</v>
      </c>
      <c r="Z411">
        <v>7314.56</v>
      </c>
      <c r="AA411">
        <v>92070</v>
      </c>
      <c r="AB411">
        <v>91432</v>
      </c>
      <c r="AC411" s="11">
        <v>46174</v>
      </c>
      <c r="AD411" s="11">
        <v>46222</v>
      </c>
      <c r="AE411" t="s">
        <v>2226</v>
      </c>
      <c r="AF411" t="s">
        <v>2182</v>
      </c>
      <c r="AG411" t="s">
        <v>2183</v>
      </c>
      <c r="AH411">
        <v>50000</v>
      </c>
      <c r="AI411">
        <v>129145</v>
      </c>
      <c r="AJ411" t="s">
        <v>2054</v>
      </c>
    </row>
    <row r="412" spans="1:36" hidden="1" x14ac:dyDescent="0.2">
      <c r="A412" t="s">
        <v>2259</v>
      </c>
      <c r="B412" t="s">
        <v>152</v>
      </c>
      <c r="C412" t="s">
        <v>2340</v>
      </c>
      <c r="D412" t="s">
        <v>340</v>
      </c>
      <c r="E412">
        <v>269582</v>
      </c>
      <c r="F412" t="s">
        <v>2216</v>
      </c>
      <c r="G412">
        <v>8002</v>
      </c>
      <c r="H412">
        <v>588666</v>
      </c>
      <c r="I412" t="s">
        <v>633</v>
      </c>
      <c r="J412" s="11">
        <v>46174</v>
      </c>
      <c r="K412" s="11">
        <v>46222</v>
      </c>
      <c r="L412" t="s">
        <v>2223</v>
      </c>
      <c r="M412" t="s">
        <v>1850</v>
      </c>
      <c r="N412">
        <v>50</v>
      </c>
      <c r="O412">
        <v>100000</v>
      </c>
      <c r="P412">
        <v>5000</v>
      </c>
      <c r="Q412" t="s">
        <v>2201</v>
      </c>
      <c r="R412" t="s">
        <v>2179</v>
      </c>
      <c r="S412">
        <v>0</v>
      </c>
      <c r="T412">
        <v>0</v>
      </c>
      <c r="U412" t="s">
        <v>2179</v>
      </c>
      <c r="V412">
        <v>55149</v>
      </c>
      <c r="W412" t="s">
        <v>2180</v>
      </c>
      <c r="X412">
        <v>2757.45</v>
      </c>
      <c r="Y412">
        <v>2757.45</v>
      </c>
      <c r="Z412">
        <v>2757.45</v>
      </c>
      <c r="AA412">
        <v>54777</v>
      </c>
      <c r="AB412">
        <v>55149</v>
      </c>
      <c r="AC412" s="11">
        <v>46174</v>
      </c>
      <c r="AD412" s="11">
        <v>46222</v>
      </c>
      <c r="AE412" t="s">
        <v>2226</v>
      </c>
      <c r="AF412" t="s">
        <v>2182</v>
      </c>
      <c r="AG412" t="s">
        <v>2183</v>
      </c>
      <c r="AH412">
        <v>50000</v>
      </c>
      <c r="AI412">
        <v>129145</v>
      </c>
      <c r="AJ412" t="s">
        <v>2054</v>
      </c>
    </row>
    <row r="413" spans="1:36" hidden="1" x14ac:dyDescent="0.2">
      <c r="A413" t="s">
        <v>2259</v>
      </c>
      <c r="B413" t="s">
        <v>152</v>
      </c>
      <c r="C413" t="s">
        <v>2340</v>
      </c>
      <c r="D413" t="s">
        <v>340</v>
      </c>
      <c r="E413">
        <v>269582</v>
      </c>
      <c r="F413" t="s">
        <v>2216</v>
      </c>
      <c r="G413">
        <v>8002</v>
      </c>
      <c r="H413">
        <v>590250</v>
      </c>
      <c r="I413" t="s">
        <v>634</v>
      </c>
      <c r="J413" s="11">
        <v>46174</v>
      </c>
      <c r="K413" s="11">
        <v>46222</v>
      </c>
      <c r="L413" t="s">
        <v>2223</v>
      </c>
      <c r="M413" t="s">
        <v>1850</v>
      </c>
      <c r="N413">
        <v>25</v>
      </c>
      <c r="O413">
        <v>400000</v>
      </c>
      <c r="P413">
        <v>10000</v>
      </c>
      <c r="Q413" t="s">
        <v>2201</v>
      </c>
      <c r="R413" t="s">
        <v>2179</v>
      </c>
      <c r="S413">
        <v>0</v>
      </c>
      <c r="T413">
        <v>0</v>
      </c>
      <c r="U413" t="s">
        <v>2179</v>
      </c>
      <c r="V413">
        <v>219900</v>
      </c>
      <c r="W413" t="s">
        <v>2180</v>
      </c>
      <c r="X413">
        <v>5497.5</v>
      </c>
      <c r="Y413">
        <v>5497.5</v>
      </c>
      <c r="Z413">
        <v>5497.5</v>
      </c>
      <c r="AA413">
        <v>219507</v>
      </c>
      <c r="AB413">
        <v>219900</v>
      </c>
      <c r="AC413" s="11">
        <v>46174</v>
      </c>
      <c r="AD413" s="11">
        <v>46222</v>
      </c>
      <c r="AE413" t="s">
        <v>2226</v>
      </c>
      <c r="AF413" t="s">
        <v>2182</v>
      </c>
      <c r="AG413" t="s">
        <v>2183</v>
      </c>
      <c r="AH413">
        <v>50000</v>
      </c>
      <c r="AI413">
        <v>129145</v>
      </c>
      <c r="AJ413" t="s">
        <v>2054</v>
      </c>
    </row>
    <row r="414" spans="1:36" hidden="1" x14ac:dyDescent="0.2">
      <c r="A414" t="s">
        <v>2259</v>
      </c>
      <c r="B414" t="s">
        <v>152</v>
      </c>
      <c r="C414" t="s">
        <v>2340</v>
      </c>
      <c r="D414" t="s">
        <v>340</v>
      </c>
      <c r="E414">
        <v>269582</v>
      </c>
      <c r="F414" t="s">
        <v>2215</v>
      </c>
      <c r="G414">
        <v>8005</v>
      </c>
      <c r="H414">
        <v>590252</v>
      </c>
      <c r="I414" t="s">
        <v>631</v>
      </c>
      <c r="J414" s="11">
        <v>46174</v>
      </c>
      <c r="K414" s="11">
        <v>46222</v>
      </c>
      <c r="L414" t="s">
        <v>2223</v>
      </c>
      <c r="M414" t="s">
        <v>1850</v>
      </c>
      <c r="N414">
        <v>40</v>
      </c>
      <c r="O414">
        <v>125000</v>
      </c>
      <c r="P414">
        <v>5000</v>
      </c>
      <c r="Q414" t="s">
        <v>2178</v>
      </c>
      <c r="R414" t="s">
        <v>2179</v>
      </c>
      <c r="S414">
        <v>0</v>
      </c>
      <c r="T414">
        <v>0</v>
      </c>
      <c r="U414" t="s">
        <v>2179</v>
      </c>
      <c r="V414">
        <v>83197</v>
      </c>
      <c r="W414" t="s">
        <v>2180</v>
      </c>
      <c r="X414">
        <v>3327.88</v>
      </c>
      <c r="Y414">
        <v>3327.88</v>
      </c>
      <c r="Z414">
        <v>3327.88</v>
      </c>
      <c r="AA414">
        <v>79861</v>
      </c>
      <c r="AB414">
        <v>83197</v>
      </c>
      <c r="AC414" s="11">
        <v>46174</v>
      </c>
      <c r="AD414" s="11">
        <v>46222</v>
      </c>
      <c r="AE414" t="s">
        <v>2226</v>
      </c>
      <c r="AF414" t="s">
        <v>2182</v>
      </c>
      <c r="AG414" t="s">
        <v>2183</v>
      </c>
      <c r="AH414">
        <v>50000</v>
      </c>
      <c r="AI414">
        <v>129145</v>
      </c>
      <c r="AJ414" t="s">
        <v>2054</v>
      </c>
    </row>
    <row r="415" spans="1:36" hidden="1" x14ac:dyDescent="0.2">
      <c r="A415" t="s">
        <v>2259</v>
      </c>
      <c r="B415" t="s">
        <v>152</v>
      </c>
      <c r="C415" t="s">
        <v>2340</v>
      </c>
      <c r="D415" t="s">
        <v>387</v>
      </c>
      <c r="E415">
        <v>269584</v>
      </c>
      <c r="F415" t="s">
        <v>2217</v>
      </c>
      <c r="G415">
        <v>8004</v>
      </c>
      <c r="H415">
        <v>588609</v>
      </c>
      <c r="I415" t="s">
        <v>820</v>
      </c>
      <c r="J415" s="11">
        <v>46181</v>
      </c>
      <c r="K415" s="11">
        <v>46205</v>
      </c>
      <c r="L415" t="s">
        <v>2177</v>
      </c>
      <c r="M415" t="s">
        <v>1850</v>
      </c>
      <c r="N415">
        <v>6</v>
      </c>
      <c r="O415">
        <v>1081680</v>
      </c>
      <c r="P415">
        <v>6490.08</v>
      </c>
      <c r="Q415" t="s">
        <v>2178</v>
      </c>
      <c r="R415" t="s">
        <v>2179</v>
      </c>
      <c r="S415">
        <v>0</v>
      </c>
      <c r="T415">
        <v>0</v>
      </c>
      <c r="U415" t="s">
        <v>2179</v>
      </c>
      <c r="V415">
        <v>920158</v>
      </c>
      <c r="W415" t="s">
        <v>2180</v>
      </c>
      <c r="X415">
        <v>5520.9480000000003</v>
      </c>
      <c r="Y415">
        <v>5520.9480000000003</v>
      </c>
      <c r="Z415">
        <v>5520.9480000000003</v>
      </c>
      <c r="AA415">
        <v>920495</v>
      </c>
      <c r="AB415">
        <v>920158</v>
      </c>
      <c r="AC415" s="11">
        <v>46181</v>
      </c>
      <c r="AD415" s="11">
        <v>46205</v>
      </c>
      <c r="AE415" t="s">
        <v>2226</v>
      </c>
      <c r="AF415" t="s">
        <v>2182</v>
      </c>
      <c r="AG415" t="s">
        <v>2183</v>
      </c>
      <c r="AH415">
        <v>75000.08</v>
      </c>
      <c r="AI415">
        <v>130378</v>
      </c>
      <c r="AJ415" t="s">
        <v>2054</v>
      </c>
    </row>
    <row r="416" spans="1:36" hidden="1" x14ac:dyDescent="0.2">
      <c r="A416" t="s">
        <v>2259</v>
      </c>
      <c r="B416" t="s">
        <v>152</v>
      </c>
      <c r="C416" t="s">
        <v>2340</v>
      </c>
      <c r="D416" t="s">
        <v>387</v>
      </c>
      <c r="E416">
        <v>269584</v>
      </c>
      <c r="F416" t="s">
        <v>2219</v>
      </c>
      <c r="G416">
        <v>7998</v>
      </c>
      <c r="H416">
        <v>588613</v>
      </c>
      <c r="I416" t="s">
        <v>714</v>
      </c>
      <c r="J416" s="11">
        <v>46181</v>
      </c>
      <c r="K416" s="11">
        <v>46222</v>
      </c>
      <c r="L416" t="s">
        <v>2223</v>
      </c>
      <c r="M416" t="s">
        <v>1850</v>
      </c>
      <c r="N416">
        <v>40</v>
      </c>
      <c r="O416">
        <v>1462750</v>
      </c>
      <c r="P416">
        <v>58510</v>
      </c>
      <c r="Q416" t="s">
        <v>2178</v>
      </c>
      <c r="R416" t="s">
        <v>2179</v>
      </c>
      <c r="S416">
        <v>0</v>
      </c>
      <c r="T416">
        <v>0</v>
      </c>
      <c r="U416" t="s">
        <v>2179</v>
      </c>
      <c r="V416">
        <v>645938</v>
      </c>
      <c r="W416" t="s">
        <v>2180</v>
      </c>
      <c r="X416">
        <v>25837.52</v>
      </c>
      <c r="Y416">
        <v>25837.52</v>
      </c>
      <c r="Z416">
        <v>25837.52</v>
      </c>
      <c r="AA416">
        <v>642269</v>
      </c>
      <c r="AB416">
        <v>645938</v>
      </c>
      <c r="AC416" s="11">
        <v>46181</v>
      </c>
      <c r="AD416" s="11">
        <v>46222</v>
      </c>
      <c r="AE416" t="s">
        <v>2226</v>
      </c>
      <c r="AF416" t="s">
        <v>2182</v>
      </c>
      <c r="AG416" t="s">
        <v>2183</v>
      </c>
      <c r="AH416">
        <v>75000.08</v>
      </c>
      <c r="AI416">
        <v>130378</v>
      </c>
      <c r="AJ416" t="s">
        <v>2054</v>
      </c>
    </row>
    <row r="417" spans="1:36" hidden="1" x14ac:dyDescent="0.2">
      <c r="A417" t="s">
        <v>2259</v>
      </c>
      <c r="B417" t="s">
        <v>152</v>
      </c>
      <c r="C417" t="s">
        <v>2340</v>
      </c>
      <c r="D417" t="s">
        <v>387</v>
      </c>
      <c r="E417">
        <v>269584</v>
      </c>
      <c r="F417" t="s">
        <v>2219</v>
      </c>
      <c r="G417">
        <v>7998</v>
      </c>
      <c r="H417">
        <v>588684</v>
      </c>
      <c r="I417" t="s">
        <v>713</v>
      </c>
      <c r="J417" s="11">
        <v>46181</v>
      </c>
      <c r="K417" s="11">
        <v>46222</v>
      </c>
      <c r="L417" t="s">
        <v>2223</v>
      </c>
      <c r="M417" t="s">
        <v>1850</v>
      </c>
      <c r="N417">
        <v>50</v>
      </c>
      <c r="O417">
        <v>200000</v>
      </c>
      <c r="P417">
        <v>10000</v>
      </c>
      <c r="Q417" t="s">
        <v>2178</v>
      </c>
      <c r="R417" t="s">
        <v>2179</v>
      </c>
      <c r="S417">
        <v>0</v>
      </c>
      <c r="T417">
        <v>0</v>
      </c>
      <c r="U417" t="s">
        <v>2179</v>
      </c>
      <c r="V417">
        <v>73465</v>
      </c>
      <c r="W417" t="s">
        <v>2180</v>
      </c>
      <c r="X417">
        <v>3673.25</v>
      </c>
      <c r="Y417">
        <v>3673.25</v>
      </c>
      <c r="Z417">
        <v>3673.25</v>
      </c>
      <c r="AA417">
        <v>70419</v>
      </c>
      <c r="AB417">
        <v>73465</v>
      </c>
      <c r="AC417" s="11">
        <v>46181</v>
      </c>
      <c r="AD417" s="11">
        <v>46222</v>
      </c>
      <c r="AE417" t="s">
        <v>2226</v>
      </c>
      <c r="AF417" t="s">
        <v>2182</v>
      </c>
      <c r="AG417" t="s">
        <v>2183</v>
      </c>
      <c r="AH417">
        <v>75000.08</v>
      </c>
      <c r="AI417">
        <v>130378</v>
      </c>
      <c r="AJ417" t="s">
        <v>2054</v>
      </c>
    </row>
    <row r="418" spans="1:36" hidden="1" x14ac:dyDescent="0.2">
      <c r="A418" t="s">
        <v>2259</v>
      </c>
      <c r="B418" t="s">
        <v>152</v>
      </c>
      <c r="C418" t="s">
        <v>2340</v>
      </c>
      <c r="D418" t="s">
        <v>339</v>
      </c>
      <c r="E418">
        <v>269586</v>
      </c>
      <c r="F418" t="s">
        <v>2217</v>
      </c>
      <c r="G418">
        <v>8004</v>
      </c>
      <c r="H418">
        <v>588629</v>
      </c>
      <c r="I418" t="s">
        <v>818</v>
      </c>
      <c r="J418" s="11">
        <v>46174</v>
      </c>
      <c r="K418" s="11">
        <v>46222</v>
      </c>
      <c r="L418" t="s">
        <v>2177</v>
      </c>
      <c r="M418" t="s">
        <v>1850</v>
      </c>
      <c r="N418">
        <v>6</v>
      </c>
      <c r="O418">
        <v>833333</v>
      </c>
      <c r="P418">
        <v>5000</v>
      </c>
      <c r="Q418" t="s">
        <v>2178</v>
      </c>
      <c r="R418" t="s">
        <v>2179</v>
      </c>
      <c r="S418">
        <v>0</v>
      </c>
      <c r="T418">
        <v>0</v>
      </c>
      <c r="U418" t="s">
        <v>2179</v>
      </c>
      <c r="V418">
        <v>402576</v>
      </c>
      <c r="W418" t="s">
        <v>2180</v>
      </c>
      <c r="X418">
        <v>2415.4560000000001</v>
      </c>
      <c r="Y418">
        <v>2415.4560000000001</v>
      </c>
      <c r="Z418">
        <v>2415.4560000000001</v>
      </c>
      <c r="AA418">
        <v>402576</v>
      </c>
      <c r="AB418">
        <v>0</v>
      </c>
      <c r="AC418" s="11">
        <v>46174</v>
      </c>
      <c r="AD418" s="11">
        <v>46222</v>
      </c>
      <c r="AE418" t="s">
        <v>2226</v>
      </c>
      <c r="AF418" t="s">
        <v>2182</v>
      </c>
      <c r="AG418" t="s">
        <v>2183</v>
      </c>
      <c r="AH418">
        <v>200000</v>
      </c>
      <c r="AI418">
        <v>129163</v>
      </c>
      <c r="AJ418" t="s">
        <v>2054</v>
      </c>
    </row>
    <row r="419" spans="1:36" hidden="1" x14ac:dyDescent="0.2">
      <c r="A419" t="s">
        <v>2259</v>
      </c>
      <c r="B419" t="s">
        <v>152</v>
      </c>
      <c r="C419" t="s">
        <v>2340</v>
      </c>
      <c r="D419" t="s">
        <v>339</v>
      </c>
      <c r="E419">
        <v>269586</v>
      </c>
      <c r="F419" t="s">
        <v>2215</v>
      </c>
      <c r="G419">
        <v>8005</v>
      </c>
      <c r="H419">
        <v>588981</v>
      </c>
      <c r="I419" t="s">
        <v>630</v>
      </c>
      <c r="J419" s="11">
        <v>46174</v>
      </c>
      <c r="K419" s="11">
        <v>46222</v>
      </c>
      <c r="L419" t="s">
        <v>2223</v>
      </c>
      <c r="M419" t="s">
        <v>1850</v>
      </c>
      <c r="N419">
        <v>60</v>
      </c>
      <c r="O419">
        <v>3250000</v>
      </c>
      <c r="P419">
        <v>195000</v>
      </c>
      <c r="Q419" t="s">
        <v>2178</v>
      </c>
      <c r="R419" t="s">
        <v>2179</v>
      </c>
      <c r="S419">
        <v>0</v>
      </c>
      <c r="T419">
        <v>0</v>
      </c>
      <c r="U419" t="s">
        <v>2179</v>
      </c>
      <c r="V419">
        <v>2384612</v>
      </c>
      <c r="W419" t="s">
        <v>2180</v>
      </c>
      <c r="X419">
        <v>143076.72</v>
      </c>
      <c r="Y419">
        <v>143076.72</v>
      </c>
      <c r="Z419">
        <v>143076.72</v>
      </c>
      <c r="AA419">
        <v>2412203</v>
      </c>
      <c r="AB419">
        <v>2384612</v>
      </c>
      <c r="AC419" s="11">
        <v>46174</v>
      </c>
      <c r="AD419" s="11">
        <v>46222</v>
      </c>
      <c r="AE419" t="s">
        <v>2226</v>
      </c>
      <c r="AF419" t="s">
        <v>2182</v>
      </c>
      <c r="AG419" t="s">
        <v>2183</v>
      </c>
      <c r="AH419">
        <v>200000</v>
      </c>
      <c r="AI419">
        <v>129163</v>
      </c>
      <c r="AJ419" t="s">
        <v>2054</v>
      </c>
    </row>
    <row r="420" spans="1:36" hidden="1" x14ac:dyDescent="0.2">
      <c r="A420" t="s">
        <v>2348</v>
      </c>
      <c r="B420" t="s">
        <v>171</v>
      </c>
      <c r="C420" t="s">
        <v>2349</v>
      </c>
      <c r="D420" t="s">
        <v>317</v>
      </c>
      <c r="E420">
        <v>269597</v>
      </c>
      <c r="F420" t="s">
        <v>2212</v>
      </c>
      <c r="G420">
        <v>2789</v>
      </c>
      <c r="H420">
        <v>588711</v>
      </c>
      <c r="I420" t="s">
        <v>589</v>
      </c>
      <c r="J420" s="11">
        <v>46155</v>
      </c>
      <c r="K420" s="11">
        <v>46180</v>
      </c>
      <c r="L420" t="s">
        <v>2223</v>
      </c>
      <c r="M420" t="s">
        <v>1850</v>
      </c>
      <c r="N420">
        <v>20</v>
      </c>
      <c r="O420">
        <v>3000000</v>
      </c>
      <c r="P420">
        <v>60000</v>
      </c>
      <c r="Q420" t="s">
        <v>2178</v>
      </c>
      <c r="R420" t="s">
        <v>2179</v>
      </c>
      <c r="S420">
        <v>0</v>
      </c>
      <c r="T420">
        <v>0</v>
      </c>
      <c r="U420" t="s">
        <v>2179</v>
      </c>
      <c r="V420">
        <v>678408</v>
      </c>
      <c r="W420" t="s">
        <v>2180</v>
      </c>
      <c r="X420">
        <v>13568.16</v>
      </c>
      <c r="Y420">
        <v>13568.16</v>
      </c>
      <c r="Z420">
        <v>13568.16</v>
      </c>
      <c r="AA420">
        <v>698080</v>
      </c>
      <c r="AB420">
        <v>694626</v>
      </c>
      <c r="AC420" s="11">
        <v>46155</v>
      </c>
      <c r="AD420" s="11">
        <v>46180</v>
      </c>
      <c r="AE420" t="s">
        <v>2222</v>
      </c>
      <c r="AF420" t="s">
        <v>2182</v>
      </c>
      <c r="AG420" t="s">
        <v>2183</v>
      </c>
      <c r="AH420">
        <v>60000</v>
      </c>
      <c r="AI420">
        <v>128349</v>
      </c>
      <c r="AJ420" t="s">
        <v>2046</v>
      </c>
    </row>
    <row r="421" spans="1:36" hidden="1" x14ac:dyDescent="0.2">
      <c r="A421" t="s">
        <v>2460</v>
      </c>
      <c r="B421" t="s">
        <v>210</v>
      </c>
      <c r="C421" t="s">
        <v>2461</v>
      </c>
      <c r="D421" t="s">
        <v>395</v>
      </c>
      <c r="E421">
        <v>269600</v>
      </c>
      <c r="F421" t="s">
        <v>2215</v>
      </c>
      <c r="G421">
        <v>8005</v>
      </c>
      <c r="H421">
        <v>588744</v>
      </c>
      <c r="I421" t="s">
        <v>732</v>
      </c>
      <c r="J421" s="11">
        <v>46185</v>
      </c>
      <c r="K421" s="11">
        <v>46222</v>
      </c>
      <c r="L421" t="s">
        <v>2177</v>
      </c>
      <c r="M421" t="s">
        <v>1850</v>
      </c>
      <c r="N421">
        <v>42</v>
      </c>
      <c r="O421">
        <v>3571429</v>
      </c>
      <c r="P421">
        <v>150000.01999999999</v>
      </c>
      <c r="Q421" t="s">
        <v>2178</v>
      </c>
      <c r="R421" t="s">
        <v>2179</v>
      </c>
      <c r="S421">
        <v>0</v>
      </c>
      <c r="T421">
        <v>0</v>
      </c>
      <c r="U421" t="s">
        <v>2179</v>
      </c>
      <c r="V421">
        <v>2391963</v>
      </c>
      <c r="W421" t="s">
        <v>2180</v>
      </c>
      <c r="X421">
        <v>100462.446</v>
      </c>
      <c r="Y421">
        <v>100462.446</v>
      </c>
      <c r="Z421">
        <v>100462.446</v>
      </c>
      <c r="AA421">
        <v>2390865</v>
      </c>
      <c r="AB421">
        <v>2391963</v>
      </c>
      <c r="AC421" s="11">
        <v>46185</v>
      </c>
      <c r="AD421" s="11">
        <v>46222</v>
      </c>
      <c r="AE421" t="s">
        <v>2222</v>
      </c>
      <c r="AF421" t="s">
        <v>2182</v>
      </c>
      <c r="AG421" t="s">
        <v>2183</v>
      </c>
      <c r="AH421">
        <v>600000.1</v>
      </c>
      <c r="AI421">
        <v>130953</v>
      </c>
      <c r="AJ421" t="s">
        <v>2054</v>
      </c>
    </row>
    <row r="422" spans="1:36" hidden="1" x14ac:dyDescent="0.2">
      <c r="A422" t="s">
        <v>2460</v>
      </c>
      <c r="B422" t="s">
        <v>210</v>
      </c>
      <c r="C422" t="s">
        <v>2461</v>
      </c>
      <c r="D422" t="s">
        <v>395</v>
      </c>
      <c r="E422">
        <v>269600</v>
      </c>
      <c r="F422" t="s">
        <v>2219</v>
      </c>
      <c r="G422">
        <v>7998</v>
      </c>
      <c r="H422">
        <v>588753</v>
      </c>
      <c r="I422" t="s">
        <v>731</v>
      </c>
      <c r="J422" s="11">
        <v>46185</v>
      </c>
      <c r="K422" s="11">
        <v>46222</v>
      </c>
      <c r="L422" t="s">
        <v>2177</v>
      </c>
      <c r="M422" t="s">
        <v>1850</v>
      </c>
      <c r="N422">
        <v>20</v>
      </c>
      <c r="O422">
        <v>3750000</v>
      </c>
      <c r="P422">
        <v>75000</v>
      </c>
      <c r="Q422" t="s">
        <v>2178</v>
      </c>
      <c r="R422" t="s">
        <v>2179</v>
      </c>
      <c r="S422">
        <v>0</v>
      </c>
      <c r="T422">
        <v>0</v>
      </c>
      <c r="U422" t="s">
        <v>2179</v>
      </c>
      <c r="V422">
        <v>1889938</v>
      </c>
      <c r="W422" t="s">
        <v>2180</v>
      </c>
      <c r="X422">
        <v>37798.76</v>
      </c>
      <c r="Y422">
        <v>37798.76</v>
      </c>
      <c r="Z422">
        <v>37798.76</v>
      </c>
      <c r="AA422">
        <v>1857031</v>
      </c>
      <c r="AB422">
        <v>1889938</v>
      </c>
      <c r="AC422" s="11">
        <v>46185</v>
      </c>
      <c r="AD422" s="11">
        <v>46222</v>
      </c>
      <c r="AE422" t="s">
        <v>2222</v>
      </c>
      <c r="AF422" t="s">
        <v>2182</v>
      </c>
      <c r="AG422" t="s">
        <v>2183</v>
      </c>
      <c r="AH422">
        <v>600000.1</v>
      </c>
      <c r="AI422">
        <v>130953</v>
      </c>
      <c r="AJ422" t="s">
        <v>2054</v>
      </c>
    </row>
    <row r="423" spans="1:36" hidden="1" x14ac:dyDescent="0.2">
      <c r="A423" t="s">
        <v>2460</v>
      </c>
      <c r="B423" t="s">
        <v>210</v>
      </c>
      <c r="C423" t="s">
        <v>2461</v>
      </c>
      <c r="D423" t="s">
        <v>395</v>
      </c>
      <c r="E423">
        <v>269600</v>
      </c>
      <c r="F423" t="s">
        <v>2215</v>
      </c>
      <c r="G423">
        <v>8005</v>
      </c>
      <c r="H423">
        <v>593843</v>
      </c>
      <c r="I423" t="s">
        <v>747</v>
      </c>
      <c r="J423" s="11">
        <v>46189</v>
      </c>
      <c r="K423" s="11">
        <v>46222</v>
      </c>
      <c r="L423" t="s">
        <v>2177</v>
      </c>
      <c r="M423" t="s">
        <v>1850</v>
      </c>
      <c r="N423">
        <v>84</v>
      </c>
      <c r="O423">
        <v>595239</v>
      </c>
      <c r="P423">
        <v>50000.08</v>
      </c>
      <c r="Q423" t="s">
        <v>2178</v>
      </c>
      <c r="R423" t="s">
        <v>2179</v>
      </c>
      <c r="S423">
        <v>0</v>
      </c>
      <c r="T423">
        <v>0</v>
      </c>
      <c r="U423" t="s">
        <v>2179</v>
      </c>
      <c r="V423">
        <v>434287</v>
      </c>
      <c r="W423" t="s">
        <v>2180</v>
      </c>
      <c r="X423">
        <v>36480.108</v>
      </c>
      <c r="Y423">
        <v>36480.108</v>
      </c>
      <c r="Z423">
        <v>36480.108</v>
      </c>
      <c r="AA423">
        <v>433176</v>
      </c>
      <c r="AB423">
        <v>434287</v>
      </c>
      <c r="AC423" s="11">
        <v>46189</v>
      </c>
      <c r="AD423" s="11">
        <v>46222</v>
      </c>
      <c r="AE423" t="s">
        <v>2222</v>
      </c>
      <c r="AF423" t="s">
        <v>2182</v>
      </c>
      <c r="AG423" t="s">
        <v>2183</v>
      </c>
      <c r="AH423">
        <v>600000.1</v>
      </c>
      <c r="AI423">
        <v>130953</v>
      </c>
      <c r="AJ423" t="s">
        <v>2054</v>
      </c>
    </row>
    <row r="424" spans="1:36" hidden="1" x14ac:dyDescent="0.2">
      <c r="A424" t="s">
        <v>2460</v>
      </c>
      <c r="B424" t="s">
        <v>210</v>
      </c>
      <c r="C424" t="s">
        <v>2461</v>
      </c>
      <c r="D424" t="s">
        <v>395</v>
      </c>
      <c r="E424">
        <v>269600</v>
      </c>
      <c r="F424" t="s">
        <v>2219</v>
      </c>
      <c r="G424">
        <v>7998</v>
      </c>
      <c r="H424">
        <v>593846</v>
      </c>
      <c r="I424" t="s">
        <v>746</v>
      </c>
      <c r="J424" s="11">
        <v>46189</v>
      </c>
      <c r="K424" s="11">
        <v>46222</v>
      </c>
      <c r="L424" t="s">
        <v>2177</v>
      </c>
      <c r="M424" t="s">
        <v>1850</v>
      </c>
      <c r="N424">
        <v>40</v>
      </c>
      <c r="O424">
        <v>625000</v>
      </c>
      <c r="P424">
        <v>25000</v>
      </c>
      <c r="Q424" t="s">
        <v>2178</v>
      </c>
      <c r="R424" t="s">
        <v>2179</v>
      </c>
      <c r="S424">
        <v>0</v>
      </c>
      <c r="T424">
        <v>0</v>
      </c>
      <c r="U424" t="s">
        <v>2179</v>
      </c>
      <c r="V424">
        <v>295861</v>
      </c>
      <c r="W424" t="s">
        <v>2180</v>
      </c>
      <c r="X424">
        <v>11834.44</v>
      </c>
      <c r="Y424">
        <v>11834.44</v>
      </c>
      <c r="Z424">
        <v>11834.44</v>
      </c>
      <c r="AA424">
        <v>292809</v>
      </c>
      <c r="AB424">
        <v>295861</v>
      </c>
      <c r="AC424" s="11">
        <v>46189</v>
      </c>
      <c r="AD424" s="11">
        <v>46222</v>
      </c>
      <c r="AE424" t="s">
        <v>2222</v>
      </c>
      <c r="AF424" t="s">
        <v>2182</v>
      </c>
      <c r="AG424" t="s">
        <v>2183</v>
      </c>
      <c r="AH424">
        <v>600000.1</v>
      </c>
      <c r="AI424">
        <v>130953</v>
      </c>
      <c r="AJ424" t="s">
        <v>2054</v>
      </c>
    </row>
    <row r="425" spans="1:36" hidden="1" x14ac:dyDescent="0.2">
      <c r="A425" t="s">
        <v>2257</v>
      </c>
      <c r="B425" t="s">
        <v>186</v>
      </c>
      <c r="C425" t="s">
        <v>2402</v>
      </c>
      <c r="D425" t="s">
        <v>349</v>
      </c>
      <c r="E425">
        <v>269662</v>
      </c>
      <c r="F425" t="s">
        <v>2218</v>
      </c>
      <c r="G425">
        <v>8000</v>
      </c>
      <c r="H425">
        <v>588871</v>
      </c>
      <c r="I425" t="s">
        <v>913</v>
      </c>
      <c r="J425" s="11">
        <v>46184</v>
      </c>
      <c r="K425" s="11">
        <v>46222</v>
      </c>
      <c r="L425" t="s">
        <v>2223</v>
      </c>
      <c r="M425" t="s">
        <v>2205</v>
      </c>
      <c r="N425">
        <v>250000</v>
      </c>
      <c r="O425">
        <v>1</v>
      </c>
      <c r="P425">
        <v>250000</v>
      </c>
      <c r="Q425" t="s">
        <v>1987</v>
      </c>
      <c r="R425" t="s">
        <v>2206</v>
      </c>
      <c r="S425">
        <v>1</v>
      </c>
      <c r="T425">
        <v>128205.1283</v>
      </c>
      <c r="U425" t="s">
        <v>2206</v>
      </c>
      <c r="V425">
        <v>1</v>
      </c>
      <c r="W425" t="s">
        <v>2180</v>
      </c>
      <c r="X425">
        <v>128205.1283</v>
      </c>
      <c r="Y425">
        <v>128205.1283</v>
      </c>
      <c r="Z425">
        <v>128205.1283</v>
      </c>
      <c r="AC425" s="11">
        <v>46184</v>
      </c>
      <c r="AD425" s="11">
        <v>46222</v>
      </c>
      <c r="AE425" t="s">
        <v>2287</v>
      </c>
      <c r="AF425" t="s">
        <v>2182</v>
      </c>
      <c r="AG425" t="s">
        <v>2183</v>
      </c>
      <c r="AH425">
        <v>400000.01</v>
      </c>
      <c r="AI425">
        <v>129388</v>
      </c>
      <c r="AJ425" t="s">
        <v>2040</v>
      </c>
    </row>
    <row r="426" spans="1:36" hidden="1" x14ac:dyDescent="0.2">
      <c r="A426" t="s">
        <v>2257</v>
      </c>
      <c r="B426" t="s">
        <v>186</v>
      </c>
      <c r="C426" t="s">
        <v>2402</v>
      </c>
      <c r="D426" t="s">
        <v>349</v>
      </c>
      <c r="E426">
        <v>269662</v>
      </c>
      <c r="F426" t="s">
        <v>2215</v>
      </c>
      <c r="G426">
        <v>8005</v>
      </c>
      <c r="H426">
        <v>588876</v>
      </c>
      <c r="I426" t="s">
        <v>649</v>
      </c>
      <c r="J426" s="11">
        <v>46174</v>
      </c>
      <c r="K426" s="11">
        <v>46222</v>
      </c>
      <c r="L426" t="s">
        <v>2223</v>
      </c>
      <c r="M426" t="s">
        <v>1850</v>
      </c>
      <c r="N426">
        <v>40</v>
      </c>
      <c r="O426">
        <v>3750000</v>
      </c>
      <c r="P426">
        <v>150000</v>
      </c>
      <c r="Q426" t="s">
        <v>2178</v>
      </c>
      <c r="R426" t="s">
        <v>2179</v>
      </c>
      <c r="S426">
        <v>0</v>
      </c>
      <c r="T426">
        <v>0</v>
      </c>
      <c r="U426" t="s">
        <v>2179</v>
      </c>
      <c r="V426">
        <v>2515728</v>
      </c>
      <c r="W426" t="s">
        <v>2180</v>
      </c>
      <c r="X426">
        <v>100629.12</v>
      </c>
      <c r="Y426">
        <v>100629.12</v>
      </c>
      <c r="Z426">
        <v>100629.12</v>
      </c>
      <c r="AA426">
        <v>2508542</v>
      </c>
      <c r="AB426">
        <v>2515728</v>
      </c>
      <c r="AC426" s="11">
        <v>46174</v>
      </c>
      <c r="AD426" s="11">
        <v>46222</v>
      </c>
      <c r="AE426" t="s">
        <v>2287</v>
      </c>
      <c r="AF426" t="s">
        <v>2182</v>
      </c>
      <c r="AG426" t="s">
        <v>2183</v>
      </c>
      <c r="AH426">
        <v>400000.01</v>
      </c>
      <c r="AI426">
        <v>129388</v>
      </c>
      <c r="AJ426" t="s">
        <v>2040</v>
      </c>
    </row>
    <row r="427" spans="1:36" hidden="1" x14ac:dyDescent="0.2">
      <c r="A427" t="s">
        <v>2207</v>
      </c>
      <c r="B427" t="s">
        <v>177</v>
      </c>
      <c r="C427" t="s">
        <v>2343</v>
      </c>
      <c r="D427" t="s">
        <v>328</v>
      </c>
      <c r="E427">
        <v>269736</v>
      </c>
      <c r="F427" t="s">
        <v>2215</v>
      </c>
      <c r="G427">
        <v>8005</v>
      </c>
      <c r="H427">
        <v>589051</v>
      </c>
      <c r="I427" t="s">
        <v>615</v>
      </c>
      <c r="J427" s="11">
        <v>46174</v>
      </c>
      <c r="K427" s="11">
        <v>46222</v>
      </c>
      <c r="L427" t="s">
        <v>2177</v>
      </c>
      <c r="M427" t="s">
        <v>1850</v>
      </c>
      <c r="N427">
        <v>30</v>
      </c>
      <c r="O427">
        <v>5833333</v>
      </c>
      <c r="P427">
        <v>174999.99</v>
      </c>
      <c r="Q427" t="s">
        <v>2178</v>
      </c>
      <c r="R427" t="s">
        <v>2179</v>
      </c>
      <c r="S427">
        <v>0</v>
      </c>
      <c r="T427">
        <v>0</v>
      </c>
      <c r="U427" t="s">
        <v>2179</v>
      </c>
      <c r="V427">
        <v>3909144</v>
      </c>
      <c r="W427" t="s">
        <v>2180</v>
      </c>
      <c r="X427">
        <v>117274.32</v>
      </c>
      <c r="Y427">
        <v>117274.32</v>
      </c>
      <c r="Z427">
        <v>117274.32</v>
      </c>
      <c r="AA427">
        <v>3904886</v>
      </c>
      <c r="AB427">
        <v>3909144</v>
      </c>
      <c r="AC427" s="11">
        <v>46174</v>
      </c>
      <c r="AD427" s="11">
        <v>46222</v>
      </c>
      <c r="AE427" t="s">
        <v>2210</v>
      </c>
      <c r="AF427" t="s">
        <v>2182</v>
      </c>
      <c r="AG427" t="s">
        <v>2183</v>
      </c>
      <c r="AH427">
        <v>174999.99</v>
      </c>
      <c r="AI427">
        <v>128712</v>
      </c>
      <c r="AJ427" t="s">
        <v>2060</v>
      </c>
    </row>
    <row r="428" spans="1:36" hidden="1" x14ac:dyDescent="0.2">
      <c r="A428" t="s">
        <v>2207</v>
      </c>
      <c r="B428" t="s">
        <v>177</v>
      </c>
      <c r="C428" t="s">
        <v>2343</v>
      </c>
      <c r="D428" t="s">
        <v>430</v>
      </c>
      <c r="E428">
        <v>269737</v>
      </c>
      <c r="F428" t="s">
        <v>2218</v>
      </c>
      <c r="G428">
        <v>8000</v>
      </c>
      <c r="H428">
        <v>589069</v>
      </c>
      <c r="I428" t="s">
        <v>906</v>
      </c>
      <c r="J428" s="11">
        <v>46174</v>
      </c>
      <c r="K428" s="11">
        <v>46222</v>
      </c>
      <c r="L428" t="s">
        <v>2213</v>
      </c>
      <c r="M428" t="s">
        <v>2205</v>
      </c>
      <c r="N428">
        <v>250000</v>
      </c>
      <c r="O428">
        <v>1</v>
      </c>
      <c r="P428">
        <v>250000</v>
      </c>
      <c r="Q428" t="s">
        <v>1987</v>
      </c>
      <c r="R428" t="s">
        <v>2206</v>
      </c>
      <c r="S428">
        <v>1</v>
      </c>
      <c r="T428">
        <v>153061.22450000001</v>
      </c>
      <c r="U428" t="s">
        <v>2206</v>
      </c>
      <c r="V428">
        <v>1</v>
      </c>
      <c r="W428" t="s">
        <v>2180</v>
      </c>
      <c r="X428">
        <v>153061.22450000001</v>
      </c>
      <c r="Y428">
        <v>153061.22450000001</v>
      </c>
      <c r="Z428">
        <v>153061.22450000001</v>
      </c>
      <c r="AC428" s="11">
        <v>46174</v>
      </c>
      <c r="AD428" s="11">
        <v>46222</v>
      </c>
      <c r="AE428" t="s">
        <v>2210</v>
      </c>
      <c r="AF428" t="s">
        <v>2182</v>
      </c>
      <c r="AG428" t="s">
        <v>2183</v>
      </c>
      <c r="AH428">
        <v>250000</v>
      </c>
      <c r="AI428">
        <v>128456</v>
      </c>
      <c r="AJ428" t="s">
        <v>2060</v>
      </c>
    </row>
    <row r="429" spans="1:36" hidden="1" x14ac:dyDescent="0.2">
      <c r="A429" t="s">
        <v>2462</v>
      </c>
      <c r="B429" t="s">
        <v>104</v>
      </c>
      <c r="C429" t="s">
        <v>2463</v>
      </c>
      <c r="D429" t="s">
        <v>393</v>
      </c>
      <c r="E429">
        <v>269990</v>
      </c>
      <c r="F429" t="s">
        <v>2215</v>
      </c>
      <c r="G429">
        <v>8005</v>
      </c>
      <c r="H429">
        <v>590257</v>
      </c>
      <c r="I429" t="s">
        <v>728</v>
      </c>
      <c r="J429" s="11">
        <v>46174</v>
      </c>
      <c r="K429" s="11">
        <v>46234</v>
      </c>
      <c r="L429" t="s">
        <v>2213</v>
      </c>
      <c r="M429" t="s">
        <v>1850</v>
      </c>
      <c r="N429">
        <v>44</v>
      </c>
      <c r="O429">
        <v>11363637</v>
      </c>
      <c r="P429">
        <v>500000.02</v>
      </c>
      <c r="Q429" t="s">
        <v>2178</v>
      </c>
      <c r="R429" t="s">
        <v>2179</v>
      </c>
      <c r="S429">
        <v>0</v>
      </c>
      <c r="T429">
        <v>0</v>
      </c>
      <c r="U429" t="s">
        <v>2179</v>
      </c>
      <c r="V429">
        <v>7548969</v>
      </c>
      <c r="W429" t="s">
        <v>2180</v>
      </c>
      <c r="X429">
        <v>332154.636</v>
      </c>
      <c r="Y429">
        <v>332154.636</v>
      </c>
      <c r="Z429">
        <v>332154.636</v>
      </c>
      <c r="AA429">
        <v>7548969</v>
      </c>
      <c r="AB429">
        <v>0</v>
      </c>
      <c r="AC429" s="11">
        <v>46174</v>
      </c>
      <c r="AD429" s="11">
        <v>46234</v>
      </c>
      <c r="AE429" t="s">
        <v>2222</v>
      </c>
      <c r="AF429" t="s">
        <v>2182</v>
      </c>
      <c r="AG429" t="s">
        <v>2183</v>
      </c>
      <c r="AH429">
        <v>3000000.07</v>
      </c>
      <c r="AI429">
        <v>130767</v>
      </c>
      <c r="AJ429" t="s">
        <v>2054</v>
      </c>
    </row>
    <row r="430" spans="1:36" hidden="1" x14ac:dyDescent="0.2">
      <c r="A430" t="s">
        <v>2462</v>
      </c>
      <c r="B430" t="s">
        <v>104</v>
      </c>
      <c r="C430" t="s">
        <v>2463</v>
      </c>
      <c r="D430" t="s">
        <v>393</v>
      </c>
      <c r="E430">
        <v>269990</v>
      </c>
      <c r="H430">
        <v>590289</v>
      </c>
      <c r="I430" t="s">
        <v>2464</v>
      </c>
      <c r="J430" s="11">
        <v>46183</v>
      </c>
      <c r="K430" s="11">
        <v>46222</v>
      </c>
      <c r="L430" t="s">
        <v>2213</v>
      </c>
      <c r="M430" t="s">
        <v>1850</v>
      </c>
      <c r="N430">
        <v>18</v>
      </c>
      <c r="O430">
        <v>2222222</v>
      </c>
      <c r="P430">
        <v>40000</v>
      </c>
      <c r="Q430" t="s">
        <v>2178</v>
      </c>
      <c r="R430" t="s">
        <v>2179</v>
      </c>
      <c r="S430">
        <v>0</v>
      </c>
      <c r="T430">
        <v>0</v>
      </c>
      <c r="U430" t="s">
        <v>2179</v>
      </c>
      <c r="V430">
        <v>0</v>
      </c>
      <c r="W430" t="s">
        <v>2180</v>
      </c>
      <c r="X430">
        <v>0</v>
      </c>
      <c r="Y430">
        <v>0</v>
      </c>
      <c r="Z430">
        <v>0</v>
      </c>
      <c r="AC430" s="11">
        <v>46183</v>
      </c>
      <c r="AD430" s="11">
        <v>46222</v>
      </c>
      <c r="AE430" t="s">
        <v>2222</v>
      </c>
      <c r="AF430" t="s">
        <v>2182</v>
      </c>
      <c r="AG430" t="s">
        <v>2183</v>
      </c>
      <c r="AH430">
        <v>3000000.07</v>
      </c>
      <c r="AI430">
        <v>130767</v>
      </c>
      <c r="AJ430" t="s">
        <v>2054</v>
      </c>
    </row>
    <row r="431" spans="1:36" hidden="1" x14ac:dyDescent="0.2">
      <c r="A431" t="s">
        <v>2462</v>
      </c>
      <c r="B431" t="s">
        <v>104</v>
      </c>
      <c r="C431" t="s">
        <v>2463</v>
      </c>
      <c r="D431" t="s">
        <v>393</v>
      </c>
      <c r="E431">
        <v>269990</v>
      </c>
      <c r="H431">
        <v>592320</v>
      </c>
      <c r="I431" t="s">
        <v>2465</v>
      </c>
      <c r="J431" s="11">
        <v>46184</v>
      </c>
      <c r="K431" s="11">
        <v>46190</v>
      </c>
      <c r="L431" t="s">
        <v>2213</v>
      </c>
      <c r="M431" t="s">
        <v>1850</v>
      </c>
      <c r="N431">
        <v>30</v>
      </c>
      <c r="O431">
        <v>8000000</v>
      </c>
      <c r="P431">
        <v>240000</v>
      </c>
      <c r="Q431" t="s">
        <v>2178</v>
      </c>
      <c r="R431" t="s">
        <v>2179</v>
      </c>
      <c r="S431">
        <v>0</v>
      </c>
      <c r="T431">
        <v>0</v>
      </c>
      <c r="U431" t="s">
        <v>2179</v>
      </c>
      <c r="V431">
        <v>0</v>
      </c>
      <c r="W431" t="s">
        <v>2180</v>
      </c>
      <c r="X431">
        <v>0</v>
      </c>
      <c r="Y431">
        <v>0</v>
      </c>
      <c r="Z431">
        <v>0</v>
      </c>
      <c r="AC431" s="11">
        <v>46184</v>
      </c>
      <c r="AD431" s="11">
        <v>46190</v>
      </c>
      <c r="AE431" t="s">
        <v>2222</v>
      </c>
      <c r="AF431" t="s">
        <v>2182</v>
      </c>
      <c r="AG431" t="s">
        <v>2183</v>
      </c>
      <c r="AH431">
        <v>3000000.07</v>
      </c>
      <c r="AI431">
        <v>130767</v>
      </c>
      <c r="AJ431" t="s">
        <v>2054</v>
      </c>
    </row>
    <row r="432" spans="1:36" hidden="1" x14ac:dyDescent="0.2">
      <c r="A432" t="s">
        <v>2462</v>
      </c>
      <c r="B432" t="s">
        <v>104</v>
      </c>
      <c r="C432" t="s">
        <v>2463</v>
      </c>
      <c r="D432" t="s">
        <v>393</v>
      </c>
      <c r="E432">
        <v>269990</v>
      </c>
      <c r="H432">
        <v>593101</v>
      </c>
      <c r="I432" t="s">
        <v>2466</v>
      </c>
      <c r="J432" s="11">
        <v>46185</v>
      </c>
      <c r="K432" s="11">
        <v>46185</v>
      </c>
      <c r="L432" t="s">
        <v>2213</v>
      </c>
      <c r="M432" t="s">
        <v>1850</v>
      </c>
      <c r="N432">
        <v>30</v>
      </c>
      <c r="O432">
        <v>8333334</v>
      </c>
      <c r="P432">
        <v>250000.02</v>
      </c>
      <c r="Q432" t="s">
        <v>2178</v>
      </c>
      <c r="R432" t="s">
        <v>2179</v>
      </c>
      <c r="S432">
        <v>0</v>
      </c>
      <c r="T432">
        <v>0</v>
      </c>
      <c r="U432" t="s">
        <v>2179</v>
      </c>
      <c r="V432">
        <v>0</v>
      </c>
      <c r="W432" t="s">
        <v>2180</v>
      </c>
      <c r="X432">
        <v>0</v>
      </c>
      <c r="Y432">
        <v>0</v>
      </c>
      <c r="Z432">
        <v>0</v>
      </c>
      <c r="AC432" s="11">
        <v>46185</v>
      </c>
      <c r="AD432" s="11">
        <v>46185</v>
      </c>
      <c r="AE432" t="s">
        <v>2222</v>
      </c>
      <c r="AF432" t="s">
        <v>2182</v>
      </c>
      <c r="AG432" t="s">
        <v>2183</v>
      </c>
      <c r="AH432">
        <v>3000000.07</v>
      </c>
      <c r="AI432">
        <v>130767</v>
      </c>
      <c r="AJ432" t="s">
        <v>2054</v>
      </c>
    </row>
    <row r="433" spans="1:36" hidden="1" x14ac:dyDescent="0.2">
      <c r="A433" t="s">
        <v>2462</v>
      </c>
      <c r="B433" t="s">
        <v>104</v>
      </c>
      <c r="C433" t="s">
        <v>2463</v>
      </c>
      <c r="D433" t="s">
        <v>393</v>
      </c>
      <c r="E433">
        <v>269990</v>
      </c>
      <c r="H433">
        <v>593121</v>
      </c>
      <c r="I433" t="s">
        <v>2467</v>
      </c>
      <c r="J433" s="11">
        <v>46185</v>
      </c>
      <c r="K433" s="11">
        <v>46185</v>
      </c>
      <c r="L433" t="s">
        <v>2213</v>
      </c>
      <c r="M433" t="s">
        <v>1850</v>
      </c>
      <c r="N433">
        <v>30</v>
      </c>
      <c r="O433">
        <v>7500000</v>
      </c>
      <c r="P433">
        <v>225000</v>
      </c>
      <c r="Q433" t="s">
        <v>2178</v>
      </c>
      <c r="R433" t="s">
        <v>2179</v>
      </c>
      <c r="S433">
        <v>0</v>
      </c>
      <c r="T433">
        <v>0</v>
      </c>
      <c r="U433" t="s">
        <v>2179</v>
      </c>
      <c r="V433">
        <v>6962050</v>
      </c>
      <c r="W433" t="s">
        <v>2180</v>
      </c>
      <c r="X433">
        <v>208861.5</v>
      </c>
      <c r="Y433">
        <v>208861.5</v>
      </c>
      <c r="Z433">
        <v>208861.5</v>
      </c>
      <c r="AA433">
        <v>6962050</v>
      </c>
      <c r="AC433" s="11">
        <v>46185</v>
      </c>
      <c r="AD433" s="11">
        <v>46185</v>
      </c>
      <c r="AE433" t="s">
        <v>2222</v>
      </c>
      <c r="AF433" t="s">
        <v>2182</v>
      </c>
      <c r="AG433" t="s">
        <v>2183</v>
      </c>
      <c r="AH433">
        <v>3000000.07</v>
      </c>
      <c r="AI433">
        <v>130767</v>
      </c>
      <c r="AJ433" t="s">
        <v>2054</v>
      </c>
    </row>
    <row r="434" spans="1:36" hidden="1" x14ac:dyDescent="0.2">
      <c r="A434" t="s">
        <v>2462</v>
      </c>
      <c r="B434" t="s">
        <v>104</v>
      </c>
      <c r="C434" t="s">
        <v>2463</v>
      </c>
      <c r="D434" t="s">
        <v>393</v>
      </c>
      <c r="E434">
        <v>269990</v>
      </c>
      <c r="H434">
        <v>593122</v>
      </c>
      <c r="I434" t="s">
        <v>2468</v>
      </c>
      <c r="J434" s="11">
        <v>46185</v>
      </c>
      <c r="K434" s="11">
        <v>46185</v>
      </c>
      <c r="L434" t="s">
        <v>2213</v>
      </c>
      <c r="M434" t="s">
        <v>1850</v>
      </c>
      <c r="N434">
        <v>30</v>
      </c>
      <c r="O434">
        <v>7500000</v>
      </c>
      <c r="P434">
        <v>225000</v>
      </c>
      <c r="Q434" t="s">
        <v>2178</v>
      </c>
      <c r="R434" t="s">
        <v>2179</v>
      </c>
      <c r="S434">
        <v>0</v>
      </c>
      <c r="T434">
        <v>0</v>
      </c>
      <c r="U434" t="s">
        <v>2179</v>
      </c>
      <c r="V434">
        <v>3436303</v>
      </c>
      <c r="W434" t="s">
        <v>2180</v>
      </c>
      <c r="X434">
        <v>103089.09</v>
      </c>
      <c r="Y434">
        <v>103089.09</v>
      </c>
      <c r="Z434">
        <v>103089.09</v>
      </c>
      <c r="AA434">
        <v>3436303</v>
      </c>
      <c r="AC434" s="11">
        <v>46185</v>
      </c>
      <c r="AD434" s="11">
        <v>46185</v>
      </c>
      <c r="AE434" t="s">
        <v>2222</v>
      </c>
      <c r="AF434" t="s">
        <v>2182</v>
      </c>
      <c r="AG434" t="s">
        <v>2183</v>
      </c>
      <c r="AH434">
        <v>3000000.07</v>
      </c>
      <c r="AI434">
        <v>130767</v>
      </c>
      <c r="AJ434" t="s">
        <v>2054</v>
      </c>
    </row>
    <row r="435" spans="1:36" hidden="1" x14ac:dyDescent="0.2">
      <c r="A435" t="s">
        <v>2462</v>
      </c>
      <c r="B435" t="s">
        <v>104</v>
      </c>
      <c r="C435" t="s">
        <v>2463</v>
      </c>
      <c r="D435" t="s">
        <v>393</v>
      </c>
      <c r="E435">
        <v>269990</v>
      </c>
      <c r="H435">
        <v>593123</v>
      </c>
      <c r="I435" t="s">
        <v>2469</v>
      </c>
      <c r="J435" s="11">
        <v>46185</v>
      </c>
      <c r="K435" s="11">
        <v>46185</v>
      </c>
      <c r="L435" t="s">
        <v>2213</v>
      </c>
      <c r="M435" t="s">
        <v>1850</v>
      </c>
      <c r="N435">
        <v>30</v>
      </c>
      <c r="O435">
        <v>25333334</v>
      </c>
      <c r="P435">
        <v>760000.02</v>
      </c>
      <c r="Q435" t="s">
        <v>2178</v>
      </c>
      <c r="R435" t="s">
        <v>2179</v>
      </c>
      <c r="S435">
        <v>0</v>
      </c>
      <c r="T435">
        <v>0</v>
      </c>
      <c r="U435" t="s">
        <v>2179</v>
      </c>
      <c r="V435">
        <v>1304990</v>
      </c>
      <c r="W435" t="s">
        <v>2180</v>
      </c>
      <c r="X435">
        <v>39149.699999999997</v>
      </c>
      <c r="Y435">
        <v>39149.699999999997</v>
      </c>
      <c r="Z435">
        <v>39149.699999999997</v>
      </c>
      <c r="AA435">
        <v>1304990</v>
      </c>
      <c r="AC435" s="11">
        <v>46185</v>
      </c>
      <c r="AD435" s="11">
        <v>46185</v>
      </c>
      <c r="AE435" t="s">
        <v>2222</v>
      </c>
      <c r="AF435" t="s">
        <v>2182</v>
      </c>
      <c r="AG435" t="s">
        <v>2183</v>
      </c>
      <c r="AH435">
        <v>3000000.07</v>
      </c>
      <c r="AI435">
        <v>130767</v>
      </c>
      <c r="AJ435" t="s">
        <v>2054</v>
      </c>
    </row>
    <row r="436" spans="1:36" hidden="1" x14ac:dyDescent="0.2">
      <c r="A436" t="s">
        <v>2462</v>
      </c>
      <c r="B436" t="s">
        <v>104</v>
      </c>
      <c r="C436" t="s">
        <v>2463</v>
      </c>
      <c r="D436" t="s">
        <v>393</v>
      </c>
      <c r="E436">
        <v>269990</v>
      </c>
      <c r="H436">
        <v>593126</v>
      </c>
      <c r="I436" t="s">
        <v>2470</v>
      </c>
      <c r="J436" s="11">
        <v>46182</v>
      </c>
      <c r="K436" s="11">
        <v>46185</v>
      </c>
      <c r="L436" t="s">
        <v>2213</v>
      </c>
      <c r="M436" t="s">
        <v>1850</v>
      </c>
      <c r="N436">
        <v>30</v>
      </c>
      <c r="O436">
        <v>10000000</v>
      </c>
      <c r="P436">
        <v>300000</v>
      </c>
      <c r="Q436" t="s">
        <v>2178</v>
      </c>
      <c r="R436" t="s">
        <v>2179</v>
      </c>
      <c r="S436">
        <v>0</v>
      </c>
      <c r="T436">
        <v>0</v>
      </c>
      <c r="U436" t="s">
        <v>2179</v>
      </c>
      <c r="V436">
        <v>0</v>
      </c>
      <c r="W436" t="s">
        <v>2180</v>
      </c>
      <c r="X436">
        <v>0</v>
      </c>
      <c r="Y436">
        <v>0</v>
      </c>
      <c r="Z436">
        <v>0</v>
      </c>
      <c r="AC436" s="11">
        <v>46182</v>
      </c>
      <c r="AD436" s="11">
        <v>46185</v>
      </c>
      <c r="AE436" t="s">
        <v>2222</v>
      </c>
      <c r="AF436" t="s">
        <v>2182</v>
      </c>
      <c r="AG436" t="s">
        <v>2183</v>
      </c>
      <c r="AH436">
        <v>3000000.07</v>
      </c>
      <c r="AI436">
        <v>130767</v>
      </c>
      <c r="AJ436" t="s">
        <v>2054</v>
      </c>
    </row>
    <row r="437" spans="1:36" hidden="1" x14ac:dyDescent="0.2">
      <c r="A437" t="s">
        <v>2462</v>
      </c>
      <c r="B437" t="s">
        <v>104</v>
      </c>
      <c r="C437" t="s">
        <v>2463</v>
      </c>
      <c r="D437" t="s">
        <v>393</v>
      </c>
      <c r="E437">
        <v>269990</v>
      </c>
      <c r="F437" t="s">
        <v>2219</v>
      </c>
      <c r="G437">
        <v>7998</v>
      </c>
      <c r="H437">
        <v>593358</v>
      </c>
      <c r="I437" t="s">
        <v>739</v>
      </c>
      <c r="J437" s="11">
        <v>46183</v>
      </c>
      <c r="K437" s="11">
        <v>46222</v>
      </c>
      <c r="L437" t="s">
        <v>2213</v>
      </c>
      <c r="M437" t="s">
        <v>1850</v>
      </c>
      <c r="N437">
        <v>20</v>
      </c>
      <c r="O437">
        <v>22500000</v>
      </c>
      <c r="P437">
        <v>450000</v>
      </c>
      <c r="Q437" t="s">
        <v>2178</v>
      </c>
      <c r="R437" t="s">
        <v>2179</v>
      </c>
      <c r="S437">
        <v>0</v>
      </c>
      <c r="T437">
        <v>0</v>
      </c>
      <c r="U437" t="s">
        <v>2179</v>
      </c>
      <c r="V437">
        <v>14164194</v>
      </c>
      <c r="W437" t="s">
        <v>2180</v>
      </c>
      <c r="X437">
        <v>283283.88</v>
      </c>
      <c r="Y437">
        <v>283283.88</v>
      </c>
      <c r="Z437">
        <v>283283.88</v>
      </c>
      <c r="AA437">
        <v>14164194</v>
      </c>
      <c r="AB437">
        <v>0</v>
      </c>
      <c r="AC437" s="11">
        <v>46183</v>
      </c>
      <c r="AD437" s="11">
        <v>46222</v>
      </c>
      <c r="AE437" t="s">
        <v>2222</v>
      </c>
      <c r="AF437" t="s">
        <v>2182</v>
      </c>
      <c r="AG437" t="s">
        <v>2183</v>
      </c>
      <c r="AH437">
        <v>3000000.07</v>
      </c>
      <c r="AI437">
        <v>130767</v>
      </c>
      <c r="AJ437" t="s">
        <v>2054</v>
      </c>
    </row>
    <row r="438" spans="1:36" hidden="1" x14ac:dyDescent="0.2">
      <c r="A438" t="s">
        <v>2462</v>
      </c>
      <c r="B438" t="s">
        <v>104</v>
      </c>
      <c r="C438" t="s">
        <v>2463</v>
      </c>
      <c r="D438" t="s">
        <v>393</v>
      </c>
      <c r="E438">
        <v>269990</v>
      </c>
      <c r="H438">
        <v>594798</v>
      </c>
      <c r="I438" t="s">
        <v>2471</v>
      </c>
      <c r="J438" s="11">
        <v>46191</v>
      </c>
      <c r="K438" s="11">
        <v>46222</v>
      </c>
      <c r="L438" t="s">
        <v>2213</v>
      </c>
      <c r="M438" t="s">
        <v>1850</v>
      </c>
      <c r="N438">
        <v>18</v>
      </c>
      <c r="O438">
        <v>555556</v>
      </c>
      <c r="P438">
        <v>10000.01</v>
      </c>
      <c r="Q438" t="s">
        <v>2178</v>
      </c>
      <c r="R438" t="s">
        <v>2179</v>
      </c>
      <c r="S438">
        <v>0</v>
      </c>
      <c r="T438">
        <v>0</v>
      </c>
      <c r="U438" t="s">
        <v>2179</v>
      </c>
      <c r="V438">
        <v>0</v>
      </c>
      <c r="W438" t="s">
        <v>2180</v>
      </c>
      <c r="X438">
        <v>0</v>
      </c>
      <c r="Y438">
        <v>0</v>
      </c>
      <c r="Z438">
        <v>0</v>
      </c>
      <c r="AC438" s="11">
        <v>46191</v>
      </c>
      <c r="AD438" s="11">
        <v>46222</v>
      </c>
      <c r="AE438" t="s">
        <v>2222</v>
      </c>
      <c r="AF438" t="s">
        <v>2182</v>
      </c>
      <c r="AG438" t="s">
        <v>2183</v>
      </c>
      <c r="AH438">
        <v>3000000.07</v>
      </c>
      <c r="AI438">
        <v>130767</v>
      </c>
      <c r="AJ438" t="s">
        <v>2054</v>
      </c>
    </row>
    <row r="439" spans="1:36" hidden="1" x14ac:dyDescent="0.2">
      <c r="A439" t="s">
        <v>2358</v>
      </c>
      <c r="B439" t="s">
        <v>138</v>
      </c>
      <c r="C439" t="s">
        <v>2442</v>
      </c>
      <c r="D439" t="s">
        <v>382</v>
      </c>
      <c r="E439">
        <v>270359</v>
      </c>
      <c r="F439" t="s">
        <v>2215</v>
      </c>
      <c r="G439">
        <v>8005</v>
      </c>
      <c r="H439">
        <v>591380</v>
      </c>
      <c r="I439" t="s">
        <v>706</v>
      </c>
      <c r="J439" s="11">
        <v>46178</v>
      </c>
      <c r="K439" s="11">
        <v>46203</v>
      </c>
      <c r="L439" t="s">
        <v>2177</v>
      </c>
      <c r="M439" t="s">
        <v>1850</v>
      </c>
      <c r="N439">
        <v>44</v>
      </c>
      <c r="O439">
        <v>3409091</v>
      </c>
      <c r="P439">
        <v>150000.01</v>
      </c>
      <c r="Q439" t="s">
        <v>2178</v>
      </c>
      <c r="R439" t="s">
        <v>2179</v>
      </c>
      <c r="S439">
        <v>0</v>
      </c>
      <c r="T439">
        <v>0</v>
      </c>
      <c r="U439" t="s">
        <v>2179</v>
      </c>
      <c r="V439">
        <v>3409091</v>
      </c>
      <c r="W439" t="s">
        <v>2180</v>
      </c>
      <c r="X439">
        <v>150000.01</v>
      </c>
      <c r="Y439">
        <v>150000.01</v>
      </c>
      <c r="Z439">
        <v>150000.01</v>
      </c>
      <c r="AA439">
        <v>3505826</v>
      </c>
      <c r="AB439">
        <v>3626855</v>
      </c>
      <c r="AC439" s="11">
        <v>46178</v>
      </c>
      <c r="AD439" s="11">
        <v>46203</v>
      </c>
      <c r="AE439" t="s">
        <v>2202</v>
      </c>
      <c r="AF439" t="s">
        <v>2182</v>
      </c>
      <c r="AG439" t="s">
        <v>2183</v>
      </c>
      <c r="AH439">
        <v>300000.01</v>
      </c>
      <c r="AI439">
        <v>130320</v>
      </c>
      <c r="AJ439" t="s">
        <v>2043</v>
      </c>
    </row>
    <row r="440" spans="1:36" hidden="1" x14ac:dyDescent="0.2">
      <c r="A440" t="s">
        <v>2358</v>
      </c>
      <c r="B440" t="s">
        <v>138</v>
      </c>
      <c r="C440" t="s">
        <v>2442</v>
      </c>
      <c r="D440" t="s">
        <v>382</v>
      </c>
      <c r="E440">
        <v>270359</v>
      </c>
      <c r="F440" t="s">
        <v>2219</v>
      </c>
      <c r="G440">
        <v>7998</v>
      </c>
      <c r="H440">
        <v>591381</v>
      </c>
      <c r="I440" t="s">
        <v>707</v>
      </c>
      <c r="J440" s="11">
        <v>46178</v>
      </c>
      <c r="K440" s="11">
        <v>46203</v>
      </c>
      <c r="M440" t="s">
        <v>1850</v>
      </c>
      <c r="N440">
        <v>20</v>
      </c>
      <c r="O440">
        <v>7500000</v>
      </c>
      <c r="P440">
        <v>150000</v>
      </c>
      <c r="Q440" t="s">
        <v>2178</v>
      </c>
      <c r="R440" t="s">
        <v>2179</v>
      </c>
      <c r="S440">
        <v>0</v>
      </c>
      <c r="T440">
        <v>0</v>
      </c>
      <c r="U440" t="s">
        <v>2179</v>
      </c>
      <c r="V440">
        <v>7500000</v>
      </c>
      <c r="W440" t="s">
        <v>2180</v>
      </c>
      <c r="X440">
        <v>150000</v>
      </c>
      <c r="Y440">
        <v>150000</v>
      </c>
      <c r="Z440">
        <v>150000</v>
      </c>
      <c r="AA440">
        <v>7695101</v>
      </c>
      <c r="AB440">
        <v>8006876</v>
      </c>
      <c r="AC440" s="11">
        <v>46178</v>
      </c>
      <c r="AD440" s="11">
        <v>46203</v>
      </c>
      <c r="AE440" t="s">
        <v>2202</v>
      </c>
      <c r="AF440" t="s">
        <v>2182</v>
      </c>
      <c r="AG440" t="s">
        <v>2183</v>
      </c>
      <c r="AH440">
        <v>300000.01</v>
      </c>
      <c r="AI440">
        <v>130320</v>
      </c>
      <c r="AJ440" t="s">
        <v>2043</v>
      </c>
    </row>
    <row r="441" spans="1:36" hidden="1" x14ac:dyDescent="0.2">
      <c r="A441" t="s">
        <v>2472</v>
      </c>
      <c r="B441" t="s">
        <v>197</v>
      </c>
      <c r="C441" t="s">
        <v>2473</v>
      </c>
      <c r="D441" t="s">
        <v>368</v>
      </c>
      <c r="E441">
        <v>270419</v>
      </c>
      <c r="F441" t="s">
        <v>2215</v>
      </c>
      <c r="G441">
        <v>8005</v>
      </c>
      <c r="H441">
        <v>591512</v>
      </c>
      <c r="I441" t="s">
        <v>687</v>
      </c>
      <c r="J441" s="11">
        <v>46174</v>
      </c>
      <c r="K441" s="11">
        <v>46222</v>
      </c>
      <c r="L441" t="s">
        <v>2213</v>
      </c>
      <c r="M441" t="s">
        <v>1850</v>
      </c>
      <c r="N441">
        <v>44</v>
      </c>
      <c r="O441">
        <v>5681819</v>
      </c>
      <c r="P441">
        <v>250000.03</v>
      </c>
      <c r="Q441" t="s">
        <v>2178</v>
      </c>
      <c r="R441" t="s">
        <v>2448</v>
      </c>
      <c r="S441">
        <v>0</v>
      </c>
      <c r="T441">
        <v>0</v>
      </c>
      <c r="U441" t="s">
        <v>2448</v>
      </c>
      <c r="V441">
        <v>4031708</v>
      </c>
      <c r="W441" t="s">
        <v>2180</v>
      </c>
      <c r="X441">
        <v>177395.152</v>
      </c>
      <c r="Y441">
        <v>177395.152</v>
      </c>
      <c r="Z441">
        <v>177395.152</v>
      </c>
      <c r="AA441">
        <v>4031708</v>
      </c>
      <c r="AB441">
        <v>0</v>
      </c>
      <c r="AC441" s="11">
        <v>46174</v>
      </c>
      <c r="AD441" s="11">
        <v>46222</v>
      </c>
      <c r="AE441" t="s">
        <v>2287</v>
      </c>
      <c r="AF441" t="s">
        <v>2182</v>
      </c>
      <c r="AG441" t="s">
        <v>2183</v>
      </c>
      <c r="AH441">
        <v>3000000.07</v>
      </c>
      <c r="AI441">
        <v>129814</v>
      </c>
      <c r="AJ441" t="s">
        <v>2042</v>
      </c>
    </row>
    <row r="442" spans="1:36" hidden="1" x14ac:dyDescent="0.2">
      <c r="A442" t="s">
        <v>2472</v>
      </c>
      <c r="B442" t="s">
        <v>197</v>
      </c>
      <c r="C442" t="s">
        <v>2473</v>
      </c>
      <c r="D442" t="s">
        <v>368</v>
      </c>
      <c r="E442">
        <v>270419</v>
      </c>
      <c r="F442" t="s">
        <v>2219</v>
      </c>
      <c r="G442">
        <v>7998</v>
      </c>
      <c r="H442">
        <v>591523</v>
      </c>
      <c r="I442" t="s">
        <v>686</v>
      </c>
      <c r="J442" s="11">
        <v>46174</v>
      </c>
      <c r="K442" s="11">
        <v>46222</v>
      </c>
      <c r="L442" t="s">
        <v>2213</v>
      </c>
      <c r="M442" t="s">
        <v>1850</v>
      </c>
      <c r="N442">
        <v>23</v>
      </c>
      <c r="O442">
        <v>1086957</v>
      </c>
      <c r="P442">
        <v>25000.01</v>
      </c>
      <c r="Q442" t="s">
        <v>2178</v>
      </c>
      <c r="R442" t="s">
        <v>2448</v>
      </c>
      <c r="S442">
        <v>0</v>
      </c>
      <c r="T442">
        <v>0</v>
      </c>
      <c r="U442" t="s">
        <v>2448</v>
      </c>
      <c r="V442">
        <v>745851</v>
      </c>
      <c r="W442" t="s">
        <v>2180</v>
      </c>
      <c r="X442">
        <v>17154.573</v>
      </c>
      <c r="Y442">
        <v>17154.573</v>
      </c>
      <c r="Z442">
        <v>17154.573</v>
      </c>
      <c r="AA442">
        <v>745851</v>
      </c>
      <c r="AB442">
        <v>0</v>
      </c>
      <c r="AC442" s="11">
        <v>46174</v>
      </c>
      <c r="AD442" s="11">
        <v>46222</v>
      </c>
      <c r="AE442" t="s">
        <v>2287</v>
      </c>
      <c r="AF442" t="s">
        <v>2182</v>
      </c>
      <c r="AG442" t="s">
        <v>2183</v>
      </c>
      <c r="AH442">
        <v>3000000.07</v>
      </c>
      <c r="AI442">
        <v>129814</v>
      </c>
      <c r="AJ442" t="s">
        <v>2042</v>
      </c>
    </row>
    <row r="443" spans="1:36" hidden="1" x14ac:dyDescent="0.2">
      <c r="A443" t="s">
        <v>2472</v>
      </c>
      <c r="B443" t="s">
        <v>197</v>
      </c>
      <c r="C443" t="s">
        <v>2473</v>
      </c>
      <c r="D443" t="s">
        <v>368</v>
      </c>
      <c r="E443">
        <v>270419</v>
      </c>
      <c r="H443">
        <v>591534</v>
      </c>
      <c r="I443" t="s">
        <v>915</v>
      </c>
      <c r="J443" s="11">
        <v>46174</v>
      </c>
      <c r="K443" s="11">
        <v>46222</v>
      </c>
      <c r="L443" t="s">
        <v>2213</v>
      </c>
      <c r="M443" t="s">
        <v>2205</v>
      </c>
      <c r="N443">
        <v>2000000</v>
      </c>
      <c r="O443">
        <v>0</v>
      </c>
      <c r="P443">
        <v>2000000</v>
      </c>
      <c r="Q443" t="s">
        <v>1987</v>
      </c>
      <c r="R443" t="s">
        <v>2206</v>
      </c>
      <c r="S443">
        <v>0</v>
      </c>
      <c r="T443">
        <v>1224489.7960000001</v>
      </c>
      <c r="U443" t="s">
        <v>2206</v>
      </c>
      <c r="V443">
        <v>0</v>
      </c>
      <c r="W443" t="s">
        <v>2180</v>
      </c>
      <c r="X443">
        <v>1224489.7960000001</v>
      </c>
      <c r="Y443">
        <v>1224489.7960000001</v>
      </c>
      <c r="Z443">
        <v>1224489.7960000001</v>
      </c>
      <c r="AC443" s="11">
        <v>46174</v>
      </c>
      <c r="AD443" s="11">
        <v>46222</v>
      </c>
      <c r="AE443" t="s">
        <v>2287</v>
      </c>
      <c r="AF443" t="s">
        <v>2182</v>
      </c>
      <c r="AG443" t="s">
        <v>2183</v>
      </c>
      <c r="AH443">
        <v>3000000.07</v>
      </c>
      <c r="AI443">
        <v>129814</v>
      </c>
      <c r="AJ443" t="s">
        <v>2042</v>
      </c>
    </row>
    <row r="444" spans="1:36" hidden="1" x14ac:dyDescent="0.2">
      <c r="A444" t="s">
        <v>2472</v>
      </c>
      <c r="B444" t="s">
        <v>197</v>
      </c>
      <c r="C444" t="s">
        <v>2473</v>
      </c>
      <c r="D444" t="s">
        <v>368</v>
      </c>
      <c r="E444">
        <v>270419</v>
      </c>
      <c r="H444">
        <v>592723</v>
      </c>
      <c r="I444" t="s">
        <v>2474</v>
      </c>
      <c r="J444" s="11">
        <v>46178</v>
      </c>
      <c r="K444" s="11">
        <v>46222</v>
      </c>
      <c r="L444" t="s">
        <v>2177</v>
      </c>
      <c r="M444" t="s">
        <v>1850</v>
      </c>
      <c r="N444">
        <v>19</v>
      </c>
      <c r="O444">
        <v>1210527</v>
      </c>
      <c r="P444">
        <v>23000.01</v>
      </c>
      <c r="Q444" t="s">
        <v>2178</v>
      </c>
      <c r="R444" t="s">
        <v>2179</v>
      </c>
      <c r="S444">
        <v>0</v>
      </c>
      <c r="T444">
        <v>0</v>
      </c>
      <c r="U444" t="s">
        <v>2179</v>
      </c>
      <c r="V444">
        <v>0</v>
      </c>
      <c r="W444" t="s">
        <v>2180</v>
      </c>
      <c r="X444">
        <v>0</v>
      </c>
      <c r="Y444">
        <v>0</v>
      </c>
      <c r="Z444">
        <v>0</v>
      </c>
      <c r="AC444" s="11">
        <v>46178</v>
      </c>
      <c r="AD444" s="11">
        <v>46222</v>
      </c>
      <c r="AE444" t="s">
        <v>2287</v>
      </c>
      <c r="AF444" t="s">
        <v>2182</v>
      </c>
      <c r="AG444" t="s">
        <v>2183</v>
      </c>
      <c r="AH444">
        <v>3000000.07</v>
      </c>
      <c r="AI444">
        <v>129814</v>
      </c>
      <c r="AJ444" t="s">
        <v>2042</v>
      </c>
    </row>
    <row r="445" spans="1:36" hidden="1" x14ac:dyDescent="0.2">
      <c r="A445" t="s">
        <v>2472</v>
      </c>
      <c r="B445" t="s">
        <v>197</v>
      </c>
      <c r="C445" t="s">
        <v>2473</v>
      </c>
      <c r="D445" t="s">
        <v>368</v>
      </c>
      <c r="E445">
        <v>270419</v>
      </c>
      <c r="H445">
        <v>597663</v>
      </c>
      <c r="I445" t="s">
        <v>2475</v>
      </c>
      <c r="J445" s="11">
        <v>46199</v>
      </c>
      <c r="K445" s="11">
        <v>46222</v>
      </c>
      <c r="L445" t="s">
        <v>2177</v>
      </c>
      <c r="M445" t="s">
        <v>1850</v>
      </c>
      <c r="N445">
        <v>19</v>
      </c>
      <c r="O445">
        <v>105263</v>
      </c>
      <c r="P445">
        <v>2000</v>
      </c>
      <c r="Q445" t="s">
        <v>2178</v>
      </c>
      <c r="R445" t="s">
        <v>2179</v>
      </c>
      <c r="S445">
        <v>0</v>
      </c>
      <c r="T445">
        <v>0</v>
      </c>
      <c r="U445" t="s">
        <v>2179</v>
      </c>
      <c r="V445">
        <v>0</v>
      </c>
      <c r="W445" t="s">
        <v>2180</v>
      </c>
      <c r="X445">
        <v>0</v>
      </c>
      <c r="Y445">
        <v>0</v>
      </c>
      <c r="Z445">
        <v>0</v>
      </c>
      <c r="AC445" s="11">
        <v>46199</v>
      </c>
      <c r="AD445" s="11">
        <v>46222</v>
      </c>
      <c r="AE445" t="s">
        <v>2287</v>
      </c>
      <c r="AF445" t="s">
        <v>2182</v>
      </c>
      <c r="AG445" t="s">
        <v>2183</v>
      </c>
      <c r="AH445">
        <v>3000000.07</v>
      </c>
      <c r="AI445">
        <v>129814</v>
      </c>
      <c r="AJ445" t="s">
        <v>2042</v>
      </c>
    </row>
    <row r="446" spans="1:36" hidden="1" x14ac:dyDescent="0.2">
      <c r="A446" t="s">
        <v>2377</v>
      </c>
      <c r="B446" t="s">
        <v>134</v>
      </c>
      <c r="C446" t="s">
        <v>2378</v>
      </c>
      <c r="D446" t="s">
        <v>397</v>
      </c>
      <c r="E446">
        <v>270546</v>
      </c>
      <c r="F446" t="s">
        <v>2215</v>
      </c>
      <c r="G446">
        <v>8005</v>
      </c>
      <c r="H446">
        <v>591925</v>
      </c>
      <c r="I446" t="s">
        <v>735</v>
      </c>
      <c r="J446" s="11">
        <v>46184</v>
      </c>
      <c r="K446" s="11">
        <v>46222</v>
      </c>
      <c r="L446" t="s">
        <v>2223</v>
      </c>
      <c r="M446" t="s">
        <v>1850</v>
      </c>
      <c r="N446">
        <v>40</v>
      </c>
      <c r="O446">
        <v>22000000</v>
      </c>
      <c r="P446">
        <v>880000</v>
      </c>
      <c r="Q446" t="s">
        <v>2178</v>
      </c>
      <c r="R446" t="s">
        <v>2179</v>
      </c>
      <c r="S446">
        <v>0</v>
      </c>
      <c r="T446">
        <v>0</v>
      </c>
      <c r="U446" t="s">
        <v>2179</v>
      </c>
      <c r="V446">
        <v>14602843</v>
      </c>
      <c r="W446" t="s">
        <v>2180</v>
      </c>
      <c r="X446">
        <v>584113.72</v>
      </c>
      <c r="Y446">
        <v>584113.72</v>
      </c>
      <c r="Z446">
        <v>584113.72</v>
      </c>
      <c r="AA446">
        <v>14139282</v>
      </c>
      <c r="AB446">
        <v>14602843</v>
      </c>
      <c r="AC446" s="11">
        <v>46184</v>
      </c>
      <c r="AD446" s="11">
        <v>46222</v>
      </c>
      <c r="AE446" t="s">
        <v>2226</v>
      </c>
      <c r="AF446" t="s">
        <v>2182</v>
      </c>
      <c r="AG446" t="s">
        <v>2183</v>
      </c>
      <c r="AH446">
        <v>950000</v>
      </c>
      <c r="AI446">
        <v>130990</v>
      </c>
      <c r="AJ446" t="s">
        <v>2054</v>
      </c>
    </row>
    <row r="447" spans="1:36" hidden="1" x14ac:dyDescent="0.2">
      <c r="A447" t="s">
        <v>2377</v>
      </c>
      <c r="B447" t="s">
        <v>134</v>
      </c>
      <c r="C447" t="s">
        <v>2378</v>
      </c>
      <c r="D447" t="s">
        <v>397</v>
      </c>
      <c r="E447">
        <v>270546</v>
      </c>
      <c r="F447" t="s">
        <v>2217</v>
      </c>
      <c r="G447">
        <v>8004</v>
      </c>
      <c r="H447">
        <v>591932</v>
      </c>
      <c r="I447" t="s">
        <v>824</v>
      </c>
      <c r="J447" s="11">
        <v>46184</v>
      </c>
      <c r="K447" s="11">
        <v>46222</v>
      </c>
      <c r="L447" t="s">
        <v>2223</v>
      </c>
      <c r="M447" t="s">
        <v>1850</v>
      </c>
      <c r="N447">
        <v>6</v>
      </c>
      <c r="O447">
        <v>11666667</v>
      </c>
      <c r="P447">
        <v>70000</v>
      </c>
      <c r="Q447" t="s">
        <v>2178</v>
      </c>
      <c r="R447" t="s">
        <v>2179</v>
      </c>
      <c r="S447">
        <v>0</v>
      </c>
      <c r="T447">
        <v>0</v>
      </c>
      <c r="U447" t="s">
        <v>2179</v>
      </c>
      <c r="V447">
        <v>5357072</v>
      </c>
      <c r="W447" t="s">
        <v>2180</v>
      </c>
      <c r="X447">
        <v>32142.432000000001</v>
      </c>
      <c r="Y447">
        <v>32142.432000000001</v>
      </c>
      <c r="Z447">
        <v>32142.432000000001</v>
      </c>
      <c r="AA447">
        <v>5357072</v>
      </c>
      <c r="AB447">
        <v>0</v>
      </c>
      <c r="AC447" s="11">
        <v>46184</v>
      </c>
      <c r="AD447" s="11">
        <v>46222</v>
      </c>
      <c r="AE447" t="s">
        <v>2226</v>
      </c>
      <c r="AF447" t="s">
        <v>2182</v>
      </c>
      <c r="AG447" t="s">
        <v>2183</v>
      </c>
      <c r="AH447">
        <v>950000</v>
      </c>
      <c r="AI447">
        <v>130990</v>
      </c>
      <c r="AJ447" t="s">
        <v>2054</v>
      </c>
    </row>
    <row r="448" spans="1:36" hidden="1" x14ac:dyDescent="0.2">
      <c r="A448" t="s">
        <v>2377</v>
      </c>
      <c r="B448" t="s">
        <v>134</v>
      </c>
      <c r="C448" t="s">
        <v>2378</v>
      </c>
      <c r="D448" t="s">
        <v>397</v>
      </c>
      <c r="E448">
        <v>270546</v>
      </c>
      <c r="F448" t="s">
        <v>2215</v>
      </c>
      <c r="G448">
        <v>8005</v>
      </c>
      <c r="H448">
        <v>595946</v>
      </c>
      <c r="I448" t="s">
        <v>759</v>
      </c>
      <c r="J448" s="11">
        <v>46197</v>
      </c>
      <c r="K448" s="11">
        <v>46222</v>
      </c>
      <c r="L448" t="s">
        <v>2223</v>
      </c>
      <c r="M448" t="s">
        <v>1850</v>
      </c>
      <c r="N448">
        <v>40</v>
      </c>
      <c r="O448">
        <v>15986257</v>
      </c>
      <c r="P448">
        <v>0</v>
      </c>
      <c r="Q448" t="s">
        <v>2178</v>
      </c>
      <c r="R448" t="s">
        <v>2179</v>
      </c>
      <c r="S448">
        <v>0</v>
      </c>
      <c r="T448">
        <v>0</v>
      </c>
      <c r="U448" t="s">
        <v>2179</v>
      </c>
      <c r="V448">
        <v>6579736</v>
      </c>
      <c r="W448" t="s">
        <v>2180</v>
      </c>
      <c r="X448">
        <v>0</v>
      </c>
      <c r="Y448">
        <v>0</v>
      </c>
      <c r="Z448">
        <v>0</v>
      </c>
      <c r="AA448">
        <v>6625905</v>
      </c>
      <c r="AB448">
        <v>6579736</v>
      </c>
      <c r="AC448" s="11">
        <v>46197</v>
      </c>
      <c r="AD448" s="11">
        <v>46222</v>
      </c>
      <c r="AE448" t="s">
        <v>2226</v>
      </c>
      <c r="AF448" t="s">
        <v>2182</v>
      </c>
      <c r="AG448" t="s">
        <v>2183</v>
      </c>
      <c r="AH448">
        <v>950000</v>
      </c>
      <c r="AI448">
        <v>130990</v>
      </c>
      <c r="AJ448" t="s">
        <v>2054</v>
      </c>
    </row>
    <row r="449" spans="1:36" hidden="1" x14ac:dyDescent="0.2">
      <c r="A449" t="s">
        <v>2476</v>
      </c>
      <c r="B449" t="s">
        <v>204</v>
      </c>
      <c r="C449" t="s">
        <v>2477</v>
      </c>
      <c r="D449" t="s">
        <v>385</v>
      </c>
      <c r="E449">
        <v>270566</v>
      </c>
      <c r="F449" t="s">
        <v>2215</v>
      </c>
      <c r="G449">
        <v>8005</v>
      </c>
      <c r="H449">
        <v>592011</v>
      </c>
      <c r="I449" t="s">
        <v>711</v>
      </c>
      <c r="J449" s="11">
        <v>46176</v>
      </c>
      <c r="K449" s="11">
        <v>46229</v>
      </c>
      <c r="L449" t="s">
        <v>2177</v>
      </c>
      <c r="M449" t="s">
        <v>1850</v>
      </c>
      <c r="N449">
        <v>44</v>
      </c>
      <c r="O449">
        <v>1022728</v>
      </c>
      <c r="P449">
        <v>45000.04</v>
      </c>
      <c r="Q449" t="s">
        <v>2178</v>
      </c>
      <c r="R449" t="s">
        <v>2206</v>
      </c>
      <c r="S449">
        <v>530304</v>
      </c>
      <c r="T449">
        <v>23333.3541</v>
      </c>
      <c r="U449" t="s">
        <v>2206</v>
      </c>
      <c r="V449">
        <v>530304</v>
      </c>
      <c r="W449" t="s">
        <v>2180</v>
      </c>
      <c r="X449">
        <v>23333.3541</v>
      </c>
      <c r="Y449">
        <v>23333.3541</v>
      </c>
      <c r="Z449">
        <v>23333.3541</v>
      </c>
      <c r="AA449">
        <v>688539</v>
      </c>
      <c r="AB449">
        <v>680931</v>
      </c>
      <c r="AC449" s="11">
        <v>46176</v>
      </c>
      <c r="AD449" s="11">
        <v>46229</v>
      </c>
      <c r="AE449" t="s">
        <v>2298</v>
      </c>
      <c r="AF449" t="s">
        <v>2182</v>
      </c>
      <c r="AG449" t="s">
        <v>2183</v>
      </c>
      <c r="AH449">
        <v>175000.07</v>
      </c>
      <c r="AI449">
        <v>130427</v>
      </c>
      <c r="AJ449" t="s">
        <v>2055</v>
      </c>
    </row>
    <row r="450" spans="1:36" hidden="1" x14ac:dyDescent="0.2">
      <c r="A450" t="s">
        <v>2476</v>
      </c>
      <c r="B450" t="s">
        <v>204</v>
      </c>
      <c r="C450" t="s">
        <v>2477</v>
      </c>
      <c r="D450" t="s">
        <v>385</v>
      </c>
      <c r="E450">
        <v>270566</v>
      </c>
      <c r="F450" t="s">
        <v>2219</v>
      </c>
      <c r="G450">
        <v>7998</v>
      </c>
      <c r="H450">
        <v>592019</v>
      </c>
      <c r="I450" t="s">
        <v>710</v>
      </c>
      <c r="J450" s="11">
        <v>46176</v>
      </c>
      <c r="K450" s="11">
        <v>46264</v>
      </c>
      <c r="L450" t="s">
        <v>2177</v>
      </c>
      <c r="M450" t="s">
        <v>1850</v>
      </c>
      <c r="N450">
        <v>20</v>
      </c>
      <c r="O450">
        <v>1250000</v>
      </c>
      <c r="P450">
        <v>25000</v>
      </c>
      <c r="Q450" t="s">
        <v>2178</v>
      </c>
      <c r="R450" t="s">
        <v>2263</v>
      </c>
      <c r="S450">
        <v>393258</v>
      </c>
      <c r="T450">
        <v>8333.3333999999995</v>
      </c>
      <c r="U450" t="s">
        <v>2206</v>
      </c>
      <c r="V450">
        <v>393258</v>
      </c>
      <c r="W450" t="s">
        <v>2180</v>
      </c>
      <c r="X450">
        <v>8333.3333999999995</v>
      </c>
      <c r="Y450">
        <v>8333.3333999999995</v>
      </c>
      <c r="Z450">
        <v>8333.3333999999995</v>
      </c>
      <c r="AA450">
        <v>412659</v>
      </c>
      <c r="AB450">
        <v>454083</v>
      </c>
      <c r="AC450" s="11">
        <v>46176</v>
      </c>
      <c r="AD450" s="11">
        <v>46264</v>
      </c>
      <c r="AE450" t="s">
        <v>2298</v>
      </c>
      <c r="AF450" t="s">
        <v>2182</v>
      </c>
      <c r="AG450" t="s">
        <v>2183</v>
      </c>
      <c r="AH450">
        <v>175000.07</v>
      </c>
      <c r="AI450">
        <v>130427</v>
      </c>
      <c r="AJ450" t="s">
        <v>2055</v>
      </c>
    </row>
    <row r="451" spans="1:36" hidden="1" x14ac:dyDescent="0.2">
      <c r="A451" t="s">
        <v>2476</v>
      </c>
      <c r="B451" t="s">
        <v>204</v>
      </c>
      <c r="C451" t="s">
        <v>2477</v>
      </c>
      <c r="D451" t="s">
        <v>385</v>
      </c>
      <c r="E451">
        <v>270566</v>
      </c>
      <c r="H451">
        <v>592635</v>
      </c>
      <c r="I451" t="s">
        <v>2478</v>
      </c>
      <c r="J451" s="11">
        <v>46178</v>
      </c>
      <c r="K451" s="11">
        <v>46264</v>
      </c>
      <c r="L451" t="s">
        <v>2177</v>
      </c>
      <c r="M451" t="s">
        <v>1850</v>
      </c>
      <c r="N451">
        <v>17</v>
      </c>
      <c r="O451">
        <v>5000001</v>
      </c>
      <c r="P451">
        <v>85000.02</v>
      </c>
      <c r="Q451" t="s">
        <v>2178</v>
      </c>
      <c r="R451" t="s">
        <v>2179</v>
      </c>
      <c r="S451">
        <v>0</v>
      </c>
      <c r="T451">
        <v>0</v>
      </c>
      <c r="U451" t="s">
        <v>2179</v>
      </c>
      <c r="V451">
        <v>177826</v>
      </c>
      <c r="W451" t="s">
        <v>2180</v>
      </c>
      <c r="X451">
        <v>3023.0419999999999</v>
      </c>
      <c r="Y451">
        <v>3023.0419999999999</v>
      </c>
      <c r="Z451">
        <v>3023.0419999999999</v>
      </c>
      <c r="AA451">
        <v>177826</v>
      </c>
      <c r="AC451" s="11">
        <v>46178</v>
      </c>
      <c r="AD451" s="11">
        <v>46264</v>
      </c>
      <c r="AE451" t="s">
        <v>2298</v>
      </c>
      <c r="AF451" t="s">
        <v>2182</v>
      </c>
      <c r="AG451" t="s">
        <v>2183</v>
      </c>
      <c r="AH451">
        <v>175000.07</v>
      </c>
      <c r="AI451">
        <v>130427</v>
      </c>
      <c r="AJ451" t="s">
        <v>2055</v>
      </c>
    </row>
    <row r="452" spans="1:36" hidden="1" x14ac:dyDescent="0.2">
      <c r="A452" t="s">
        <v>2476</v>
      </c>
      <c r="B452" t="s">
        <v>204</v>
      </c>
      <c r="C452" t="s">
        <v>2477</v>
      </c>
      <c r="D452" t="s">
        <v>385</v>
      </c>
      <c r="E452">
        <v>270566</v>
      </c>
      <c r="H452">
        <v>594419</v>
      </c>
      <c r="I452" t="s">
        <v>2479</v>
      </c>
      <c r="J452" s="11">
        <v>46191</v>
      </c>
      <c r="K452" s="11">
        <v>46264</v>
      </c>
      <c r="L452" t="s">
        <v>2177</v>
      </c>
      <c r="M452" t="s">
        <v>1850</v>
      </c>
      <c r="N452">
        <v>17</v>
      </c>
      <c r="O452">
        <v>1176471</v>
      </c>
      <c r="P452">
        <v>20000.009999999998</v>
      </c>
      <c r="Q452" t="s">
        <v>2178</v>
      </c>
      <c r="R452" t="s">
        <v>2179</v>
      </c>
      <c r="S452">
        <v>0</v>
      </c>
      <c r="T452">
        <v>0</v>
      </c>
      <c r="U452" t="s">
        <v>2179</v>
      </c>
      <c r="V452">
        <v>0</v>
      </c>
      <c r="W452" t="s">
        <v>2180</v>
      </c>
      <c r="X452">
        <v>0</v>
      </c>
      <c r="Y452">
        <v>0</v>
      </c>
      <c r="Z452">
        <v>0</v>
      </c>
      <c r="AC452" s="11">
        <v>46191</v>
      </c>
      <c r="AD452" s="11">
        <v>46264</v>
      </c>
      <c r="AE452" t="s">
        <v>2298</v>
      </c>
      <c r="AF452" t="s">
        <v>2182</v>
      </c>
      <c r="AG452" t="s">
        <v>2183</v>
      </c>
      <c r="AH452">
        <v>175000.07</v>
      </c>
      <c r="AI452">
        <v>130427</v>
      </c>
      <c r="AJ452" t="s">
        <v>2055</v>
      </c>
    </row>
    <row r="453" spans="1:36" hidden="1" x14ac:dyDescent="0.2">
      <c r="A453" t="s">
        <v>2476</v>
      </c>
      <c r="B453" t="s">
        <v>204</v>
      </c>
      <c r="C453" t="s">
        <v>2477</v>
      </c>
      <c r="D453" t="s">
        <v>385</v>
      </c>
      <c r="E453">
        <v>270566</v>
      </c>
      <c r="F453" t="s">
        <v>2219</v>
      </c>
      <c r="G453">
        <v>7998</v>
      </c>
      <c r="H453">
        <v>597160</v>
      </c>
      <c r="I453" t="s">
        <v>773</v>
      </c>
      <c r="J453" s="11">
        <v>46199</v>
      </c>
      <c r="K453" s="11">
        <v>46264</v>
      </c>
      <c r="L453" t="s">
        <v>2177</v>
      </c>
      <c r="M453" t="s">
        <v>1850</v>
      </c>
      <c r="N453">
        <v>20</v>
      </c>
      <c r="O453">
        <v>320493</v>
      </c>
      <c r="P453">
        <v>0</v>
      </c>
      <c r="Q453" t="s">
        <v>2178</v>
      </c>
      <c r="R453" t="s">
        <v>2263</v>
      </c>
      <c r="S453">
        <v>24279</v>
      </c>
      <c r="T453">
        <v>0</v>
      </c>
      <c r="U453" t="s">
        <v>2206</v>
      </c>
      <c r="V453">
        <v>24279</v>
      </c>
      <c r="W453" t="s">
        <v>2180</v>
      </c>
      <c r="X453">
        <v>0</v>
      </c>
      <c r="Y453">
        <v>0</v>
      </c>
      <c r="Z453">
        <v>0</v>
      </c>
      <c r="AC453" s="11">
        <v>46199</v>
      </c>
      <c r="AD453" s="11">
        <v>46264</v>
      </c>
      <c r="AE453" t="s">
        <v>2298</v>
      </c>
      <c r="AF453" t="s">
        <v>2182</v>
      </c>
      <c r="AG453" t="s">
        <v>2183</v>
      </c>
      <c r="AH453">
        <v>175000.07</v>
      </c>
      <c r="AI453">
        <v>130427</v>
      </c>
      <c r="AJ453" t="s">
        <v>2055</v>
      </c>
    </row>
    <row r="454" spans="1:36" hidden="1" x14ac:dyDescent="0.2">
      <c r="A454" t="s">
        <v>2259</v>
      </c>
      <c r="B454" t="s">
        <v>152</v>
      </c>
      <c r="C454" t="s">
        <v>2340</v>
      </c>
      <c r="D454" t="s">
        <v>376</v>
      </c>
      <c r="E454">
        <v>270573</v>
      </c>
      <c r="F454" t="s">
        <v>2215</v>
      </c>
      <c r="G454">
        <v>8005</v>
      </c>
      <c r="H454">
        <v>591995</v>
      </c>
      <c r="I454" t="s">
        <v>700</v>
      </c>
      <c r="J454" s="11">
        <v>46176</v>
      </c>
      <c r="K454" s="11">
        <v>46203</v>
      </c>
      <c r="L454" t="s">
        <v>2223</v>
      </c>
      <c r="M454" t="s">
        <v>1850</v>
      </c>
      <c r="N454">
        <v>40</v>
      </c>
      <c r="O454">
        <v>990923</v>
      </c>
      <c r="P454">
        <v>39636.92</v>
      </c>
      <c r="Q454" t="s">
        <v>2178</v>
      </c>
      <c r="R454" t="s">
        <v>2179</v>
      </c>
      <c r="S454">
        <v>0</v>
      </c>
      <c r="T454">
        <v>0</v>
      </c>
      <c r="U454" t="s">
        <v>2179</v>
      </c>
      <c r="V454">
        <v>990923</v>
      </c>
      <c r="W454" t="s">
        <v>2180</v>
      </c>
      <c r="X454">
        <v>39636.92</v>
      </c>
      <c r="Y454">
        <v>39636.92</v>
      </c>
      <c r="Z454">
        <v>39636.92</v>
      </c>
      <c r="AA454">
        <v>1049780</v>
      </c>
      <c r="AB454">
        <v>1042100</v>
      </c>
      <c r="AC454" s="11">
        <v>46176</v>
      </c>
      <c r="AD454" s="11">
        <v>46203</v>
      </c>
      <c r="AE454" t="s">
        <v>2226</v>
      </c>
      <c r="AF454" t="s">
        <v>2182</v>
      </c>
      <c r="AG454" t="s">
        <v>2183</v>
      </c>
      <c r="AH454">
        <v>1205793.02</v>
      </c>
      <c r="AI454">
        <v>130099</v>
      </c>
      <c r="AJ454" t="s">
        <v>2054</v>
      </c>
    </row>
    <row r="455" spans="1:36" hidden="1" x14ac:dyDescent="0.2">
      <c r="A455" t="s">
        <v>2259</v>
      </c>
      <c r="B455" t="s">
        <v>152</v>
      </c>
      <c r="C455" t="s">
        <v>2340</v>
      </c>
      <c r="D455" t="s">
        <v>376</v>
      </c>
      <c r="E455">
        <v>270573</v>
      </c>
      <c r="F455" t="s">
        <v>2215</v>
      </c>
      <c r="G455">
        <v>8005</v>
      </c>
      <c r="H455">
        <v>592001</v>
      </c>
      <c r="I455" t="s">
        <v>697</v>
      </c>
      <c r="J455" s="11">
        <v>46176</v>
      </c>
      <c r="K455" s="11">
        <v>46199</v>
      </c>
      <c r="L455" t="s">
        <v>2223</v>
      </c>
      <c r="M455" t="s">
        <v>1850</v>
      </c>
      <c r="N455">
        <v>40</v>
      </c>
      <c r="O455">
        <v>571577</v>
      </c>
      <c r="P455">
        <v>22863.08</v>
      </c>
      <c r="Q455" t="s">
        <v>2178</v>
      </c>
      <c r="R455" t="s">
        <v>2179</v>
      </c>
      <c r="S455">
        <v>0</v>
      </c>
      <c r="T455">
        <v>0</v>
      </c>
      <c r="U455" t="s">
        <v>2179</v>
      </c>
      <c r="V455">
        <v>571577</v>
      </c>
      <c r="W455" t="s">
        <v>2180</v>
      </c>
      <c r="X455">
        <v>22863.08</v>
      </c>
      <c r="Y455">
        <v>22863.08</v>
      </c>
      <c r="Z455">
        <v>22863.08</v>
      </c>
      <c r="AA455">
        <v>572875</v>
      </c>
      <c r="AB455">
        <v>572182</v>
      </c>
      <c r="AC455" s="11">
        <v>46176</v>
      </c>
      <c r="AD455" s="11">
        <v>46199</v>
      </c>
      <c r="AE455" t="s">
        <v>2226</v>
      </c>
      <c r="AF455" t="s">
        <v>2182</v>
      </c>
      <c r="AG455" t="s">
        <v>2183</v>
      </c>
      <c r="AH455">
        <v>1205793.02</v>
      </c>
      <c r="AI455">
        <v>130099</v>
      </c>
      <c r="AJ455" t="s">
        <v>2054</v>
      </c>
    </row>
    <row r="456" spans="1:36" hidden="1" x14ac:dyDescent="0.2">
      <c r="A456" t="s">
        <v>2259</v>
      </c>
      <c r="B456" t="s">
        <v>152</v>
      </c>
      <c r="C456" t="s">
        <v>2340</v>
      </c>
      <c r="D456" t="s">
        <v>376</v>
      </c>
      <c r="E456">
        <v>270573</v>
      </c>
      <c r="F456" t="s">
        <v>2219</v>
      </c>
      <c r="G456">
        <v>7998</v>
      </c>
      <c r="H456">
        <v>592004</v>
      </c>
      <c r="I456" t="s">
        <v>699</v>
      </c>
      <c r="J456" s="11">
        <v>46176</v>
      </c>
      <c r="K456" s="11">
        <v>46203</v>
      </c>
      <c r="L456" t="s">
        <v>2223</v>
      </c>
      <c r="M456" t="s">
        <v>1850</v>
      </c>
      <c r="N456">
        <v>20</v>
      </c>
      <c r="O456">
        <v>4354119</v>
      </c>
      <c r="P456">
        <v>87082.38</v>
      </c>
      <c r="Q456" t="s">
        <v>2178</v>
      </c>
      <c r="R456" t="s">
        <v>2179</v>
      </c>
      <c r="S456">
        <v>0</v>
      </c>
      <c r="T456">
        <v>0</v>
      </c>
      <c r="U456" t="s">
        <v>2179</v>
      </c>
      <c r="V456">
        <v>4354119</v>
      </c>
      <c r="W456" t="s">
        <v>2180</v>
      </c>
      <c r="X456">
        <v>87082.38</v>
      </c>
      <c r="Y456">
        <v>87082.38</v>
      </c>
      <c r="Z456">
        <v>87082.38</v>
      </c>
      <c r="AA456">
        <v>4921762</v>
      </c>
      <c r="AB456">
        <v>0</v>
      </c>
      <c r="AC456" s="11">
        <v>46176</v>
      </c>
      <c r="AD456" s="11">
        <v>46203</v>
      </c>
      <c r="AE456" t="s">
        <v>2226</v>
      </c>
      <c r="AF456" t="s">
        <v>2182</v>
      </c>
      <c r="AG456" t="s">
        <v>2183</v>
      </c>
      <c r="AH456">
        <v>1205793.02</v>
      </c>
      <c r="AI456">
        <v>130099</v>
      </c>
      <c r="AJ456" t="s">
        <v>2054</v>
      </c>
    </row>
    <row r="457" spans="1:36" hidden="1" x14ac:dyDescent="0.2">
      <c r="A457" t="s">
        <v>2259</v>
      </c>
      <c r="B457" t="s">
        <v>152</v>
      </c>
      <c r="C457" t="s">
        <v>2340</v>
      </c>
      <c r="D457" t="s">
        <v>376</v>
      </c>
      <c r="E457">
        <v>270573</v>
      </c>
      <c r="F457" t="s">
        <v>2219</v>
      </c>
      <c r="G457">
        <v>7998</v>
      </c>
      <c r="H457">
        <v>592007</v>
      </c>
      <c r="I457" t="s">
        <v>698</v>
      </c>
      <c r="J457" s="11">
        <v>46176</v>
      </c>
      <c r="K457" s="11">
        <v>46199</v>
      </c>
      <c r="L457" t="s">
        <v>2223</v>
      </c>
      <c r="M457" t="s">
        <v>1850</v>
      </c>
      <c r="N457">
        <v>20</v>
      </c>
      <c r="O457">
        <v>3310531</v>
      </c>
      <c r="P457">
        <v>66210.62</v>
      </c>
      <c r="Q457" t="s">
        <v>2178</v>
      </c>
      <c r="R457" t="s">
        <v>2179</v>
      </c>
      <c r="S457">
        <v>0</v>
      </c>
      <c r="T457">
        <v>0</v>
      </c>
      <c r="U457" t="s">
        <v>2179</v>
      </c>
      <c r="V457">
        <v>3310531</v>
      </c>
      <c r="W457" t="s">
        <v>2180</v>
      </c>
      <c r="X457">
        <v>66210.62</v>
      </c>
      <c r="Y457">
        <v>66210.62</v>
      </c>
      <c r="Z457">
        <v>66210.62</v>
      </c>
      <c r="AA457">
        <v>3325194</v>
      </c>
      <c r="AB457">
        <v>0</v>
      </c>
      <c r="AC457" s="11">
        <v>46176</v>
      </c>
      <c r="AD457" s="11">
        <v>46199</v>
      </c>
      <c r="AE457" t="s">
        <v>2226</v>
      </c>
      <c r="AF457" t="s">
        <v>2182</v>
      </c>
      <c r="AG457" t="s">
        <v>2183</v>
      </c>
      <c r="AH457">
        <v>1205793.02</v>
      </c>
      <c r="AI457">
        <v>130099</v>
      </c>
      <c r="AJ457" t="s">
        <v>2054</v>
      </c>
    </row>
    <row r="458" spans="1:36" hidden="1" x14ac:dyDescent="0.2">
      <c r="A458" t="s">
        <v>2259</v>
      </c>
      <c r="B458" t="s">
        <v>152</v>
      </c>
      <c r="C458" t="s">
        <v>2340</v>
      </c>
      <c r="D458" t="s">
        <v>376</v>
      </c>
      <c r="E458">
        <v>270573</v>
      </c>
      <c r="H458">
        <v>592014</v>
      </c>
      <c r="I458" t="s">
        <v>2480</v>
      </c>
      <c r="J458" s="11">
        <v>46191</v>
      </c>
      <c r="K458" s="11">
        <v>46191</v>
      </c>
      <c r="L458" t="s">
        <v>2223</v>
      </c>
      <c r="M458" t="s">
        <v>1850</v>
      </c>
      <c r="N458">
        <v>28</v>
      </c>
      <c r="O458">
        <v>6607143</v>
      </c>
      <c r="P458">
        <v>185000</v>
      </c>
      <c r="Q458" t="s">
        <v>2178</v>
      </c>
      <c r="R458" t="s">
        <v>2179</v>
      </c>
      <c r="S458">
        <v>0</v>
      </c>
      <c r="T458">
        <v>0</v>
      </c>
      <c r="U458" t="s">
        <v>2179</v>
      </c>
      <c r="V458">
        <v>5708749</v>
      </c>
      <c r="W458" t="s">
        <v>2180</v>
      </c>
      <c r="X458">
        <v>159844.97200000001</v>
      </c>
      <c r="Y458">
        <v>159844.97200000001</v>
      </c>
      <c r="Z458">
        <v>159844.97200000001</v>
      </c>
      <c r="AA458">
        <v>5708749</v>
      </c>
      <c r="AC458" s="11">
        <v>46191</v>
      </c>
      <c r="AD458" s="11">
        <v>46191</v>
      </c>
      <c r="AE458" t="s">
        <v>2226</v>
      </c>
      <c r="AF458" t="s">
        <v>2182</v>
      </c>
      <c r="AG458" t="s">
        <v>2183</v>
      </c>
      <c r="AH458">
        <v>1205793.02</v>
      </c>
      <c r="AI458">
        <v>130099</v>
      </c>
      <c r="AJ458" t="s">
        <v>2054</v>
      </c>
    </row>
    <row r="459" spans="1:36" hidden="1" x14ac:dyDescent="0.2">
      <c r="A459" t="s">
        <v>2259</v>
      </c>
      <c r="B459" t="s">
        <v>152</v>
      </c>
      <c r="C459" t="s">
        <v>2340</v>
      </c>
      <c r="D459" t="s">
        <v>376</v>
      </c>
      <c r="E459">
        <v>270573</v>
      </c>
      <c r="H459">
        <v>592016</v>
      </c>
      <c r="I459" t="s">
        <v>2481</v>
      </c>
      <c r="J459" s="11">
        <v>46194</v>
      </c>
      <c r="K459" s="11">
        <v>46194</v>
      </c>
      <c r="L459" t="s">
        <v>2223</v>
      </c>
      <c r="M459" t="s">
        <v>1850</v>
      </c>
      <c r="N459">
        <v>28</v>
      </c>
      <c r="O459">
        <v>6607143</v>
      </c>
      <c r="P459">
        <v>185000</v>
      </c>
      <c r="Q459" t="s">
        <v>2178</v>
      </c>
      <c r="R459" t="s">
        <v>2179</v>
      </c>
      <c r="S459">
        <v>0</v>
      </c>
      <c r="T459">
        <v>0</v>
      </c>
      <c r="U459" t="s">
        <v>2179</v>
      </c>
      <c r="V459">
        <v>6607143</v>
      </c>
      <c r="W459" t="s">
        <v>2180</v>
      </c>
      <c r="X459">
        <v>185000</v>
      </c>
      <c r="Y459">
        <v>185000</v>
      </c>
      <c r="Z459">
        <v>185000</v>
      </c>
      <c r="AA459">
        <v>6608931</v>
      </c>
      <c r="AC459" s="11">
        <v>46194</v>
      </c>
      <c r="AD459" s="11">
        <v>46194</v>
      </c>
      <c r="AE459" t="s">
        <v>2226</v>
      </c>
      <c r="AF459" t="s">
        <v>2182</v>
      </c>
      <c r="AG459" t="s">
        <v>2183</v>
      </c>
      <c r="AH459">
        <v>1205793.02</v>
      </c>
      <c r="AI459">
        <v>130099</v>
      </c>
      <c r="AJ459" t="s">
        <v>2054</v>
      </c>
    </row>
    <row r="460" spans="1:36" hidden="1" x14ac:dyDescent="0.2">
      <c r="A460" t="s">
        <v>2259</v>
      </c>
      <c r="B460" t="s">
        <v>152</v>
      </c>
      <c r="C460" t="s">
        <v>2340</v>
      </c>
      <c r="D460" t="s">
        <v>376</v>
      </c>
      <c r="E460">
        <v>270573</v>
      </c>
      <c r="H460">
        <v>592017</v>
      </c>
      <c r="I460" t="s">
        <v>2482</v>
      </c>
      <c r="J460" s="11">
        <v>46199</v>
      </c>
      <c r="K460" s="11">
        <v>46199</v>
      </c>
      <c r="L460" t="s">
        <v>2223</v>
      </c>
      <c r="M460" t="s">
        <v>1850</v>
      </c>
      <c r="N460">
        <v>28</v>
      </c>
      <c r="O460">
        <v>6607143</v>
      </c>
      <c r="P460">
        <v>185000</v>
      </c>
      <c r="Q460" t="s">
        <v>2178</v>
      </c>
      <c r="R460" t="s">
        <v>2179</v>
      </c>
      <c r="S460">
        <v>0</v>
      </c>
      <c r="T460">
        <v>0</v>
      </c>
      <c r="U460" t="s">
        <v>2179</v>
      </c>
      <c r="V460">
        <v>5141225</v>
      </c>
      <c r="W460" t="s">
        <v>2180</v>
      </c>
      <c r="X460">
        <v>143954.29999999999</v>
      </c>
      <c r="Y460">
        <v>143954.29999999999</v>
      </c>
      <c r="Z460">
        <v>143954.29999999999</v>
      </c>
      <c r="AA460">
        <v>5141225</v>
      </c>
      <c r="AC460" s="11">
        <v>46199</v>
      </c>
      <c r="AD460" s="11">
        <v>46199</v>
      </c>
      <c r="AE460" t="s">
        <v>2226</v>
      </c>
      <c r="AF460" t="s">
        <v>2182</v>
      </c>
      <c r="AG460" t="s">
        <v>2183</v>
      </c>
      <c r="AH460">
        <v>1205793.02</v>
      </c>
      <c r="AI460">
        <v>130099</v>
      </c>
      <c r="AJ460" t="s">
        <v>2054</v>
      </c>
    </row>
    <row r="461" spans="1:36" hidden="1" x14ac:dyDescent="0.2">
      <c r="A461" t="s">
        <v>2259</v>
      </c>
      <c r="B461" t="s">
        <v>152</v>
      </c>
      <c r="C461" t="s">
        <v>2340</v>
      </c>
      <c r="D461" t="s">
        <v>376</v>
      </c>
      <c r="E461">
        <v>270573</v>
      </c>
      <c r="H461">
        <v>592018</v>
      </c>
      <c r="I461" t="s">
        <v>2483</v>
      </c>
      <c r="J461" s="11">
        <v>46201</v>
      </c>
      <c r="K461" s="11">
        <v>46201</v>
      </c>
      <c r="L461" t="s">
        <v>2223</v>
      </c>
      <c r="M461" t="s">
        <v>1850</v>
      </c>
      <c r="N461">
        <v>28</v>
      </c>
      <c r="O461">
        <v>6607143</v>
      </c>
      <c r="P461">
        <v>185000</v>
      </c>
      <c r="Q461" t="s">
        <v>2178</v>
      </c>
      <c r="R461" t="s">
        <v>2179</v>
      </c>
      <c r="S461">
        <v>0</v>
      </c>
      <c r="T461">
        <v>0</v>
      </c>
      <c r="U461" t="s">
        <v>2179</v>
      </c>
      <c r="V461">
        <v>6607143</v>
      </c>
      <c r="W461" t="s">
        <v>2180</v>
      </c>
      <c r="X461">
        <v>185000</v>
      </c>
      <c r="Y461">
        <v>185000</v>
      </c>
      <c r="Z461">
        <v>185000</v>
      </c>
      <c r="AA461">
        <v>6609125</v>
      </c>
      <c r="AC461" s="11">
        <v>46201</v>
      </c>
      <c r="AD461" s="11">
        <v>46201</v>
      </c>
      <c r="AE461" t="s">
        <v>2226</v>
      </c>
      <c r="AF461" t="s">
        <v>2182</v>
      </c>
      <c r="AG461" t="s">
        <v>2183</v>
      </c>
      <c r="AH461">
        <v>1205793.02</v>
      </c>
      <c r="AI461">
        <v>130099</v>
      </c>
      <c r="AJ461" t="s">
        <v>2054</v>
      </c>
    </row>
    <row r="462" spans="1:36" hidden="1" x14ac:dyDescent="0.2">
      <c r="A462" t="s">
        <v>2259</v>
      </c>
      <c r="B462" t="s">
        <v>152</v>
      </c>
      <c r="C462" t="s">
        <v>2340</v>
      </c>
      <c r="D462" t="s">
        <v>376</v>
      </c>
      <c r="E462">
        <v>270573</v>
      </c>
      <c r="H462">
        <v>592659</v>
      </c>
      <c r="I462" t="s">
        <v>2484</v>
      </c>
      <c r="J462" s="11">
        <v>46195</v>
      </c>
      <c r="K462" s="11">
        <v>46201</v>
      </c>
      <c r="L462" t="s">
        <v>2223</v>
      </c>
      <c r="M462" t="s">
        <v>1851</v>
      </c>
      <c r="N462">
        <v>0</v>
      </c>
      <c r="O462">
        <v>0</v>
      </c>
      <c r="P462">
        <v>0</v>
      </c>
      <c r="Q462" t="s">
        <v>1987</v>
      </c>
      <c r="R462" t="s">
        <v>2206</v>
      </c>
      <c r="S462">
        <v>0</v>
      </c>
      <c r="T462">
        <v>0</v>
      </c>
      <c r="U462" t="s">
        <v>2206</v>
      </c>
      <c r="V462">
        <v>0</v>
      </c>
      <c r="W462" t="s">
        <v>2180</v>
      </c>
      <c r="X462">
        <v>0</v>
      </c>
      <c r="Y462">
        <v>0</v>
      </c>
      <c r="Z462">
        <v>0</v>
      </c>
      <c r="AC462" s="11">
        <v>46195</v>
      </c>
      <c r="AD462" s="11">
        <v>46201</v>
      </c>
      <c r="AE462" t="s">
        <v>2226</v>
      </c>
      <c r="AF462" t="s">
        <v>2182</v>
      </c>
      <c r="AG462" t="s">
        <v>2183</v>
      </c>
      <c r="AH462">
        <v>1205793.02</v>
      </c>
      <c r="AI462">
        <v>130099</v>
      </c>
      <c r="AJ462" t="s">
        <v>2054</v>
      </c>
    </row>
    <row r="463" spans="1:36" hidden="1" x14ac:dyDescent="0.2">
      <c r="A463" t="s">
        <v>2259</v>
      </c>
      <c r="B463" t="s">
        <v>152</v>
      </c>
      <c r="C463" t="s">
        <v>2340</v>
      </c>
      <c r="D463" t="s">
        <v>376</v>
      </c>
      <c r="E463">
        <v>270573</v>
      </c>
      <c r="H463">
        <v>594420</v>
      </c>
      <c r="I463" t="s">
        <v>2485</v>
      </c>
      <c r="J463" s="11">
        <v>46195</v>
      </c>
      <c r="K463" s="11">
        <v>46201</v>
      </c>
      <c r="L463" t="s">
        <v>2223</v>
      </c>
      <c r="M463" t="s">
        <v>1850</v>
      </c>
      <c r="N463">
        <v>34</v>
      </c>
      <c r="O463">
        <v>3676471</v>
      </c>
      <c r="P463">
        <v>125000.01</v>
      </c>
      <c r="Q463" t="s">
        <v>2178</v>
      </c>
      <c r="R463" t="s">
        <v>2179</v>
      </c>
      <c r="S463">
        <v>0</v>
      </c>
      <c r="T463">
        <v>0</v>
      </c>
      <c r="U463" t="s">
        <v>2179</v>
      </c>
      <c r="V463">
        <v>0</v>
      </c>
      <c r="W463" t="s">
        <v>2180</v>
      </c>
      <c r="X463">
        <v>0</v>
      </c>
      <c r="Y463">
        <v>0</v>
      </c>
      <c r="Z463">
        <v>0</v>
      </c>
      <c r="AC463" s="11">
        <v>46195</v>
      </c>
      <c r="AD463" s="11">
        <v>46201</v>
      </c>
      <c r="AE463" t="s">
        <v>2226</v>
      </c>
      <c r="AF463" t="s">
        <v>2182</v>
      </c>
      <c r="AG463" t="s">
        <v>2183</v>
      </c>
      <c r="AH463">
        <v>1205793.02</v>
      </c>
      <c r="AI463">
        <v>130099</v>
      </c>
      <c r="AJ463" t="s">
        <v>2054</v>
      </c>
    </row>
    <row r="464" spans="1:36" hidden="1" x14ac:dyDescent="0.2">
      <c r="A464" t="s">
        <v>2259</v>
      </c>
      <c r="B464" t="s">
        <v>152</v>
      </c>
      <c r="C464" t="s">
        <v>2340</v>
      </c>
      <c r="D464" t="s">
        <v>376</v>
      </c>
      <c r="E464">
        <v>270573</v>
      </c>
      <c r="H464">
        <v>594421</v>
      </c>
      <c r="I464" t="s">
        <v>2486</v>
      </c>
      <c r="J464" s="11">
        <v>46195</v>
      </c>
      <c r="K464" s="11">
        <v>46201</v>
      </c>
      <c r="L464" t="s">
        <v>2223</v>
      </c>
      <c r="M464" t="s">
        <v>1850</v>
      </c>
      <c r="N464">
        <v>34</v>
      </c>
      <c r="O464">
        <v>3676471</v>
      </c>
      <c r="P464">
        <v>125000.01</v>
      </c>
      <c r="Q464" t="s">
        <v>2178</v>
      </c>
      <c r="R464" t="s">
        <v>2179</v>
      </c>
      <c r="S464">
        <v>0</v>
      </c>
      <c r="T464">
        <v>0</v>
      </c>
      <c r="U464" t="s">
        <v>2179</v>
      </c>
      <c r="V464">
        <v>744294</v>
      </c>
      <c r="W464" t="s">
        <v>2180</v>
      </c>
      <c r="X464">
        <v>25305.995999999999</v>
      </c>
      <c r="Y464">
        <v>25305.995999999999</v>
      </c>
      <c r="Z464">
        <v>25305.995999999999</v>
      </c>
      <c r="AA464">
        <v>744294</v>
      </c>
      <c r="AC464" s="11">
        <v>46195</v>
      </c>
      <c r="AD464" s="11">
        <v>46201</v>
      </c>
      <c r="AE464" t="s">
        <v>2226</v>
      </c>
      <c r="AF464" t="s">
        <v>2182</v>
      </c>
      <c r="AG464" t="s">
        <v>2183</v>
      </c>
      <c r="AH464">
        <v>1205793.02</v>
      </c>
      <c r="AI464">
        <v>130099</v>
      </c>
      <c r="AJ464" t="s">
        <v>2054</v>
      </c>
    </row>
    <row r="465" spans="1:36" hidden="1" x14ac:dyDescent="0.2">
      <c r="A465" t="s">
        <v>2264</v>
      </c>
      <c r="B465" t="s">
        <v>157</v>
      </c>
      <c r="C465" t="s">
        <v>2265</v>
      </c>
      <c r="D465" t="s">
        <v>379</v>
      </c>
      <c r="E465">
        <v>270641</v>
      </c>
      <c r="F465" t="s">
        <v>2215</v>
      </c>
      <c r="G465">
        <v>8005</v>
      </c>
      <c r="H465">
        <v>592110</v>
      </c>
      <c r="I465" t="s">
        <v>703</v>
      </c>
      <c r="J465" s="11">
        <v>46195</v>
      </c>
      <c r="K465" s="11">
        <v>46222</v>
      </c>
      <c r="L465" t="s">
        <v>2177</v>
      </c>
      <c r="M465" t="s">
        <v>1850</v>
      </c>
      <c r="N465">
        <v>40</v>
      </c>
      <c r="O465">
        <v>7831625</v>
      </c>
      <c r="P465">
        <v>313265</v>
      </c>
      <c r="Q465" t="s">
        <v>2178</v>
      </c>
      <c r="R465" t="s">
        <v>2179</v>
      </c>
      <c r="S465">
        <v>0</v>
      </c>
      <c r="T465">
        <v>0</v>
      </c>
      <c r="U465" t="s">
        <v>2179</v>
      </c>
      <c r="V465">
        <v>5990892</v>
      </c>
      <c r="W465" t="s">
        <v>2180</v>
      </c>
      <c r="X465">
        <v>239635.68</v>
      </c>
      <c r="Y465">
        <v>239635.68</v>
      </c>
      <c r="Z465">
        <v>239635.68</v>
      </c>
      <c r="AA465">
        <v>5992921</v>
      </c>
      <c r="AB465">
        <v>5990892</v>
      </c>
      <c r="AC465" s="11">
        <v>46195</v>
      </c>
      <c r="AD465" s="11">
        <v>46222</v>
      </c>
      <c r="AE465" t="s">
        <v>2266</v>
      </c>
      <c r="AF465" t="s">
        <v>2182</v>
      </c>
      <c r="AG465" t="s">
        <v>2183</v>
      </c>
      <c r="AH465">
        <v>313265</v>
      </c>
      <c r="AI465">
        <v>130236</v>
      </c>
      <c r="AJ465" t="s">
        <v>2061</v>
      </c>
    </row>
    <row r="466" spans="1:36" hidden="1" x14ac:dyDescent="0.2">
      <c r="A466" t="s">
        <v>2264</v>
      </c>
      <c r="B466" t="s">
        <v>157</v>
      </c>
      <c r="C466" t="s">
        <v>2265</v>
      </c>
      <c r="D466" t="s">
        <v>380</v>
      </c>
      <c r="E466">
        <v>270643</v>
      </c>
      <c r="F466" t="s">
        <v>2215</v>
      </c>
      <c r="G466">
        <v>8005</v>
      </c>
      <c r="H466">
        <v>592113</v>
      </c>
      <c r="I466" t="s">
        <v>704</v>
      </c>
      <c r="J466" s="11">
        <v>46200</v>
      </c>
      <c r="K466" s="11">
        <v>46222</v>
      </c>
      <c r="L466" t="s">
        <v>2177</v>
      </c>
      <c r="M466" t="s">
        <v>1850</v>
      </c>
      <c r="N466">
        <v>40</v>
      </c>
      <c r="O466">
        <v>2785000</v>
      </c>
      <c r="P466">
        <v>111400</v>
      </c>
      <c r="Q466" t="s">
        <v>2178</v>
      </c>
      <c r="R466" t="s">
        <v>2179</v>
      </c>
      <c r="S466">
        <v>0</v>
      </c>
      <c r="T466">
        <v>0</v>
      </c>
      <c r="U466" t="s">
        <v>2179</v>
      </c>
      <c r="V466">
        <v>1388221</v>
      </c>
      <c r="W466" t="s">
        <v>2180</v>
      </c>
      <c r="X466">
        <v>55528.84</v>
      </c>
      <c r="Y466">
        <v>55528.84</v>
      </c>
      <c r="Z466">
        <v>55528.84</v>
      </c>
      <c r="AA466">
        <v>1388053</v>
      </c>
      <c r="AB466">
        <v>1388221</v>
      </c>
      <c r="AC466" s="11">
        <v>46200</v>
      </c>
      <c r="AD466" s="11">
        <v>46222</v>
      </c>
      <c r="AE466" t="s">
        <v>2266</v>
      </c>
      <c r="AF466" t="s">
        <v>2182</v>
      </c>
      <c r="AG466" t="s">
        <v>2183</v>
      </c>
      <c r="AH466">
        <v>111400</v>
      </c>
      <c r="AI466">
        <v>130239</v>
      </c>
      <c r="AJ466" t="s">
        <v>2061</v>
      </c>
    </row>
    <row r="467" spans="1:36" hidden="1" x14ac:dyDescent="0.2">
      <c r="A467" t="s">
        <v>2331</v>
      </c>
      <c r="B467" t="s">
        <v>2487</v>
      </c>
      <c r="C467" t="s">
        <v>2488</v>
      </c>
      <c r="D467" t="s">
        <v>2489</v>
      </c>
      <c r="E467">
        <v>270746</v>
      </c>
      <c r="F467" t="s">
        <v>2490</v>
      </c>
      <c r="G467">
        <v>7964</v>
      </c>
      <c r="H467">
        <v>592792</v>
      </c>
      <c r="I467" t="s">
        <v>2491</v>
      </c>
      <c r="J467" s="11">
        <v>46197</v>
      </c>
      <c r="K467" s="11">
        <v>46197</v>
      </c>
      <c r="M467" t="s">
        <v>1850</v>
      </c>
      <c r="N467">
        <v>0</v>
      </c>
      <c r="O467">
        <v>0</v>
      </c>
      <c r="P467">
        <v>0</v>
      </c>
      <c r="Q467" t="s">
        <v>2201</v>
      </c>
      <c r="R467" t="s">
        <v>2179</v>
      </c>
      <c r="S467">
        <v>0</v>
      </c>
      <c r="T467">
        <v>0</v>
      </c>
      <c r="U467" t="s">
        <v>2179</v>
      </c>
      <c r="V467">
        <v>0</v>
      </c>
      <c r="W467" t="s">
        <v>2180</v>
      </c>
      <c r="X467">
        <v>0</v>
      </c>
      <c r="Y467">
        <v>0</v>
      </c>
      <c r="Z467">
        <v>0</v>
      </c>
      <c r="AC467" s="11">
        <v>46197</v>
      </c>
      <c r="AD467" s="11">
        <v>46197</v>
      </c>
      <c r="AE467" t="s">
        <v>2210</v>
      </c>
      <c r="AF467" t="s">
        <v>2182</v>
      </c>
      <c r="AG467" t="s">
        <v>2183</v>
      </c>
      <c r="AH467">
        <v>47171.13</v>
      </c>
      <c r="AI467">
        <v>130918</v>
      </c>
      <c r="AJ467" t="s">
        <v>2041</v>
      </c>
    </row>
    <row r="468" spans="1:36" hidden="1" x14ac:dyDescent="0.2">
      <c r="A468" t="s">
        <v>2337</v>
      </c>
      <c r="B468" t="s">
        <v>208</v>
      </c>
      <c r="C468" t="s">
        <v>2338</v>
      </c>
      <c r="D468" t="s">
        <v>401</v>
      </c>
      <c r="E468">
        <v>270775</v>
      </c>
      <c r="F468" t="s">
        <v>2215</v>
      </c>
      <c r="G468">
        <v>8005</v>
      </c>
      <c r="H468">
        <v>592925</v>
      </c>
      <c r="I468" t="s">
        <v>743</v>
      </c>
      <c r="J468" s="11">
        <v>46183</v>
      </c>
      <c r="K468" s="11">
        <v>46203</v>
      </c>
      <c r="L468" t="s">
        <v>2177</v>
      </c>
      <c r="M468" t="s">
        <v>1850</v>
      </c>
      <c r="N468">
        <v>40</v>
      </c>
      <c r="O468">
        <v>6666667</v>
      </c>
      <c r="P468">
        <v>266666.68</v>
      </c>
      <c r="Q468" t="s">
        <v>2178</v>
      </c>
      <c r="R468" t="s">
        <v>2179</v>
      </c>
      <c r="S468">
        <v>0</v>
      </c>
      <c r="T468">
        <v>0</v>
      </c>
      <c r="U468" t="s">
        <v>2179</v>
      </c>
      <c r="V468">
        <v>6666667</v>
      </c>
      <c r="W468" t="s">
        <v>2180</v>
      </c>
      <c r="X468">
        <v>266666.68</v>
      </c>
      <c r="Y468">
        <v>266666.68</v>
      </c>
      <c r="Z468">
        <v>266666.68</v>
      </c>
      <c r="AA468">
        <v>6798037</v>
      </c>
      <c r="AB468">
        <v>7149756</v>
      </c>
      <c r="AC468" s="11">
        <v>46183</v>
      </c>
      <c r="AD468" s="11">
        <v>46203</v>
      </c>
      <c r="AE468" t="s">
        <v>2298</v>
      </c>
      <c r="AF468" t="s">
        <v>2182</v>
      </c>
      <c r="AG468" t="s">
        <v>2183</v>
      </c>
      <c r="AH468">
        <v>1500000.01</v>
      </c>
      <c r="AI468">
        <v>131257</v>
      </c>
      <c r="AJ468" t="s">
        <v>2057</v>
      </c>
    </row>
    <row r="469" spans="1:36" hidden="1" x14ac:dyDescent="0.2">
      <c r="A469" t="s">
        <v>2337</v>
      </c>
      <c r="B469" t="s">
        <v>208</v>
      </c>
      <c r="C469" t="s">
        <v>2338</v>
      </c>
      <c r="D469" t="s">
        <v>401</v>
      </c>
      <c r="E469">
        <v>270775</v>
      </c>
      <c r="F469" t="s">
        <v>2219</v>
      </c>
      <c r="G469">
        <v>7998</v>
      </c>
      <c r="H469">
        <v>592969</v>
      </c>
      <c r="I469" t="s">
        <v>744</v>
      </c>
      <c r="J469" s="11">
        <v>46183</v>
      </c>
      <c r="K469" s="11">
        <v>46203</v>
      </c>
      <c r="L469" t="s">
        <v>2177</v>
      </c>
      <c r="M469" t="s">
        <v>1850</v>
      </c>
      <c r="N469">
        <v>20</v>
      </c>
      <c r="O469">
        <v>1666667</v>
      </c>
      <c r="P469">
        <v>33333.339999999997</v>
      </c>
      <c r="Q469" t="s">
        <v>2178</v>
      </c>
      <c r="R469" t="s">
        <v>2179</v>
      </c>
      <c r="S469">
        <v>0</v>
      </c>
      <c r="T469">
        <v>0</v>
      </c>
      <c r="U469" t="s">
        <v>2179</v>
      </c>
      <c r="V469">
        <v>1666667</v>
      </c>
      <c r="W469" t="s">
        <v>2180</v>
      </c>
      <c r="X469">
        <v>33333.339999999997</v>
      </c>
      <c r="Y469">
        <v>33333.339999999997</v>
      </c>
      <c r="Z469">
        <v>33333.339999999997</v>
      </c>
      <c r="AA469">
        <v>1694831</v>
      </c>
      <c r="AB469">
        <v>1822191</v>
      </c>
      <c r="AC469" s="11">
        <v>46183</v>
      </c>
      <c r="AD469" s="11">
        <v>46203</v>
      </c>
      <c r="AE469" t="s">
        <v>2298</v>
      </c>
      <c r="AF469" t="s">
        <v>2182</v>
      </c>
      <c r="AG469" t="s">
        <v>2183</v>
      </c>
      <c r="AH469">
        <v>1500000.01</v>
      </c>
      <c r="AI469">
        <v>131257</v>
      </c>
      <c r="AJ469" t="s">
        <v>2057</v>
      </c>
    </row>
    <row r="470" spans="1:36" hidden="1" x14ac:dyDescent="0.2">
      <c r="A470" t="s">
        <v>2337</v>
      </c>
      <c r="B470" t="s">
        <v>208</v>
      </c>
      <c r="C470" t="s">
        <v>2338</v>
      </c>
      <c r="D470" t="s">
        <v>401</v>
      </c>
      <c r="E470">
        <v>270775</v>
      </c>
      <c r="H470">
        <v>592973</v>
      </c>
      <c r="I470" t="s">
        <v>2492</v>
      </c>
      <c r="J470" s="11">
        <v>46185</v>
      </c>
      <c r="K470" s="11">
        <v>46203</v>
      </c>
      <c r="L470" t="s">
        <v>2177</v>
      </c>
      <c r="M470" t="s">
        <v>1850</v>
      </c>
      <c r="N470">
        <v>19.25</v>
      </c>
      <c r="O470">
        <v>1731602</v>
      </c>
      <c r="P470">
        <v>33333.339999999997</v>
      </c>
      <c r="Q470" t="s">
        <v>2178</v>
      </c>
      <c r="R470" t="s">
        <v>2179</v>
      </c>
      <c r="S470">
        <v>0</v>
      </c>
      <c r="T470">
        <v>0</v>
      </c>
      <c r="U470" t="s">
        <v>2179</v>
      </c>
      <c r="V470">
        <v>227032</v>
      </c>
      <c r="W470" t="s">
        <v>2180</v>
      </c>
      <c r="X470">
        <v>4370.366</v>
      </c>
      <c r="Y470">
        <v>4370.366</v>
      </c>
      <c r="Z470">
        <v>4370.366</v>
      </c>
      <c r="AA470">
        <v>227032</v>
      </c>
      <c r="AC470" s="11">
        <v>46185</v>
      </c>
      <c r="AD470" s="11">
        <v>46203</v>
      </c>
      <c r="AE470" t="s">
        <v>2298</v>
      </c>
      <c r="AF470" t="s">
        <v>2182</v>
      </c>
      <c r="AG470" t="s">
        <v>2183</v>
      </c>
      <c r="AH470">
        <v>1500000.01</v>
      </c>
      <c r="AI470">
        <v>131257</v>
      </c>
      <c r="AJ470" t="s">
        <v>2057</v>
      </c>
    </row>
    <row r="471" spans="1:36" hidden="1" x14ac:dyDescent="0.2">
      <c r="A471" t="s">
        <v>2207</v>
      </c>
      <c r="B471" t="s">
        <v>211</v>
      </c>
      <c r="C471" t="s">
        <v>2493</v>
      </c>
      <c r="D471" t="s">
        <v>399</v>
      </c>
      <c r="E471">
        <v>270964</v>
      </c>
      <c r="F471" t="s">
        <v>2215</v>
      </c>
      <c r="G471">
        <v>8005</v>
      </c>
      <c r="H471">
        <v>593133</v>
      </c>
      <c r="I471" t="s">
        <v>741</v>
      </c>
      <c r="J471" s="11">
        <v>46184</v>
      </c>
      <c r="K471" s="11">
        <v>46203</v>
      </c>
      <c r="L471" t="s">
        <v>2247</v>
      </c>
      <c r="M471" t="s">
        <v>1850</v>
      </c>
      <c r="N471">
        <v>40</v>
      </c>
      <c r="O471">
        <v>2500000</v>
      </c>
      <c r="P471">
        <v>100000</v>
      </c>
      <c r="Q471" t="s">
        <v>2178</v>
      </c>
      <c r="R471" t="s">
        <v>2179</v>
      </c>
      <c r="S471">
        <v>0</v>
      </c>
      <c r="T471">
        <v>0</v>
      </c>
      <c r="U471" t="s">
        <v>2179</v>
      </c>
      <c r="V471">
        <v>2449872</v>
      </c>
      <c r="W471" t="s">
        <v>2180</v>
      </c>
      <c r="X471">
        <v>97994.880000000005</v>
      </c>
      <c r="Y471">
        <v>97994.880000000005</v>
      </c>
      <c r="Z471">
        <v>97994.880000000005</v>
      </c>
      <c r="AA471">
        <v>2612672</v>
      </c>
      <c r="AB471">
        <v>2449872</v>
      </c>
      <c r="AC471" s="11">
        <v>46184</v>
      </c>
      <c r="AD471" s="11">
        <v>46203</v>
      </c>
      <c r="AE471" t="s">
        <v>2210</v>
      </c>
      <c r="AF471" t="s">
        <v>2182</v>
      </c>
      <c r="AG471" t="s">
        <v>2183</v>
      </c>
      <c r="AH471">
        <v>100000</v>
      </c>
      <c r="AI471">
        <v>131163</v>
      </c>
      <c r="AJ471" t="s">
        <v>2060</v>
      </c>
    </row>
    <row r="472" spans="1:36" hidden="1" x14ac:dyDescent="0.2">
      <c r="A472" t="s">
        <v>2194</v>
      </c>
      <c r="B472" t="s">
        <v>111</v>
      </c>
      <c r="C472" t="s">
        <v>2361</v>
      </c>
      <c r="D472" t="s">
        <v>223</v>
      </c>
      <c r="E472">
        <v>271386</v>
      </c>
      <c r="F472" t="s">
        <v>2215</v>
      </c>
      <c r="G472">
        <v>8005</v>
      </c>
      <c r="H472">
        <v>594161</v>
      </c>
      <c r="I472" t="s">
        <v>750</v>
      </c>
      <c r="J472" s="11">
        <v>46190</v>
      </c>
      <c r="K472" s="11">
        <v>46222</v>
      </c>
      <c r="L472" t="s">
        <v>2177</v>
      </c>
      <c r="M472" t="s">
        <v>1850</v>
      </c>
      <c r="N472">
        <v>40</v>
      </c>
      <c r="O472">
        <v>1250000</v>
      </c>
      <c r="P472">
        <v>50000</v>
      </c>
      <c r="Q472" t="s">
        <v>2178</v>
      </c>
      <c r="R472" t="s">
        <v>2179</v>
      </c>
      <c r="S472">
        <v>0</v>
      </c>
      <c r="T472">
        <v>0</v>
      </c>
      <c r="U472" t="s">
        <v>2179</v>
      </c>
      <c r="V472">
        <v>836055</v>
      </c>
      <c r="W472" t="s">
        <v>2180</v>
      </c>
      <c r="X472">
        <v>33442.199999999997</v>
      </c>
      <c r="Y472">
        <v>33442.199999999997</v>
      </c>
      <c r="Z472">
        <v>33442.199999999997</v>
      </c>
      <c r="AA472">
        <v>827066</v>
      </c>
      <c r="AB472">
        <v>836055</v>
      </c>
      <c r="AC472" s="11">
        <v>46190</v>
      </c>
      <c r="AD472" s="11">
        <v>46222</v>
      </c>
      <c r="AE472" t="s">
        <v>2222</v>
      </c>
      <c r="AF472" t="s">
        <v>2182</v>
      </c>
      <c r="AG472" t="s">
        <v>2183</v>
      </c>
      <c r="AH472">
        <v>767032.02</v>
      </c>
      <c r="AI472">
        <v>132247</v>
      </c>
      <c r="AJ472" t="s">
        <v>2039</v>
      </c>
    </row>
    <row r="473" spans="1:36" hidden="1" x14ac:dyDescent="0.2">
      <c r="A473" t="s">
        <v>2194</v>
      </c>
      <c r="B473" t="s">
        <v>111</v>
      </c>
      <c r="C473" t="s">
        <v>2361</v>
      </c>
      <c r="D473" t="s">
        <v>223</v>
      </c>
      <c r="E473">
        <v>271386</v>
      </c>
      <c r="F473" t="s">
        <v>2216</v>
      </c>
      <c r="G473">
        <v>8002</v>
      </c>
      <c r="H473">
        <v>594168</v>
      </c>
      <c r="I473" t="s">
        <v>751</v>
      </c>
      <c r="J473" s="11">
        <v>46190</v>
      </c>
      <c r="K473" s="11">
        <v>46222</v>
      </c>
      <c r="L473" t="s">
        <v>2177</v>
      </c>
      <c r="M473" t="s">
        <v>1850</v>
      </c>
      <c r="N473">
        <v>27</v>
      </c>
      <c r="O473">
        <v>925926</v>
      </c>
      <c r="P473">
        <v>25000.01</v>
      </c>
      <c r="R473" t="s">
        <v>2179</v>
      </c>
      <c r="S473">
        <v>0</v>
      </c>
      <c r="T473">
        <v>0</v>
      </c>
      <c r="U473" t="s">
        <v>2179</v>
      </c>
      <c r="V473">
        <v>17208</v>
      </c>
      <c r="W473" t="s">
        <v>2180</v>
      </c>
      <c r="X473">
        <v>464.61599999999999</v>
      </c>
      <c r="Y473">
        <v>464.61599999999999</v>
      </c>
      <c r="Z473">
        <v>464.61599999999999</v>
      </c>
      <c r="AA473">
        <v>17428</v>
      </c>
      <c r="AB473">
        <v>17208</v>
      </c>
      <c r="AC473" s="11">
        <v>46190</v>
      </c>
      <c r="AD473" s="11">
        <v>46222</v>
      </c>
      <c r="AE473" t="s">
        <v>2222</v>
      </c>
      <c r="AF473" t="s">
        <v>2182</v>
      </c>
      <c r="AG473" t="s">
        <v>2183</v>
      </c>
      <c r="AH473">
        <v>767032.02</v>
      </c>
      <c r="AI473">
        <v>132247</v>
      </c>
      <c r="AJ473" t="s">
        <v>2039</v>
      </c>
    </row>
    <row r="474" spans="1:36" hidden="1" x14ac:dyDescent="0.2">
      <c r="A474" t="s">
        <v>2194</v>
      </c>
      <c r="B474" t="s">
        <v>111</v>
      </c>
      <c r="C474" t="s">
        <v>2361</v>
      </c>
      <c r="D474" t="s">
        <v>223</v>
      </c>
      <c r="E474">
        <v>271386</v>
      </c>
      <c r="F474" t="s">
        <v>2219</v>
      </c>
      <c r="G474">
        <v>7998</v>
      </c>
      <c r="H474">
        <v>594170</v>
      </c>
      <c r="I474" t="s">
        <v>749</v>
      </c>
      <c r="J474" s="11">
        <v>46190</v>
      </c>
      <c r="K474" s="11">
        <v>46222</v>
      </c>
      <c r="L474" t="s">
        <v>2177</v>
      </c>
      <c r="M474" t="s">
        <v>1850</v>
      </c>
      <c r="N474">
        <v>23</v>
      </c>
      <c r="O474">
        <v>16229652</v>
      </c>
      <c r="P474">
        <v>373282</v>
      </c>
      <c r="Q474" t="s">
        <v>2178</v>
      </c>
      <c r="R474" t="s">
        <v>2179</v>
      </c>
      <c r="S474">
        <v>0</v>
      </c>
      <c r="T474">
        <v>0</v>
      </c>
      <c r="U474" t="s">
        <v>2179</v>
      </c>
      <c r="V474">
        <v>5764185</v>
      </c>
      <c r="W474" t="s">
        <v>2180</v>
      </c>
      <c r="X474">
        <v>132576.255</v>
      </c>
      <c r="Y474">
        <v>132576.255</v>
      </c>
      <c r="Z474">
        <v>132576.255</v>
      </c>
      <c r="AA474">
        <v>5745370</v>
      </c>
      <c r="AB474">
        <v>5764185</v>
      </c>
      <c r="AC474" s="11">
        <v>46190</v>
      </c>
      <c r="AD474" s="11">
        <v>46222</v>
      </c>
      <c r="AE474" t="s">
        <v>2222</v>
      </c>
      <c r="AF474" t="s">
        <v>2182</v>
      </c>
      <c r="AG474" t="s">
        <v>2183</v>
      </c>
      <c r="AH474">
        <v>767032.02</v>
      </c>
      <c r="AI474">
        <v>132247</v>
      </c>
      <c r="AJ474" t="s">
        <v>2039</v>
      </c>
    </row>
    <row r="475" spans="1:36" hidden="1" x14ac:dyDescent="0.2">
      <c r="A475" t="s">
        <v>2194</v>
      </c>
      <c r="B475" t="s">
        <v>111</v>
      </c>
      <c r="C475" t="s">
        <v>2361</v>
      </c>
      <c r="D475" t="s">
        <v>223</v>
      </c>
      <c r="E475">
        <v>271386</v>
      </c>
      <c r="H475">
        <v>594176</v>
      </c>
      <c r="I475" t="s">
        <v>2494</v>
      </c>
      <c r="J475" s="11">
        <v>46198</v>
      </c>
      <c r="K475" s="11">
        <v>46222</v>
      </c>
      <c r="L475" t="s">
        <v>2177</v>
      </c>
      <c r="M475" t="s">
        <v>1850</v>
      </c>
      <c r="N475">
        <v>19.25</v>
      </c>
      <c r="O475">
        <v>6818182</v>
      </c>
      <c r="P475">
        <v>131250</v>
      </c>
      <c r="Q475" t="s">
        <v>2178</v>
      </c>
      <c r="R475" t="s">
        <v>2179</v>
      </c>
      <c r="S475">
        <v>0</v>
      </c>
      <c r="T475">
        <v>0</v>
      </c>
      <c r="U475" t="s">
        <v>2179</v>
      </c>
      <c r="V475">
        <v>592805</v>
      </c>
      <c r="W475" t="s">
        <v>2180</v>
      </c>
      <c r="X475">
        <v>11411.496300000001</v>
      </c>
      <c r="Y475">
        <v>11411.496300000001</v>
      </c>
      <c r="Z475">
        <v>11411.496300000001</v>
      </c>
      <c r="AA475">
        <v>592805</v>
      </c>
      <c r="AC475" s="11">
        <v>46198</v>
      </c>
      <c r="AD475" s="11">
        <v>46222</v>
      </c>
      <c r="AE475" t="s">
        <v>2222</v>
      </c>
      <c r="AF475" t="s">
        <v>2182</v>
      </c>
      <c r="AG475" t="s">
        <v>2183</v>
      </c>
      <c r="AH475">
        <v>767032.02</v>
      </c>
      <c r="AI475">
        <v>132247</v>
      </c>
      <c r="AJ475" t="s">
        <v>2039</v>
      </c>
    </row>
    <row r="476" spans="1:36" hidden="1" x14ac:dyDescent="0.2">
      <c r="A476" t="s">
        <v>2194</v>
      </c>
      <c r="B476" t="s">
        <v>111</v>
      </c>
      <c r="C476" t="s">
        <v>2361</v>
      </c>
      <c r="D476" t="s">
        <v>223</v>
      </c>
      <c r="E476">
        <v>271386</v>
      </c>
      <c r="H476">
        <v>594619</v>
      </c>
      <c r="I476" t="s">
        <v>434</v>
      </c>
      <c r="J476" s="11">
        <v>46198</v>
      </c>
      <c r="K476" s="11">
        <v>46222</v>
      </c>
      <c r="L476" t="s">
        <v>2177</v>
      </c>
      <c r="M476" t="s">
        <v>1850</v>
      </c>
      <c r="N476">
        <v>19.25</v>
      </c>
      <c r="O476">
        <v>9740260</v>
      </c>
      <c r="P476">
        <v>187500.01</v>
      </c>
      <c r="Q476" t="s">
        <v>2178</v>
      </c>
      <c r="R476" t="s">
        <v>2179</v>
      </c>
      <c r="S476">
        <v>0</v>
      </c>
      <c r="T476">
        <v>0</v>
      </c>
      <c r="U476" t="s">
        <v>2179</v>
      </c>
      <c r="V476">
        <v>278890</v>
      </c>
      <c r="W476" t="s">
        <v>2180</v>
      </c>
      <c r="X476">
        <v>5368.6324999999997</v>
      </c>
      <c r="Y476">
        <v>5368.6324999999997</v>
      </c>
      <c r="Z476">
        <v>5368.6324999999997</v>
      </c>
      <c r="AA476">
        <v>278890</v>
      </c>
      <c r="AC476" s="11">
        <v>46198</v>
      </c>
      <c r="AD476" s="11">
        <v>46222</v>
      </c>
      <c r="AE476" t="s">
        <v>2222</v>
      </c>
      <c r="AF476" t="s">
        <v>2182</v>
      </c>
      <c r="AG476" t="s">
        <v>2183</v>
      </c>
      <c r="AH476">
        <v>767032.02</v>
      </c>
      <c r="AI476">
        <v>132247</v>
      </c>
      <c r="AJ476" t="s">
        <v>2039</v>
      </c>
    </row>
    <row r="477" spans="1:36" hidden="1" x14ac:dyDescent="0.2">
      <c r="A477" t="s">
        <v>2194</v>
      </c>
      <c r="B477" t="s">
        <v>111</v>
      </c>
      <c r="C477" t="s">
        <v>2361</v>
      </c>
      <c r="D477" t="s">
        <v>407</v>
      </c>
      <c r="E477">
        <v>271465</v>
      </c>
      <c r="F477" t="s">
        <v>2219</v>
      </c>
      <c r="G477">
        <v>7998</v>
      </c>
      <c r="H477">
        <v>594390</v>
      </c>
      <c r="I477" t="s">
        <v>760</v>
      </c>
      <c r="J477" s="11">
        <v>46203</v>
      </c>
      <c r="K477" s="11">
        <v>46222</v>
      </c>
      <c r="L477" t="s">
        <v>2177</v>
      </c>
      <c r="M477" t="s">
        <v>1850</v>
      </c>
      <c r="N477">
        <v>23</v>
      </c>
      <c r="O477">
        <v>2607305</v>
      </c>
      <c r="P477">
        <v>59968.02</v>
      </c>
      <c r="Q477" t="s">
        <v>2178</v>
      </c>
      <c r="R477" t="s">
        <v>2179</v>
      </c>
      <c r="S477">
        <v>0</v>
      </c>
      <c r="T477">
        <v>0</v>
      </c>
      <c r="U477" t="s">
        <v>2179</v>
      </c>
      <c r="V477">
        <v>162174</v>
      </c>
      <c r="W477" t="s">
        <v>2180</v>
      </c>
      <c r="X477">
        <v>3730.002</v>
      </c>
      <c r="Y477">
        <v>3730.002</v>
      </c>
      <c r="Z477">
        <v>3730.002</v>
      </c>
      <c r="AA477">
        <v>144885</v>
      </c>
      <c r="AB477">
        <v>162174</v>
      </c>
      <c r="AC477" s="11">
        <v>46203</v>
      </c>
      <c r="AD477" s="11">
        <v>46222</v>
      </c>
      <c r="AE477" t="s">
        <v>2222</v>
      </c>
      <c r="AF477" t="s">
        <v>2182</v>
      </c>
      <c r="AG477" t="s">
        <v>2183</v>
      </c>
      <c r="AH477">
        <v>887968.02</v>
      </c>
      <c r="AI477">
        <v>133182</v>
      </c>
      <c r="AJ477" t="s">
        <v>2039</v>
      </c>
    </row>
    <row r="478" spans="1:36" hidden="1" x14ac:dyDescent="0.2">
      <c r="A478" t="s">
        <v>2194</v>
      </c>
      <c r="B478" t="s">
        <v>111</v>
      </c>
      <c r="C478" t="s">
        <v>2361</v>
      </c>
      <c r="D478" t="s">
        <v>407</v>
      </c>
      <c r="E478">
        <v>271465</v>
      </c>
      <c r="F478" t="s">
        <v>2218</v>
      </c>
      <c r="G478">
        <v>8000</v>
      </c>
      <c r="H478">
        <v>594394</v>
      </c>
      <c r="I478" t="s">
        <v>848</v>
      </c>
      <c r="J478" s="11">
        <v>46196</v>
      </c>
      <c r="K478" s="11">
        <v>46222</v>
      </c>
      <c r="L478" t="s">
        <v>2213</v>
      </c>
      <c r="M478" t="s">
        <v>2205</v>
      </c>
      <c r="N478">
        <v>373000</v>
      </c>
      <c r="O478">
        <v>3</v>
      </c>
      <c r="P478">
        <v>373000</v>
      </c>
      <c r="Q478" t="s">
        <v>1987</v>
      </c>
      <c r="R478" t="s">
        <v>2206</v>
      </c>
      <c r="S478">
        <v>0</v>
      </c>
      <c r="T478">
        <v>110518.51850000001</v>
      </c>
      <c r="U478" t="s">
        <v>2206</v>
      </c>
      <c r="V478">
        <v>0</v>
      </c>
      <c r="W478" t="s">
        <v>2180</v>
      </c>
      <c r="X478">
        <v>110518.51850000001</v>
      </c>
      <c r="Y478">
        <v>110518.51850000001</v>
      </c>
      <c r="Z478">
        <v>110518.51850000001</v>
      </c>
      <c r="AC478" s="11">
        <v>46196</v>
      </c>
      <c r="AD478" s="11">
        <v>46222</v>
      </c>
      <c r="AE478" t="s">
        <v>2222</v>
      </c>
      <c r="AF478" t="s">
        <v>2182</v>
      </c>
      <c r="AG478" t="s">
        <v>2183</v>
      </c>
      <c r="AH478">
        <v>887968.02</v>
      </c>
      <c r="AI478">
        <v>133182</v>
      </c>
      <c r="AJ478" t="s">
        <v>2039</v>
      </c>
    </row>
    <row r="479" spans="1:36" hidden="1" x14ac:dyDescent="0.2">
      <c r="A479" t="s">
        <v>2194</v>
      </c>
      <c r="B479" t="s">
        <v>111</v>
      </c>
      <c r="C479" t="s">
        <v>2361</v>
      </c>
      <c r="D479" t="s">
        <v>407</v>
      </c>
      <c r="E479">
        <v>271465</v>
      </c>
      <c r="F479" t="s">
        <v>2218</v>
      </c>
      <c r="G479">
        <v>8000</v>
      </c>
      <c r="H479">
        <v>598555</v>
      </c>
      <c r="I479" t="s">
        <v>894</v>
      </c>
      <c r="J479" s="11">
        <v>46196</v>
      </c>
      <c r="K479" s="11">
        <v>46222</v>
      </c>
      <c r="L479" t="s">
        <v>2213</v>
      </c>
      <c r="M479" t="s">
        <v>2205</v>
      </c>
      <c r="N479">
        <v>455000</v>
      </c>
      <c r="O479">
        <v>0</v>
      </c>
      <c r="P479">
        <v>455000</v>
      </c>
      <c r="Q479" t="s">
        <v>1987</v>
      </c>
      <c r="R479" t="s">
        <v>2206</v>
      </c>
      <c r="S479">
        <v>0</v>
      </c>
      <c r="T479">
        <v>134814.81479999999</v>
      </c>
      <c r="U479" t="s">
        <v>2206</v>
      </c>
      <c r="V479">
        <v>0</v>
      </c>
      <c r="W479" t="s">
        <v>2180</v>
      </c>
      <c r="X479">
        <v>134814.81479999999</v>
      </c>
      <c r="Y479">
        <v>134814.81479999999</v>
      </c>
      <c r="Z479">
        <v>134814.81479999999</v>
      </c>
      <c r="AC479" s="11">
        <v>46196</v>
      </c>
      <c r="AD479" s="11">
        <v>46222</v>
      </c>
      <c r="AE479" t="s">
        <v>2222</v>
      </c>
      <c r="AF479" t="s">
        <v>2182</v>
      </c>
      <c r="AG479" t="s">
        <v>2183</v>
      </c>
      <c r="AH479">
        <v>887968.02</v>
      </c>
      <c r="AI479">
        <v>133182</v>
      </c>
      <c r="AJ479" t="s">
        <v>2039</v>
      </c>
    </row>
    <row r="480" spans="1:36" hidden="1" x14ac:dyDescent="0.2">
      <c r="A480" t="s">
        <v>2194</v>
      </c>
      <c r="B480" t="s">
        <v>222</v>
      </c>
      <c r="C480" t="s">
        <v>2427</v>
      </c>
      <c r="D480" t="s">
        <v>429</v>
      </c>
      <c r="E480">
        <v>271544</v>
      </c>
      <c r="F480" t="s">
        <v>2271</v>
      </c>
      <c r="G480">
        <v>7993</v>
      </c>
      <c r="H480">
        <v>594755</v>
      </c>
      <c r="I480" t="s">
        <v>884</v>
      </c>
      <c r="J480" s="11">
        <v>46202</v>
      </c>
      <c r="K480" s="11">
        <v>46292</v>
      </c>
      <c r="L480" t="s">
        <v>2213</v>
      </c>
      <c r="M480" t="s">
        <v>2205</v>
      </c>
      <c r="N480">
        <v>250000</v>
      </c>
      <c r="O480">
        <v>1</v>
      </c>
      <c r="P480">
        <v>250000</v>
      </c>
      <c r="Q480" t="s">
        <v>1987</v>
      </c>
      <c r="R480" t="s">
        <v>2206</v>
      </c>
      <c r="S480">
        <v>0</v>
      </c>
      <c r="T480">
        <v>5494.5054</v>
      </c>
      <c r="U480" t="s">
        <v>2206</v>
      </c>
      <c r="V480">
        <v>0</v>
      </c>
      <c r="W480" t="s">
        <v>2180</v>
      </c>
      <c r="X480">
        <v>5494.5054</v>
      </c>
      <c r="Y480">
        <v>5494.5054</v>
      </c>
      <c r="Z480">
        <v>5494.5054</v>
      </c>
      <c r="AC480" s="11">
        <v>46202</v>
      </c>
      <c r="AD480" s="11">
        <v>46292</v>
      </c>
      <c r="AE480" t="s">
        <v>2222</v>
      </c>
      <c r="AF480" t="s">
        <v>2182</v>
      </c>
      <c r="AG480" t="s">
        <v>2183</v>
      </c>
      <c r="AH480">
        <v>450000.01</v>
      </c>
      <c r="AI480">
        <v>132891</v>
      </c>
      <c r="AJ480" t="s">
        <v>2039</v>
      </c>
    </row>
    <row r="481" spans="1:36" hidden="1" x14ac:dyDescent="0.2">
      <c r="A481" t="s">
        <v>2280</v>
      </c>
      <c r="B481" t="s">
        <v>121</v>
      </c>
      <c r="C481" t="s">
        <v>2281</v>
      </c>
      <c r="D481" t="s">
        <v>415</v>
      </c>
      <c r="E481">
        <v>271686</v>
      </c>
      <c r="F481" t="s">
        <v>2176</v>
      </c>
      <c r="G481">
        <v>3535</v>
      </c>
      <c r="H481">
        <v>595073</v>
      </c>
      <c r="I481" t="s">
        <v>770</v>
      </c>
      <c r="J481" s="11">
        <v>46202</v>
      </c>
      <c r="K481" s="11">
        <v>46292</v>
      </c>
      <c r="L481" t="s">
        <v>2223</v>
      </c>
      <c r="M481" t="s">
        <v>1850</v>
      </c>
      <c r="N481">
        <v>27.6</v>
      </c>
      <c r="O481">
        <v>6230762</v>
      </c>
      <c r="P481">
        <v>171969.03</v>
      </c>
      <c r="Q481" t="s">
        <v>2201</v>
      </c>
      <c r="R481" t="s">
        <v>2263</v>
      </c>
      <c r="S481">
        <v>1557690</v>
      </c>
      <c r="T481">
        <v>42992.2575</v>
      </c>
      <c r="U481" t="s">
        <v>2263</v>
      </c>
      <c r="V481">
        <v>1557691</v>
      </c>
      <c r="W481" t="s">
        <v>2180</v>
      </c>
      <c r="X481">
        <v>42992.2575</v>
      </c>
      <c r="Y481">
        <v>42992.2575</v>
      </c>
      <c r="Z481">
        <v>42992.2575</v>
      </c>
      <c r="AA481">
        <v>66451</v>
      </c>
      <c r="AB481">
        <v>65814</v>
      </c>
      <c r="AC481" s="11">
        <v>46202</v>
      </c>
      <c r="AD481" s="11">
        <v>46292</v>
      </c>
      <c r="AE481" t="s">
        <v>2210</v>
      </c>
      <c r="AF481" t="s">
        <v>2182</v>
      </c>
      <c r="AG481" t="s">
        <v>2183</v>
      </c>
      <c r="AH481">
        <v>171969.03</v>
      </c>
      <c r="AI481">
        <v>133943</v>
      </c>
      <c r="AJ481" t="s">
        <v>2048</v>
      </c>
    </row>
    <row r="482" spans="1:36" hidden="1" x14ac:dyDescent="0.2">
      <c r="A482" t="s">
        <v>2224</v>
      </c>
      <c r="B482" t="s">
        <v>215</v>
      </c>
      <c r="C482" t="s">
        <v>2362</v>
      </c>
      <c r="D482" t="s">
        <v>417</v>
      </c>
      <c r="E482">
        <v>272062</v>
      </c>
      <c r="F482" t="s">
        <v>2219</v>
      </c>
      <c r="G482">
        <v>7998</v>
      </c>
      <c r="H482">
        <v>595803</v>
      </c>
      <c r="I482" t="s">
        <v>772</v>
      </c>
      <c r="J482" s="11">
        <v>46202</v>
      </c>
      <c r="K482" s="11">
        <v>46250</v>
      </c>
      <c r="L482" t="s">
        <v>2177</v>
      </c>
      <c r="M482" t="s">
        <v>1850</v>
      </c>
      <c r="N482">
        <v>14.46</v>
      </c>
      <c r="O482">
        <v>1842080</v>
      </c>
      <c r="P482">
        <v>26636.48</v>
      </c>
      <c r="Q482" t="s">
        <v>2178</v>
      </c>
      <c r="R482" t="s">
        <v>2179</v>
      </c>
      <c r="S482">
        <v>0</v>
      </c>
      <c r="T482">
        <v>0</v>
      </c>
      <c r="U482" t="s">
        <v>2179</v>
      </c>
      <c r="V482">
        <v>193114</v>
      </c>
      <c r="W482" t="s">
        <v>2180</v>
      </c>
      <c r="X482">
        <v>2792.4283999999998</v>
      </c>
      <c r="Y482">
        <v>2792.4283999999998</v>
      </c>
      <c r="Z482">
        <v>2792.4283999999998</v>
      </c>
      <c r="AA482">
        <v>192323</v>
      </c>
      <c r="AB482">
        <v>193114</v>
      </c>
      <c r="AC482" s="11">
        <v>46202</v>
      </c>
      <c r="AD482" s="11">
        <v>46250</v>
      </c>
      <c r="AE482" t="s">
        <v>2226</v>
      </c>
      <c r="AF482" t="s">
        <v>2182</v>
      </c>
      <c r="AG482" t="s">
        <v>2183</v>
      </c>
      <c r="AH482">
        <v>26636.48</v>
      </c>
      <c r="AI482">
        <v>134065</v>
      </c>
      <c r="AJ482" t="s">
        <v>2065</v>
      </c>
    </row>
    <row r="483" spans="1:36" hidden="1" x14ac:dyDescent="0.2">
      <c r="A483" t="s">
        <v>2495</v>
      </c>
      <c r="B483" t="s">
        <v>216</v>
      </c>
      <c r="C483" t="s">
        <v>2496</v>
      </c>
      <c r="D483" t="s">
        <v>416</v>
      </c>
      <c r="E483">
        <v>272533</v>
      </c>
      <c r="F483" t="s">
        <v>2215</v>
      </c>
      <c r="G483">
        <v>8005</v>
      </c>
      <c r="H483">
        <v>596793</v>
      </c>
      <c r="I483" t="s">
        <v>771</v>
      </c>
      <c r="J483" s="11">
        <v>46203</v>
      </c>
      <c r="K483" s="11">
        <v>46222</v>
      </c>
      <c r="M483" t="s">
        <v>1850</v>
      </c>
      <c r="N483">
        <v>55</v>
      </c>
      <c r="O483">
        <v>4958728</v>
      </c>
      <c r="P483">
        <v>272730.05</v>
      </c>
      <c r="Q483" t="s">
        <v>2178</v>
      </c>
      <c r="R483" t="s">
        <v>2179</v>
      </c>
      <c r="S483">
        <v>0</v>
      </c>
      <c r="T483">
        <v>0</v>
      </c>
      <c r="U483" t="s">
        <v>2179</v>
      </c>
      <c r="V483">
        <v>233072</v>
      </c>
      <c r="W483" t="s">
        <v>2180</v>
      </c>
      <c r="X483">
        <v>12818.96</v>
      </c>
      <c r="Y483">
        <v>12818.96</v>
      </c>
      <c r="Z483">
        <v>12818.96</v>
      </c>
      <c r="AA483">
        <v>234082</v>
      </c>
      <c r="AB483">
        <v>233072</v>
      </c>
      <c r="AC483" s="11">
        <v>46203</v>
      </c>
      <c r="AD483" s="11">
        <v>46222</v>
      </c>
      <c r="AE483" t="s">
        <v>2306</v>
      </c>
      <c r="AF483" t="s">
        <v>2182</v>
      </c>
      <c r="AG483" t="s">
        <v>2183</v>
      </c>
      <c r="AH483">
        <v>272730.05</v>
      </c>
      <c r="AI483">
        <v>133902</v>
      </c>
      <c r="AJ483" t="s">
        <v>2049</v>
      </c>
    </row>
    <row r="484" spans="1:36" hidden="1" x14ac:dyDescent="0.2">
      <c r="A484" t="s">
        <v>2264</v>
      </c>
      <c r="B484" t="s">
        <v>2497</v>
      </c>
      <c r="C484" t="s">
        <v>2498</v>
      </c>
      <c r="D484" t="s">
        <v>2499</v>
      </c>
      <c r="E484">
        <v>250390</v>
      </c>
      <c r="F484" t="s">
        <v>2192</v>
      </c>
      <c r="G484">
        <v>1</v>
      </c>
      <c r="H484">
        <v>537804</v>
      </c>
      <c r="I484" t="s">
        <v>2500</v>
      </c>
      <c r="J484" s="11">
        <v>46202</v>
      </c>
      <c r="K484" s="11">
        <v>46293</v>
      </c>
      <c r="L484" t="s">
        <v>2177</v>
      </c>
      <c r="M484" t="s">
        <v>1850</v>
      </c>
      <c r="N484">
        <v>25.14</v>
      </c>
      <c r="O484">
        <v>1988863</v>
      </c>
      <c r="P484">
        <v>50000.02</v>
      </c>
      <c r="Q484" t="s">
        <v>2178</v>
      </c>
      <c r="R484" t="s">
        <v>2179</v>
      </c>
      <c r="S484">
        <v>0</v>
      </c>
      <c r="T484">
        <v>0</v>
      </c>
      <c r="U484" t="s">
        <v>2179</v>
      </c>
      <c r="V484">
        <v>0</v>
      </c>
      <c r="W484" t="s">
        <v>2180</v>
      </c>
      <c r="X484">
        <v>0</v>
      </c>
      <c r="Y484">
        <v>0</v>
      </c>
      <c r="Z484">
        <v>0</v>
      </c>
      <c r="AC484" s="11">
        <v>46202</v>
      </c>
      <c r="AD484" s="11">
        <v>46293</v>
      </c>
      <c r="AE484" t="s">
        <v>2251</v>
      </c>
      <c r="AF484" t="s">
        <v>2182</v>
      </c>
      <c r="AG484" t="s">
        <v>2183</v>
      </c>
      <c r="AH484">
        <v>50000.01</v>
      </c>
      <c r="AI484">
        <v>93934</v>
      </c>
      <c r="AJ484" t="s">
        <v>2052</v>
      </c>
    </row>
    <row r="485" spans="1:36" hidden="1" x14ac:dyDescent="0.2">
      <c r="A485" t="s">
        <v>2326</v>
      </c>
      <c r="B485" t="s">
        <v>199</v>
      </c>
      <c r="C485" t="s">
        <v>2327</v>
      </c>
      <c r="D485" t="s">
        <v>2501</v>
      </c>
      <c r="E485">
        <v>251751</v>
      </c>
      <c r="F485" t="s">
        <v>2192</v>
      </c>
      <c r="G485">
        <v>1</v>
      </c>
      <c r="H485">
        <v>536995</v>
      </c>
      <c r="I485" t="s">
        <v>2502</v>
      </c>
      <c r="J485" s="11">
        <v>46188</v>
      </c>
      <c r="K485" s="11">
        <v>46203</v>
      </c>
      <c r="L485" t="s">
        <v>2223</v>
      </c>
      <c r="M485" t="s">
        <v>1850</v>
      </c>
      <c r="N485">
        <v>0</v>
      </c>
      <c r="O485">
        <v>0</v>
      </c>
      <c r="P485">
        <v>0</v>
      </c>
      <c r="Q485" t="s">
        <v>2178</v>
      </c>
      <c r="R485" t="s">
        <v>2179</v>
      </c>
      <c r="S485">
        <v>0</v>
      </c>
      <c r="T485">
        <v>0</v>
      </c>
      <c r="U485" t="s">
        <v>2179</v>
      </c>
      <c r="V485">
        <v>0</v>
      </c>
      <c r="W485" t="s">
        <v>2180</v>
      </c>
      <c r="X485">
        <v>0</v>
      </c>
      <c r="Y485">
        <v>0</v>
      </c>
      <c r="Z485">
        <v>0</v>
      </c>
      <c r="AC485" s="11">
        <v>46188</v>
      </c>
      <c r="AD485" s="11">
        <v>46203</v>
      </c>
      <c r="AE485" t="s">
        <v>2503</v>
      </c>
      <c r="AF485" t="s">
        <v>2182</v>
      </c>
      <c r="AG485" t="s">
        <v>2183</v>
      </c>
      <c r="AH485">
        <v>279857</v>
      </c>
      <c r="AI485">
        <v>92854</v>
      </c>
      <c r="AJ485" t="s">
        <v>2061</v>
      </c>
    </row>
    <row r="486" spans="1:36" hidden="1" x14ac:dyDescent="0.2">
      <c r="A486" t="s">
        <v>2326</v>
      </c>
      <c r="B486" t="s">
        <v>199</v>
      </c>
      <c r="C486" t="s">
        <v>2327</v>
      </c>
      <c r="D486" t="s">
        <v>2501</v>
      </c>
      <c r="E486">
        <v>251751</v>
      </c>
      <c r="F486" t="s">
        <v>2192</v>
      </c>
      <c r="G486">
        <v>1</v>
      </c>
      <c r="H486">
        <v>536996</v>
      </c>
      <c r="I486" t="s">
        <v>2504</v>
      </c>
      <c r="J486" s="11">
        <v>46188</v>
      </c>
      <c r="K486" s="11">
        <v>46203</v>
      </c>
      <c r="L486" t="s">
        <v>2223</v>
      </c>
      <c r="M486" t="s">
        <v>1850</v>
      </c>
      <c r="N486">
        <v>18.62</v>
      </c>
      <c r="O486">
        <v>725027</v>
      </c>
      <c r="P486">
        <v>13500</v>
      </c>
      <c r="Q486" t="s">
        <v>2178</v>
      </c>
      <c r="R486" t="s">
        <v>2179</v>
      </c>
      <c r="S486">
        <v>0</v>
      </c>
      <c r="T486">
        <v>0</v>
      </c>
      <c r="U486" t="s">
        <v>2179</v>
      </c>
      <c r="V486">
        <v>0</v>
      </c>
      <c r="W486" t="s">
        <v>2180</v>
      </c>
      <c r="X486">
        <v>0</v>
      </c>
      <c r="Y486">
        <v>0</v>
      </c>
      <c r="Z486">
        <v>0</v>
      </c>
      <c r="AC486" s="11">
        <v>46188</v>
      </c>
      <c r="AD486" s="11">
        <v>46203</v>
      </c>
      <c r="AE486" t="s">
        <v>2503</v>
      </c>
      <c r="AF486" t="s">
        <v>2182</v>
      </c>
      <c r="AG486" t="s">
        <v>2183</v>
      </c>
      <c r="AH486">
        <v>279857</v>
      </c>
      <c r="AI486">
        <v>92854</v>
      </c>
      <c r="AJ486" t="s">
        <v>2061</v>
      </c>
    </row>
    <row r="487" spans="1:36" hidden="1" x14ac:dyDescent="0.2">
      <c r="A487" t="s">
        <v>2505</v>
      </c>
      <c r="B487" t="s">
        <v>115</v>
      </c>
      <c r="C487" t="s">
        <v>2506</v>
      </c>
      <c r="D487" t="s">
        <v>229</v>
      </c>
      <c r="E487">
        <v>252340</v>
      </c>
      <c r="F487" t="s">
        <v>2507</v>
      </c>
      <c r="G487">
        <v>1698</v>
      </c>
      <c r="H487">
        <v>535444</v>
      </c>
      <c r="I487" t="s">
        <v>668</v>
      </c>
      <c r="J487" s="11">
        <v>46111</v>
      </c>
      <c r="K487" s="11">
        <v>46201</v>
      </c>
      <c r="L487" t="s">
        <v>2213</v>
      </c>
      <c r="M487" t="s">
        <v>1850</v>
      </c>
      <c r="N487">
        <v>25</v>
      </c>
      <c r="O487">
        <v>6000000</v>
      </c>
      <c r="P487">
        <v>150000.01</v>
      </c>
      <c r="R487" t="s">
        <v>2179</v>
      </c>
      <c r="S487">
        <v>0</v>
      </c>
      <c r="T487">
        <v>0</v>
      </c>
      <c r="U487" t="s">
        <v>2179</v>
      </c>
      <c r="V487">
        <v>1213677</v>
      </c>
      <c r="W487" t="s">
        <v>2180</v>
      </c>
      <c r="X487">
        <v>30342.01</v>
      </c>
      <c r="Y487">
        <v>30342.01</v>
      </c>
      <c r="Z487">
        <v>30342.01</v>
      </c>
      <c r="AA487">
        <v>1238528</v>
      </c>
      <c r="AB487">
        <v>0</v>
      </c>
      <c r="AC487" s="11">
        <v>46111</v>
      </c>
      <c r="AD487" s="11">
        <v>46201</v>
      </c>
      <c r="AE487" t="s">
        <v>2202</v>
      </c>
      <c r="AF487" t="s">
        <v>2182</v>
      </c>
      <c r="AG487" t="s">
        <v>2183</v>
      </c>
      <c r="AH487">
        <v>1000000.04</v>
      </c>
      <c r="AI487">
        <v>94609</v>
      </c>
      <c r="AJ487" t="s">
        <v>2043</v>
      </c>
    </row>
    <row r="488" spans="1:36" hidden="1" x14ac:dyDescent="0.2">
      <c r="A488" t="s">
        <v>2505</v>
      </c>
      <c r="B488" t="s">
        <v>115</v>
      </c>
      <c r="C488" t="s">
        <v>2506</v>
      </c>
      <c r="D488" t="s">
        <v>229</v>
      </c>
      <c r="E488">
        <v>252340</v>
      </c>
      <c r="F488" t="s">
        <v>2507</v>
      </c>
      <c r="G488">
        <v>1698</v>
      </c>
      <c r="H488">
        <v>535446</v>
      </c>
      <c r="I488" t="s">
        <v>440</v>
      </c>
      <c r="J488" s="11">
        <v>46202</v>
      </c>
      <c r="K488" s="11">
        <v>46292</v>
      </c>
      <c r="L488" t="s">
        <v>2213</v>
      </c>
      <c r="M488" t="s">
        <v>1850</v>
      </c>
      <c r="N488">
        <v>25</v>
      </c>
      <c r="O488">
        <v>6000000</v>
      </c>
      <c r="P488">
        <v>150000</v>
      </c>
      <c r="Q488" t="s">
        <v>2201</v>
      </c>
      <c r="R488" t="s">
        <v>2179</v>
      </c>
      <c r="S488">
        <v>0</v>
      </c>
      <c r="T488">
        <v>0</v>
      </c>
      <c r="U488" t="s">
        <v>2179</v>
      </c>
      <c r="V488">
        <v>3405</v>
      </c>
      <c r="W488" t="s">
        <v>2180</v>
      </c>
      <c r="X488">
        <v>85.125</v>
      </c>
      <c r="Y488">
        <v>85.125</v>
      </c>
      <c r="Z488">
        <v>85.125</v>
      </c>
      <c r="AA488">
        <v>3405</v>
      </c>
      <c r="AB488">
        <v>0</v>
      </c>
      <c r="AC488" s="11">
        <v>46202</v>
      </c>
      <c r="AD488" s="11">
        <v>46292</v>
      </c>
      <c r="AE488" t="s">
        <v>2202</v>
      </c>
      <c r="AF488" t="s">
        <v>2182</v>
      </c>
      <c r="AG488" t="s">
        <v>2183</v>
      </c>
      <c r="AH488">
        <v>1000000.04</v>
      </c>
      <c r="AI488">
        <v>94609</v>
      </c>
      <c r="AJ488" t="s">
        <v>2043</v>
      </c>
    </row>
    <row r="489" spans="1:36" hidden="1" x14ac:dyDescent="0.2">
      <c r="A489" t="s">
        <v>2264</v>
      </c>
      <c r="B489" t="s">
        <v>154</v>
      </c>
      <c r="C489" t="s">
        <v>2508</v>
      </c>
      <c r="D489" t="s">
        <v>291</v>
      </c>
      <c r="E489">
        <v>257222</v>
      </c>
      <c r="F489" t="s">
        <v>2215</v>
      </c>
      <c r="G489">
        <v>8005</v>
      </c>
      <c r="H489">
        <v>583535</v>
      </c>
      <c r="I489" t="s">
        <v>532</v>
      </c>
      <c r="J489" s="11">
        <v>46184</v>
      </c>
      <c r="K489" s="11">
        <v>46222</v>
      </c>
      <c r="L489" t="s">
        <v>2177</v>
      </c>
      <c r="M489" t="s">
        <v>1850</v>
      </c>
      <c r="N489">
        <v>40</v>
      </c>
      <c r="O489">
        <v>20625000</v>
      </c>
      <c r="P489">
        <v>825000</v>
      </c>
      <c r="Q489" t="s">
        <v>2178</v>
      </c>
      <c r="R489" t="s">
        <v>2179</v>
      </c>
      <c r="S489">
        <v>0</v>
      </c>
      <c r="T489">
        <v>0</v>
      </c>
      <c r="U489" t="s">
        <v>2179</v>
      </c>
      <c r="V489">
        <v>13760380</v>
      </c>
      <c r="W489" t="s">
        <v>2180</v>
      </c>
      <c r="X489">
        <v>550415.19999999995</v>
      </c>
      <c r="Y489">
        <v>550415.19999999995</v>
      </c>
      <c r="Z489">
        <v>550415.19999999995</v>
      </c>
      <c r="AA489">
        <v>13775046</v>
      </c>
      <c r="AB489">
        <v>13760380</v>
      </c>
      <c r="AC489" s="11">
        <v>46184</v>
      </c>
      <c r="AD489" s="11">
        <v>46222</v>
      </c>
      <c r="AE489" t="s">
        <v>2298</v>
      </c>
      <c r="AF489" t="s">
        <v>2182</v>
      </c>
      <c r="AG489" t="s">
        <v>2183</v>
      </c>
      <c r="AH489">
        <v>1500000</v>
      </c>
      <c r="AI489">
        <v>127516</v>
      </c>
      <c r="AJ489" t="s">
        <v>2058</v>
      </c>
    </row>
    <row r="490" spans="1:36" hidden="1" x14ac:dyDescent="0.2">
      <c r="A490" t="s">
        <v>2264</v>
      </c>
      <c r="B490" t="s">
        <v>154</v>
      </c>
      <c r="C490" t="s">
        <v>2508</v>
      </c>
      <c r="D490" t="s">
        <v>291</v>
      </c>
      <c r="E490">
        <v>257222</v>
      </c>
      <c r="F490" t="s">
        <v>2217</v>
      </c>
      <c r="G490">
        <v>8004</v>
      </c>
      <c r="H490">
        <v>583538</v>
      </c>
      <c r="I490" t="s">
        <v>783</v>
      </c>
      <c r="J490" s="11">
        <v>46184</v>
      </c>
      <c r="K490" s="11">
        <v>46222</v>
      </c>
      <c r="L490" t="s">
        <v>2177</v>
      </c>
      <c r="M490" t="s">
        <v>1850</v>
      </c>
      <c r="N490">
        <v>6</v>
      </c>
      <c r="O490">
        <v>16666667</v>
      </c>
      <c r="P490">
        <v>100000</v>
      </c>
      <c r="Q490" t="s">
        <v>2178</v>
      </c>
      <c r="R490" t="s">
        <v>2179</v>
      </c>
      <c r="S490">
        <v>0</v>
      </c>
      <c r="T490">
        <v>0</v>
      </c>
      <c r="U490" t="s">
        <v>2179</v>
      </c>
      <c r="V490">
        <v>9468655</v>
      </c>
      <c r="W490" t="s">
        <v>2180</v>
      </c>
      <c r="X490">
        <v>56811.93</v>
      </c>
      <c r="Y490">
        <v>56811.93</v>
      </c>
      <c r="Z490">
        <v>56811.93</v>
      </c>
      <c r="AA490">
        <v>9469905</v>
      </c>
      <c r="AB490">
        <v>9468655</v>
      </c>
      <c r="AC490" s="11">
        <v>46184</v>
      </c>
      <c r="AD490" s="11">
        <v>46222</v>
      </c>
      <c r="AE490" t="s">
        <v>2298</v>
      </c>
      <c r="AF490" t="s">
        <v>2182</v>
      </c>
      <c r="AG490" t="s">
        <v>2183</v>
      </c>
      <c r="AH490">
        <v>1500000</v>
      </c>
      <c r="AI490">
        <v>127516</v>
      </c>
      <c r="AJ490" t="s">
        <v>2058</v>
      </c>
    </row>
    <row r="491" spans="1:36" hidden="1" x14ac:dyDescent="0.2">
      <c r="A491" t="s">
        <v>2264</v>
      </c>
      <c r="B491" t="s">
        <v>154</v>
      </c>
      <c r="C491" t="s">
        <v>2508</v>
      </c>
      <c r="D491" t="s">
        <v>291</v>
      </c>
      <c r="E491">
        <v>257222</v>
      </c>
      <c r="F491" t="s">
        <v>2216</v>
      </c>
      <c r="G491">
        <v>8002</v>
      </c>
      <c r="H491">
        <v>583540</v>
      </c>
      <c r="I491" t="s">
        <v>533</v>
      </c>
      <c r="J491" s="11">
        <v>46184</v>
      </c>
      <c r="K491" s="11">
        <v>46222</v>
      </c>
      <c r="L491" t="s">
        <v>2177</v>
      </c>
      <c r="M491" t="s">
        <v>1850</v>
      </c>
      <c r="N491">
        <v>20</v>
      </c>
      <c r="O491">
        <v>10000000</v>
      </c>
      <c r="P491">
        <v>200000</v>
      </c>
      <c r="R491" t="s">
        <v>2179</v>
      </c>
      <c r="S491">
        <v>0</v>
      </c>
      <c r="T491">
        <v>0</v>
      </c>
      <c r="U491" t="s">
        <v>2179</v>
      </c>
      <c r="V491">
        <v>3035457</v>
      </c>
      <c r="W491" t="s">
        <v>2180</v>
      </c>
      <c r="X491">
        <v>60709.14</v>
      </c>
      <c r="Y491">
        <v>60709.14</v>
      </c>
      <c r="Z491">
        <v>60709.14</v>
      </c>
      <c r="AA491">
        <v>3038472</v>
      </c>
      <c r="AB491">
        <v>3035457</v>
      </c>
      <c r="AC491" s="11">
        <v>46184</v>
      </c>
      <c r="AD491" s="11">
        <v>46222</v>
      </c>
      <c r="AE491" t="s">
        <v>2298</v>
      </c>
      <c r="AF491" t="s">
        <v>2182</v>
      </c>
      <c r="AG491" t="s">
        <v>2183</v>
      </c>
      <c r="AH491">
        <v>1500000</v>
      </c>
      <c r="AI491">
        <v>127516</v>
      </c>
      <c r="AJ491" t="s">
        <v>2058</v>
      </c>
    </row>
    <row r="492" spans="1:36" hidden="1" x14ac:dyDescent="0.2">
      <c r="A492" t="s">
        <v>2399</v>
      </c>
      <c r="B492" t="s">
        <v>175</v>
      </c>
      <c r="C492" t="s">
        <v>2509</v>
      </c>
      <c r="D492" t="s">
        <v>326</v>
      </c>
      <c r="E492">
        <v>257639</v>
      </c>
      <c r="F492" t="s">
        <v>2215</v>
      </c>
      <c r="G492">
        <v>8005</v>
      </c>
      <c r="H492">
        <v>581853</v>
      </c>
      <c r="I492" t="s">
        <v>601</v>
      </c>
      <c r="J492" s="11">
        <v>46184</v>
      </c>
      <c r="K492" s="11">
        <v>46222</v>
      </c>
      <c r="L492" t="s">
        <v>2223</v>
      </c>
      <c r="M492" t="s">
        <v>1850</v>
      </c>
      <c r="N492">
        <v>40</v>
      </c>
      <c r="O492">
        <v>2275000</v>
      </c>
      <c r="P492">
        <v>91000</v>
      </c>
      <c r="Q492" t="s">
        <v>2178</v>
      </c>
      <c r="R492" t="s">
        <v>2179</v>
      </c>
      <c r="S492">
        <v>0</v>
      </c>
      <c r="T492">
        <v>0</v>
      </c>
      <c r="U492" t="s">
        <v>2179</v>
      </c>
      <c r="V492">
        <v>1298868</v>
      </c>
      <c r="W492" t="s">
        <v>2180</v>
      </c>
      <c r="X492">
        <v>51954.720000000001</v>
      </c>
      <c r="Y492">
        <v>51954.720000000001</v>
      </c>
      <c r="Z492">
        <v>51954.720000000001</v>
      </c>
      <c r="AA492">
        <v>1298490</v>
      </c>
      <c r="AB492">
        <v>1298868</v>
      </c>
      <c r="AC492" s="11">
        <v>46184</v>
      </c>
      <c r="AD492" s="11">
        <v>46222</v>
      </c>
      <c r="AE492" t="s">
        <v>2226</v>
      </c>
      <c r="AF492" t="s">
        <v>2182</v>
      </c>
      <c r="AG492" t="s">
        <v>2183</v>
      </c>
      <c r="AH492">
        <v>1020000.01</v>
      </c>
      <c r="AI492">
        <v>128642</v>
      </c>
      <c r="AJ492" t="s">
        <v>2054</v>
      </c>
    </row>
    <row r="493" spans="1:36" hidden="1" x14ac:dyDescent="0.2">
      <c r="A493" t="s">
        <v>2399</v>
      </c>
      <c r="B493" t="s">
        <v>175</v>
      </c>
      <c r="C493" t="s">
        <v>2509</v>
      </c>
      <c r="D493" t="s">
        <v>326</v>
      </c>
      <c r="E493">
        <v>257639</v>
      </c>
      <c r="F493" t="s">
        <v>2217</v>
      </c>
      <c r="G493">
        <v>8004</v>
      </c>
      <c r="H493">
        <v>581856</v>
      </c>
      <c r="I493" t="s">
        <v>801</v>
      </c>
      <c r="J493" s="11">
        <v>46184</v>
      </c>
      <c r="K493" s="11">
        <v>46222</v>
      </c>
      <c r="L493" t="s">
        <v>2177</v>
      </c>
      <c r="M493" t="s">
        <v>1850</v>
      </c>
      <c r="N493">
        <v>6</v>
      </c>
      <c r="O493">
        <v>2166667</v>
      </c>
      <c r="P493">
        <v>13000</v>
      </c>
      <c r="Q493" t="s">
        <v>2178</v>
      </c>
      <c r="R493" t="s">
        <v>2179</v>
      </c>
      <c r="S493">
        <v>0</v>
      </c>
      <c r="T493">
        <v>0</v>
      </c>
      <c r="U493" t="s">
        <v>2179</v>
      </c>
      <c r="V493">
        <v>1631008</v>
      </c>
      <c r="W493" t="s">
        <v>2180</v>
      </c>
      <c r="X493">
        <v>9786.0480000000007</v>
      </c>
      <c r="Y493">
        <v>9786.0480000000007</v>
      </c>
      <c r="Z493">
        <v>9786.0480000000007</v>
      </c>
      <c r="AA493">
        <v>1631333</v>
      </c>
      <c r="AB493">
        <v>1631008</v>
      </c>
      <c r="AC493" s="11">
        <v>46184</v>
      </c>
      <c r="AD493" s="11">
        <v>46222</v>
      </c>
      <c r="AE493" t="s">
        <v>2226</v>
      </c>
      <c r="AF493" t="s">
        <v>2182</v>
      </c>
      <c r="AG493" t="s">
        <v>2183</v>
      </c>
      <c r="AH493">
        <v>1020000.01</v>
      </c>
      <c r="AI493">
        <v>128642</v>
      </c>
      <c r="AJ493" t="s">
        <v>2054</v>
      </c>
    </row>
    <row r="494" spans="1:36" hidden="1" x14ac:dyDescent="0.2">
      <c r="A494" t="s">
        <v>2399</v>
      </c>
      <c r="B494" t="s">
        <v>175</v>
      </c>
      <c r="C494" t="s">
        <v>2509</v>
      </c>
      <c r="D494" t="s">
        <v>326</v>
      </c>
      <c r="E494">
        <v>257639</v>
      </c>
      <c r="F494" t="s">
        <v>2216</v>
      </c>
      <c r="G494">
        <v>8002</v>
      </c>
      <c r="H494">
        <v>581858</v>
      </c>
      <c r="I494" t="s">
        <v>607</v>
      </c>
      <c r="J494" s="11">
        <v>46184</v>
      </c>
      <c r="K494" s="11">
        <v>46222</v>
      </c>
      <c r="L494" t="s">
        <v>2223</v>
      </c>
      <c r="M494" t="s">
        <v>1850</v>
      </c>
      <c r="N494">
        <v>25</v>
      </c>
      <c r="O494">
        <v>1300000</v>
      </c>
      <c r="P494">
        <v>32500</v>
      </c>
      <c r="Q494" t="s">
        <v>2201</v>
      </c>
      <c r="R494" t="s">
        <v>2179</v>
      </c>
      <c r="S494">
        <v>0</v>
      </c>
      <c r="T494">
        <v>0</v>
      </c>
      <c r="U494" t="s">
        <v>2179</v>
      </c>
      <c r="V494">
        <v>554379</v>
      </c>
      <c r="W494" t="s">
        <v>2180</v>
      </c>
      <c r="X494">
        <v>13859.475</v>
      </c>
      <c r="Y494">
        <v>13859.475</v>
      </c>
      <c r="Z494">
        <v>13859.475</v>
      </c>
      <c r="AA494">
        <v>552510</v>
      </c>
      <c r="AB494">
        <v>554379</v>
      </c>
      <c r="AC494" s="11">
        <v>46184</v>
      </c>
      <c r="AD494" s="11">
        <v>46222</v>
      </c>
      <c r="AE494" t="s">
        <v>2226</v>
      </c>
      <c r="AF494" t="s">
        <v>2182</v>
      </c>
      <c r="AG494" t="s">
        <v>2183</v>
      </c>
      <c r="AH494">
        <v>1020000.01</v>
      </c>
      <c r="AI494">
        <v>128642</v>
      </c>
      <c r="AJ494" t="s">
        <v>2054</v>
      </c>
    </row>
    <row r="495" spans="1:36" hidden="1" x14ac:dyDescent="0.2">
      <c r="A495" t="s">
        <v>2399</v>
      </c>
      <c r="B495" t="s">
        <v>175</v>
      </c>
      <c r="C495" t="s">
        <v>2509</v>
      </c>
      <c r="D495" t="s">
        <v>326</v>
      </c>
      <c r="E495">
        <v>257639</v>
      </c>
      <c r="F495" t="s">
        <v>2219</v>
      </c>
      <c r="G495">
        <v>7998</v>
      </c>
      <c r="H495">
        <v>581860</v>
      </c>
      <c r="I495" t="s">
        <v>600</v>
      </c>
      <c r="J495" s="11">
        <v>46184</v>
      </c>
      <c r="K495" s="11">
        <v>46222</v>
      </c>
      <c r="L495" t="s">
        <v>2223</v>
      </c>
      <c r="M495" t="s">
        <v>1850</v>
      </c>
      <c r="N495">
        <v>20</v>
      </c>
      <c r="O495">
        <v>2535000</v>
      </c>
      <c r="P495">
        <v>50700</v>
      </c>
      <c r="Q495" t="s">
        <v>2178</v>
      </c>
      <c r="R495" t="s">
        <v>2179</v>
      </c>
      <c r="S495">
        <v>0</v>
      </c>
      <c r="T495">
        <v>0</v>
      </c>
      <c r="U495" t="s">
        <v>2179</v>
      </c>
      <c r="V495">
        <v>1401824</v>
      </c>
      <c r="W495" t="s">
        <v>2180</v>
      </c>
      <c r="X495">
        <v>28036.48</v>
      </c>
      <c r="Y495">
        <v>28036.48</v>
      </c>
      <c r="Z495">
        <v>28036.48</v>
      </c>
      <c r="AA495">
        <v>1395191</v>
      </c>
      <c r="AB495">
        <v>1401824</v>
      </c>
      <c r="AC495" s="11">
        <v>46184</v>
      </c>
      <c r="AD495" s="11">
        <v>46222</v>
      </c>
      <c r="AE495" t="s">
        <v>2226</v>
      </c>
      <c r="AF495" t="s">
        <v>2182</v>
      </c>
      <c r="AG495" t="s">
        <v>2183</v>
      </c>
      <c r="AH495">
        <v>1020000.01</v>
      </c>
      <c r="AI495">
        <v>128642</v>
      </c>
      <c r="AJ495" t="s">
        <v>2054</v>
      </c>
    </row>
    <row r="496" spans="1:36" hidden="1" x14ac:dyDescent="0.2">
      <c r="A496" t="s">
        <v>2399</v>
      </c>
      <c r="B496" t="s">
        <v>175</v>
      </c>
      <c r="C496" t="s">
        <v>2509</v>
      </c>
      <c r="D496" t="s">
        <v>326</v>
      </c>
      <c r="E496">
        <v>257639</v>
      </c>
      <c r="F496" t="s">
        <v>2218</v>
      </c>
      <c r="G496">
        <v>8000</v>
      </c>
      <c r="H496">
        <v>581863</v>
      </c>
      <c r="I496" t="s">
        <v>865</v>
      </c>
      <c r="J496" s="11">
        <v>46184</v>
      </c>
      <c r="K496" s="11">
        <v>46222</v>
      </c>
      <c r="L496" t="s">
        <v>2213</v>
      </c>
      <c r="M496" t="s">
        <v>2205</v>
      </c>
      <c r="N496">
        <v>78000</v>
      </c>
      <c r="O496">
        <v>3</v>
      </c>
      <c r="P496">
        <v>78000</v>
      </c>
      <c r="Q496" t="s">
        <v>1987</v>
      </c>
      <c r="R496" t="s">
        <v>2206</v>
      </c>
      <c r="S496">
        <v>2</v>
      </c>
      <c r="T496">
        <v>40000</v>
      </c>
      <c r="U496" t="s">
        <v>2206</v>
      </c>
      <c r="V496">
        <v>2</v>
      </c>
      <c r="W496" t="s">
        <v>2180</v>
      </c>
      <c r="X496">
        <v>40000</v>
      </c>
      <c r="Y496">
        <v>40000</v>
      </c>
      <c r="Z496">
        <v>40000</v>
      </c>
      <c r="AC496" s="11">
        <v>46184</v>
      </c>
      <c r="AD496" s="11">
        <v>46222</v>
      </c>
      <c r="AE496" t="s">
        <v>2226</v>
      </c>
      <c r="AF496" t="s">
        <v>2182</v>
      </c>
      <c r="AG496" t="s">
        <v>2183</v>
      </c>
      <c r="AH496">
        <v>1020000.01</v>
      </c>
      <c r="AI496">
        <v>128642</v>
      </c>
      <c r="AJ496" t="s">
        <v>2054</v>
      </c>
    </row>
    <row r="497" spans="1:36" hidden="1" x14ac:dyDescent="0.2">
      <c r="A497" t="s">
        <v>2399</v>
      </c>
      <c r="B497" t="s">
        <v>175</v>
      </c>
      <c r="C497" t="s">
        <v>2509</v>
      </c>
      <c r="D497" t="s">
        <v>326</v>
      </c>
      <c r="E497">
        <v>257639</v>
      </c>
      <c r="F497" t="s">
        <v>2215</v>
      </c>
      <c r="G497">
        <v>8005</v>
      </c>
      <c r="H497">
        <v>589549</v>
      </c>
      <c r="I497" t="s">
        <v>609</v>
      </c>
      <c r="J497" s="11">
        <v>46184</v>
      </c>
      <c r="K497" s="11">
        <v>46222</v>
      </c>
      <c r="L497" t="s">
        <v>2223</v>
      </c>
      <c r="M497" t="s">
        <v>1850</v>
      </c>
      <c r="N497">
        <v>40</v>
      </c>
      <c r="O497">
        <v>1225000</v>
      </c>
      <c r="P497">
        <v>49000</v>
      </c>
      <c r="Q497" t="s">
        <v>2178</v>
      </c>
      <c r="R497" t="s">
        <v>2179</v>
      </c>
      <c r="S497">
        <v>0</v>
      </c>
      <c r="T497">
        <v>0</v>
      </c>
      <c r="U497" t="s">
        <v>2179</v>
      </c>
      <c r="V497">
        <v>699890</v>
      </c>
      <c r="W497" t="s">
        <v>2180</v>
      </c>
      <c r="X497">
        <v>27995.599999999999</v>
      </c>
      <c r="Y497">
        <v>27995.599999999999</v>
      </c>
      <c r="Z497">
        <v>27995.599999999999</v>
      </c>
      <c r="AA497">
        <v>697747</v>
      </c>
      <c r="AB497">
        <v>699890</v>
      </c>
      <c r="AC497" s="11">
        <v>46184</v>
      </c>
      <c r="AD497" s="11">
        <v>46222</v>
      </c>
      <c r="AE497" t="s">
        <v>2226</v>
      </c>
      <c r="AF497" t="s">
        <v>2182</v>
      </c>
      <c r="AG497" t="s">
        <v>2183</v>
      </c>
      <c r="AH497">
        <v>1020000.01</v>
      </c>
      <c r="AI497">
        <v>128642</v>
      </c>
      <c r="AJ497" t="s">
        <v>2054</v>
      </c>
    </row>
    <row r="498" spans="1:36" hidden="1" x14ac:dyDescent="0.2">
      <c r="A498" t="s">
        <v>2399</v>
      </c>
      <c r="B498" t="s">
        <v>175</v>
      </c>
      <c r="C498" t="s">
        <v>2509</v>
      </c>
      <c r="D498" t="s">
        <v>326</v>
      </c>
      <c r="E498">
        <v>257639</v>
      </c>
      <c r="F498" t="s">
        <v>2215</v>
      </c>
      <c r="G498">
        <v>8005</v>
      </c>
      <c r="H498">
        <v>589552</v>
      </c>
      <c r="I498" t="s">
        <v>603</v>
      </c>
      <c r="J498" s="11">
        <v>46184</v>
      </c>
      <c r="K498" s="11">
        <v>46222</v>
      </c>
      <c r="L498" t="s">
        <v>2223</v>
      </c>
      <c r="M498" t="s">
        <v>1850</v>
      </c>
      <c r="N498">
        <v>40</v>
      </c>
      <c r="O498">
        <v>1662500</v>
      </c>
      <c r="P498">
        <v>66500</v>
      </c>
      <c r="Q498" t="s">
        <v>2178</v>
      </c>
      <c r="R498" t="s">
        <v>2179</v>
      </c>
      <c r="S498">
        <v>0</v>
      </c>
      <c r="T498">
        <v>0</v>
      </c>
      <c r="U498" t="s">
        <v>2179</v>
      </c>
      <c r="V498">
        <v>949317</v>
      </c>
      <c r="W498" t="s">
        <v>2180</v>
      </c>
      <c r="X498">
        <v>37972.68</v>
      </c>
      <c r="Y498">
        <v>37972.68</v>
      </c>
      <c r="Z498">
        <v>37972.68</v>
      </c>
      <c r="AA498">
        <v>947839</v>
      </c>
      <c r="AB498">
        <v>949317</v>
      </c>
      <c r="AC498" s="11">
        <v>46184</v>
      </c>
      <c r="AD498" s="11">
        <v>46222</v>
      </c>
      <c r="AE498" t="s">
        <v>2226</v>
      </c>
      <c r="AF498" t="s">
        <v>2182</v>
      </c>
      <c r="AG498" t="s">
        <v>2183</v>
      </c>
      <c r="AH498">
        <v>1020000.01</v>
      </c>
      <c r="AI498">
        <v>128642</v>
      </c>
      <c r="AJ498" t="s">
        <v>2054</v>
      </c>
    </row>
    <row r="499" spans="1:36" hidden="1" x14ac:dyDescent="0.2">
      <c r="A499" t="s">
        <v>2399</v>
      </c>
      <c r="B499" t="s">
        <v>175</v>
      </c>
      <c r="C499" t="s">
        <v>2509</v>
      </c>
      <c r="D499" t="s">
        <v>326</v>
      </c>
      <c r="E499">
        <v>257639</v>
      </c>
      <c r="F499" t="s">
        <v>2215</v>
      </c>
      <c r="G499">
        <v>8005</v>
      </c>
      <c r="H499">
        <v>589555</v>
      </c>
      <c r="I499" t="s">
        <v>602</v>
      </c>
      <c r="J499" s="11">
        <v>46184</v>
      </c>
      <c r="K499" s="11">
        <v>46222</v>
      </c>
      <c r="L499" t="s">
        <v>2223</v>
      </c>
      <c r="M499" t="s">
        <v>1850</v>
      </c>
      <c r="N499">
        <v>40</v>
      </c>
      <c r="O499">
        <v>2712500</v>
      </c>
      <c r="P499">
        <v>108500</v>
      </c>
      <c r="Q499" t="s">
        <v>2178</v>
      </c>
      <c r="R499" t="s">
        <v>2179</v>
      </c>
      <c r="S499">
        <v>0</v>
      </c>
      <c r="T499">
        <v>0</v>
      </c>
      <c r="U499" t="s">
        <v>2179</v>
      </c>
      <c r="V499">
        <v>1548397</v>
      </c>
      <c r="W499" t="s">
        <v>2180</v>
      </c>
      <c r="X499">
        <v>61935.88</v>
      </c>
      <c r="Y499">
        <v>61935.88</v>
      </c>
      <c r="Z499">
        <v>61935.88</v>
      </c>
      <c r="AA499">
        <v>1548654</v>
      </c>
      <c r="AB499">
        <v>1548397</v>
      </c>
      <c r="AC499" s="11">
        <v>46184</v>
      </c>
      <c r="AD499" s="11">
        <v>46222</v>
      </c>
      <c r="AE499" t="s">
        <v>2226</v>
      </c>
      <c r="AF499" t="s">
        <v>2182</v>
      </c>
      <c r="AG499" t="s">
        <v>2183</v>
      </c>
      <c r="AH499">
        <v>1020000.01</v>
      </c>
      <c r="AI499">
        <v>128642</v>
      </c>
      <c r="AJ499" t="s">
        <v>2054</v>
      </c>
    </row>
    <row r="500" spans="1:36" hidden="1" x14ac:dyDescent="0.2">
      <c r="A500" t="s">
        <v>2399</v>
      </c>
      <c r="B500" t="s">
        <v>175</v>
      </c>
      <c r="C500" t="s">
        <v>2509</v>
      </c>
      <c r="D500" t="s">
        <v>326</v>
      </c>
      <c r="E500">
        <v>257639</v>
      </c>
      <c r="F500" t="s">
        <v>2215</v>
      </c>
      <c r="G500">
        <v>8005</v>
      </c>
      <c r="H500">
        <v>589558</v>
      </c>
      <c r="I500" t="s">
        <v>610</v>
      </c>
      <c r="J500" s="11">
        <v>46184</v>
      </c>
      <c r="K500" s="11">
        <v>46222</v>
      </c>
      <c r="L500" t="s">
        <v>2223</v>
      </c>
      <c r="M500" t="s">
        <v>1850</v>
      </c>
      <c r="N500">
        <v>40</v>
      </c>
      <c r="O500">
        <v>875000</v>
      </c>
      <c r="P500">
        <v>35000</v>
      </c>
      <c r="Q500" t="s">
        <v>2178</v>
      </c>
      <c r="R500" t="s">
        <v>2179</v>
      </c>
      <c r="S500">
        <v>0</v>
      </c>
      <c r="T500">
        <v>0</v>
      </c>
      <c r="U500" t="s">
        <v>2179</v>
      </c>
      <c r="V500">
        <v>500159</v>
      </c>
      <c r="W500" t="s">
        <v>2180</v>
      </c>
      <c r="X500">
        <v>20006.36</v>
      </c>
      <c r="Y500">
        <v>20006.36</v>
      </c>
      <c r="Z500">
        <v>20006.36</v>
      </c>
      <c r="AA500">
        <v>497497</v>
      </c>
      <c r="AB500">
        <v>500159</v>
      </c>
      <c r="AC500" s="11">
        <v>46184</v>
      </c>
      <c r="AD500" s="11">
        <v>46222</v>
      </c>
      <c r="AE500" t="s">
        <v>2226</v>
      </c>
      <c r="AF500" t="s">
        <v>2182</v>
      </c>
      <c r="AG500" t="s">
        <v>2183</v>
      </c>
      <c r="AH500">
        <v>1020000.01</v>
      </c>
      <c r="AI500">
        <v>128642</v>
      </c>
      <c r="AJ500" t="s">
        <v>2054</v>
      </c>
    </row>
    <row r="501" spans="1:36" hidden="1" x14ac:dyDescent="0.2">
      <c r="A501" t="s">
        <v>2399</v>
      </c>
      <c r="B501" t="s">
        <v>175</v>
      </c>
      <c r="C501" t="s">
        <v>2509</v>
      </c>
      <c r="D501" t="s">
        <v>326</v>
      </c>
      <c r="E501">
        <v>257639</v>
      </c>
      <c r="F501" t="s">
        <v>2217</v>
      </c>
      <c r="G501">
        <v>8004</v>
      </c>
      <c r="H501">
        <v>589562</v>
      </c>
      <c r="I501" t="s">
        <v>803</v>
      </c>
      <c r="J501" s="11">
        <v>46184</v>
      </c>
      <c r="K501" s="11">
        <v>46222</v>
      </c>
      <c r="L501" t="s">
        <v>2177</v>
      </c>
      <c r="M501" t="s">
        <v>1850</v>
      </c>
      <c r="N501">
        <v>6</v>
      </c>
      <c r="O501">
        <v>1166667</v>
      </c>
      <c r="P501">
        <v>7000</v>
      </c>
      <c r="Q501" t="s">
        <v>2178</v>
      </c>
      <c r="R501" t="s">
        <v>2179</v>
      </c>
      <c r="S501">
        <v>0</v>
      </c>
      <c r="T501">
        <v>0</v>
      </c>
      <c r="U501" t="s">
        <v>2179</v>
      </c>
      <c r="V501">
        <v>909885</v>
      </c>
      <c r="W501" t="s">
        <v>2180</v>
      </c>
      <c r="X501">
        <v>5459.31</v>
      </c>
      <c r="Y501">
        <v>5459.31</v>
      </c>
      <c r="Z501">
        <v>5459.31</v>
      </c>
      <c r="AA501">
        <v>910108</v>
      </c>
      <c r="AB501">
        <v>909885</v>
      </c>
      <c r="AC501" s="11">
        <v>46184</v>
      </c>
      <c r="AD501" s="11">
        <v>46222</v>
      </c>
      <c r="AE501" t="s">
        <v>2226</v>
      </c>
      <c r="AF501" t="s">
        <v>2182</v>
      </c>
      <c r="AG501" t="s">
        <v>2183</v>
      </c>
      <c r="AH501">
        <v>1020000.01</v>
      </c>
      <c r="AI501">
        <v>128642</v>
      </c>
      <c r="AJ501" t="s">
        <v>2054</v>
      </c>
    </row>
    <row r="502" spans="1:36" hidden="1" x14ac:dyDescent="0.2">
      <c r="A502" t="s">
        <v>2399</v>
      </c>
      <c r="B502" t="s">
        <v>175</v>
      </c>
      <c r="C502" t="s">
        <v>2509</v>
      </c>
      <c r="D502" t="s">
        <v>326</v>
      </c>
      <c r="E502">
        <v>257639</v>
      </c>
      <c r="F502" t="s">
        <v>2217</v>
      </c>
      <c r="G502">
        <v>8004</v>
      </c>
      <c r="H502">
        <v>589564</v>
      </c>
      <c r="I502" t="s">
        <v>800</v>
      </c>
      <c r="J502" s="11">
        <v>46184</v>
      </c>
      <c r="K502" s="11">
        <v>46222</v>
      </c>
      <c r="L502" t="s">
        <v>2177</v>
      </c>
      <c r="M502" t="s">
        <v>1850</v>
      </c>
      <c r="N502">
        <v>6</v>
      </c>
      <c r="O502">
        <v>1583334</v>
      </c>
      <c r="P502">
        <v>9500</v>
      </c>
      <c r="Q502" t="s">
        <v>2178</v>
      </c>
      <c r="R502" t="s">
        <v>2179</v>
      </c>
      <c r="S502">
        <v>0</v>
      </c>
      <c r="T502">
        <v>0</v>
      </c>
      <c r="U502" t="s">
        <v>2179</v>
      </c>
      <c r="V502">
        <v>1212889</v>
      </c>
      <c r="W502" t="s">
        <v>2180</v>
      </c>
      <c r="X502">
        <v>7277.3339999999998</v>
      </c>
      <c r="Y502">
        <v>7277.3339999999998</v>
      </c>
      <c r="Z502">
        <v>7277.3339999999998</v>
      </c>
      <c r="AA502">
        <v>1213135</v>
      </c>
      <c r="AB502">
        <v>1212889</v>
      </c>
      <c r="AC502" s="11">
        <v>46184</v>
      </c>
      <c r="AD502" s="11">
        <v>46222</v>
      </c>
      <c r="AE502" t="s">
        <v>2226</v>
      </c>
      <c r="AF502" t="s">
        <v>2182</v>
      </c>
      <c r="AG502" t="s">
        <v>2183</v>
      </c>
      <c r="AH502">
        <v>1020000.01</v>
      </c>
      <c r="AI502">
        <v>128642</v>
      </c>
      <c r="AJ502" t="s">
        <v>2054</v>
      </c>
    </row>
    <row r="503" spans="1:36" hidden="1" x14ac:dyDescent="0.2">
      <c r="A503" t="s">
        <v>2399</v>
      </c>
      <c r="B503" t="s">
        <v>175</v>
      </c>
      <c r="C503" t="s">
        <v>2509</v>
      </c>
      <c r="D503" t="s">
        <v>326</v>
      </c>
      <c r="E503">
        <v>257639</v>
      </c>
      <c r="F503" t="s">
        <v>2217</v>
      </c>
      <c r="G503">
        <v>8004</v>
      </c>
      <c r="H503">
        <v>589568</v>
      </c>
      <c r="I503" t="s">
        <v>802</v>
      </c>
      <c r="J503" s="11">
        <v>46184</v>
      </c>
      <c r="K503" s="11">
        <v>46222</v>
      </c>
      <c r="L503" t="s">
        <v>2177</v>
      </c>
      <c r="M503" t="s">
        <v>1850</v>
      </c>
      <c r="N503">
        <v>6</v>
      </c>
      <c r="O503">
        <v>2583334</v>
      </c>
      <c r="P503">
        <v>15500</v>
      </c>
      <c r="Q503" t="s">
        <v>2178</v>
      </c>
      <c r="R503" t="s">
        <v>2179</v>
      </c>
      <c r="S503">
        <v>0</v>
      </c>
      <c r="T503">
        <v>0</v>
      </c>
      <c r="U503" t="s">
        <v>2179</v>
      </c>
      <c r="V503">
        <v>1642235</v>
      </c>
      <c r="W503" t="s">
        <v>2180</v>
      </c>
      <c r="X503">
        <v>9853.41</v>
      </c>
      <c r="Y503">
        <v>9853.41</v>
      </c>
      <c r="Z503">
        <v>9853.41</v>
      </c>
      <c r="AA503">
        <v>1642606</v>
      </c>
      <c r="AB503">
        <v>1642235</v>
      </c>
      <c r="AC503" s="11">
        <v>46184</v>
      </c>
      <c r="AD503" s="11">
        <v>46222</v>
      </c>
      <c r="AE503" t="s">
        <v>2226</v>
      </c>
      <c r="AF503" t="s">
        <v>2182</v>
      </c>
      <c r="AG503" t="s">
        <v>2183</v>
      </c>
      <c r="AH503">
        <v>1020000.01</v>
      </c>
      <c r="AI503">
        <v>128642</v>
      </c>
      <c r="AJ503" t="s">
        <v>2054</v>
      </c>
    </row>
    <row r="504" spans="1:36" hidden="1" x14ac:dyDescent="0.2">
      <c r="A504" t="s">
        <v>2399</v>
      </c>
      <c r="B504" t="s">
        <v>175</v>
      </c>
      <c r="C504" t="s">
        <v>2509</v>
      </c>
      <c r="D504" t="s">
        <v>326</v>
      </c>
      <c r="E504">
        <v>257639</v>
      </c>
      <c r="F504" t="s">
        <v>2217</v>
      </c>
      <c r="G504">
        <v>8004</v>
      </c>
      <c r="H504">
        <v>589571</v>
      </c>
      <c r="I504" t="s">
        <v>794</v>
      </c>
      <c r="J504" s="11">
        <v>46184</v>
      </c>
      <c r="K504" s="11">
        <v>46222</v>
      </c>
      <c r="L504" t="s">
        <v>2177</v>
      </c>
      <c r="M504" t="s">
        <v>1850</v>
      </c>
      <c r="N504">
        <v>6</v>
      </c>
      <c r="O504">
        <v>833334</v>
      </c>
      <c r="P504">
        <v>5000</v>
      </c>
      <c r="Q504" t="s">
        <v>2178</v>
      </c>
      <c r="R504" t="s">
        <v>2179</v>
      </c>
      <c r="S504">
        <v>0</v>
      </c>
      <c r="T504">
        <v>0</v>
      </c>
      <c r="U504" t="s">
        <v>2179</v>
      </c>
      <c r="V504">
        <v>660590</v>
      </c>
      <c r="W504" t="s">
        <v>2180</v>
      </c>
      <c r="X504">
        <v>3963.54</v>
      </c>
      <c r="Y504">
        <v>3963.54</v>
      </c>
      <c r="Z504">
        <v>3963.54</v>
      </c>
      <c r="AA504">
        <v>660722</v>
      </c>
      <c r="AB504">
        <v>660590</v>
      </c>
      <c r="AC504" s="11">
        <v>46184</v>
      </c>
      <c r="AD504" s="11">
        <v>46222</v>
      </c>
      <c r="AE504" t="s">
        <v>2226</v>
      </c>
      <c r="AF504" t="s">
        <v>2182</v>
      </c>
      <c r="AG504" t="s">
        <v>2183</v>
      </c>
      <c r="AH504">
        <v>1020000.01</v>
      </c>
      <c r="AI504">
        <v>128642</v>
      </c>
      <c r="AJ504" t="s">
        <v>2054</v>
      </c>
    </row>
    <row r="505" spans="1:36" hidden="1" x14ac:dyDescent="0.2">
      <c r="A505" t="s">
        <v>2399</v>
      </c>
      <c r="B505" t="s">
        <v>175</v>
      </c>
      <c r="C505" t="s">
        <v>2509</v>
      </c>
      <c r="D505" t="s">
        <v>326</v>
      </c>
      <c r="E505">
        <v>257639</v>
      </c>
      <c r="F505" t="s">
        <v>2216</v>
      </c>
      <c r="G505">
        <v>8002</v>
      </c>
      <c r="H505">
        <v>589573</v>
      </c>
      <c r="I505" t="s">
        <v>606</v>
      </c>
      <c r="J505" s="11">
        <v>46184</v>
      </c>
      <c r="K505" s="11">
        <v>46222</v>
      </c>
      <c r="L505" t="s">
        <v>2223</v>
      </c>
      <c r="M505" t="s">
        <v>1850</v>
      </c>
      <c r="N505">
        <v>25</v>
      </c>
      <c r="O505">
        <v>700000</v>
      </c>
      <c r="P505">
        <v>17500</v>
      </c>
      <c r="Q505" t="s">
        <v>2201</v>
      </c>
      <c r="R505" t="s">
        <v>2179</v>
      </c>
      <c r="S505">
        <v>0</v>
      </c>
      <c r="T505">
        <v>0</v>
      </c>
      <c r="U505" t="s">
        <v>2179</v>
      </c>
      <c r="V505">
        <v>302556</v>
      </c>
      <c r="W505" t="s">
        <v>2180</v>
      </c>
      <c r="X505">
        <v>7563.9</v>
      </c>
      <c r="Y505">
        <v>7563.9</v>
      </c>
      <c r="Z505">
        <v>7563.9</v>
      </c>
      <c r="AA505">
        <v>300984</v>
      </c>
      <c r="AB505">
        <v>302556</v>
      </c>
      <c r="AC505" s="11">
        <v>46184</v>
      </c>
      <c r="AD505" s="11">
        <v>46222</v>
      </c>
      <c r="AE505" t="s">
        <v>2226</v>
      </c>
      <c r="AF505" t="s">
        <v>2182</v>
      </c>
      <c r="AG505" t="s">
        <v>2183</v>
      </c>
      <c r="AH505">
        <v>1020000.01</v>
      </c>
      <c r="AI505">
        <v>128642</v>
      </c>
      <c r="AJ505" t="s">
        <v>2054</v>
      </c>
    </row>
    <row r="506" spans="1:36" hidden="1" x14ac:dyDescent="0.2">
      <c r="A506" t="s">
        <v>2399</v>
      </c>
      <c r="B506" t="s">
        <v>175</v>
      </c>
      <c r="C506" t="s">
        <v>2509</v>
      </c>
      <c r="D506" t="s">
        <v>326</v>
      </c>
      <c r="E506">
        <v>257639</v>
      </c>
      <c r="F506" t="s">
        <v>2216</v>
      </c>
      <c r="G506">
        <v>8002</v>
      </c>
      <c r="H506">
        <v>589575</v>
      </c>
      <c r="I506" t="s">
        <v>605</v>
      </c>
      <c r="J506" s="11">
        <v>46184</v>
      </c>
      <c r="K506" s="11">
        <v>46222</v>
      </c>
      <c r="L506" t="s">
        <v>2223</v>
      </c>
      <c r="M506" t="s">
        <v>1850</v>
      </c>
      <c r="N506">
        <v>25</v>
      </c>
      <c r="O506">
        <v>950000</v>
      </c>
      <c r="P506">
        <v>23750</v>
      </c>
      <c r="Q506" t="s">
        <v>2201</v>
      </c>
      <c r="R506" t="s">
        <v>2179</v>
      </c>
      <c r="S506">
        <v>0</v>
      </c>
      <c r="T506">
        <v>0</v>
      </c>
      <c r="U506" t="s">
        <v>2179</v>
      </c>
      <c r="V506">
        <v>407670</v>
      </c>
      <c r="W506" t="s">
        <v>2180</v>
      </c>
      <c r="X506">
        <v>10191.75</v>
      </c>
      <c r="Y506">
        <v>10191.75</v>
      </c>
      <c r="Z506">
        <v>10191.75</v>
      </c>
      <c r="AA506">
        <v>405492</v>
      </c>
      <c r="AB506">
        <v>407670</v>
      </c>
      <c r="AC506" s="11">
        <v>46184</v>
      </c>
      <c r="AD506" s="11">
        <v>46222</v>
      </c>
      <c r="AE506" t="s">
        <v>2226</v>
      </c>
      <c r="AF506" t="s">
        <v>2182</v>
      </c>
      <c r="AG506" t="s">
        <v>2183</v>
      </c>
      <c r="AH506">
        <v>1020000.01</v>
      </c>
      <c r="AI506">
        <v>128642</v>
      </c>
      <c r="AJ506" t="s">
        <v>2054</v>
      </c>
    </row>
    <row r="507" spans="1:36" hidden="1" x14ac:dyDescent="0.2">
      <c r="A507" t="s">
        <v>2399</v>
      </c>
      <c r="B507" t="s">
        <v>175</v>
      </c>
      <c r="C507" t="s">
        <v>2509</v>
      </c>
      <c r="D507" t="s">
        <v>326</v>
      </c>
      <c r="E507">
        <v>257639</v>
      </c>
      <c r="F507" t="s">
        <v>2216</v>
      </c>
      <c r="G507">
        <v>8002</v>
      </c>
      <c r="H507">
        <v>589577</v>
      </c>
      <c r="I507" t="s">
        <v>608</v>
      </c>
      <c r="J507" s="11">
        <v>46184</v>
      </c>
      <c r="K507" s="11">
        <v>46222</v>
      </c>
      <c r="L507" t="s">
        <v>2223</v>
      </c>
      <c r="M507" t="s">
        <v>1850</v>
      </c>
      <c r="N507">
        <v>25</v>
      </c>
      <c r="O507">
        <v>1550000</v>
      </c>
      <c r="P507">
        <v>38750</v>
      </c>
      <c r="Q507" t="s">
        <v>2201</v>
      </c>
      <c r="R507" t="s">
        <v>2179</v>
      </c>
      <c r="S507">
        <v>0</v>
      </c>
      <c r="T507">
        <v>0</v>
      </c>
      <c r="U507" t="s">
        <v>2179</v>
      </c>
      <c r="V507">
        <v>664562</v>
      </c>
      <c r="W507" t="s">
        <v>2180</v>
      </c>
      <c r="X507">
        <v>16614.05</v>
      </c>
      <c r="Y507">
        <v>16614.05</v>
      </c>
      <c r="Z507">
        <v>16614.05</v>
      </c>
      <c r="AA507">
        <v>662203</v>
      </c>
      <c r="AB507">
        <v>664562</v>
      </c>
      <c r="AC507" s="11">
        <v>46184</v>
      </c>
      <c r="AD507" s="11">
        <v>46222</v>
      </c>
      <c r="AE507" t="s">
        <v>2226</v>
      </c>
      <c r="AF507" t="s">
        <v>2182</v>
      </c>
      <c r="AG507" t="s">
        <v>2183</v>
      </c>
      <c r="AH507">
        <v>1020000.01</v>
      </c>
      <c r="AI507">
        <v>128642</v>
      </c>
      <c r="AJ507" t="s">
        <v>2054</v>
      </c>
    </row>
    <row r="508" spans="1:36" hidden="1" x14ac:dyDescent="0.2">
      <c r="A508" t="s">
        <v>2399</v>
      </c>
      <c r="B508" t="s">
        <v>175</v>
      </c>
      <c r="C508" t="s">
        <v>2509</v>
      </c>
      <c r="D508" t="s">
        <v>326</v>
      </c>
      <c r="E508">
        <v>257639</v>
      </c>
      <c r="F508" t="s">
        <v>2216</v>
      </c>
      <c r="G508">
        <v>8002</v>
      </c>
      <c r="H508">
        <v>589579</v>
      </c>
      <c r="I508" t="s">
        <v>613</v>
      </c>
      <c r="J508" s="11">
        <v>46184</v>
      </c>
      <c r="K508" s="11">
        <v>46222</v>
      </c>
      <c r="L508" t="s">
        <v>2223</v>
      </c>
      <c r="M508" t="s">
        <v>1850</v>
      </c>
      <c r="N508">
        <v>25</v>
      </c>
      <c r="O508">
        <v>500000</v>
      </c>
      <c r="P508">
        <v>12500</v>
      </c>
      <c r="Q508" t="s">
        <v>2201</v>
      </c>
      <c r="R508" t="s">
        <v>2179</v>
      </c>
      <c r="S508">
        <v>0</v>
      </c>
      <c r="T508">
        <v>0</v>
      </c>
      <c r="U508" t="s">
        <v>2179</v>
      </c>
      <c r="V508">
        <v>217758</v>
      </c>
      <c r="W508" t="s">
        <v>2180</v>
      </c>
      <c r="X508">
        <v>5443.95</v>
      </c>
      <c r="Y508">
        <v>5443.95</v>
      </c>
      <c r="Z508">
        <v>5443.95</v>
      </c>
      <c r="AA508">
        <v>217055</v>
      </c>
      <c r="AB508">
        <v>217758</v>
      </c>
      <c r="AC508" s="11">
        <v>46184</v>
      </c>
      <c r="AD508" s="11">
        <v>46222</v>
      </c>
      <c r="AE508" t="s">
        <v>2226</v>
      </c>
      <c r="AF508" t="s">
        <v>2182</v>
      </c>
      <c r="AG508" t="s">
        <v>2183</v>
      </c>
      <c r="AH508">
        <v>1020000.01</v>
      </c>
      <c r="AI508">
        <v>128642</v>
      </c>
      <c r="AJ508" t="s">
        <v>2054</v>
      </c>
    </row>
    <row r="509" spans="1:36" hidden="1" x14ac:dyDescent="0.2">
      <c r="A509" t="s">
        <v>2399</v>
      </c>
      <c r="B509" t="s">
        <v>175</v>
      </c>
      <c r="C509" t="s">
        <v>2509</v>
      </c>
      <c r="D509" t="s">
        <v>326</v>
      </c>
      <c r="E509">
        <v>257639</v>
      </c>
      <c r="F509" t="s">
        <v>2219</v>
      </c>
      <c r="G509">
        <v>7998</v>
      </c>
      <c r="H509">
        <v>589581</v>
      </c>
      <c r="I509" t="s">
        <v>599</v>
      </c>
      <c r="J509" s="11">
        <v>46184</v>
      </c>
      <c r="K509" s="11">
        <v>46222</v>
      </c>
      <c r="L509" t="s">
        <v>2223</v>
      </c>
      <c r="M509" t="s">
        <v>1850</v>
      </c>
      <c r="N509">
        <v>20</v>
      </c>
      <c r="O509">
        <v>1365000</v>
      </c>
      <c r="P509">
        <v>27300</v>
      </c>
      <c r="Q509" t="s">
        <v>2178</v>
      </c>
      <c r="R509" t="s">
        <v>2179</v>
      </c>
      <c r="S509">
        <v>0</v>
      </c>
      <c r="T509">
        <v>0</v>
      </c>
      <c r="U509" t="s">
        <v>2179</v>
      </c>
      <c r="V509">
        <v>753238</v>
      </c>
      <c r="W509" t="s">
        <v>2180</v>
      </c>
      <c r="X509">
        <v>15064.76</v>
      </c>
      <c r="Y509">
        <v>15064.76</v>
      </c>
      <c r="Z509">
        <v>15064.76</v>
      </c>
      <c r="AA509">
        <v>740465</v>
      </c>
      <c r="AB509">
        <v>753238</v>
      </c>
      <c r="AC509" s="11">
        <v>46184</v>
      </c>
      <c r="AD509" s="11">
        <v>46222</v>
      </c>
      <c r="AE509" t="s">
        <v>2226</v>
      </c>
      <c r="AF509" t="s">
        <v>2182</v>
      </c>
      <c r="AG509" t="s">
        <v>2183</v>
      </c>
      <c r="AH509">
        <v>1020000.01</v>
      </c>
      <c r="AI509">
        <v>128642</v>
      </c>
      <c r="AJ509" t="s">
        <v>2054</v>
      </c>
    </row>
    <row r="510" spans="1:36" hidden="1" x14ac:dyDescent="0.2">
      <c r="A510" t="s">
        <v>2399</v>
      </c>
      <c r="B510" t="s">
        <v>175</v>
      </c>
      <c r="C510" t="s">
        <v>2509</v>
      </c>
      <c r="D510" t="s">
        <v>326</v>
      </c>
      <c r="E510">
        <v>257639</v>
      </c>
      <c r="F510" t="s">
        <v>2219</v>
      </c>
      <c r="G510">
        <v>7998</v>
      </c>
      <c r="H510">
        <v>589584</v>
      </c>
      <c r="I510" t="s">
        <v>604</v>
      </c>
      <c r="J510" s="11">
        <v>46184</v>
      </c>
      <c r="K510" s="11">
        <v>46222</v>
      </c>
      <c r="L510" t="s">
        <v>2223</v>
      </c>
      <c r="M510" t="s">
        <v>1850</v>
      </c>
      <c r="N510">
        <v>20</v>
      </c>
      <c r="O510">
        <v>1852500</v>
      </c>
      <c r="P510">
        <v>37050</v>
      </c>
      <c r="Q510" t="s">
        <v>2178</v>
      </c>
      <c r="R510" t="s">
        <v>2179</v>
      </c>
      <c r="S510">
        <v>0</v>
      </c>
      <c r="T510">
        <v>0</v>
      </c>
      <c r="U510" t="s">
        <v>2179</v>
      </c>
      <c r="V510">
        <v>1024821</v>
      </c>
      <c r="W510" t="s">
        <v>2180</v>
      </c>
      <c r="X510">
        <v>20496.419999999998</v>
      </c>
      <c r="Y510">
        <v>20496.419999999998</v>
      </c>
      <c r="Z510">
        <v>20496.419999999998</v>
      </c>
      <c r="AA510">
        <v>1015168</v>
      </c>
      <c r="AB510">
        <v>1024821</v>
      </c>
      <c r="AC510" s="11">
        <v>46184</v>
      </c>
      <c r="AD510" s="11">
        <v>46222</v>
      </c>
      <c r="AE510" t="s">
        <v>2226</v>
      </c>
      <c r="AF510" t="s">
        <v>2182</v>
      </c>
      <c r="AG510" t="s">
        <v>2183</v>
      </c>
      <c r="AH510">
        <v>1020000.01</v>
      </c>
      <c r="AI510">
        <v>128642</v>
      </c>
      <c r="AJ510" t="s">
        <v>2054</v>
      </c>
    </row>
    <row r="511" spans="1:36" hidden="1" x14ac:dyDescent="0.2">
      <c r="A511" t="s">
        <v>2399</v>
      </c>
      <c r="B511" t="s">
        <v>175</v>
      </c>
      <c r="C511" t="s">
        <v>2509</v>
      </c>
      <c r="D511" t="s">
        <v>326</v>
      </c>
      <c r="E511">
        <v>257639</v>
      </c>
      <c r="F511" t="s">
        <v>2219</v>
      </c>
      <c r="G511">
        <v>7998</v>
      </c>
      <c r="H511">
        <v>589587</v>
      </c>
      <c r="I511" t="s">
        <v>612</v>
      </c>
      <c r="J511" s="11">
        <v>46184</v>
      </c>
      <c r="K511" s="11">
        <v>46222</v>
      </c>
      <c r="L511" t="s">
        <v>2223</v>
      </c>
      <c r="M511" t="s">
        <v>1850</v>
      </c>
      <c r="N511">
        <v>20</v>
      </c>
      <c r="O511">
        <v>3022500</v>
      </c>
      <c r="P511">
        <v>60450</v>
      </c>
      <c r="Q511" t="s">
        <v>2178</v>
      </c>
      <c r="R511" t="s">
        <v>2179</v>
      </c>
      <c r="S511">
        <v>0</v>
      </c>
      <c r="T511">
        <v>0</v>
      </c>
      <c r="U511" t="s">
        <v>2179</v>
      </c>
      <c r="V511">
        <v>1669773</v>
      </c>
      <c r="W511" t="s">
        <v>2180</v>
      </c>
      <c r="X511">
        <v>33395.46</v>
      </c>
      <c r="Y511">
        <v>33395.46</v>
      </c>
      <c r="Z511">
        <v>33395.46</v>
      </c>
      <c r="AA511">
        <v>1665859</v>
      </c>
      <c r="AB511">
        <v>1669773</v>
      </c>
      <c r="AC511" s="11">
        <v>46184</v>
      </c>
      <c r="AD511" s="11">
        <v>46222</v>
      </c>
      <c r="AE511" t="s">
        <v>2226</v>
      </c>
      <c r="AF511" t="s">
        <v>2182</v>
      </c>
      <c r="AG511" t="s">
        <v>2183</v>
      </c>
      <c r="AH511">
        <v>1020000.01</v>
      </c>
      <c r="AI511">
        <v>128642</v>
      </c>
      <c r="AJ511" t="s">
        <v>2054</v>
      </c>
    </row>
    <row r="512" spans="1:36" hidden="1" x14ac:dyDescent="0.2">
      <c r="A512" t="s">
        <v>2399</v>
      </c>
      <c r="B512" t="s">
        <v>175</v>
      </c>
      <c r="C512" t="s">
        <v>2509</v>
      </c>
      <c r="D512" t="s">
        <v>326</v>
      </c>
      <c r="E512">
        <v>257639</v>
      </c>
      <c r="F512" t="s">
        <v>2219</v>
      </c>
      <c r="G512">
        <v>7998</v>
      </c>
      <c r="H512">
        <v>589590</v>
      </c>
      <c r="I512" t="s">
        <v>611</v>
      </c>
      <c r="J512" s="11">
        <v>46184</v>
      </c>
      <c r="K512" s="11">
        <v>46222</v>
      </c>
      <c r="L512" t="s">
        <v>2223</v>
      </c>
      <c r="M512" t="s">
        <v>1850</v>
      </c>
      <c r="N512">
        <v>20</v>
      </c>
      <c r="O512">
        <v>975000</v>
      </c>
      <c r="P512">
        <v>19500</v>
      </c>
      <c r="Q512" t="s">
        <v>2178</v>
      </c>
      <c r="R512" t="s">
        <v>2179</v>
      </c>
      <c r="S512">
        <v>0</v>
      </c>
      <c r="T512">
        <v>0</v>
      </c>
      <c r="U512" t="s">
        <v>2179</v>
      </c>
      <c r="V512">
        <v>539665</v>
      </c>
      <c r="W512" t="s">
        <v>2180</v>
      </c>
      <c r="X512">
        <v>10793.3</v>
      </c>
      <c r="Y512">
        <v>10793.3</v>
      </c>
      <c r="Z512">
        <v>10793.3</v>
      </c>
      <c r="AA512">
        <v>525208</v>
      </c>
      <c r="AB512">
        <v>539665</v>
      </c>
      <c r="AC512" s="11">
        <v>46184</v>
      </c>
      <c r="AD512" s="11">
        <v>46222</v>
      </c>
      <c r="AE512" t="s">
        <v>2226</v>
      </c>
      <c r="AF512" t="s">
        <v>2182</v>
      </c>
      <c r="AG512" t="s">
        <v>2183</v>
      </c>
      <c r="AH512">
        <v>1020000.01</v>
      </c>
      <c r="AI512">
        <v>128642</v>
      </c>
      <c r="AJ512" t="s">
        <v>2054</v>
      </c>
    </row>
    <row r="513" spans="1:36" hidden="1" x14ac:dyDescent="0.2">
      <c r="A513" t="s">
        <v>2399</v>
      </c>
      <c r="B513" t="s">
        <v>175</v>
      </c>
      <c r="C513" t="s">
        <v>2509</v>
      </c>
      <c r="D513" t="s">
        <v>326</v>
      </c>
      <c r="E513">
        <v>257639</v>
      </c>
      <c r="F513" t="s">
        <v>2218</v>
      </c>
      <c r="G513">
        <v>8000</v>
      </c>
      <c r="H513">
        <v>589593</v>
      </c>
      <c r="I513" t="s">
        <v>843</v>
      </c>
      <c r="J513" s="11">
        <v>46184</v>
      </c>
      <c r="K513" s="11">
        <v>46222</v>
      </c>
      <c r="L513" t="s">
        <v>2213</v>
      </c>
      <c r="M513" t="s">
        <v>2205</v>
      </c>
      <c r="N513">
        <v>42000</v>
      </c>
      <c r="O513">
        <v>3</v>
      </c>
      <c r="P513">
        <v>42000</v>
      </c>
      <c r="Q513" t="s">
        <v>1987</v>
      </c>
      <c r="R513" t="s">
        <v>2206</v>
      </c>
      <c r="S513">
        <v>2</v>
      </c>
      <c r="T513">
        <v>21538.461599999999</v>
      </c>
      <c r="U513" t="s">
        <v>2206</v>
      </c>
      <c r="V513">
        <v>2</v>
      </c>
      <c r="W513" t="s">
        <v>2180</v>
      </c>
      <c r="X513">
        <v>21538.461599999999</v>
      </c>
      <c r="Y513">
        <v>21538.461599999999</v>
      </c>
      <c r="Z513">
        <v>21538.461599999999</v>
      </c>
      <c r="AC513" s="11">
        <v>46184</v>
      </c>
      <c r="AD513" s="11">
        <v>46222</v>
      </c>
      <c r="AE513" t="s">
        <v>2226</v>
      </c>
      <c r="AF513" t="s">
        <v>2182</v>
      </c>
      <c r="AG513" t="s">
        <v>2183</v>
      </c>
      <c r="AH513">
        <v>1020000.01</v>
      </c>
      <c r="AI513">
        <v>128642</v>
      </c>
      <c r="AJ513" t="s">
        <v>2054</v>
      </c>
    </row>
    <row r="514" spans="1:36" hidden="1" x14ac:dyDescent="0.2">
      <c r="A514" t="s">
        <v>2399</v>
      </c>
      <c r="B514" t="s">
        <v>175</v>
      </c>
      <c r="C514" t="s">
        <v>2509</v>
      </c>
      <c r="D514" t="s">
        <v>326</v>
      </c>
      <c r="E514">
        <v>257639</v>
      </c>
      <c r="F514" t="s">
        <v>2218</v>
      </c>
      <c r="G514">
        <v>8000</v>
      </c>
      <c r="H514">
        <v>589597</v>
      </c>
      <c r="I514" t="s">
        <v>842</v>
      </c>
      <c r="J514" s="11">
        <v>46184</v>
      </c>
      <c r="K514" s="11">
        <v>46222</v>
      </c>
      <c r="L514" t="s">
        <v>2213</v>
      </c>
      <c r="M514" t="s">
        <v>2205</v>
      </c>
      <c r="N514">
        <v>57000</v>
      </c>
      <c r="O514">
        <v>3</v>
      </c>
      <c r="P514">
        <v>57000</v>
      </c>
      <c r="Q514" t="s">
        <v>1987</v>
      </c>
      <c r="R514" t="s">
        <v>2206</v>
      </c>
      <c r="S514">
        <v>2</v>
      </c>
      <c r="T514">
        <v>29230.7693</v>
      </c>
      <c r="U514" t="s">
        <v>2206</v>
      </c>
      <c r="V514">
        <v>2</v>
      </c>
      <c r="W514" t="s">
        <v>2180</v>
      </c>
      <c r="X514">
        <v>29230.7693</v>
      </c>
      <c r="Y514">
        <v>29230.7693</v>
      </c>
      <c r="Z514">
        <v>29230.7693</v>
      </c>
      <c r="AC514" s="11">
        <v>46184</v>
      </c>
      <c r="AD514" s="11">
        <v>46222</v>
      </c>
      <c r="AE514" t="s">
        <v>2226</v>
      </c>
      <c r="AF514" t="s">
        <v>2182</v>
      </c>
      <c r="AG514" t="s">
        <v>2183</v>
      </c>
      <c r="AH514">
        <v>1020000.01</v>
      </c>
      <c r="AI514">
        <v>128642</v>
      </c>
      <c r="AJ514" t="s">
        <v>2054</v>
      </c>
    </row>
    <row r="515" spans="1:36" hidden="1" x14ac:dyDescent="0.2">
      <c r="A515" t="s">
        <v>2399</v>
      </c>
      <c r="B515" t="s">
        <v>175</v>
      </c>
      <c r="C515" t="s">
        <v>2509</v>
      </c>
      <c r="D515" t="s">
        <v>326</v>
      </c>
      <c r="E515">
        <v>257639</v>
      </c>
      <c r="F515" t="s">
        <v>2218</v>
      </c>
      <c r="G515">
        <v>8000</v>
      </c>
      <c r="H515">
        <v>589601</v>
      </c>
      <c r="I515" t="s">
        <v>905</v>
      </c>
      <c r="J515" s="11">
        <v>46184</v>
      </c>
      <c r="K515" s="11">
        <v>46222</v>
      </c>
      <c r="L515" t="s">
        <v>2213</v>
      </c>
      <c r="M515" t="s">
        <v>2205</v>
      </c>
      <c r="N515">
        <v>93000</v>
      </c>
      <c r="O515">
        <v>3</v>
      </c>
      <c r="P515">
        <v>93000</v>
      </c>
      <c r="Q515" t="s">
        <v>1987</v>
      </c>
      <c r="R515" t="s">
        <v>2206</v>
      </c>
      <c r="S515">
        <v>2</v>
      </c>
      <c r="T515">
        <v>47692.307699999998</v>
      </c>
      <c r="U515" t="s">
        <v>2206</v>
      </c>
      <c r="V515">
        <v>2</v>
      </c>
      <c r="W515" t="s">
        <v>2180</v>
      </c>
      <c r="X515">
        <v>47692.307699999998</v>
      </c>
      <c r="Y515">
        <v>47692.307699999998</v>
      </c>
      <c r="Z515">
        <v>47692.307699999998</v>
      </c>
      <c r="AC515" s="11">
        <v>46184</v>
      </c>
      <c r="AD515" s="11">
        <v>46222</v>
      </c>
      <c r="AE515" t="s">
        <v>2226</v>
      </c>
      <c r="AF515" t="s">
        <v>2182</v>
      </c>
      <c r="AG515" t="s">
        <v>2183</v>
      </c>
      <c r="AH515">
        <v>1020000.01</v>
      </c>
      <c r="AI515">
        <v>128642</v>
      </c>
      <c r="AJ515" t="s">
        <v>2054</v>
      </c>
    </row>
    <row r="516" spans="1:36" hidden="1" x14ac:dyDescent="0.2">
      <c r="A516" t="s">
        <v>2399</v>
      </c>
      <c r="B516" t="s">
        <v>175</v>
      </c>
      <c r="C516" t="s">
        <v>2509</v>
      </c>
      <c r="D516" t="s">
        <v>326</v>
      </c>
      <c r="E516">
        <v>257639</v>
      </c>
      <c r="F516" t="s">
        <v>2218</v>
      </c>
      <c r="G516">
        <v>8000</v>
      </c>
      <c r="H516">
        <v>589605</v>
      </c>
      <c r="I516" t="s">
        <v>834</v>
      </c>
      <c r="J516" s="11">
        <v>46184</v>
      </c>
      <c r="K516" s="11">
        <v>46222</v>
      </c>
      <c r="L516" t="s">
        <v>2213</v>
      </c>
      <c r="M516" t="s">
        <v>2205</v>
      </c>
      <c r="N516">
        <v>30000</v>
      </c>
      <c r="O516">
        <v>3</v>
      </c>
      <c r="P516">
        <v>30000</v>
      </c>
      <c r="Q516" t="s">
        <v>1987</v>
      </c>
      <c r="R516" t="s">
        <v>2206</v>
      </c>
      <c r="S516">
        <v>2</v>
      </c>
      <c r="T516">
        <v>15384.615400000001</v>
      </c>
      <c r="U516" t="s">
        <v>2206</v>
      </c>
      <c r="V516">
        <v>2</v>
      </c>
      <c r="W516" t="s">
        <v>2180</v>
      </c>
      <c r="X516">
        <v>15384.615400000001</v>
      </c>
      <c r="Y516">
        <v>15384.615400000001</v>
      </c>
      <c r="Z516">
        <v>15384.615400000001</v>
      </c>
      <c r="AC516" s="11">
        <v>46184</v>
      </c>
      <c r="AD516" s="11">
        <v>46222</v>
      </c>
      <c r="AE516" t="s">
        <v>2226</v>
      </c>
      <c r="AF516" t="s">
        <v>2182</v>
      </c>
      <c r="AG516" t="s">
        <v>2183</v>
      </c>
      <c r="AH516">
        <v>1020000.01</v>
      </c>
      <c r="AI516">
        <v>128642</v>
      </c>
      <c r="AJ516" t="s">
        <v>2054</v>
      </c>
    </row>
    <row r="517" spans="1:36" hidden="1" x14ac:dyDescent="0.2">
      <c r="A517" t="s">
        <v>2190</v>
      </c>
      <c r="B517" t="s">
        <v>164</v>
      </c>
      <c r="C517" t="s">
        <v>2510</v>
      </c>
      <c r="D517" t="s">
        <v>306</v>
      </c>
      <c r="E517">
        <v>258952</v>
      </c>
      <c r="F517" t="s">
        <v>2215</v>
      </c>
      <c r="G517">
        <v>8005</v>
      </c>
      <c r="H517">
        <v>582543</v>
      </c>
      <c r="I517" t="s">
        <v>561</v>
      </c>
      <c r="J517" s="11">
        <v>46174</v>
      </c>
      <c r="K517" s="11">
        <v>46203</v>
      </c>
      <c r="L517" t="s">
        <v>2177</v>
      </c>
      <c r="M517" t="s">
        <v>1850</v>
      </c>
      <c r="N517">
        <v>30</v>
      </c>
      <c r="O517">
        <v>3750000</v>
      </c>
      <c r="P517">
        <v>112500</v>
      </c>
      <c r="Q517" t="s">
        <v>2178</v>
      </c>
      <c r="R517" t="s">
        <v>2179</v>
      </c>
      <c r="S517">
        <v>0</v>
      </c>
      <c r="T517">
        <v>0</v>
      </c>
      <c r="U517" t="s">
        <v>2179</v>
      </c>
      <c r="V517">
        <v>3750000</v>
      </c>
      <c r="W517" t="s">
        <v>2180</v>
      </c>
      <c r="X517">
        <v>112500</v>
      </c>
      <c r="Y517">
        <v>112500</v>
      </c>
      <c r="Z517">
        <v>112500</v>
      </c>
      <c r="AA517">
        <v>3832520</v>
      </c>
      <c r="AB517">
        <v>3823883</v>
      </c>
      <c r="AC517" s="11">
        <v>46174</v>
      </c>
      <c r="AD517" s="11">
        <v>46203</v>
      </c>
      <c r="AE517" t="s">
        <v>2193</v>
      </c>
      <c r="AF517" t="s">
        <v>2182</v>
      </c>
      <c r="AG517" t="s">
        <v>2183</v>
      </c>
      <c r="AH517">
        <v>1400000.02</v>
      </c>
      <c r="AI517">
        <v>128160</v>
      </c>
      <c r="AJ517" t="s">
        <v>2057</v>
      </c>
    </row>
    <row r="518" spans="1:36" hidden="1" x14ac:dyDescent="0.2">
      <c r="A518" t="s">
        <v>2190</v>
      </c>
      <c r="B518" t="s">
        <v>164</v>
      </c>
      <c r="C518" t="s">
        <v>2510</v>
      </c>
      <c r="D518" t="s">
        <v>306</v>
      </c>
      <c r="E518">
        <v>258952</v>
      </c>
      <c r="F518" t="s">
        <v>2218</v>
      </c>
      <c r="G518">
        <v>8000</v>
      </c>
      <c r="H518">
        <v>582735</v>
      </c>
      <c r="I518" t="s">
        <v>862</v>
      </c>
      <c r="J518" s="11">
        <v>46174</v>
      </c>
      <c r="K518" s="11">
        <v>46203</v>
      </c>
      <c r="L518" t="s">
        <v>2213</v>
      </c>
      <c r="M518" t="s">
        <v>2205</v>
      </c>
      <c r="N518">
        <v>450000</v>
      </c>
      <c r="O518">
        <v>3</v>
      </c>
      <c r="P518">
        <v>450000</v>
      </c>
      <c r="Q518" t="s">
        <v>1987</v>
      </c>
      <c r="R518" t="s">
        <v>2206</v>
      </c>
      <c r="S518">
        <v>3</v>
      </c>
      <c r="T518">
        <v>450000</v>
      </c>
      <c r="U518" t="s">
        <v>2206</v>
      </c>
      <c r="V518">
        <v>3</v>
      </c>
      <c r="W518" t="s">
        <v>2180</v>
      </c>
      <c r="X518">
        <v>450000</v>
      </c>
      <c r="Y518">
        <v>450000</v>
      </c>
      <c r="Z518">
        <v>450000</v>
      </c>
      <c r="AC518" s="11">
        <v>46174</v>
      </c>
      <c r="AD518" s="11">
        <v>46203</v>
      </c>
      <c r="AE518" t="s">
        <v>2193</v>
      </c>
      <c r="AF518" t="s">
        <v>2182</v>
      </c>
      <c r="AG518" t="s">
        <v>2183</v>
      </c>
      <c r="AH518">
        <v>1400000.02</v>
      </c>
      <c r="AI518">
        <v>128160</v>
      </c>
      <c r="AJ518" t="s">
        <v>2057</v>
      </c>
    </row>
    <row r="519" spans="1:36" hidden="1" x14ac:dyDescent="0.2">
      <c r="A519" t="s">
        <v>2190</v>
      </c>
      <c r="B519" t="s">
        <v>164</v>
      </c>
      <c r="C519" t="s">
        <v>2510</v>
      </c>
      <c r="D519" t="s">
        <v>306</v>
      </c>
      <c r="E519">
        <v>258952</v>
      </c>
      <c r="F519" t="s">
        <v>2218</v>
      </c>
      <c r="G519">
        <v>8000</v>
      </c>
      <c r="H519">
        <v>582741</v>
      </c>
      <c r="I519" t="s">
        <v>881</v>
      </c>
      <c r="J519" s="11">
        <v>46174</v>
      </c>
      <c r="K519" s="11">
        <v>46203</v>
      </c>
      <c r="L519" t="s">
        <v>2213</v>
      </c>
      <c r="M519" t="s">
        <v>2205</v>
      </c>
      <c r="N519">
        <v>425000</v>
      </c>
      <c r="O519">
        <v>1</v>
      </c>
      <c r="P519">
        <v>425000</v>
      </c>
      <c r="Q519" t="s">
        <v>1987</v>
      </c>
      <c r="R519" t="s">
        <v>2206</v>
      </c>
      <c r="S519">
        <v>1</v>
      </c>
      <c r="T519">
        <v>425000</v>
      </c>
      <c r="U519" t="s">
        <v>2206</v>
      </c>
      <c r="V519">
        <v>1</v>
      </c>
      <c r="W519" t="s">
        <v>2180</v>
      </c>
      <c r="X519">
        <v>425000</v>
      </c>
      <c r="Y519">
        <v>425000</v>
      </c>
      <c r="Z519">
        <v>425000</v>
      </c>
      <c r="AC519" s="11">
        <v>46174</v>
      </c>
      <c r="AD519" s="11">
        <v>46203</v>
      </c>
      <c r="AE519" t="s">
        <v>2193</v>
      </c>
      <c r="AF519" t="s">
        <v>2182</v>
      </c>
      <c r="AG519" t="s">
        <v>2183</v>
      </c>
      <c r="AH519">
        <v>1400000.02</v>
      </c>
      <c r="AI519">
        <v>128160</v>
      </c>
      <c r="AJ519" t="s">
        <v>2057</v>
      </c>
    </row>
    <row r="520" spans="1:36" hidden="1" x14ac:dyDescent="0.2">
      <c r="A520" t="s">
        <v>2190</v>
      </c>
      <c r="B520" t="s">
        <v>164</v>
      </c>
      <c r="C520" t="s">
        <v>2510</v>
      </c>
      <c r="D520" t="s">
        <v>306</v>
      </c>
      <c r="E520">
        <v>258952</v>
      </c>
      <c r="F520" t="s">
        <v>2215</v>
      </c>
      <c r="G520">
        <v>8005</v>
      </c>
      <c r="H520">
        <v>582751</v>
      </c>
      <c r="I520" t="s">
        <v>563</v>
      </c>
      <c r="J520" s="11">
        <v>46174</v>
      </c>
      <c r="K520" s="11">
        <v>46203</v>
      </c>
      <c r="L520" t="s">
        <v>2177</v>
      </c>
      <c r="M520" t="s">
        <v>1850</v>
      </c>
      <c r="N520">
        <v>28</v>
      </c>
      <c r="O520">
        <v>1339286</v>
      </c>
      <c r="P520">
        <v>37500.01</v>
      </c>
      <c r="Q520" t="s">
        <v>2178</v>
      </c>
      <c r="R520" t="s">
        <v>2179</v>
      </c>
      <c r="S520">
        <v>0</v>
      </c>
      <c r="T520">
        <v>0</v>
      </c>
      <c r="U520" t="s">
        <v>2179</v>
      </c>
      <c r="V520">
        <v>1339286</v>
      </c>
      <c r="W520" t="s">
        <v>2180</v>
      </c>
      <c r="X520">
        <v>37500.01</v>
      </c>
      <c r="Y520">
        <v>37500.01</v>
      </c>
      <c r="Z520">
        <v>37500.01</v>
      </c>
      <c r="AA520">
        <v>1348134</v>
      </c>
      <c r="AB520">
        <v>1344905</v>
      </c>
      <c r="AC520" s="11">
        <v>46174</v>
      </c>
      <c r="AD520" s="11">
        <v>46203</v>
      </c>
      <c r="AE520" t="s">
        <v>2193</v>
      </c>
      <c r="AF520" t="s">
        <v>2182</v>
      </c>
      <c r="AG520" t="s">
        <v>2183</v>
      </c>
      <c r="AH520">
        <v>1400000.02</v>
      </c>
      <c r="AI520">
        <v>128160</v>
      </c>
      <c r="AJ520" t="s">
        <v>2057</v>
      </c>
    </row>
    <row r="521" spans="1:36" hidden="1" x14ac:dyDescent="0.2">
      <c r="A521" t="s">
        <v>2190</v>
      </c>
      <c r="B521" t="s">
        <v>164</v>
      </c>
      <c r="C521" t="s">
        <v>2510</v>
      </c>
      <c r="D521" t="s">
        <v>306</v>
      </c>
      <c r="E521">
        <v>258952</v>
      </c>
      <c r="F521" t="s">
        <v>2215</v>
      </c>
      <c r="G521">
        <v>8005</v>
      </c>
      <c r="H521">
        <v>587736</v>
      </c>
      <c r="I521" t="s">
        <v>560</v>
      </c>
      <c r="J521" s="11">
        <v>46174</v>
      </c>
      <c r="K521" s="11">
        <v>46203</v>
      </c>
      <c r="L521" t="s">
        <v>2177</v>
      </c>
      <c r="M521" t="s">
        <v>1850</v>
      </c>
      <c r="N521">
        <v>30</v>
      </c>
      <c r="O521">
        <v>6000000</v>
      </c>
      <c r="P521">
        <v>180000</v>
      </c>
      <c r="Q521" t="s">
        <v>2178</v>
      </c>
      <c r="R521" t="s">
        <v>2179</v>
      </c>
      <c r="S521">
        <v>0</v>
      </c>
      <c r="T521">
        <v>0</v>
      </c>
      <c r="U521" t="s">
        <v>2179</v>
      </c>
      <c r="V521">
        <v>6000000</v>
      </c>
      <c r="W521" t="s">
        <v>2180</v>
      </c>
      <c r="X521">
        <v>180000</v>
      </c>
      <c r="Y521">
        <v>180000</v>
      </c>
      <c r="Z521">
        <v>180000</v>
      </c>
      <c r="AA521">
        <v>6130799</v>
      </c>
      <c r="AB521">
        <v>6113783</v>
      </c>
      <c r="AC521" s="11">
        <v>46174</v>
      </c>
      <c r="AD521" s="11">
        <v>46203</v>
      </c>
      <c r="AE521" t="s">
        <v>2193</v>
      </c>
      <c r="AF521" t="s">
        <v>2182</v>
      </c>
      <c r="AG521" t="s">
        <v>2183</v>
      </c>
      <c r="AH521">
        <v>1400000.02</v>
      </c>
      <c r="AI521">
        <v>128160</v>
      </c>
      <c r="AJ521" t="s">
        <v>2057</v>
      </c>
    </row>
    <row r="522" spans="1:36" hidden="1" x14ac:dyDescent="0.2">
      <c r="A522" t="s">
        <v>2190</v>
      </c>
      <c r="B522" t="s">
        <v>164</v>
      </c>
      <c r="C522" t="s">
        <v>2510</v>
      </c>
      <c r="D522" t="s">
        <v>306</v>
      </c>
      <c r="E522">
        <v>258952</v>
      </c>
      <c r="F522" t="s">
        <v>2215</v>
      </c>
      <c r="G522">
        <v>8005</v>
      </c>
      <c r="H522">
        <v>587739</v>
      </c>
      <c r="I522" t="s">
        <v>559</v>
      </c>
      <c r="J522" s="11">
        <v>46174</v>
      </c>
      <c r="K522" s="11">
        <v>46203</v>
      </c>
      <c r="L522" t="s">
        <v>2177</v>
      </c>
      <c r="M522" t="s">
        <v>1850</v>
      </c>
      <c r="N522">
        <v>30</v>
      </c>
      <c r="O522">
        <v>5250000</v>
      </c>
      <c r="P522">
        <v>157500</v>
      </c>
      <c r="Q522" t="s">
        <v>2178</v>
      </c>
      <c r="R522" t="s">
        <v>2179</v>
      </c>
      <c r="S522">
        <v>0</v>
      </c>
      <c r="T522">
        <v>0</v>
      </c>
      <c r="U522" t="s">
        <v>2179</v>
      </c>
      <c r="V522">
        <v>5250000</v>
      </c>
      <c r="W522" t="s">
        <v>2180</v>
      </c>
      <c r="X522">
        <v>157500</v>
      </c>
      <c r="Y522">
        <v>157500</v>
      </c>
      <c r="Z522">
        <v>157500</v>
      </c>
      <c r="AA522">
        <v>5365342</v>
      </c>
      <c r="AB522">
        <v>5349751</v>
      </c>
      <c r="AC522" s="11">
        <v>46174</v>
      </c>
      <c r="AD522" s="11">
        <v>46203</v>
      </c>
      <c r="AE522" t="s">
        <v>2193</v>
      </c>
      <c r="AF522" t="s">
        <v>2182</v>
      </c>
      <c r="AG522" t="s">
        <v>2183</v>
      </c>
      <c r="AH522">
        <v>1400000.02</v>
      </c>
      <c r="AI522">
        <v>128160</v>
      </c>
      <c r="AJ522" t="s">
        <v>2057</v>
      </c>
    </row>
    <row r="523" spans="1:36" hidden="1" x14ac:dyDescent="0.2">
      <c r="A523" t="s">
        <v>2190</v>
      </c>
      <c r="B523" t="s">
        <v>164</v>
      </c>
      <c r="C523" t="s">
        <v>2510</v>
      </c>
      <c r="D523" t="s">
        <v>306</v>
      </c>
      <c r="E523">
        <v>258952</v>
      </c>
      <c r="F523" t="s">
        <v>2215</v>
      </c>
      <c r="G523">
        <v>8005</v>
      </c>
      <c r="H523">
        <v>587885</v>
      </c>
      <c r="I523" t="s">
        <v>562</v>
      </c>
      <c r="J523" s="11">
        <v>46174</v>
      </c>
      <c r="K523" s="11">
        <v>46203</v>
      </c>
      <c r="L523" t="s">
        <v>2177</v>
      </c>
      <c r="M523" t="s">
        <v>1850</v>
      </c>
      <c r="N523">
        <v>28</v>
      </c>
      <c r="O523">
        <v>1339286</v>
      </c>
      <c r="P523">
        <v>37500.01</v>
      </c>
      <c r="Q523" t="s">
        <v>2178</v>
      </c>
      <c r="R523" t="s">
        <v>2179</v>
      </c>
      <c r="S523">
        <v>0</v>
      </c>
      <c r="T523">
        <v>0</v>
      </c>
      <c r="U523" t="s">
        <v>2179</v>
      </c>
      <c r="V523">
        <v>1339286</v>
      </c>
      <c r="W523" t="s">
        <v>2180</v>
      </c>
      <c r="X523">
        <v>37500.01</v>
      </c>
      <c r="Y523">
        <v>37500.01</v>
      </c>
      <c r="Z523">
        <v>37500.01</v>
      </c>
      <c r="AA523">
        <v>1348316</v>
      </c>
      <c r="AB523">
        <v>1345733</v>
      </c>
      <c r="AC523" s="11">
        <v>46174</v>
      </c>
      <c r="AD523" s="11">
        <v>46203</v>
      </c>
      <c r="AE523" t="s">
        <v>2193</v>
      </c>
      <c r="AF523" t="s">
        <v>2182</v>
      </c>
      <c r="AG523" t="s">
        <v>2183</v>
      </c>
      <c r="AH523">
        <v>1400000.02</v>
      </c>
      <c r="AI523">
        <v>128160</v>
      </c>
      <c r="AJ523" t="s">
        <v>2057</v>
      </c>
    </row>
    <row r="524" spans="1:36" hidden="1" x14ac:dyDescent="0.2">
      <c r="A524" t="s">
        <v>2194</v>
      </c>
      <c r="B524" t="s">
        <v>176</v>
      </c>
      <c r="C524" t="s">
        <v>2330</v>
      </c>
      <c r="D524" t="s">
        <v>350</v>
      </c>
      <c r="E524">
        <v>259143</v>
      </c>
      <c r="F524" t="s">
        <v>2215</v>
      </c>
      <c r="G524">
        <v>8005</v>
      </c>
      <c r="H524">
        <v>581420</v>
      </c>
      <c r="I524" t="s">
        <v>650</v>
      </c>
      <c r="J524" s="11">
        <v>46174</v>
      </c>
      <c r="K524" s="11">
        <v>46222</v>
      </c>
      <c r="L524" t="s">
        <v>2254</v>
      </c>
      <c r="M524" t="s">
        <v>1850</v>
      </c>
      <c r="N524">
        <v>40</v>
      </c>
      <c r="O524">
        <v>12500000</v>
      </c>
      <c r="P524">
        <v>500000</v>
      </c>
      <c r="Q524" t="s">
        <v>2178</v>
      </c>
      <c r="R524" t="s">
        <v>2179</v>
      </c>
      <c r="S524">
        <v>0</v>
      </c>
      <c r="T524">
        <v>0</v>
      </c>
      <c r="U524" t="s">
        <v>2179</v>
      </c>
      <c r="V524">
        <v>8000921</v>
      </c>
      <c r="W524" t="s">
        <v>2180</v>
      </c>
      <c r="X524">
        <v>320036.84000000003</v>
      </c>
      <c r="Y524">
        <v>320036.84000000003</v>
      </c>
      <c r="Z524">
        <v>320036.84000000003</v>
      </c>
      <c r="AA524">
        <v>8315849</v>
      </c>
      <c r="AB524">
        <v>8000921</v>
      </c>
      <c r="AC524" s="11">
        <v>46174</v>
      </c>
      <c r="AD524" s="11">
        <v>46222</v>
      </c>
      <c r="AE524" t="s">
        <v>2222</v>
      </c>
      <c r="AF524" t="s">
        <v>2182</v>
      </c>
      <c r="AG524" t="s">
        <v>2183</v>
      </c>
      <c r="AH524">
        <v>500000</v>
      </c>
      <c r="AI524">
        <v>128767</v>
      </c>
      <c r="AJ524" t="s">
        <v>2039</v>
      </c>
    </row>
    <row r="525" spans="1:36" hidden="1" x14ac:dyDescent="0.2">
      <c r="A525" t="s">
        <v>2245</v>
      </c>
      <c r="B525" t="s">
        <v>119</v>
      </c>
      <c r="C525" t="s">
        <v>2246</v>
      </c>
      <c r="D525" t="s">
        <v>235</v>
      </c>
      <c r="E525">
        <v>259419</v>
      </c>
      <c r="F525" t="s">
        <v>2212</v>
      </c>
      <c r="G525">
        <v>2789</v>
      </c>
      <c r="H525">
        <v>556624</v>
      </c>
      <c r="I525" t="s">
        <v>447</v>
      </c>
      <c r="J525" s="11">
        <v>46113</v>
      </c>
      <c r="K525" s="11">
        <v>46203</v>
      </c>
      <c r="L525" t="s">
        <v>2247</v>
      </c>
      <c r="M525" t="s">
        <v>1850</v>
      </c>
      <c r="N525">
        <v>42.4</v>
      </c>
      <c r="O525">
        <v>1415095</v>
      </c>
      <c r="P525">
        <v>60000.03</v>
      </c>
      <c r="Q525" t="s">
        <v>2178</v>
      </c>
      <c r="R525" t="s">
        <v>2179</v>
      </c>
      <c r="S525">
        <v>0</v>
      </c>
      <c r="T525">
        <v>0</v>
      </c>
      <c r="U525" t="s">
        <v>2179</v>
      </c>
      <c r="V525">
        <v>0</v>
      </c>
      <c r="W525" t="s">
        <v>2180</v>
      </c>
      <c r="X525">
        <v>0</v>
      </c>
      <c r="Y525">
        <v>0</v>
      </c>
      <c r="Z525">
        <v>0</v>
      </c>
      <c r="AC525" s="11">
        <v>46113</v>
      </c>
      <c r="AD525" s="11">
        <v>46203</v>
      </c>
      <c r="AE525" t="s">
        <v>2193</v>
      </c>
      <c r="AF525" t="s">
        <v>2182</v>
      </c>
      <c r="AG525" t="s">
        <v>2183</v>
      </c>
      <c r="AH525">
        <v>180000.09</v>
      </c>
      <c r="AI525">
        <v>108718</v>
      </c>
      <c r="AJ525" t="s">
        <v>2046</v>
      </c>
    </row>
    <row r="526" spans="1:36" hidden="1" x14ac:dyDescent="0.2">
      <c r="A526" t="s">
        <v>2377</v>
      </c>
      <c r="B526" t="s">
        <v>134</v>
      </c>
      <c r="C526" t="s">
        <v>2378</v>
      </c>
      <c r="D526" t="s">
        <v>420</v>
      </c>
      <c r="E526">
        <v>261763</v>
      </c>
      <c r="F526" t="s">
        <v>2242</v>
      </c>
      <c r="G526">
        <v>8003</v>
      </c>
      <c r="H526">
        <v>582197</v>
      </c>
      <c r="I526" t="s">
        <v>819</v>
      </c>
      <c r="J526" s="11">
        <v>46192</v>
      </c>
      <c r="K526" s="11">
        <v>46192</v>
      </c>
      <c r="L526" t="s">
        <v>2223</v>
      </c>
      <c r="M526" t="s">
        <v>2243</v>
      </c>
      <c r="N526">
        <v>133333.32999999999</v>
      </c>
      <c r="O526">
        <v>6</v>
      </c>
      <c r="P526">
        <v>800000</v>
      </c>
      <c r="Q526" t="s">
        <v>2244</v>
      </c>
      <c r="R526" t="s">
        <v>2206</v>
      </c>
      <c r="S526">
        <v>6</v>
      </c>
      <c r="T526">
        <v>800000</v>
      </c>
      <c r="U526" t="s">
        <v>2206</v>
      </c>
      <c r="V526">
        <v>6</v>
      </c>
      <c r="W526" t="s">
        <v>2180</v>
      </c>
      <c r="X526">
        <v>800000</v>
      </c>
      <c r="Y526">
        <v>800000</v>
      </c>
      <c r="Z526">
        <v>800000</v>
      </c>
      <c r="AA526">
        <v>0</v>
      </c>
      <c r="AB526">
        <v>0</v>
      </c>
      <c r="AC526" s="11">
        <v>46192</v>
      </c>
      <c r="AD526" s="11">
        <v>46192</v>
      </c>
      <c r="AE526" t="s">
        <v>2226</v>
      </c>
      <c r="AF526" t="s">
        <v>2182</v>
      </c>
      <c r="AG526" t="s">
        <v>2183</v>
      </c>
      <c r="AH526">
        <v>800000</v>
      </c>
      <c r="AI526">
        <v>130400</v>
      </c>
      <c r="AJ526" t="s">
        <v>2054</v>
      </c>
    </row>
    <row r="527" spans="1:36" hidden="1" x14ac:dyDescent="0.2">
      <c r="A527" t="s">
        <v>2321</v>
      </c>
      <c r="B527" t="s">
        <v>156</v>
      </c>
      <c r="C527" t="s">
        <v>2329</v>
      </c>
      <c r="D527" t="s">
        <v>299</v>
      </c>
      <c r="E527">
        <v>262833</v>
      </c>
      <c r="F527" t="s">
        <v>2216</v>
      </c>
      <c r="G527">
        <v>8002</v>
      </c>
      <c r="H527">
        <v>582484</v>
      </c>
      <c r="I527" t="s">
        <v>548</v>
      </c>
      <c r="J527" s="11">
        <v>46174</v>
      </c>
      <c r="K527" s="11">
        <v>46292</v>
      </c>
      <c r="L527" t="s">
        <v>2177</v>
      </c>
      <c r="M527" t="s">
        <v>1850</v>
      </c>
      <c r="N527">
        <v>25</v>
      </c>
      <c r="O527">
        <v>4092600</v>
      </c>
      <c r="P527">
        <v>102315</v>
      </c>
      <c r="Q527" t="s">
        <v>2201</v>
      </c>
      <c r="R527" t="s">
        <v>2179</v>
      </c>
      <c r="S527">
        <v>0</v>
      </c>
      <c r="T527">
        <v>0</v>
      </c>
      <c r="U527" t="s">
        <v>2179</v>
      </c>
      <c r="V527">
        <v>902465</v>
      </c>
      <c r="W527" t="s">
        <v>2180</v>
      </c>
      <c r="X527">
        <v>22561.625</v>
      </c>
      <c r="Y527">
        <v>22561.625</v>
      </c>
      <c r="Z527">
        <v>22561.625</v>
      </c>
      <c r="AA527">
        <v>912754</v>
      </c>
      <c r="AB527">
        <v>902465</v>
      </c>
      <c r="AC527" s="11">
        <v>46174</v>
      </c>
      <c r="AD527" s="11">
        <v>46292</v>
      </c>
      <c r="AE527" t="s">
        <v>2266</v>
      </c>
      <c r="AF527" t="s">
        <v>2182</v>
      </c>
      <c r="AG527" t="s">
        <v>2183</v>
      </c>
      <c r="AH527">
        <v>1039572.18</v>
      </c>
      <c r="AI527">
        <v>127887</v>
      </c>
      <c r="AJ527" t="s">
        <v>2062</v>
      </c>
    </row>
    <row r="528" spans="1:36" hidden="1" x14ac:dyDescent="0.2">
      <c r="A528" t="s">
        <v>2321</v>
      </c>
      <c r="B528" t="s">
        <v>156</v>
      </c>
      <c r="C528" t="s">
        <v>2329</v>
      </c>
      <c r="D528" t="s">
        <v>299</v>
      </c>
      <c r="E528">
        <v>262833</v>
      </c>
      <c r="F528" t="s">
        <v>2215</v>
      </c>
      <c r="G528">
        <v>8005</v>
      </c>
      <c r="H528">
        <v>582486</v>
      </c>
      <c r="I528" t="s">
        <v>547</v>
      </c>
      <c r="J528" s="11">
        <v>46174</v>
      </c>
      <c r="K528" s="11">
        <v>46222</v>
      </c>
      <c r="L528" t="s">
        <v>2177</v>
      </c>
      <c r="M528" t="s">
        <v>1850</v>
      </c>
      <c r="N528">
        <v>40</v>
      </c>
      <c r="O528">
        <v>4720845</v>
      </c>
      <c r="P528">
        <v>188833.8</v>
      </c>
      <c r="Q528" t="s">
        <v>2178</v>
      </c>
      <c r="R528" t="s">
        <v>2179</v>
      </c>
      <c r="S528">
        <v>0</v>
      </c>
      <c r="T528">
        <v>0</v>
      </c>
      <c r="U528" t="s">
        <v>2179</v>
      </c>
      <c r="V528">
        <v>3161356</v>
      </c>
      <c r="W528" t="s">
        <v>2180</v>
      </c>
      <c r="X528">
        <v>126454.24</v>
      </c>
      <c r="Y528">
        <v>126454.24</v>
      </c>
      <c r="Z528">
        <v>126454.24</v>
      </c>
      <c r="AA528">
        <v>3158959</v>
      </c>
      <c r="AB528">
        <v>3161356</v>
      </c>
      <c r="AC528" s="11">
        <v>46174</v>
      </c>
      <c r="AD528" s="11">
        <v>46222</v>
      </c>
      <c r="AE528" t="s">
        <v>2266</v>
      </c>
      <c r="AF528" t="s">
        <v>2182</v>
      </c>
      <c r="AG528" t="s">
        <v>2183</v>
      </c>
      <c r="AH528">
        <v>1039572.18</v>
      </c>
      <c r="AI528">
        <v>127887</v>
      </c>
      <c r="AJ528" t="s">
        <v>2062</v>
      </c>
    </row>
    <row r="529" spans="1:36" hidden="1" x14ac:dyDescent="0.2">
      <c r="A529" t="s">
        <v>2321</v>
      </c>
      <c r="B529" t="s">
        <v>156</v>
      </c>
      <c r="C529" t="s">
        <v>2329</v>
      </c>
      <c r="D529" t="s">
        <v>299</v>
      </c>
      <c r="E529">
        <v>262833</v>
      </c>
      <c r="F529" t="s">
        <v>2219</v>
      </c>
      <c r="G529">
        <v>7998</v>
      </c>
      <c r="H529">
        <v>585346</v>
      </c>
      <c r="I529" t="s">
        <v>546</v>
      </c>
      <c r="J529" s="11">
        <v>46174</v>
      </c>
      <c r="K529" s="11">
        <v>46292</v>
      </c>
      <c r="L529" t="s">
        <v>2177</v>
      </c>
      <c r="M529" t="s">
        <v>1850</v>
      </c>
      <c r="N529">
        <v>20</v>
      </c>
      <c r="O529">
        <v>37421169</v>
      </c>
      <c r="P529">
        <v>748423.38</v>
      </c>
      <c r="Q529" t="s">
        <v>2178</v>
      </c>
      <c r="R529" t="s">
        <v>2179</v>
      </c>
      <c r="S529">
        <v>0</v>
      </c>
      <c r="T529">
        <v>0</v>
      </c>
      <c r="U529" t="s">
        <v>2179</v>
      </c>
      <c r="V529">
        <v>10872412</v>
      </c>
      <c r="W529" t="s">
        <v>2180</v>
      </c>
      <c r="X529">
        <v>217448.24</v>
      </c>
      <c r="Y529">
        <v>217448.24</v>
      </c>
      <c r="Z529">
        <v>217448.24</v>
      </c>
      <c r="AA529">
        <v>10906541</v>
      </c>
      <c r="AB529">
        <v>10872412</v>
      </c>
      <c r="AC529" s="11">
        <v>46174</v>
      </c>
      <c r="AD529" s="11">
        <v>46292</v>
      </c>
      <c r="AE529" t="s">
        <v>2266</v>
      </c>
      <c r="AF529" t="s">
        <v>2182</v>
      </c>
      <c r="AG529" t="s">
        <v>2183</v>
      </c>
      <c r="AH529">
        <v>1039572.18</v>
      </c>
      <c r="AI529">
        <v>127887</v>
      </c>
      <c r="AJ529" t="s">
        <v>2062</v>
      </c>
    </row>
    <row r="530" spans="1:36" hidden="1" x14ac:dyDescent="0.2">
      <c r="A530" t="s">
        <v>2337</v>
      </c>
      <c r="B530" t="s">
        <v>150</v>
      </c>
      <c r="C530" t="s">
        <v>2511</v>
      </c>
      <c r="D530" t="s">
        <v>286</v>
      </c>
      <c r="E530">
        <v>262938</v>
      </c>
      <c r="F530" t="s">
        <v>2215</v>
      </c>
      <c r="G530">
        <v>8005</v>
      </c>
      <c r="H530">
        <v>582615</v>
      </c>
      <c r="I530" t="s">
        <v>524</v>
      </c>
      <c r="J530" s="11">
        <v>46143</v>
      </c>
      <c r="K530" s="11">
        <v>46222</v>
      </c>
      <c r="L530" t="s">
        <v>2177</v>
      </c>
      <c r="M530" t="s">
        <v>1850</v>
      </c>
      <c r="N530">
        <v>36</v>
      </c>
      <c r="O530">
        <v>6573473</v>
      </c>
      <c r="P530">
        <v>236645.03</v>
      </c>
      <c r="Q530" t="s">
        <v>2178</v>
      </c>
      <c r="R530" t="s">
        <v>2179</v>
      </c>
      <c r="S530">
        <v>0</v>
      </c>
      <c r="T530">
        <v>0</v>
      </c>
      <c r="U530" t="s">
        <v>2179</v>
      </c>
      <c r="V530">
        <v>3559422</v>
      </c>
      <c r="W530" t="s">
        <v>2180</v>
      </c>
      <c r="X530">
        <v>128139.192</v>
      </c>
      <c r="Y530">
        <v>128139.192</v>
      </c>
      <c r="Z530">
        <v>128139.192</v>
      </c>
      <c r="AA530">
        <v>3707575</v>
      </c>
      <c r="AB530">
        <v>3559422</v>
      </c>
      <c r="AC530" s="11">
        <v>46143</v>
      </c>
      <c r="AD530" s="11">
        <v>46222</v>
      </c>
      <c r="AE530" t="s">
        <v>2251</v>
      </c>
      <c r="AF530" t="s">
        <v>2182</v>
      </c>
      <c r="AG530" t="s">
        <v>2183</v>
      </c>
      <c r="AH530">
        <v>498289.03</v>
      </c>
      <c r="AI530">
        <v>127274</v>
      </c>
      <c r="AJ530" t="s">
        <v>2057</v>
      </c>
    </row>
    <row r="531" spans="1:36" hidden="1" x14ac:dyDescent="0.2">
      <c r="A531" t="s">
        <v>2337</v>
      </c>
      <c r="B531" t="s">
        <v>150</v>
      </c>
      <c r="C531" t="s">
        <v>2511</v>
      </c>
      <c r="D531" t="s">
        <v>286</v>
      </c>
      <c r="E531">
        <v>262938</v>
      </c>
      <c r="F531" t="s">
        <v>2217</v>
      </c>
      <c r="G531">
        <v>8004</v>
      </c>
      <c r="H531">
        <v>582616</v>
      </c>
      <c r="I531" t="s">
        <v>781</v>
      </c>
      <c r="J531" s="11">
        <v>46174</v>
      </c>
      <c r="K531" s="11">
        <v>46222</v>
      </c>
      <c r="L531" t="s">
        <v>2177</v>
      </c>
      <c r="M531" t="s">
        <v>1850</v>
      </c>
      <c r="N531">
        <v>6</v>
      </c>
      <c r="O531">
        <v>22774000</v>
      </c>
      <c r="P531">
        <v>136644</v>
      </c>
      <c r="Q531" t="s">
        <v>2178</v>
      </c>
      <c r="R531" t="s">
        <v>2179</v>
      </c>
      <c r="S531">
        <v>0</v>
      </c>
      <c r="T531">
        <v>0</v>
      </c>
      <c r="U531" t="s">
        <v>2179</v>
      </c>
      <c r="V531">
        <v>11393764</v>
      </c>
      <c r="W531" t="s">
        <v>2180</v>
      </c>
      <c r="X531">
        <v>68362.584000000003</v>
      </c>
      <c r="Y531">
        <v>68362.584000000003</v>
      </c>
      <c r="Z531">
        <v>68362.584000000003</v>
      </c>
      <c r="AA531">
        <v>11364981</v>
      </c>
      <c r="AB531">
        <v>11393764</v>
      </c>
      <c r="AC531" s="11">
        <v>46174</v>
      </c>
      <c r="AD531" s="11">
        <v>46222</v>
      </c>
      <c r="AE531" t="s">
        <v>2251</v>
      </c>
      <c r="AF531" t="s">
        <v>2182</v>
      </c>
      <c r="AG531" t="s">
        <v>2183</v>
      </c>
      <c r="AH531">
        <v>498289.03</v>
      </c>
      <c r="AI531">
        <v>127274</v>
      </c>
      <c r="AJ531" t="s">
        <v>2057</v>
      </c>
    </row>
    <row r="532" spans="1:36" hidden="1" x14ac:dyDescent="0.2">
      <c r="A532" t="s">
        <v>2337</v>
      </c>
      <c r="B532" t="s">
        <v>150</v>
      </c>
      <c r="C532" t="s">
        <v>2511</v>
      </c>
      <c r="D532" t="s">
        <v>286</v>
      </c>
      <c r="E532">
        <v>262938</v>
      </c>
      <c r="F532" t="s">
        <v>2218</v>
      </c>
      <c r="G532">
        <v>8000</v>
      </c>
      <c r="H532">
        <v>582620</v>
      </c>
      <c r="I532" t="s">
        <v>831</v>
      </c>
      <c r="J532" s="11">
        <v>46174</v>
      </c>
      <c r="K532" s="11">
        <v>46222</v>
      </c>
      <c r="L532" t="s">
        <v>2213</v>
      </c>
      <c r="M532" t="s">
        <v>2205</v>
      </c>
      <c r="N532">
        <v>125000</v>
      </c>
      <c r="O532">
        <v>3</v>
      </c>
      <c r="P532">
        <v>125000</v>
      </c>
      <c r="Q532" t="s">
        <v>1987</v>
      </c>
      <c r="R532" t="s">
        <v>2206</v>
      </c>
      <c r="S532">
        <v>2</v>
      </c>
      <c r="T532">
        <v>76530.612299999993</v>
      </c>
      <c r="U532" t="s">
        <v>2206</v>
      </c>
      <c r="V532">
        <v>2</v>
      </c>
      <c r="W532" t="s">
        <v>2180</v>
      </c>
      <c r="X532">
        <v>76530.612299999993</v>
      </c>
      <c r="Y532">
        <v>76530.612299999993</v>
      </c>
      <c r="Z532">
        <v>76530.612299999993</v>
      </c>
      <c r="AC532" s="11">
        <v>46174</v>
      </c>
      <c r="AD532" s="11">
        <v>46222</v>
      </c>
      <c r="AE532" t="s">
        <v>2251</v>
      </c>
      <c r="AF532" t="s">
        <v>2182</v>
      </c>
      <c r="AG532" t="s">
        <v>2183</v>
      </c>
      <c r="AH532">
        <v>498289.03</v>
      </c>
      <c r="AI532">
        <v>127274</v>
      </c>
      <c r="AJ532" t="s">
        <v>2057</v>
      </c>
    </row>
    <row r="533" spans="1:36" hidden="1" x14ac:dyDescent="0.2">
      <c r="A533" t="s">
        <v>2512</v>
      </c>
      <c r="B533" t="s">
        <v>170</v>
      </c>
      <c r="C533" t="s">
        <v>2513</v>
      </c>
      <c r="D533" t="s">
        <v>316</v>
      </c>
      <c r="E533">
        <v>263588</v>
      </c>
      <c r="F533" t="s">
        <v>2212</v>
      </c>
      <c r="G533">
        <v>2789</v>
      </c>
      <c r="H533">
        <v>588773</v>
      </c>
      <c r="I533" t="s">
        <v>588</v>
      </c>
      <c r="J533" s="11">
        <v>46156</v>
      </c>
      <c r="K533" s="11">
        <v>46203</v>
      </c>
      <c r="M533" t="s">
        <v>1850</v>
      </c>
      <c r="N533">
        <v>23</v>
      </c>
      <c r="O533">
        <v>4347826</v>
      </c>
      <c r="P533">
        <v>100000</v>
      </c>
      <c r="Q533" t="s">
        <v>2178</v>
      </c>
      <c r="R533" t="s">
        <v>2179</v>
      </c>
      <c r="S533">
        <v>0</v>
      </c>
      <c r="T533">
        <v>0</v>
      </c>
      <c r="U533" t="s">
        <v>2179</v>
      </c>
      <c r="V533">
        <v>1801163</v>
      </c>
      <c r="W533" t="s">
        <v>2180</v>
      </c>
      <c r="X533">
        <v>41426.75</v>
      </c>
      <c r="Y533">
        <v>41426.75</v>
      </c>
      <c r="Z533">
        <v>41426.75</v>
      </c>
      <c r="AA533">
        <v>1905506</v>
      </c>
      <c r="AB533">
        <v>1806273</v>
      </c>
      <c r="AC533" s="11">
        <v>46156</v>
      </c>
      <c r="AD533" s="11">
        <v>46203</v>
      </c>
      <c r="AE533" t="s">
        <v>2287</v>
      </c>
      <c r="AF533" t="s">
        <v>2182</v>
      </c>
      <c r="AG533" t="s">
        <v>2183</v>
      </c>
      <c r="AH533">
        <v>100000</v>
      </c>
      <c r="AI533">
        <v>128332</v>
      </c>
      <c r="AJ533" t="s">
        <v>2514</v>
      </c>
    </row>
    <row r="534" spans="1:36" hidden="1" x14ac:dyDescent="0.2">
      <c r="A534" t="s">
        <v>2259</v>
      </c>
      <c r="B534" t="s">
        <v>134</v>
      </c>
      <c r="C534" t="s">
        <v>2378</v>
      </c>
      <c r="D534" t="s">
        <v>258</v>
      </c>
      <c r="E534">
        <v>263599</v>
      </c>
      <c r="F534" t="s">
        <v>2209</v>
      </c>
      <c r="G534">
        <v>7968</v>
      </c>
      <c r="H534">
        <v>569527</v>
      </c>
      <c r="I534" t="s">
        <v>478</v>
      </c>
      <c r="J534" s="11">
        <v>46113</v>
      </c>
      <c r="K534" s="11">
        <v>46203</v>
      </c>
      <c r="L534" t="s">
        <v>2223</v>
      </c>
      <c r="M534" t="s">
        <v>1850</v>
      </c>
      <c r="N534">
        <v>23</v>
      </c>
      <c r="O534">
        <v>4713882</v>
      </c>
      <c r="P534">
        <v>0</v>
      </c>
      <c r="Q534" t="s">
        <v>2178</v>
      </c>
      <c r="R534" t="s">
        <v>2179</v>
      </c>
      <c r="S534">
        <v>0</v>
      </c>
      <c r="T534">
        <v>0</v>
      </c>
      <c r="U534" t="s">
        <v>2179</v>
      </c>
      <c r="V534">
        <v>1719768</v>
      </c>
      <c r="W534" t="s">
        <v>2180</v>
      </c>
      <c r="X534">
        <v>0</v>
      </c>
      <c r="Y534">
        <v>0</v>
      </c>
      <c r="Z534">
        <v>0</v>
      </c>
      <c r="AA534">
        <v>1701182</v>
      </c>
      <c r="AB534">
        <v>1719768</v>
      </c>
      <c r="AC534" s="11">
        <v>46113</v>
      </c>
      <c r="AD534" s="11">
        <v>46203</v>
      </c>
      <c r="AE534" t="s">
        <v>2226</v>
      </c>
      <c r="AF534" t="s">
        <v>2182</v>
      </c>
      <c r="AG534" t="s">
        <v>2183</v>
      </c>
      <c r="AH534">
        <v>0</v>
      </c>
      <c r="AI534">
        <v>123956</v>
      </c>
      <c r="AJ534" t="s">
        <v>2054</v>
      </c>
    </row>
    <row r="535" spans="1:36" hidden="1" x14ac:dyDescent="0.2">
      <c r="A535" t="s">
        <v>2259</v>
      </c>
      <c r="B535" t="s">
        <v>152</v>
      </c>
      <c r="C535" t="s">
        <v>2340</v>
      </c>
      <c r="D535" t="s">
        <v>365</v>
      </c>
      <c r="E535">
        <v>264415</v>
      </c>
      <c r="F535" t="s">
        <v>2344</v>
      </c>
      <c r="G535">
        <v>8038</v>
      </c>
      <c r="H535">
        <v>591505</v>
      </c>
      <c r="I535" t="s">
        <v>671</v>
      </c>
      <c r="J535" s="11">
        <v>46171</v>
      </c>
      <c r="K535" s="11">
        <v>46203</v>
      </c>
      <c r="L535" t="s">
        <v>2223</v>
      </c>
      <c r="M535" t="s">
        <v>1850</v>
      </c>
      <c r="N535">
        <v>23.97</v>
      </c>
      <c r="O535">
        <v>438909</v>
      </c>
      <c r="P535">
        <v>10520.65</v>
      </c>
      <c r="Q535" t="s">
        <v>2178</v>
      </c>
      <c r="R535" t="s">
        <v>2179</v>
      </c>
      <c r="S535">
        <v>0</v>
      </c>
      <c r="T535">
        <v>0</v>
      </c>
      <c r="U535" t="s">
        <v>2179</v>
      </c>
      <c r="V535">
        <v>390690</v>
      </c>
      <c r="W535" t="s">
        <v>2180</v>
      </c>
      <c r="X535">
        <v>9364.84</v>
      </c>
      <c r="Y535">
        <v>9364.84</v>
      </c>
      <c r="Z535">
        <v>9364.84</v>
      </c>
      <c r="AA535">
        <v>403591</v>
      </c>
      <c r="AB535">
        <v>401791</v>
      </c>
      <c r="AC535" s="11">
        <v>46171</v>
      </c>
      <c r="AD535" s="11">
        <v>46203</v>
      </c>
      <c r="AE535" t="s">
        <v>2226</v>
      </c>
      <c r="AF535" t="s">
        <v>2182</v>
      </c>
      <c r="AG535" t="s">
        <v>2183</v>
      </c>
      <c r="AH535">
        <v>25880.02</v>
      </c>
      <c r="AI535">
        <v>129712</v>
      </c>
      <c r="AJ535" t="s">
        <v>2054</v>
      </c>
    </row>
    <row r="536" spans="1:36" hidden="1" x14ac:dyDescent="0.2">
      <c r="A536" t="s">
        <v>2259</v>
      </c>
      <c r="B536" t="s">
        <v>152</v>
      </c>
      <c r="C536" t="s">
        <v>2340</v>
      </c>
      <c r="D536" t="s">
        <v>365</v>
      </c>
      <c r="E536">
        <v>264415</v>
      </c>
      <c r="F536" t="s">
        <v>2344</v>
      </c>
      <c r="G536">
        <v>8038</v>
      </c>
      <c r="H536">
        <v>591610</v>
      </c>
      <c r="I536" t="s">
        <v>672</v>
      </c>
      <c r="J536" s="11">
        <v>46171</v>
      </c>
      <c r="K536" s="11">
        <v>46203</v>
      </c>
      <c r="L536" t="s">
        <v>2223</v>
      </c>
      <c r="M536" t="s">
        <v>1850</v>
      </c>
      <c r="N536">
        <v>23.97</v>
      </c>
      <c r="O536">
        <v>513103</v>
      </c>
      <c r="P536">
        <v>12299.08</v>
      </c>
      <c r="Q536" t="s">
        <v>2178</v>
      </c>
      <c r="R536" t="s">
        <v>2179</v>
      </c>
      <c r="S536">
        <v>0</v>
      </c>
      <c r="T536">
        <v>0</v>
      </c>
      <c r="U536" t="s">
        <v>2179</v>
      </c>
      <c r="V536">
        <v>457112</v>
      </c>
      <c r="W536" t="s">
        <v>2180</v>
      </c>
      <c r="X536">
        <v>10956.98</v>
      </c>
      <c r="Y536">
        <v>10956.98</v>
      </c>
      <c r="Z536">
        <v>10956.98</v>
      </c>
      <c r="AA536">
        <v>471812</v>
      </c>
      <c r="AB536">
        <v>469419</v>
      </c>
      <c r="AC536" s="11">
        <v>46171</v>
      </c>
      <c r="AD536" s="11">
        <v>46203</v>
      </c>
      <c r="AE536" t="s">
        <v>2226</v>
      </c>
      <c r="AF536" t="s">
        <v>2182</v>
      </c>
      <c r="AG536" t="s">
        <v>2183</v>
      </c>
      <c r="AH536">
        <v>25880.02</v>
      </c>
      <c r="AI536">
        <v>129712</v>
      </c>
      <c r="AJ536" t="s">
        <v>2054</v>
      </c>
    </row>
    <row r="537" spans="1:36" hidden="1" x14ac:dyDescent="0.2">
      <c r="A537" t="s">
        <v>2264</v>
      </c>
      <c r="B537" t="s">
        <v>200</v>
      </c>
      <c r="C537" t="s">
        <v>2515</v>
      </c>
      <c r="D537" t="s">
        <v>377</v>
      </c>
      <c r="E537">
        <v>264794</v>
      </c>
      <c r="F537" t="s">
        <v>2209</v>
      </c>
      <c r="G537">
        <v>7968</v>
      </c>
      <c r="H537">
        <v>592162</v>
      </c>
      <c r="I537" t="s">
        <v>701</v>
      </c>
      <c r="J537" s="11">
        <v>46176</v>
      </c>
      <c r="K537" s="11">
        <v>46180</v>
      </c>
      <c r="L537" t="s">
        <v>2177</v>
      </c>
      <c r="M537" t="s">
        <v>1850</v>
      </c>
      <c r="N537">
        <v>25</v>
      </c>
      <c r="O537">
        <v>111809</v>
      </c>
      <c r="P537">
        <v>2795.23</v>
      </c>
      <c r="Q537" t="s">
        <v>2178</v>
      </c>
      <c r="R537" t="s">
        <v>2179</v>
      </c>
      <c r="S537">
        <v>0</v>
      </c>
      <c r="T537">
        <v>0</v>
      </c>
      <c r="U537" t="s">
        <v>2179</v>
      </c>
      <c r="V537">
        <v>111523</v>
      </c>
      <c r="W537" t="s">
        <v>2180</v>
      </c>
      <c r="X537">
        <v>2788.0749999999998</v>
      </c>
      <c r="Y537">
        <v>2788.0749999999998</v>
      </c>
      <c r="Z537">
        <v>2788.0749999999998</v>
      </c>
      <c r="AA537">
        <v>114384</v>
      </c>
      <c r="AB537">
        <v>111523</v>
      </c>
      <c r="AC537" s="11">
        <v>46176</v>
      </c>
      <c r="AD537" s="11">
        <v>46180</v>
      </c>
      <c r="AE537" t="s">
        <v>2298</v>
      </c>
      <c r="AF537" t="s">
        <v>2182</v>
      </c>
      <c r="AG537" t="s">
        <v>2183</v>
      </c>
      <c r="AH537">
        <v>71000.160000000003</v>
      </c>
      <c r="AI537">
        <v>130141</v>
      </c>
      <c r="AJ537" t="s">
        <v>2058</v>
      </c>
    </row>
    <row r="538" spans="1:36" hidden="1" x14ac:dyDescent="0.2">
      <c r="A538" t="s">
        <v>2313</v>
      </c>
      <c r="B538" t="s">
        <v>136</v>
      </c>
      <c r="C538" t="s">
        <v>2314</v>
      </c>
      <c r="D538" t="s">
        <v>279</v>
      </c>
      <c r="E538">
        <v>266869</v>
      </c>
      <c r="F538" t="s">
        <v>2215</v>
      </c>
      <c r="G538">
        <v>8005</v>
      </c>
      <c r="H538">
        <v>581180</v>
      </c>
      <c r="I538" t="s">
        <v>513</v>
      </c>
      <c r="J538" s="11">
        <v>46184</v>
      </c>
      <c r="K538" s="11">
        <v>46222</v>
      </c>
      <c r="L538" t="s">
        <v>2247</v>
      </c>
      <c r="M538" t="s">
        <v>1850</v>
      </c>
      <c r="N538">
        <v>40</v>
      </c>
      <c r="O538">
        <v>4555950</v>
      </c>
      <c r="P538">
        <v>182238</v>
      </c>
      <c r="Q538" t="s">
        <v>2178</v>
      </c>
      <c r="R538" t="s">
        <v>2206</v>
      </c>
      <c r="S538">
        <v>2336385</v>
      </c>
      <c r="T538">
        <v>93455.384699999995</v>
      </c>
      <c r="U538" t="s">
        <v>2206</v>
      </c>
      <c r="V538">
        <v>2336385</v>
      </c>
      <c r="W538" t="s">
        <v>2180</v>
      </c>
      <c r="X538">
        <v>93455.384699999995</v>
      </c>
      <c r="Y538">
        <v>93455.384699999995</v>
      </c>
      <c r="Z538">
        <v>93455.384699999995</v>
      </c>
      <c r="AA538">
        <v>3042417</v>
      </c>
      <c r="AB538">
        <v>3049013</v>
      </c>
      <c r="AC538" s="11">
        <v>46184</v>
      </c>
      <c r="AD538" s="11">
        <v>46222</v>
      </c>
      <c r="AE538" t="s">
        <v>2298</v>
      </c>
      <c r="AF538" t="s">
        <v>2182</v>
      </c>
      <c r="AG538" t="s">
        <v>2183</v>
      </c>
      <c r="AH538">
        <v>182238</v>
      </c>
      <c r="AI538">
        <v>126809</v>
      </c>
      <c r="AJ538" t="s">
        <v>2055</v>
      </c>
    </row>
    <row r="539" spans="1:36" hidden="1" x14ac:dyDescent="0.2">
      <c r="A539" t="s">
        <v>2431</v>
      </c>
      <c r="B539" t="s">
        <v>181</v>
      </c>
      <c r="C539" t="s">
        <v>2516</v>
      </c>
      <c r="D539" t="s">
        <v>337</v>
      </c>
      <c r="E539">
        <v>267088</v>
      </c>
      <c r="F539" t="s">
        <v>2215</v>
      </c>
      <c r="G539">
        <v>8005</v>
      </c>
      <c r="H539">
        <v>582766</v>
      </c>
      <c r="I539" t="s">
        <v>627</v>
      </c>
      <c r="J539" s="11">
        <v>46174</v>
      </c>
      <c r="K539" s="11">
        <v>46222</v>
      </c>
      <c r="L539" t="s">
        <v>2177</v>
      </c>
      <c r="M539" t="s">
        <v>1850</v>
      </c>
      <c r="N539">
        <v>42</v>
      </c>
      <c r="O539">
        <v>5952382</v>
      </c>
      <c r="P539">
        <v>250000.04</v>
      </c>
      <c r="Q539" t="s">
        <v>2178</v>
      </c>
      <c r="R539" t="s">
        <v>2179</v>
      </c>
      <c r="S539">
        <v>0</v>
      </c>
      <c r="T539">
        <v>0</v>
      </c>
      <c r="U539" t="s">
        <v>2179</v>
      </c>
      <c r="V539">
        <v>4076614</v>
      </c>
      <c r="W539" t="s">
        <v>2180</v>
      </c>
      <c r="X539">
        <v>171217.788</v>
      </c>
      <c r="Y539">
        <v>171217.788</v>
      </c>
      <c r="Z539">
        <v>171217.788</v>
      </c>
      <c r="AA539">
        <v>4070377</v>
      </c>
      <c r="AB539">
        <v>4076614</v>
      </c>
      <c r="AC539" s="11">
        <v>46174</v>
      </c>
      <c r="AD539" s="11">
        <v>46222</v>
      </c>
      <c r="AE539" t="s">
        <v>2266</v>
      </c>
      <c r="AF539" t="s">
        <v>2182</v>
      </c>
      <c r="AG539" t="s">
        <v>2183</v>
      </c>
      <c r="AH539">
        <v>900001.04</v>
      </c>
      <c r="AI539">
        <v>129171</v>
      </c>
      <c r="AJ539" t="s">
        <v>2062</v>
      </c>
    </row>
    <row r="540" spans="1:36" hidden="1" x14ac:dyDescent="0.2">
      <c r="A540" t="s">
        <v>2431</v>
      </c>
      <c r="B540" t="s">
        <v>181</v>
      </c>
      <c r="C540" t="s">
        <v>2516</v>
      </c>
      <c r="D540" t="s">
        <v>337</v>
      </c>
      <c r="E540">
        <v>267088</v>
      </c>
      <c r="F540" t="s">
        <v>2242</v>
      </c>
      <c r="G540">
        <v>8003</v>
      </c>
      <c r="H540">
        <v>582987</v>
      </c>
      <c r="I540" t="s">
        <v>809</v>
      </c>
      <c r="J540" s="11">
        <v>46190</v>
      </c>
      <c r="K540" s="11">
        <v>46190</v>
      </c>
      <c r="L540" t="s">
        <v>2177</v>
      </c>
      <c r="M540" t="s">
        <v>2243</v>
      </c>
      <c r="N540">
        <v>41666.67</v>
      </c>
      <c r="O540">
        <v>6</v>
      </c>
      <c r="P540">
        <v>250000</v>
      </c>
      <c r="Q540" t="s">
        <v>2244</v>
      </c>
      <c r="R540" t="s">
        <v>2206</v>
      </c>
      <c r="S540">
        <v>6</v>
      </c>
      <c r="T540">
        <v>250000</v>
      </c>
      <c r="U540" t="s">
        <v>2206</v>
      </c>
      <c r="V540">
        <v>6</v>
      </c>
      <c r="W540" t="s">
        <v>2180</v>
      </c>
      <c r="X540">
        <v>250000</v>
      </c>
      <c r="Y540">
        <v>250000</v>
      </c>
      <c r="Z540">
        <v>250000</v>
      </c>
      <c r="AA540">
        <v>0</v>
      </c>
      <c r="AB540">
        <v>0</v>
      </c>
      <c r="AC540" s="11">
        <v>46190</v>
      </c>
      <c r="AD540" s="11">
        <v>46190</v>
      </c>
      <c r="AE540" t="s">
        <v>2266</v>
      </c>
      <c r="AF540" t="s">
        <v>2182</v>
      </c>
      <c r="AG540" t="s">
        <v>2183</v>
      </c>
      <c r="AH540">
        <v>900001.04</v>
      </c>
      <c r="AI540">
        <v>129171</v>
      </c>
      <c r="AJ540" t="s">
        <v>2062</v>
      </c>
    </row>
    <row r="541" spans="1:36" hidden="1" x14ac:dyDescent="0.2">
      <c r="A541" t="s">
        <v>2431</v>
      </c>
      <c r="B541" t="s">
        <v>181</v>
      </c>
      <c r="C541" t="s">
        <v>2516</v>
      </c>
      <c r="D541" t="s">
        <v>337</v>
      </c>
      <c r="E541">
        <v>267088</v>
      </c>
      <c r="F541" t="s">
        <v>2219</v>
      </c>
      <c r="G541">
        <v>7998</v>
      </c>
      <c r="H541">
        <v>583005</v>
      </c>
      <c r="I541" t="s">
        <v>628</v>
      </c>
      <c r="J541" s="11">
        <v>46174</v>
      </c>
      <c r="K541" s="11">
        <v>46229</v>
      </c>
      <c r="L541" t="s">
        <v>2177</v>
      </c>
      <c r="M541" t="s">
        <v>1850</v>
      </c>
      <c r="N541">
        <v>20</v>
      </c>
      <c r="O541">
        <v>10000000</v>
      </c>
      <c r="P541">
        <v>200000</v>
      </c>
      <c r="Q541" t="s">
        <v>2178</v>
      </c>
      <c r="R541" t="s">
        <v>2179</v>
      </c>
      <c r="S541">
        <v>0</v>
      </c>
      <c r="T541">
        <v>0</v>
      </c>
      <c r="U541" t="s">
        <v>2179</v>
      </c>
      <c r="V541">
        <v>5711617</v>
      </c>
      <c r="W541" t="s">
        <v>2180</v>
      </c>
      <c r="X541">
        <v>114232.34</v>
      </c>
      <c r="Y541">
        <v>114232.34</v>
      </c>
      <c r="Z541">
        <v>114232.34</v>
      </c>
      <c r="AA541">
        <v>6068800</v>
      </c>
      <c r="AB541">
        <v>5711617</v>
      </c>
      <c r="AC541" s="11">
        <v>46174</v>
      </c>
      <c r="AD541" s="11">
        <v>46229</v>
      </c>
      <c r="AE541" t="s">
        <v>2266</v>
      </c>
      <c r="AF541" t="s">
        <v>2182</v>
      </c>
      <c r="AG541" t="s">
        <v>2183</v>
      </c>
      <c r="AH541">
        <v>900001.04</v>
      </c>
      <c r="AI541">
        <v>129171</v>
      </c>
      <c r="AJ541" t="s">
        <v>2062</v>
      </c>
    </row>
    <row r="542" spans="1:36" hidden="1" x14ac:dyDescent="0.2">
      <c r="A542" t="s">
        <v>2431</v>
      </c>
      <c r="B542" t="s">
        <v>181</v>
      </c>
      <c r="C542" t="s">
        <v>2516</v>
      </c>
      <c r="D542" t="s">
        <v>337</v>
      </c>
      <c r="E542">
        <v>267088</v>
      </c>
      <c r="F542" t="s">
        <v>2218</v>
      </c>
      <c r="G542">
        <v>8000</v>
      </c>
      <c r="H542">
        <v>583008</v>
      </c>
      <c r="I542" t="s">
        <v>882</v>
      </c>
      <c r="J542" s="11">
        <v>46174</v>
      </c>
      <c r="K542" s="11">
        <v>46222</v>
      </c>
      <c r="L542" t="s">
        <v>2213</v>
      </c>
      <c r="M542" t="s">
        <v>2205</v>
      </c>
      <c r="N542">
        <v>200001</v>
      </c>
      <c r="O542">
        <v>0</v>
      </c>
      <c r="P542">
        <v>200001</v>
      </c>
      <c r="Q542" t="s">
        <v>1987</v>
      </c>
      <c r="R542" t="s">
        <v>2206</v>
      </c>
      <c r="S542">
        <v>0</v>
      </c>
      <c r="T542">
        <v>122449.5919</v>
      </c>
      <c r="U542" t="s">
        <v>2206</v>
      </c>
      <c r="V542">
        <v>0</v>
      </c>
      <c r="W542" t="s">
        <v>2180</v>
      </c>
      <c r="X542">
        <v>122449.5919</v>
      </c>
      <c r="Y542">
        <v>122449.5919</v>
      </c>
      <c r="Z542">
        <v>122449.5919</v>
      </c>
      <c r="AC542" s="11">
        <v>46174</v>
      </c>
      <c r="AD542" s="11">
        <v>46222</v>
      </c>
      <c r="AE542" t="s">
        <v>2266</v>
      </c>
      <c r="AF542" t="s">
        <v>2182</v>
      </c>
      <c r="AG542" t="s">
        <v>2183</v>
      </c>
      <c r="AH542">
        <v>900001.04</v>
      </c>
      <c r="AI542">
        <v>129171</v>
      </c>
      <c r="AJ542" t="s">
        <v>2062</v>
      </c>
    </row>
    <row r="543" spans="1:36" hidden="1" x14ac:dyDescent="0.2">
      <c r="A543" t="s">
        <v>2431</v>
      </c>
      <c r="B543" t="s">
        <v>181</v>
      </c>
      <c r="C543" t="s">
        <v>2516</v>
      </c>
      <c r="D543" t="s">
        <v>337</v>
      </c>
      <c r="E543">
        <v>267088</v>
      </c>
      <c r="F543" t="s">
        <v>2215</v>
      </c>
      <c r="G543">
        <v>8005</v>
      </c>
      <c r="H543">
        <v>596080</v>
      </c>
      <c r="I543" t="s">
        <v>753</v>
      </c>
      <c r="J543" s="11">
        <v>46196</v>
      </c>
      <c r="K543" s="11">
        <v>46222</v>
      </c>
      <c r="L543" t="s">
        <v>2177</v>
      </c>
      <c r="M543" t="s">
        <v>1850</v>
      </c>
      <c r="N543">
        <v>0</v>
      </c>
      <c r="O543">
        <v>687143</v>
      </c>
      <c r="P543">
        <v>0</v>
      </c>
      <c r="Q543" t="s">
        <v>2178</v>
      </c>
      <c r="R543" t="s">
        <v>2179</v>
      </c>
      <c r="S543">
        <v>0</v>
      </c>
      <c r="T543">
        <v>0</v>
      </c>
      <c r="U543" t="s">
        <v>2179</v>
      </c>
      <c r="V543">
        <v>217900</v>
      </c>
      <c r="W543" t="s">
        <v>2180</v>
      </c>
      <c r="X543">
        <v>0</v>
      </c>
      <c r="Y543">
        <v>0</v>
      </c>
      <c r="Z543">
        <v>0</v>
      </c>
      <c r="AA543">
        <v>218587</v>
      </c>
      <c r="AB543">
        <v>217900</v>
      </c>
      <c r="AC543" s="11">
        <v>46196</v>
      </c>
      <c r="AD543" s="11">
        <v>46222</v>
      </c>
      <c r="AE543" t="s">
        <v>2266</v>
      </c>
      <c r="AF543" t="s">
        <v>2182</v>
      </c>
      <c r="AG543" t="s">
        <v>2183</v>
      </c>
      <c r="AH543">
        <v>900001.04</v>
      </c>
      <c r="AI543">
        <v>129171</v>
      </c>
      <c r="AJ543" t="s">
        <v>2062</v>
      </c>
    </row>
    <row r="544" spans="1:36" hidden="1" x14ac:dyDescent="0.2">
      <c r="A544" t="s">
        <v>2517</v>
      </c>
      <c r="B544" t="s">
        <v>137</v>
      </c>
      <c r="C544" t="s">
        <v>2518</v>
      </c>
      <c r="D544" t="s">
        <v>265</v>
      </c>
      <c r="E544">
        <v>267453</v>
      </c>
      <c r="F544" t="s">
        <v>2209</v>
      </c>
      <c r="G544">
        <v>7968</v>
      </c>
      <c r="H544">
        <v>583709</v>
      </c>
      <c r="I544" t="s">
        <v>494</v>
      </c>
      <c r="J544" s="11">
        <v>46132</v>
      </c>
      <c r="K544" s="11">
        <v>46265</v>
      </c>
      <c r="M544" t="s">
        <v>1850</v>
      </c>
      <c r="N544">
        <v>25</v>
      </c>
      <c r="O544">
        <v>7200000</v>
      </c>
      <c r="P544">
        <v>180000</v>
      </c>
      <c r="Q544" t="s">
        <v>2201</v>
      </c>
      <c r="R544" t="s">
        <v>2179</v>
      </c>
      <c r="S544">
        <v>0</v>
      </c>
      <c r="T544">
        <v>0</v>
      </c>
      <c r="U544" t="s">
        <v>2179</v>
      </c>
      <c r="V544">
        <v>1000677</v>
      </c>
      <c r="W544" t="s">
        <v>2180</v>
      </c>
      <c r="X544">
        <v>25016.924999999999</v>
      </c>
      <c r="Y544">
        <v>25016.924999999999</v>
      </c>
      <c r="Z544">
        <v>25016.924999999999</v>
      </c>
      <c r="AA544">
        <v>1008284</v>
      </c>
      <c r="AB544">
        <v>1000677</v>
      </c>
      <c r="AC544" s="11">
        <v>46132</v>
      </c>
      <c r="AD544" s="11">
        <v>46265</v>
      </c>
      <c r="AE544" t="s">
        <v>2306</v>
      </c>
      <c r="AF544" t="s">
        <v>2182</v>
      </c>
      <c r="AG544" t="s">
        <v>2183</v>
      </c>
      <c r="AH544">
        <v>490000.04</v>
      </c>
      <c r="AI544">
        <v>126124</v>
      </c>
      <c r="AJ544" t="s">
        <v>2056</v>
      </c>
    </row>
    <row r="545" spans="1:36" hidden="1" x14ac:dyDescent="0.2">
      <c r="A545" t="s">
        <v>2517</v>
      </c>
      <c r="B545" t="s">
        <v>137</v>
      </c>
      <c r="C545" t="s">
        <v>2518</v>
      </c>
      <c r="D545" t="s">
        <v>265</v>
      </c>
      <c r="E545">
        <v>267453</v>
      </c>
      <c r="F545" t="s">
        <v>2519</v>
      </c>
      <c r="G545">
        <v>7966</v>
      </c>
      <c r="H545">
        <v>583729</v>
      </c>
      <c r="I545" t="s">
        <v>774</v>
      </c>
      <c r="J545" s="11">
        <v>46132</v>
      </c>
      <c r="K545" s="11">
        <v>46265</v>
      </c>
      <c r="M545" t="s">
        <v>1850</v>
      </c>
      <c r="N545">
        <v>4</v>
      </c>
      <c r="O545">
        <v>26250000</v>
      </c>
      <c r="P545">
        <v>105000</v>
      </c>
      <c r="Q545" t="s">
        <v>2178</v>
      </c>
      <c r="R545" t="s">
        <v>2179</v>
      </c>
      <c r="S545">
        <v>0</v>
      </c>
      <c r="T545">
        <v>0</v>
      </c>
      <c r="U545" t="s">
        <v>2179</v>
      </c>
      <c r="V545">
        <v>6191813</v>
      </c>
      <c r="W545" t="s">
        <v>2180</v>
      </c>
      <c r="X545">
        <v>24767.252</v>
      </c>
      <c r="Y545">
        <v>24767.252</v>
      </c>
      <c r="Z545">
        <v>24767.252</v>
      </c>
      <c r="AA545">
        <v>6193099</v>
      </c>
      <c r="AB545">
        <v>6191813</v>
      </c>
      <c r="AC545" s="11">
        <v>46132</v>
      </c>
      <c r="AD545" s="11">
        <v>46265</v>
      </c>
      <c r="AE545" t="s">
        <v>2306</v>
      </c>
      <c r="AF545" t="s">
        <v>2182</v>
      </c>
      <c r="AG545" t="s">
        <v>2183</v>
      </c>
      <c r="AH545">
        <v>490000.04</v>
      </c>
      <c r="AI545">
        <v>126124</v>
      </c>
      <c r="AJ545" t="s">
        <v>2056</v>
      </c>
    </row>
    <row r="546" spans="1:36" hidden="1" x14ac:dyDescent="0.2">
      <c r="A546" t="s">
        <v>2517</v>
      </c>
      <c r="B546" t="s">
        <v>137</v>
      </c>
      <c r="C546" t="s">
        <v>2518</v>
      </c>
      <c r="D546" t="s">
        <v>265</v>
      </c>
      <c r="E546">
        <v>267453</v>
      </c>
      <c r="H546">
        <v>584253</v>
      </c>
      <c r="I546" t="s">
        <v>2520</v>
      </c>
      <c r="J546" s="11">
        <v>46132</v>
      </c>
      <c r="K546" s="11">
        <v>46254</v>
      </c>
      <c r="L546" t="s">
        <v>2177</v>
      </c>
      <c r="M546" t="s">
        <v>1851</v>
      </c>
      <c r="N546">
        <v>0</v>
      </c>
      <c r="O546">
        <v>1</v>
      </c>
      <c r="P546">
        <v>0</v>
      </c>
      <c r="Q546" t="s">
        <v>2178</v>
      </c>
      <c r="R546" t="s">
        <v>2206</v>
      </c>
      <c r="S546">
        <v>0</v>
      </c>
      <c r="T546">
        <v>0</v>
      </c>
      <c r="U546" t="s">
        <v>2206</v>
      </c>
      <c r="V546">
        <v>0</v>
      </c>
      <c r="W546" t="s">
        <v>2180</v>
      </c>
      <c r="X546">
        <v>0</v>
      </c>
      <c r="Y546">
        <v>0</v>
      </c>
      <c r="Z546">
        <v>0</v>
      </c>
      <c r="AC546" s="11">
        <v>46132</v>
      </c>
      <c r="AD546" s="11">
        <v>46254</v>
      </c>
      <c r="AE546" t="s">
        <v>2306</v>
      </c>
      <c r="AF546" t="s">
        <v>2182</v>
      </c>
      <c r="AG546" t="s">
        <v>2183</v>
      </c>
      <c r="AH546">
        <v>490000.04</v>
      </c>
      <c r="AI546">
        <v>126124</v>
      </c>
      <c r="AJ546" t="s">
        <v>2056</v>
      </c>
    </row>
    <row r="547" spans="1:36" hidden="1" x14ac:dyDescent="0.2">
      <c r="A547" t="s">
        <v>2207</v>
      </c>
      <c r="B547" t="s">
        <v>163</v>
      </c>
      <c r="C547" t="s">
        <v>2447</v>
      </c>
      <c r="D547" t="s">
        <v>324</v>
      </c>
      <c r="E547">
        <v>267992</v>
      </c>
      <c r="F547" t="s">
        <v>2219</v>
      </c>
      <c r="G547">
        <v>7998</v>
      </c>
      <c r="H547">
        <v>588070</v>
      </c>
      <c r="I547" t="s">
        <v>597</v>
      </c>
      <c r="J547" s="11">
        <v>46157</v>
      </c>
      <c r="K547" s="11">
        <v>46229</v>
      </c>
      <c r="L547" t="s">
        <v>2177</v>
      </c>
      <c r="M547" t="s">
        <v>1850</v>
      </c>
      <c r="N547">
        <v>21.49</v>
      </c>
      <c r="O547">
        <v>20707306</v>
      </c>
      <c r="P547">
        <v>445000.01</v>
      </c>
      <c r="Q547" t="s">
        <v>2178</v>
      </c>
      <c r="R547" t="s">
        <v>2179</v>
      </c>
      <c r="S547">
        <v>0</v>
      </c>
      <c r="T547">
        <v>0</v>
      </c>
      <c r="U547" t="s">
        <v>2179</v>
      </c>
      <c r="V547">
        <v>9006996</v>
      </c>
      <c r="W547" t="s">
        <v>2180</v>
      </c>
      <c r="X547">
        <v>193560.34409999999</v>
      </c>
      <c r="Y547">
        <v>193560.34409999999</v>
      </c>
      <c r="Z547">
        <v>193560.34409999999</v>
      </c>
      <c r="AA547">
        <v>9006996</v>
      </c>
      <c r="AB547">
        <v>0</v>
      </c>
      <c r="AC547" s="11">
        <v>46157</v>
      </c>
      <c r="AD547" s="11">
        <v>46229</v>
      </c>
      <c r="AE547" t="s">
        <v>2189</v>
      </c>
      <c r="AF547" t="s">
        <v>2182</v>
      </c>
      <c r="AG547" t="s">
        <v>2183</v>
      </c>
      <c r="AH547">
        <v>445000.03</v>
      </c>
      <c r="AI547">
        <v>128461</v>
      </c>
      <c r="AJ547" t="s">
        <v>2044</v>
      </c>
    </row>
    <row r="548" spans="1:36" hidden="1" x14ac:dyDescent="0.2">
      <c r="A548" t="s">
        <v>2259</v>
      </c>
      <c r="B548" t="s">
        <v>152</v>
      </c>
      <c r="C548" t="s">
        <v>2340</v>
      </c>
      <c r="D548" t="s">
        <v>303</v>
      </c>
      <c r="E548">
        <v>268014</v>
      </c>
      <c r="F548" t="s">
        <v>2215</v>
      </c>
      <c r="G548">
        <v>8005</v>
      </c>
      <c r="H548">
        <v>585893</v>
      </c>
      <c r="I548" t="s">
        <v>554</v>
      </c>
      <c r="J548" s="11">
        <v>46174</v>
      </c>
      <c r="K548" s="11">
        <v>46203</v>
      </c>
      <c r="L548" t="s">
        <v>2223</v>
      </c>
      <c r="M548" t="s">
        <v>1850</v>
      </c>
      <c r="N548">
        <v>40</v>
      </c>
      <c r="O548">
        <v>1562500</v>
      </c>
      <c r="P548">
        <v>62500</v>
      </c>
      <c r="Q548" t="s">
        <v>2178</v>
      </c>
      <c r="R548" t="s">
        <v>2179</v>
      </c>
      <c r="S548">
        <v>0</v>
      </c>
      <c r="T548">
        <v>0</v>
      </c>
      <c r="U548" t="s">
        <v>2179</v>
      </c>
      <c r="V548">
        <v>1562500</v>
      </c>
      <c r="W548" t="s">
        <v>2180</v>
      </c>
      <c r="X548">
        <v>62500</v>
      </c>
      <c r="Y548">
        <v>62500</v>
      </c>
      <c r="Z548">
        <v>62500</v>
      </c>
      <c r="AA548">
        <v>1667030</v>
      </c>
      <c r="AB548">
        <v>1647519</v>
      </c>
      <c r="AC548" s="11">
        <v>46174</v>
      </c>
      <c r="AD548" s="11">
        <v>46203</v>
      </c>
      <c r="AE548" t="s">
        <v>2226</v>
      </c>
      <c r="AF548" t="s">
        <v>2182</v>
      </c>
      <c r="AG548" t="s">
        <v>2183</v>
      </c>
      <c r="AH548">
        <v>174965</v>
      </c>
      <c r="AI548">
        <v>128048</v>
      </c>
      <c r="AJ548" t="s">
        <v>2054</v>
      </c>
    </row>
    <row r="549" spans="1:36" hidden="1" x14ac:dyDescent="0.2">
      <c r="A549" t="s">
        <v>2259</v>
      </c>
      <c r="B549" t="s">
        <v>152</v>
      </c>
      <c r="C549" t="s">
        <v>2340</v>
      </c>
      <c r="D549" t="s">
        <v>303</v>
      </c>
      <c r="E549">
        <v>268014</v>
      </c>
      <c r="F549" t="s">
        <v>2219</v>
      </c>
      <c r="G549">
        <v>7998</v>
      </c>
      <c r="H549">
        <v>585896</v>
      </c>
      <c r="I549" t="s">
        <v>553</v>
      </c>
      <c r="J549" s="11">
        <v>46154</v>
      </c>
      <c r="K549" s="11">
        <v>46203</v>
      </c>
      <c r="L549" t="s">
        <v>2223</v>
      </c>
      <c r="M549" t="s">
        <v>1850</v>
      </c>
      <c r="N549">
        <v>20</v>
      </c>
      <c r="O549">
        <v>2811625</v>
      </c>
      <c r="P549">
        <v>56232.5</v>
      </c>
      <c r="Q549" t="s">
        <v>2178</v>
      </c>
      <c r="R549" t="s">
        <v>2179</v>
      </c>
      <c r="S549">
        <v>0</v>
      </c>
      <c r="T549">
        <v>0</v>
      </c>
      <c r="U549" t="s">
        <v>2179</v>
      </c>
      <c r="V549">
        <v>1272726</v>
      </c>
      <c r="W549" t="s">
        <v>2180</v>
      </c>
      <c r="X549">
        <v>25454.52</v>
      </c>
      <c r="Y549">
        <v>25454.52</v>
      </c>
      <c r="Z549">
        <v>25454.52</v>
      </c>
      <c r="AA549">
        <v>1330973</v>
      </c>
      <c r="AB549">
        <v>1332135</v>
      </c>
      <c r="AC549" s="11">
        <v>46154</v>
      </c>
      <c r="AD549" s="11">
        <v>46203</v>
      </c>
      <c r="AE549" t="s">
        <v>2226</v>
      </c>
      <c r="AF549" t="s">
        <v>2182</v>
      </c>
      <c r="AG549" t="s">
        <v>2183</v>
      </c>
      <c r="AH549">
        <v>174965</v>
      </c>
      <c r="AI549">
        <v>128048</v>
      </c>
      <c r="AJ549" t="s">
        <v>2054</v>
      </c>
    </row>
    <row r="550" spans="1:36" hidden="1" x14ac:dyDescent="0.2">
      <c r="A550" t="s">
        <v>2521</v>
      </c>
      <c r="B550" t="s">
        <v>191</v>
      </c>
      <c r="C550" t="s">
        <v>2522</v>
      </c>
      <c r="D550" t="s">
        <v>355</v>
      </c>
      <c r="E550">
        <v>268132</v>
      </c>
      <c r="F550" t="s">
        <v>2215</v>
      </c>
      <c r="G550">
        <v>8005</v>
      </c>
      <c r="H550">
        <v>587699</v>
      </c>
      <c r="I550" t="s">
        <v>658</v>
      </c>
      <c r="J550" s="11">
        <v>46168</v>
      </c>
      <c r="K550" s="11">
        <v>46222</v>
      </c>
      <c r="L550" t="s">
        <v>2247</v>
      </c>
      <c r="M550" t="s">
        <v>1850</v>
      </c>
      <c r="N550">
        <v>44</v>
      </c>
      <c r="O550">
        <v>1704546</v>
      </c>
      <c r="P550">
        <v>75000.03</v>
      </c>
      <c r="Q550" t="s">
        <v>2178</v>
      </c>
      <c r="R550" t="s">
        <v>2179</v>
      </c>
      <c r="S550">
        <v>0</v>
      </c>
      <c r="T550">
        <v>0</v>
      </c>
      <c r="U550" t="s">
        <v>2179</v>
      </c>
      <c r="V550">
        <v>848076</v>
      </c>
      <c r="W550" t="s">
        <v>2180</v>
      </c>
      <c r="X550">
        <v>37315.343999999997</v>
      </c>
      <c r="Y550">
        <v>37315.343999999997</v>
      </c>
      <c r="Z550">
        <v>37315.343999999997</v>
      </c>
      <c r="AA550">
        <v>918988</v>
      </c>
      <c r="AB550">
        <v>848076</v>
      </c>
      <c r="AC550" s="11">
        <v>46168</v>
      </c>
      <c r="AD550" s="11">
        <v>46222</v>
      </c>
      <c r="AE550" t="s">
        <v>2287</v>
      </c>
      <c r="AF550" t="s">
        <v>2182</v>
      </c>
      <c r="AG550" t="s">
        <v>2183</v>
      </c>
      <c r="AH550">
        <v>175000.04</v>
      </c>
      <c r="AI550">
        <v>129435</v>
      </c>
      <c r="AJ550" t="s">
        <v>2042</v>
      </c>
    </row>
    <row r="551" spans="1:36" hidden="1" x14ac:dyDescent="0.2">
      <c r="A551" t="s">
        <v>2521</v>
      </c>
      <c r="B551" t="s">
        <v>191</v>
      </c>
      <c r="C551" t="s">
        <v>2522</v>
      </c>
      <c r="D551" t="s">
        <v>355</v>
      </c>
      <c r="E551">
        <v>268132</v>
      </c>
      <c r="F551" t="s">
        <v>2219</v>
      </c>
      <c r="G551">
        <v>7998</v>
      </c>
      <c r="H551">
        <v>587708</v>
      </c>
      <c r="I551" t="s">
        <v>659</v>
      </c>
      <c r="J551" s="11">
        <v>46168</v>
      </c>
      <c r="K551" s="11">
        <v>46222</v>
      </c>
      <c r="L551" t="s">
        <v>2247</v>
      </c>
      <c r="M551" t="s">
        <v>1850</v>
      </c>
      <c r="N551">
        <v>20</v>
      </c>
      <c r="O551">
        <v>3750000</v>
      </c>
      <c r="P551">
        <v>75000</v>
      </c>
      <c r="Q551" t="s">
        <v>2178</v>
      </c>
      <c r="R551" t="s">
        <v>2179</v>
      </c>
      <c r="S551">
        <v>0</v>
      </c>
      <c r="T551">
        <v>0</v>
      </c>
      <c r="U551" t="s">
        <v>2179</v>
      </c>
      <c r="V551">
        <v>2106552</v>
      </c>
      <c r="W551" t="s">
        <v>2180</v>
      </c>
      <c r="X551">
        <v>42131.040000000001</v>
      </c>
      <c r="Y551">
        <v>42131.040000000001</v>
      </c>
      <c r="Z551">
        <v>42131.040000000001</v>
      </c>
      <c r="AA551">
        <v>2091382</v>
      </c>
      <c r="AB551">
        <v>2106552</v>
      </c>
      <c r="AC551" s="11">
        <v>46168</v>
      </c>
      <c r="AD551" s="11">
        <v>46222</v>
      </c>
      <c r="AE551" t="s">
        <v>2287</v>
      </c>
      <c r="AF551" t="s">
        <v>2182</v>
      </c>
      <c r="AG551" t="s">
        <v>2183</v>
      </c>
      <c r="AH551">
        <v>175000.04</v>
      </c>
      <c r="AI551">
        <v>129435</v>
      </c>
      <c r="AJ551" t="s">
        <v>2042</v>
      </c>
    </row>
    <row r="552" spans="1:36" hidden="1" x14ac:dyDescent="0.2">
      <c r="A552" t="s">
        <v>2521</v>
      </c>
      <c r="B552" t="s">
        <v>191</v>
      </c>
      <c r="C552" t="s">
        <v>2522</v>
      </c>
      <c r="D552" t="s">
        <v>355</v>
      </c>
      <c r="E552">
        <v>268132</v>
      </c>
      <c r="H552">
        <v>592708</v>
      </c>
      <c r="I552" t="s">
        <v>2523</v>
      </c>
      <c r="J552" s="11">
        <v>46168</v>
      </c>
      <c r="K552" s="11">
        <v>46222</v>
      </c>
      <c r="L552" t="s">
        <v>2247</v>
      </c>
      <c r="M552" t="s">
        <v>1850</v>
      </c>
      <c r="N552">
        <v>17</v>
      </c>
      <c r="O552">
        <v>1470588</v>
      </c>
      <c r="P552">
        <v>25000</v>
      </c>
      <c r="Q552" t="s">
        <v>2178</v>
      </c>
      <c r="R552" t="s">
        <v>2179</v>
      </c>
      <c r="S552">
        <v>0</v>
      </c>
      <c r="T552">
        <v>0</v>
      </c>
      <c r="U552" t="s">
        <v>2179</v>
      </c>
      <c r="V552">
        <v>0</v>
      </c>
      <c r="W552" t="s">
        <v>2180</v>
      </c>
      <c r="X552">
        <v>0</v>
      </c>
      <c r="Y552">
        <v>0</v>
      </c>
      <c r="Z552">
        <v>0</v>
      </c>
      <c r="AC552" s="11">
        <v>46168</v>
      </c>
      <c r="AD552" s="11">
        <v>46222</v>
      </c>
      <c r="AE552" t="s">
        <v>2287</v>
      </c>
      <c r="AF552" t="s">
        <v>2182</v>
      </c>
      <c r="AG552" t="s">
        <v>2183</v>
      </c>
      <c r="AH552">
        <v>175000.04</v>
      </c>
      <c r="AI552">
        <v>129435</v>
      </c>
      <c r="AJ552" t="s">
        <v>2042</v>
      </c>
    </row>
    <row r="553" spans="1:36" hidden="1" x14ac:dyDescent="0.2">
      <c r="A553" t="s">
        <v>2255</v>
      </c>
      <c r="B553" t="s">
        <v>180</v>
      </c>
      <c r="C553" t="s">
        <v>2524</v>
      </c>
      <c r="D553" t="s">
        <v>335</v>
      </c>
      <c r="E553">
        <v>268353</v>
      </c>
      <c r="F553" t="s">
        <v>2459</v>
      </c>
      <c r="G553">
        <v>7965</v>
      </c>
      <c r="H553">
        <v>587030</v>
      </c>
      <c r="I553" t="s">
        <v>624</v>
      </c>
      <c r="J553" s="11">
        <v>46146</v>
      </c>
      <c r="K553" s="11">
        <v>46203</v>
      </c>
      <c r="L553" t="s">
        <v>2254</v>
      </c>
      <c r="M553" t="s">
        <v>1850</v>
      </c>
      <c r="N553">
        <v>15</v>
      </c>
      <c r="O553">
        <v>1017667</v>
      </c>
      <c r="P553">
        <v>15265.02</v>
      </c>
      <c r="Q553" t="s">
        <v>2178</v>
      </c>
      <c r="R553" t="s">
        <v>2179</v>
      </c>
      <c r="S553">
        <v>0</v>
      </c>
      <c r="T553">
        <v>0</v>
      </c>
      <c r="U553" t="s">
        <v>2179</v>
      </c>
      <c r="V553">
        <v>138</v>
      </c>
      <c r="W553" t="s">
        <v>2180</v>
      </c>
      <c r="X553">
        <v>2.0699999999999998</v>
      </c>
      <c r="Y553">
        <v>2.0699999999999998</v>
      </c>
      <c r="Z553">
        <v>2.0699999999999998</v>
      </c>
      <c r="AA553">
        <v>177</v>
      </c>
      <c r="AB553">
        <v>138</v>
      </c>
      <c r="AC553" s="11">
        <v>46146</v>
      </c>
      <c r="AD553" s="11">
        <v>46203</v>
      </c>
      <c r="AE553" t="s">
        <v>2233</v>
      </c>
      <c r="AF553" t="s">
        <v>2182</v>
      </c>
      <c r="AG553" t="s">
        <v>2183</v>
      </c>
      <c r="AH553">
        <v>15265.02</v>
      </c>
      <c r="AI553">
        <v>129139</v>
      </c>
      <c r="AJ553" t="s">
        <v>2058</v>
      </c>
    </row>
    <row r="554" spans="1:36" hidden="1" x14ac:dyDescent="0.2">
      <c r="A554" t="s">
        <v>2431</v>
      </c>
      <c r="B554" t="s">
        <v>167</v>
      </c>
      <c r="C554" t="s">
        <v>2525</v>
      </c>
      <c r="D554" t="s">
        <v>311</v>
      </c>
      <c r="E554">
        <v>269003</v>
      </c>
      <c r="F554" t="s">
        <v>2215</v>
      </c>
      <c r="G554">
        <v>8005</v>
      </c>
      <c r="H554">
        <v>587429</v>
      </c>
      <c r="I554" t="s">
        <v>575</v>
      </c>
      <c r="J554" s="11">
        <v>46184</v>
      </c>
      <c r="K554" s="11">
        <v>46222</v>
      </c>
      <c r="L554" t="s">
        <v>2254</v>
      </c>
      <c r="M554" t="s">
        <v>1850</v>
      </c>
      <c r="N554">
        <v>44</v>
      </c>
      <c r="O554">
        <v>15326706</v>
      </c>
      <c r="P554">
        <v>674375.07</v>
      </c>
      <c r="Q554" t="s">
        <v>2178</v>
      </c>
      <c r="R554" t="s">
        <v>2179</v>
      </c>
      <c r="S554">
        <v>0</v>
      </c>
      <c r="T554">
        <v>0</v>
      </c>
      <c r="U554" t="s">
        <v>2179</v>
      </c>
      <c r="V554">
        <v>9852809</v>
      </c>
      <c r="W554" t="s">
        <v>2180</v>
      </c>
      <c r="X554">
        <v>433523.59600000002</v>
      </c>
      <c r="Y554">
        <v>433523.59600000002</v>
      </c>
      <c r="Z554">
        <v>433523.59600000002</v>
      </c>
      <c r="AA554">
        <v>10161654</v>
      </c>
      <c r="AB554">
        <v>9852809</v>
      </c>
      <c r="AC554" s="11">
        <v>46184</v>
      </c>
      <c r="AD554" s="11">
        <v>46222</v>
      </c>
      <c r="AE554" t="s">
        <v>2233</v>
      </c>
      <c r="AF554" t="s">
        <v>2182</v>
      </c>
      <c r="AG554" t="s">
        <v>2183</v>
      </c>
      <c r="AH554">
        <v>1037500.08</v>
      </c>
      <c r="AI554">
        <v>128228</v>
      </c>
      <c r="AJ554" t="s">
        <v>2043</v>
      </c>
    </row>
    <row r="555" spans="1:36" hidden="1" x14ac:dyDescent="0.2">
      <c r="A555" t="s">
        <v>2431</v>
      </c>
      <c r="B555" t="s">
        <v>167</v>
      </c>
      <c r="C555" t="s">
        <v>2525</v>
      </c>
      <c r="D555" t="s">
        <v>311</v>
      </c>
      <c r="E555">
        <v>269003</v>
      </c>
      <c r="F555" t="s">
        <v>2219</v>
      </c>
      <c r="G555">
        <v>7998</v>
      </c>
      <c r="H555">
        <v>587454</v>
      </c>
      <c r="I555" t="s">
        <v>574</v>
      </c>
      <c r="J555" s="11">
        <v>46174</v>
      </c>
      <c r="K555" s="11">
        <v>46234</v>
      </c>
      <c r="L555" t="s">
        <v>2254</v>
      </c>
      <c r="M555" t="s">
        <v>1850</v>
      </c>
      <c r="N555">
        <v>18.690000000000001</v>
      </c>
      <c r="O555">
        <v>19428839</v>
      </c>
      <c r="P555">
        <v>363125.01</v>
      </c>
      <c r="Q555" t="s">
        <v>2178</v>
      </c>
      <c r="R555" t="s">
        <v>2179</v>
      </c>
      <c r="S555">
        <v>0</v>
      </c>
      <c r="T555">
        <v>0</v>
      </c>
      <c r="U555" t="s">
        <v>2179</v>
      </c>
      <c r="V555">
        <v>9250021</v>
      </c>
      <c r="W555" t="s">
        <v>2180</v>
      </c>
      <c r="X555">
        <v>172882.89249999999</v>
      </c>
      <c r="Y555">
        <v>172882.89249999999</v>
      </c>
      <c r="Z555">
        <v>172882.89249999999</v>
      </c>
      <c r="AA555">
        <v>9563207</v>
      </c>
      <c r="AB555">
        <v>9250021</v>
      </c>
      <c r="AC555" s="11">
        <v>46174</v>
      </c>
      <c r="AD555" s="11">
        <v>46234</v>
      </c>
      <c r="AE555" t="s">
        <v>2233</v>
      </c>
      <c r="AF555" t="s">
        <v>2182</v>
      </c>
      <c r="AG555" t="s">
        <v>2183</v>
      </c>
      <c r="AH555">
        <v>1037500.08</v>
      </c>
      <c r="AI555">
        <v>128228</v>
      </c>
      <c r="AJ555" t="s">
        <v>2043</v>
      </c>
    </row>
    <row r="556" spans="1:36" hidden="1" x14ac:dyDescent="0.2">
      <c r="A556" t="s">
        <v>2203</v>
      </c>
      <c r="B556" t="s">
        <v>173</v>
      </c>
      <c r="C556" t="s">
        <v>2339</v>
      </c>
      <c r="D556" t="s">
        <v>322</v>
      </c>
      <c r="E556">
        <v>269482</v>
      </c>
      <c r="F556" t="s">
        <v>2217</v>
      </c>
      <c r="G556">
        <v>8004</v>
      </c>
      <c r="H556">
        <v>588361</v>
      </c>
      <c r="I556" t="s">
        <v>796</v>
      </c>
      <c r="J556" s="11">
        <v>46174</v>
      </c>
      <c r="K556" s="11">
        <v>46203</v>
      </c>
      <c r="L556" t="s">
        <v>2177</v>
      </c>
      <c r="M556" t="s">
        <v>1850</v>
      </c>
      <c r="N556">
        <v>6</v>
      </c>
      <c r="O556">
        <v>3083333</v>
      </c>
      <c r="P556">
        <v>18500</v>
      </c>
      <c r="Q556" t="s">
        <v>2178</v>
      </c>
      <c r="R556" t="s">
        <v>2179</v>
      </c>
      <c r="S556">
        <v>0</v>
      </c>
      <c r="T556">
        <v>0</v>
      </c>
      <c r="U556" t="s">
        <v>2179</v>
      </c>
      <c r="V556">
        <v>3066524</v>
      </c>
      <c r="W556" t="s">
        <v>2180</v>
      </c>
      <c r="X556">
        <v>18399.144</v>
      </c>
      <c r="Y556">
        <v>18399.144</v>
      </c>
      <c r="Z556">
        <v>18399.144</v>
      </c>
      <c r="AA556">
        <v>3119041</v>
      </c>
      <c r="AB556">
        <v>3066524</v>
      </c>
      <c r="AC556" s="11">
        <v>46174</v>
      </c>
      <c r="AD556" s="11">
        <v>46203</v>
      </c>
      <c r="AE556" t="s">
        <v>2189</v>
      </c>
      <c r="AF556" t="s">
        <v>2182</v>
      </c>
      <c r="AG556" t="s">
        <v>2183</v>
      </c>
      <c r="AH556">
        <v>74000.02</v>
      </c>
      <c r="AI556">
        <v>128343</v>
      </c>
      <c r="AJ556" t="s">
        <v>2047</v>
      </c>
    </row>
    <row r="557" spans="1:36" hidden="1" x14ac:dyDescent="0.2">
      <c r="A557" t="s">
        <v>2203</v>
      </c>
      <c r="B557" t="s">
        <v>173</v>
      </c>
      <c r="C557" t="s">
        <v>2339</v>
      </c>
      <c r="D557" t="s">
        <v>322</v>
      </c>
      <c r="E557">
        <v>269482</v>
      </c>
      <c r="F557" t="s">
        <v>2215</v>
      </c>
      <c r="G557">
        <v>8005</v>
      </c>
      <c r="H557">
        <v>588363</v>
      </c>
      <c r="I557" t="s">
        <v>594</v>
      </c>
      <c r="J557" s="11">
        <v>46174</v>
      </c>
      <c r="K557" s="11">
        <v>46203</v>
      </c>
      <c r="L557" t="s">
        <v>2177</v>
      </c>
      <c r="M557" t="s">
        <v>1850</v>
      </c>
      <c r="N557">
        <v>32.5</v>
      </c>
      <c r="O557">
        <v>1707693</v>
      </c>
      <c r="P557">
        <v>55500.02</v>
      </c>
      <c r="Q557" t="s">
        <v>2178</v>
      </c>
      <c r="R557" t="s">
        <v>2179</v>
      </c>
      <c r="S557">
        <v>0</v>
      </c>
      <c r="T557">
        <v>0</v>
      </c>
      <c r="U557" t="s">
        <v>2179</v>
      </c>
      <c r="V557">
        <v>1707693</v>
      </c>
      <c r="W557" t="s">
        <v>2180</v>
      </c>
      <c r="X557">
        <v>55500.02</v>
      </c>
      <c r="Y557">
        <v>55500.02</v>
      </c>
      <c r="Z557">
        <v>55500.02</v>
      </c>
      <c r="AA557">
        <v>1757021</v>
      </c>
      <c r="AB557">
        <v>1752379</v>
      </c>
      <c r="AC557" s="11">
        <v>46174</v>
      </c>
      <c r="AD557" s="11">
        <v>46203</v>
      </c>
      <c r="AE557" t="s">
        <v>2189</v>
      </c>
      <c r="AF557" t="s">
        <v>2182</v>
      </c>
      <c r="AG557" t="s">
        <v>2183</v>
      </c>
      <c r="AH557">
        <v>74000.02</v>
      </c>
      <c r="AI557">
        <v>128343</v>
      </c>
      <c r="AJ557" t="s">
        <v>2047</v>
      </c>
    </row>
    <row r="558" spans="1:36" hidden="1" x14ac:dyDescent="0.2">
      <c r="A558" t="s">
        <v>2194</v>
      </c>
      <c r="B558" t="s">
        <v>189</v>
      </c>
      <c r="C558" t="s">
        <v>2221</v>
      </c>
      <c r="D558" t="s">
        <v>358</v>
      </c>
      <c r="E558">
        <v>269943</v>
      </c>
      <c r="F558" t="s">
        <v>2218</v>
      </c>
      <c r="G558">
        <v>8000</v>
      </c>
      <c r="H558">
        <v>589938</v>
      </c>
      <c r="I558" t="s">
        <v>833</v>
      </c>
      <c r="J558" s="11">
        <v>46202</v>
      </c>
      <c r="K558" s="11">
        <v>46222</v>
      </c>
      <c r="L558" t="s">
        <v>2213</v>
      </c>
      <c r="M558" t="s">
        <v>2205</v>
      </c>
      <c r="N558">
        <v>99794</v>
      </c>
      <c r="O558">
        <v>3</v>
      </c>
      <c r="P558">
        <v>99794</v>
      </c>
      <c r="Q558" t="s">
        <v>1987</v>
      </c>
      <c r="R558" t="s">
        <v>2206</v>
      </c>
      <c r="S558">
        <v>0</v>
      </c>
      <c r="T558">
        <v>9504.1903999999995</v>
      </c>
      <c r="U558" t="s">
        <v>2206</v>
      </c>
      <c r="V558">
        <v>0</v>
      </c>
      <c r="W558" t="s">
        <v>2180</v>
      </c>
      <c r="X558">
        <v>9504.1903999999995</v>
      </c>
      <c r="Y558">
        <v>9504.1903999999995</v>
      </c>
      <c r="Z558">
        <v>9504.1903999999995</v>
      </c>
      <c r="AC558" s="11">
        <v>46202</v>
      </c>
      <c r="AD558" s="11">
        <v>46222</v>
      </c>
      <c r="AE558" t="s">
        <v>2222</v>
      </c>
      <c r="AF558" t="s">
        <v>2182</v>
      </c>
      <c r="AG558" t="s">
        <v>2183</v>
      </c>
      <c r="AH558">
        <v>398989</v>
      </c>
      <c r="AI558">
        <v>129462</v>
      </c>
      <c r="AJ558" t="s">
        <v>2039</v>
      </c>
    </row>
    <row r="559" spans="1:36" hidden="1" x14ac:dyDescent="0.2">
      <c r="A559" t="s">
        <v>2194</v>
      </c>
      <c r="B559" t="s">
        <v>189</v>
      </c>
      <c r="C559" t="s">
        <v>2221</v>
      </c>
      <c r="D559" t="s">
        <v>358</v>
      </c>
      <c r="E559">
        <v>269943</v>
      </c>
      <c r="F559" t="s">
        <v>2215</v>
      </c>
      <c r="G559">
        <v>8005</v>
      </c>
      <c r="H559">
        <v>589942</v>
      </c>
      <c r="I559" t="s">
        <v>652</v>
      </c>
      <c r="J559" s="11">
        <v>46202</v>
      </c>
      <c r="K559" s="11">
        <v>46222</v>
      </c>
      <c r="L559" t="s">
        <v>2223</v>
      </c>
      <c r="M559" t="s">
        <v>1850</v>
      </c>
      <c r="N559">
        <v>40</v>
      </c>
      <c r="O559">
        <v>5000000</v>
      </c>
      <c r="P559">
        <v>200000</v>
      </c>
      <c r="Q559" t="s">
        <v>2178</v>
      </c>
      <c r="R559" t="s">
        <v>2179</v>
      </c>
      <c r="S559">
        <v>0</v>
      </c>
      <c r="T559">
        <v>0</v>
      </c>
      <c r="U559" t="s">
        <v>2179</v>
      </c>
      <c r="V559">
        <v>512601</v>
      </c>
      <c r="W559" t="s">
        <v>2180</v>
      </c>
      <c r="X559">
        <v>20504.04</v>
      </c>
      <c r="Y559">
        <v>20504.04</v>
      </c>
      <c r="Z559">
        <v>20504.04</v>
      </c>
      <c r="AA559">
        <v>509658</v>
      </c>
      <c r="AB559">
        <v>512601</v>
      </c>
      <c r="AC559" s="11">
        <v>46202</v>
      </c>
      <c r="AD559" s="11">
        <v>46222</v>
      </c>
      <c r="AE559" t="s">
        <v>2222</v>
      </c>
      <c r="AF559" t="s">
        <v>2182</v>
      </c>
      <c r="AG559" t="s">
        <v>2183</v>
      </c>
      <c r="AH559">
        <v>398989</v>
      </c>
      <c r="AI559">
        <v>129462</v>
      </c>
      <c r="AJ559" t="s">
        <v>2039</v>
      </c>
    </row>
    <row r="560" spans="1:36" hidden="1" x14ac:dyDescent="0.2">
      <c r="A560" t="s">
        <v>2194</v>
      </c>
      <c r="B560" t="s">
        <v>189</v>
      </c>
      <c r="C560" t="s">
        <v>2221</v>
      </c>
      <c r="D560" t="s">
        <v>358</v>
      </c>
      <c r="E560">
        <v>269943</v>
      </c>
      <c r="F560" t="s">
        <v>2216</v>
      </c>
      <c r="G560">
        <v>8002</v>
      </c>
      <c r="H560">
        <v>589945</v>
      </c>
      <c r="I560" t="s">
        <v>653</v>
      </c>
      <c r="J560" s="11">
        <v>46202</v>
      </c>
      <c r="K560" s="11">
        <v>46222</v>
      </c>
      <c r="L560" t="s">
        <v>2223</v>
      </c>
      <c r="M560" t="s">
        <v>1850</v>
      </c>
      <c r="N560">
        <v>25</v>
      </c>
      <c r="O560">
        <v>3967800</v>
      </c>
      <c r="P560">
        <v>99195</v>
      </c>
      <c r="Q560" t="s">
        <v>2201</v>
      </c>
      <c r="R560" t="s">
        <v>2179</v>
      </c>
      <c r="S560">
        <v>0</v>
      </c>
      <c r="T560">
        <v>0</v>
      </c>
      <c r="U560" t="s">
        <v>2179</v>
      </c>
      <c r="V560">
        <v>289363</v>
      </c>
      <c r="W560" t="s">
        <v>2180</v>
      </c>
      <c r="X560">
        <v>7234.0749999999998</v>
      </c>
      <c r="Y560">
        <v>7234.0749999999998</v>
      </c>
      <c r="Z560">
        <v>7234.0749999999998</v>
      </c>
      <c r="AA560">
        <v>287109</v>
      </c>
      <c r="AB560">
        <v>289363</v>
      </c>
      <c r="AC560" s="11">
        <v>46202</v>
      </c>
      <c r="AD560" s="11">
        <v>46222</v>
      </c>
      <c r="AE560" t="s">
        <v>2222</v>
      </c>
      <c r="AF560" t="s">
        <v>2182</v>
      </c>
      <c r="AG560" t="s">
        <v>2183</v>
      </c>
      <c r="AH560">
        <v>398989</v>
      </c>
      <c r="AI560">
        <v>129462</v>
      </c>
      <c r="AJ560" t="s">
        <v>2039</v>
      </c>
    </row>
    <row r="561" spans="1:36" hidden="1" x14ac:dyDescent="0.2">
      <c r="A561" t="s">
        <v>2526</v>
      </c>
      <c r="B561" t="s">
        <v>162</v>
      </c>
      <c r="C561" t="s">
        <v>2527</v>
      </c>
      <c r="D561" t="s">
        <v>369</v>
      </c>
      <c r="E561">
        <v>270425</v>
      </c>
      <c r="F561" t="s">
        <v>2215</v>
      </c>
      <c r="G561">
        <v>8005</v>
      </c>
      <c r="H561">
        <v>591515</v>
      </c>
      <c r="I561" t="s">
        <v>688</v>
      </c>
      <c r="J561" s="11">
        <v>46174</v>
      </c>
      <c r="K561" s="11">
        <v>46222</v>
      </c>
      <c r="M561" t="s">
        <v>1850</v>
      </c>
      <c r="N561">
        <v>44</v>
      </c>
      <c r="O561">
        <v>5681819</v>
      </c>
      <c r="P561">
        <v>250000.03</v>
      </c>
      <c r="Q561" t="s">
        <v>2178</v>
      </c>
      <c r="R561" t="s">
        <v>2179</v>
      </c>
      <c r="S561">
        <v>0</v>
      </c>
      <c r="T561">
        <v>0</v>
      </c>
      <c r="U561" t="s">
        <v>2179</v>
      </c>
      <c r="V561">
        <v>3972159</v>
      </c>
      <c r="W561" t="s">
        <v>2180</v>
      </c>
      <c r="X561">
        <v>174774.99600000001</v>
      </c>
      <c r="Y561">
        <v>174774.99600000001</v>
      </c>
      <c r="Z561">
        <v>174774.99600000001</v>
      </c>
      <c r="AA561">
        <v>3972159</v>
      </c>
      <c r="AB561">
        <v>0</v>
      </c>
      <c r="AC561" s="11">
        <v>46174</v>
      </c>
      <c r="AD561" s="11">
        <v>46222</v>
      </c>
      <c r="AE561" t="s">
        <v>2306</v>
      </c>
      <c r="AF561" t="s">
        <v>2182</v>
      </c>
      <c r="AG561" t="s">
        <v>2183</v>
      </c>
      <c r="AH561">
        <v>500000.03</v>
      </c>
      <c r="AI561">
        <v>129764</v>
      </c>
      <c r="AJ561" t="s">
        <v>2056</v>
      </c>
    </row>
    <row r="562" spans="1:36" hidden="1" x14ac:dyDescent="0.2">
      <c r="A562" t="s">
        <v>2526</v>
      </c>
      <c r="B562" t="s">
        <v>162</v>
      </c>
      <c r="C562" t="s">
        <v>2527</v>
      </c>
      <c r="D562" t="s">
        <v>369</v>
      </c>
      <c r="E562">
        <v>270425</v>
      </c>
      <c r="H562">
        <v>591518</v>
      </c>
      <c r="I562" t="s">
        <v>2528</v>
      </c>
      <c r="J562" s="11">
        <v>46174</v>
      </c>
      <c r="K562" s="11">
        <v>46178</v>
      </c>
      <c r="L562" t="s">
        <v>2213</v>
      </c>
      <c r="M562" t="s">
        <v>1850</v>
      </c>
      <c r="N562">
        <v>0</v>
      </c>
      <c r="O562">
        <v>0</v>
      </c>
      <c r="P562">
        <v>0</v>
      </c>
      <c r="Q562" t="s">
        <v>2178</v>
      </c>
      <c r="R562" t="s">
        <v>2179</v>
      </c>
      <c r="S562">
        <v>0</v>
      </c>
      <c r="T562">
        <v>0</v>
      </c>
      <c r="U562" t="s">
        <v>2179</v>
      </c>
      <c r="V562">
        <v>0</v>
      </c>
      <c r="W562" t="s">
        <v>2180</v>
      </c>
      <c r="X562">
        <v>0</v>
      </c>
      <c r="Y562">
        <v>0</v>
      </c>
      <c r="Z562">
        <v>0</v>
      </c>
      <c r="AA562">
        <v>398206</v>
      </c>
      <c r="AC562" s="11">
        <v>46174</v>
      </c>
      <c r="AD562" s="11">
        <v>46178</v>
      </c>
      <c r="AE562" t="s">
        <v>2306</v>
      </c>
      <c r="AF562" t="s">
        <v>2182</v>
      </c>
      <c r="AG562" t="s">
        <v>2183</v>
      </c>
      <c r="AH562">
        <v>500000.03</v>
      </c>
      <c r="AI562">
        <v>129764</v>
      </c>
      <c r="AJ562" t="s">
        <v>2056</v>
      </c>
    </row>
    <row r="563" spans="1:36" hidden="1" x14ac:dyDescent="0.2">
      <c r="A563" t="s">
        <v>2526</v>
      </c>
      <c r="B563" t="s">
        <v>162</v>
      </c>
      <c r="C563" t="s">
        <v>2527</v>
      </c>
      <c r="D563" t="s">
        <v>369</v>
      </c>
      <c r="E563">
        <v>270425</v>
      </c>
      <c r="H563">
        <v>592636</v>
      </c>
      <c r="I563" t="s">
        <v>2529</v>
      </c>
      <c r="J563" s="11">
        <v>46178</v>
      </c>
      <c r="K563" s="11">
        <v>46222</v>
      </c>
      <c r="M563" t="s">
        <v>1850</v>
      </c>
      <c r="N563">
        <v>20</v>
      </c>
      <c r="O563">
        <v>7500000</v>
      </c>
      <c r="P563">
        <v>150000</v>
      </c>
      <c r="Q563" t="s">
        <v>2178</v>
      </c>
      <c r="R563" t="s">
        <v>2179</v>
      </c>
      <c r="S563">
        <v>0</v>
      </c>
      <c r="T563">
        <v>0</v>
      </c>
      <c r="U563" t="s">
        <v>2179</v>
      </c>
      <c r="V563">
        <v>0</v>
      </c>
      <c r="W563" t="s">
        <v>2180</v>
      </c>
      <c r="X563">
        <v>0</v>
      </c>
      <c r="Y563">
        <v>0</v>
      </c>
      <c r="Z563">
        <v>0</v>
      </c>
      <c r="AC563" s="11">
        <v>46178</v>
      </c>
      <c r="AD563" s="11">
        <v>46222</v>
      </c>
      <c r="AE563" t="s">
        <v>2306</v>
      </c>
      <c r="AF563" t="s">
        <v>2182</v>
      </c>
      <c r="AG563" t="s">
        <v>2183</v>
      </c>
      <c r="AH563">
        <v>500000.03</v>
      </c>
      <c r="AI563">
        <v>129764</v>
      </c>
      <c r="AJ563" t="s">
        <v>2056</v>
      </c>
    </row>
    <row r="564" spans="1:36" hidden="1" x14ac:dyDescent="0.2">
      <c r="A564" t="s">
        <v>2307</v>
      </c>
      <c r="B564" t="s">
        <v>205</v>
      </c>
      <c r="C564" t="s">
        <v>2530</v>
      </c>
      <c r="D564" t="s">
        <v>388</v>
      </c>
      <c r="E564">
        <v>270497</v>
      </c>
      <c r="F564" t="s">
        <v>2217</v>
      </c>
      <c r="G564">
        <v>8004</v>
      </c>
      <c r="H564">
        <v>591846</v>
      </c>
      <c r="I564" t="s">
        <v>822</v>
      </c>
      <c r="J564" s="11">
        <v>46185</v>
      </c>
      <c r="K564" s="11">
        <v>46222</v>
      </c>
      <c r="L564" t="s">
        <v>2213</v>
      </c>
      <c r="M564" t="s">
        <v>1850</v>
      </c>
      <c r="N564">
        <v>6</v>
      </c>
      <c r="O564">
        <v>6250000</v>
      </c>
      <c r="P564">
        <v>37500</v>
      </c>
      <c r="Q564" t="s">
        <v>2178</v>
      </c>
      <c r="R564" t="s">
        <v>2179</v>
      </c>
      <c r="S564">
        <v>0</v>
      </c>
      <c r="T564">
        <v>0</v>
      </c>
      <c r="U564" t="s">
        <v>2179</v>
      </c>
      <c r="V564">
        <v>3043014</v>
      </c>
      <c r="W564" t="s">
        <v>2180</v>
      </c>
      <c r="X564">
        <v>18258.083999999999</v>
      </c>
      <c r="Y564">
        <v>18258.083999999999</v>
      </c>
      <c r="Z564">
        <v>18258.083999999999</v>
      </c>
      <c r="AA564">
        <v>3043014</v>
      </c>
      <c r="AB564">
        <v>0</v>
      </c>
      <c r="AC564" s="11">
        <v>46185</v>
      </c>
      <c r="AD564" s="11">
        <v>46222</v>
      </c>
      <c r="AE564" t="s">
        <v>2202</v>
      </c>
      <c r="AF564" t="s">
        <v>2182</v>
      </c>
      <c r="AG564" t="s">
        <v>2183</v>
      </c>
      <c r="AH564">
        <v>750000.04</v>
      </c>
      <c r="AI564">
        <v>130472</v>
      </c>
      <c r="AJ564" t="s">
        <v>2041</v>
      </c>
    </row>
    <row r="565" spans="1:36" hidden="1" x14ac:dyDescent="0.2">
      <c r="A565" t="s">
        <v>2307</v>
      </c>
      <c r="B565" t="s">
        <v>205</v>
      </c>
      <c r="C565" t="s">
        <v>2530</v>
      </c>
      <c r="D565" t="s">
        <v>388</v>
      </c>
      <c r="E565">
        <v>270497</v>
      </c>
      <c r="F565" t="s">
        <v>2215</v>
      </c>
      <c r="G565">
        <v>8005</v>
      </c>
      <c r="H565">
        <v>591847</v>
      </c>
      <c r="I565" t="s">
        <v>716</v>
      </c>
      <c r="J565" s="11">
        <v>46185</v>
      </c>
      <c r="K565" s="11">
        <v>46222</v>
      </c>
      <c r="L565" t="s">
        <v>2177</v>
      </c>
      <c r="M565" t="s">
        <v>1850</v>
      </c>
      <c r="N565">
        <v>44</v>
      </c>
      <c r="O565">
        <v>5113637</v>
      </c>
      <c r="P565">
        <v>225000.03</v>
      </c>
      <c r="Q565" t="s">
        <v>2178</v>
      </c>
      <c r="R565" t="s">
        <v>2179</v>
      </c>
      <c r="S565">
        <v>0</v>
      </c>
      <c r="T565">
        <v>0</v>
      </c>
      <c r="U565" t="s">
        <v>2179</v>
      </c>
      <c r="V565">
        <v>1039067</v>
      </c>
      <c r="W565" t="s">
        <v>2180</v>
      </c>
      <c r="X565">
        <v>45718.947999999997</v>
      </c>
      <c r="Y565">
        <v>45718.947999999997</v>
      </c>
      <c r="Z565">
        <v>45718.947999999997</v>
      </c>
      <c r="AA565">
        <v>1039067</v>
      </c>
      <c r="AB565">
        <v>0</v>
      </c>
      <c r="AC565" s="11">
        <v>46185</v>
      </c>
      <c r="AD565" s="11">
        <v>46222</v>
      </c>
      <c r="AE565" t="s">
        <v>2202</v>
      </c>
      <c r="AF565" t="s">
        <v>2182</v>
      </c>
      <c r="AG565" t="s">
        <v>2183</v>
      </c>
      <c r="AH565">
        <v>750000.04</v>
      </c>
      <c r="AI565">
        <v>130472</v>
      </c>
      <c r="AJ565" t="s">
        <v>2041</v>
      </c>
    </row>
    <row r="566" spans="1:36" hidden="1" x14ac:dyDescent="0.2">
      <c r="A566" t="s">
        <v>2307</v>
      </c>
      <c r="B566" t="s">
        <v>205</v>
      </c>
      <c r="C566" t="s">
        <v>2530</v>
      </c>
      <c r="D566" t="s">
        <v>388</v>
      </c>
      <c r="E566">
        <v>270497</v>
      </c>
      <c r="F566" t="s">
        <v>2218</v>
      </c>
      <c r="G566">
        <v>8000</v>
      </c>
      <c r="H566">
        <v>591848</v>
      </c>
      <c r="I566" t="s">
        <v>830</v>
      </c>
      <c r="J566" s="11">
        <v>46185</v>
      </c>
      <c r="K566" s="11">
        <v>46222</v>
      </c>
      <c r="L566" t="s">
        <v>2213</v>
      </c>
      <c r="M566" t="s">
        <v>1852</v>
      </c>
      <c r="N566">
        <v>0.15</v>
      </c>
      <c r="O566">
        <v>3250000</v>
      </c>
      <c r="P566">
        <v>487500</v>
      </c>
      <c r="Q566" t="s">
        <v>2262</v>
      </c>
      <c r="R566" t="s">
        <v>2263</v>
      </c>
      <c r="S566">
        <v>1625000</v>
      </c>
      <c r="T566">
        <v>243750</v>
      </c>
      <c r="U566" t="s">
        <v>2263</v>
      </c>
      <c r="V566">
        <v>1625000</v>
      </c>
      <c r="W566" t="s">
        <v>2180</v>
      </c>
      <c r="X566">
        <v>243750</v>
      </c>
      <c r="Y566">
        <v>243750</v>
      </c>
      <c r="Z566">
        <v>243750</v>
      </c>
      <c r="AC566" s="11">
        <v>46185</v>
      </c>
      <c r="AD566" s="11">
        <v>46222</v>
      </c>
      <c r="AE566" t="s">
        <v>2202</v>
      </c>
      <c r="AF566" t="s">
        <v>2182</v>
      </c>
      <c r="AG566" t="s">
        <v>2183</v>
      </c>
      <c r="AH566">
        <v>750000.04</v>
      </c>
      <c r="AI566">
        <v>130472</v>
      </c>
      <c r="AJ566" t="s">
        <v>2041</v>
      </c>
    </row>
    <row r="567" spans="1:36" hidden="1" x14ac:dyDescent="0.2">
      <c r="A567" t="s">
        <v>2526</v>
      </c>
      <c r="B567" t="s">
        <v>207</v>
      </c>
      <c r="C567" t="s">
        <v>2531</v>
      </c>
      <c r="D567" t="s">
        <v>391</v>
      </c>
      <c r="E567">
        <v>270752</v>
      </c>
      <c r="F567" t="s">
        <v>2215</v>
      </c>
      <c r="G567">
        <v>8005</v>
      </c>
      <c r="H567">
        <v>592399</v>
      </c>
      <c r="I567" t="s">
        <v>725</v>
      </c>
      <c r="J567" s="11">
        <v>46181</v>
      </c>
      <c r="K567" s="11">
        <v>46222</v>
      </c>
      <c r="M567" t="s">
        <v>1850</v>
      </c>
      <c r="N567">
        <v>44</v>
      </c>
      <c r="O567">
        <v>5681819</v>
      </c>
      <c r="P567">
        <v>250000.03</v>
      </c>
      <c r="Q567" t="s">
        <v>2178</v>
      </c>
      <c r="R567" t="s">
        <v>2179</v>
      </c>
      <c r="S567">
        <v>0</v>
      </c>
      <c r="T567">
        <v>0</v>
      </c>
      <c r="U567" t="s">
        <v>2179</v>
      </c>
      <c r="V567">
        <v>3799507</v>
      </c>
      <c r="W567" t="s">
        <v>2180</v>
      </c>
      <c r="X567">
        <v>167178.30799999999</v>
      </c>
      <c r="Y567">
        <v>167178.30799999999</v>
      </c>
      <c r="Z567">
        <v>167178.30799999999</v>
      </c>
      <c r="AA567">
        <v>3799507</v>
      </c>
      <c r="AB567">
        <v>0</v>
      </c>
      <c r="AC567" s="11">
        <v>46181</v>
      </c>
      <c r="AD567" s="11">
        <v>46222</v>
      </c>
      <c r="AE567" t="s">
        <v>2306</v>
      </c>
      <c r="AF567" t="s">
        <v>2182</v>
      </c>
      <c r="AG567" t="s">
        <v>2183</v>
      </c>
      <c r="AH567">
        <v>500000.04</v>
      </c>
      <c r="AI567">
        <v>130515</v>
      </c>
      <c r="AJ567" t="s">
        <v>2056</v>
      </c>
    </row>
    <row r="568" spans="1:36" hidden="1" x14ac:dyDescent="0.2">
      <c r="A568" t="s">
        <v>2526</v>
      </c>
      <c r="B568" t="s">
        <v>207</v>
      </c>
      <c r="C568" t="s">
        <v>2531</v>
      </c>
      <c r="D568" t="s">
        <v>391</v>
      </c>
      <c r="E568">
        <v>270752</v>
      </c>
      <c r="F568" t="s">
        <v>2216</v>
      </c>
      <c r="G568">
        <v>8002</v>
      </c>
      <c r="H568">
        <v>592407</v>
      </c>
      <c r="I568" t="s">
        <v>726</v>
      </c>
      <c r="J568" s="11">
        <v>46181</v>
      </c>
      <c r="K568" s="11">
        <v>46295</v>
      </c>
      <c r="L568" t="s">
        <v>2177</v>
      </c>
      <c r="M568" t="s">
        <v>1850</v>
      </c>
      <c r="N568">
        <v>25</v>
      </c>
      <c r="O568">
        <v>4000000</v>
      </c>
      <c r="P568">
        <v>100000</v>
      </c>
      <c r="Q568" t="s">
        <v>2178</v>
      </c>
      <c r="R568" t="s">
        <v>2179</v>
      </c>
      <c r="S568">
        <v>0</v>
      </c>
      <c r="T568">
        <v>0</v>
      </c>
      <c r="U568" t="s">
        <v>2179</v>
      </c>
      <c r="V568">
        <v>573806</v>
      </c>
      <c r="W568" t="s">
        <v>2180</v>
      </c>
      <c r="X568">
        <v>14345.15</v>
      </c>
      <c r="Y568">
        <v>14345.15</v>
      </c>
      <c r="Z568">
        <v>14345.15</v>
      </c>
      <c r="AA568">
        <v>573806</v>
      </c>
      <c r="AB568">
        <v>0</v>
      </c>
      <c r="AC568" s="11">
        <v>46181</v>
      </c>
      <c r="AD568" s="11">
        <v>46295</v>
      </c>
      <c r="AE568" t="s">
        <v>2306</v>
      </c>
      <c r="AF568" t="s">
        <v>2182</v>
      </c>
      <c r="AG568" t="s">
        <v>2183</v>
      </c>
      <c r="AH568">
        <v>500000.04</v>
      </c>
      <c r="AI568">
        <v>130515</v>
      </c>
      <c r="AJ568" t="s">
        <v>2056</v>
      </c>
    </row>
    <row r="569" spans="1:36" hidden="1" x14ac:dyDescent="0.2">
      <c r="A569" t="s">
        <v>2526</v>
      </c>
      <c r="B569" t="s">
        <v>207</v>
      </c>
      <c r="C569" t="s">
        <v>2531</v>
      </c>
      <c r="D569" t="s">
        <v>391</v>
      </c>
      <c r="E569">
        <v>270752</v>
      </c>
      <c r="H569">
        <v>592410</v>
      </c>
      <c r="I569" t="s">
        <v>2532</v>
      </c>
      <c r="J569" s="11">
        <v>46181</v>
      </c>
      <c r="K569" s="11">
        <v>46181</v>
      </c>
      <c r="L569" t="s">
        <v>2213</v>
      </c>
      <c r="M569" t="s">
        <v>1850</v>
      </c>
      <c r="N569">
        <v>0</v>
      </c>
      <c r="O569">
        <v>0</v>
      </c>
      <c r="P569">
        <v>0</v>
      </c>
      <c r="Q569" t="s">
        <v>2178</v>
      </c>
      <c r="R569" t="s">
        <v>2179</v>
      </c>
      <c r="S569">
        <v>0</v>
      </c>
      <c r="T569">
        <v>0</v>
      </c>
      <c r="U569" t="s">
        <v>2179</v>
      </c>
      <c r="V569">
        <v>0</v>
      </c>
      <c r="W569" t="s">
        <v>2180</v>
      </c>
      <c r="X569">
        <v>0</v>
      </c>
      <c r="Y569">
        <v>0</v>
      </c>
      <c r="Z569">
        <v>0</v>
      </c>
      <c r="AC569" s="11">
        <v>46181</v>
      </c>
      <c r="AD569" s="11">
        <v>46181</v>
      </c>
      <c r="AE569" t="s">
        <v>2306</v>
      </c>
      <c r="AF569" t="s">
        <v>2182</v>
      </c>
      <c r="AG569" t="s">
        <v>2183</v>
      </c>
      <c r="AH569">
        <v>500000.04</v>
      </c>
      <c r="AI569">
        <v>130515</v>
      </c>
      <c r="AJ569" t="s">
        <v>2056</v>
      </c>
    </row>
    <row r="570" spans="1:36" hidden="1" x14ac:dyDescent="0.2">
      <c r="A570" t="s">
        <v>2526</v>
      </c>
      <c r="B570" t="s">
        <v>207</v>
      </c>
      <c r="C570" t="s">
        <v>2531</v>
      </c>
      <c r="D570" t="s">
        <v>391</v>
      </c>
      <c r="E570">
        <v>270752</v>
      </c>
      <c r="H570">
        <v>592638</v>
      </c>
      <c r="I570" t="s">
        <v>2533</v>
      </c>
      <c r="J570" s="11">
        <v>46181</v>
      </c>
      <c r="K570" s="11">
        <v>46222</v>
      </c>
      <c r="L570" t="s">
        <v>2177</v>
      </c>
      <c r="M570" t="s">
        <v>1850</v>
      </c>
      <c r="N570">
        <v>20</v>
      </c>
      <c r="O570">
        <v>7500000</v>
      </c>
      <c r="P570">
        <v>150000</v>
      </c>
      <c r="Q570" t="s">
        <v>2178</v>
      </c>
      <c r="R570" t="s">
        <v>2179</v>
      </c>
      <c r="S570">
        <v>0</v>
      </c>
      <c r="T570">
        <v>0</v>
      </c>
      <c r="U570" t="s">
        <v>2179</v>
      </c>
      <c r="V570">
        <v>0</v>
      </c>
      <c r="W570" t="s">
        <v>2180</v>
      </c>
      <c r="X570">
        <v>0</v>
      </c>
      <c r="Y570">
        <v>0</v>
      </c>
      <c r="Z570">
        <v>0</v>
      </c>
      <c r="AC570" s="11">
        <v>46181</v>
      </c>
      <c r="AD570" s="11">
        <v>46222</v>
      </c>
      <c r="AE570" t="s">
        <v>2306</v>
      </c>
      <c r="AF570" t="s">
        <v>2182</v>
      </c>
      <c r="AG570" t="s">
        <v>2183</v>
      </c>
      <c r="AH570">
        <v>500000.04</v>
      </c>
      <c r="AI570">
        <v>130515</v>
      </c>
      <c r="AJ570" t="s">
        <v>2056</v>
      </c>
    </row>
  </sheetData>
  <autoFilter ref="A1:AJ570" xr:uid="{2651C607-FE9D-6B4A-A400-FEE22B9ED291}">
    <filterColumn colId="4">
      <filters>
        <filter val="25895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BAR Pivot</vt:lpstr>
      <vt:lpstr>Cash BAR</vt:lpstr>
      <vt:lpstr>AOS Pivot</vt:lpstr>
      <vt:lpstr>AOS 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Camacho, Lisa</cp:lastModifiedBy>
  <dcterms:created xsi:type="dcterms:W3CDTF">2026-07-05T12:53:19Z</dcterms:created>
  <dcterms:modified xsi:type="dcterms:W3CDTF">2026-07-14T20:24:15Z</dcterms:modified>
</cp:coreProperties>
</file>